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5\"/>
    </mc:Choice>
  </mc:AlternateContent>
  <xr:revisionPtr revIDLastSave="0" documentId="13_ncr:1_{E6835DF3-2C27-4662-BA47-B1573F5FAF90}" xr6:coauthVersionLast="47" xr6:coauthVersionMax="47" xr10:uidLastSave="{00000000-0000-0000-0000-000000000000}"/>
  <bookViews>
    <workbookView xWindow="57480" yWindow="-120" windowWidth="38640" windowHeight="21120" activeTab="2" xr2:uid="{D5F2D18B-D574-FD47-A879-CFF618F31D7A}"/>
  </bookViews>
  <sheets>
    <sheet name="Petersfield_&amp;_District_DTS_2025" sheetId="1" r:id="rId1"/>
    <sheet name="Petersfield_&amp;_District_DTS_ (2)" sheetId="27" r:id="rId2"/>
    <sheet name="For import" sheetId="26" r:id="rId3"/>
    <sheet name="Ring numbers" sheetId="24" r:id="rId4"/>
    <sheet name="Camping summary" sheetId="2" r:id="rId5"/>
    <sheet name="Income" sheetId="3" r:id="rId6"/>
  </sheets>
  <definedNames>
    <definedName name="_xlnm._FilterDatabase" localSheetId="0" hidden="1">'Petersfield_&amp;_District_DTS_2025'!$A$1:$AD$1076</definedName>
    <definedName name="_xlnm._FilterDatabase" localSheetId="3" hidden="1">'Ring numbers'!$A$1:$B$1076</definedName>
    <definedName name="_xlnm.Extract" localSheetId="3">'Ring numbers'!$F$1:$G$1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02" i="26" l="1"/>
  <c r="V1099" i="26"/>
  <c r="V1098" i="26"/>
  <c r="V1097" i="26"/>
  <c r="V1096" i="26"/>
  <c r="V1095" i="26"/>
  <c r="V1094" i="26"/>
  <c r="V1093" i="26"/>
  <c r="V1092" i="26"/>
  <c r="V1091" i="26"/>
  <c r="V1090" i="26"/>
  <c r="V1089" i="26"/>
  <c r="V1088" i="26"/>
  <c r="V1087" i="26"/>
  <c r="V1086" i="26"/>
  <c r="V1085" i="26"/>
  <c r="V1084" i="26"/>
  <c r="W1084" i="26" s="1"/>
  <c r="V1083" i="26"/>
  <c r="W1083" i="26" s="1"/>
  <c r="V1082" i="26"/>
  <c r="W1082" i="26" s="1"/>
  <c r="V1081" i="26"/>
  <c r="V1080" i="26"/>
  <c r="V1079" i="26"/>
  <c r="X1102" i="27"/>
  <c r="X1099" i="27"/>
  <c r="X1098" i="27"/>
  <c r="X1097" i="27"/>
  <c r="X1096" i="27"/>
  <c r="X1095" i="27"/>
  <c r="X1094" i="27"/>
  <c r="X1093" i="27"/>
  <c r="X1092" i="27"/>
  <c r="X1091" i="27"/>
  <c r="X1090" i="27"/>
  <c r="X1089" i="27"/>
  <c r="X1088" i="27"/>
  <c r="X1087" i="27"/>
  <c r="X1086" i="27"/>
  <c r="X1085" i="27"/>
  <c r="X1084" i="27"/>
  <c r="Y1084" i="27" s="1"/>
  <c r="X1083" i="27"/>
  <c r="Y1083" i="27" s="1"/>
  <c r="X1082" i="27"/>
  <c r="Y1082" i="27" s="1"/>
  <c r="X1081" i="27"/>
  <c r="X1080" i="27"/>
  <c r="X1079" i="27"/>
  <c r="D2" i="27"/>
  <c r="C2" i="27"/>
  <c r="D2" i="1"/>
  <c r="C2" i="1"/>
  <c r="C11" i="3"/>
  <c r="F50" i="2"/>
  <c r="E50" i="2"/>
  <c r="D50" i="2"/>
  <c r="G50" i="2" s="1"/>
  <c r="X1102" i="1"/>
  <c r="D48" i="2"/>
  <c r="B4" i="3" s="1"/>
  <c r="C4" i="3" s="1"/>
  <c r="E48" i="2"/>
  <c r="F48" i="2"/>
  <c r="B6" i="3" s="1"/>
  <c r="C6" i="3" s="1"/>
  <c r="X1080" i="1"/>
  <c r="X1081" i="1"/>
  <c r="X1082" i="1"/>
  <c r="Y1082" i="1" s="1"/>
  <c r="X1083" i="1"/>
  <c r="Y1083" i="1" s="1"/>
  <c r="X1084" i="1"/>
  <c r="Y1084" i="1" s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079" i="1"/>
  <c r="V1100" i="26" l="1"/>
  <c r="X1100" i="27"/>
  <c r="X1100" i="1"/>
  <c r="B3" i="3" s="1"/>
  <c r="C3" i="3" s="1"/>
  <c r="E60" i="2"/>
  <c r="B5" i="3"/>
  <c r="C5" i="3" s="1"/>
  <c r="F60" i="2"/>
  <c r="G48" i="2"/>
  <c r="D60" i="2"/>
  <c r="G60" i="2"/>
  <c r="C8" i="3" l="1"/>
  <c r="C14" i="3" s="1"/>
</calcChain>
</file>

<file path=xl/sharedStrings.xml><?xml version="1.0" encoding="utf-8"?>
<sst xmlns="http://schemas.openxmlformats.org/spreadsheetml/2006/main" count="69750" uniqueCount="3144">
  <si>
    <t>Show name</t>
  </si>
  <si>
    <t>Owner Id</t>
  </si>
  <si>
    <t>Owner title</t>
  </si>
  <si>
    <t>Owner first name</t>
  </si>
  <si>
    <t>Owner last name</t>
  </si>
  <si>
    <t>Owner address 1</t>
  </si>
  <si>
    <t>Owner address 2</t>
  </si>
  <si>
    <t>Owner town</t>
  </si>
  <si>
    <t>Owner county</t>
  </si>
  <si>
    <t>Owner postcode</t>
  </si>
  <si>
    <t>Owner country</t>
  </si>
  <si>
    <t>Owner phone</t>
  </si>
  <si>
    <t>Owner email address</t>
  </si>
  <si>
    <t>Vehicle registration</t>
  </si>
  <si>
    <t>Registered name</t>
  </si>
  <si>
    <t>Registered number</t>
  </si>
  <si>
    <t>Breed</t>
  </si>
  <si>
    <t>Sex</t>
  </si>
  <si>
    <t>Date of birth</t>
  </si>
  <si>
    <t>Merit points</t>
  </si>
  <si>
    <t>Entered classes</t>
  </si>
  <si>
    <t>Preferred judge</t>
  </si>
  <si>
    <t>Extras</t>
  </si>
  <si>
    <t>Confirmed acceptance of declaration</t>
  </si>
  <si>
    <t>Withdraw all entries if balloted out of Championship C</t>
  </si>
  <si>
    <t>Show address in catalogue</t>
  </si>
  <si>
    <t>Notes to organiser</t>
  </si>
  <si>
    <t>Petersfield &amp; District DTS - SATUDAY 31ST MAY AND SUNDAY 1ST JUNE 2025</t>
  </si>
  <si>
    <t>Miss</t>
  </si>
  <si>
    <t>Annie</t>
  </si>
  <si>
    <t>Abbott</t>
  </si>
  <si>
    <t>Foster cottage</t>
  </si>
  <si>
    <t>Wareham</t>
  </si>
  <si>
    <t>Dorset</t>
  </si>
  <si>
    <t>BH20 7DL</t>
  </si>
  <si>
    <t>United Kingdom</t>
  </si>
  <si>
    <t>anico16@hotmail.com</t>
  </si>
  <si>
    <t>Annie Abbott</t>
  </si>
  <si>
    <t>Mosquito Meep</t>
  </si>
  <si>
    <t>F5-13919-2024</t>
  </si>
  <si>
    <t>Dog</t>
  </si>
  <si>
    <t>TBC</t>
  </si>
  <si>
    <t>Yes</t>
  </si>
  <si>
    <t>No</t>
  </si>
  <si>
    <t>RI COCO THE CLOWN</t>
  </si>
  <si>
    <t>K159116</t>
  </si>
  <si>
    <t>Poodle</t>
  </si>
  <si>
    <t>Susan</t>
  </si>
  <si>
    <t>Abraham</t>
  </si>
  <si>
    <t>5 Camley Close</t>
  </si>
  <si>
    <t>Southampton</t>
  </si>
  <si>
    <t>Hampshire</t>
  </si>
  <si>
    <t>SO19 9GP</t>
  </si>
  <si>
    <t>023 80432000</t>
  </si>
  <si>
    <t>sue_abraham56@hotmail.com</t>
  </si>
  <si>
    <t>Miss S Abraham</t>
  </si>
  <si>
    <t>KALIAZAR CRUIZE</t>
  </si>
  <si>
    <t>AQ01895805</t>
  </si>
  <si>
    <t>Border Collie</t>
  </si>
  <si>
    <t>Not applicable</t>
  </si>
  <si>
    <t>TIPPIVALE JIVE MAN</t>
  </si>
  <si>
    <t>BB27138202</t>
  </si>
  <si>
    <t>BORDER COLLIE</t>
  </si>
  <si>
    <t>KALIAZAR ECLIPSE</t>
  </si>
  <si>
    <t>AV01178206</t>
  </si>
  <si>
    <t>Michelle Richmond</t>
  </si>
  <si>
    <t>Kathy Case</t>
  </si>
  <si>
    <t>Debbie Giddens</t>
  </si>
  <si>
    <t>Mrs</t>
  </si>
  <si>
    <t>Sandra</t>
  </si>
  <si>
    <t>Aburn</t>
  </si>
  <si>
    <t>4 Castle Gardens</t>
  </si>
  <si>
    <t>Dorking</t>
  </si>
  <si>
    <t>Surrey</t>
  </si>
  <si>
    <t>RH4 1NY</t>
  </si>
  <si>
    <t>sandra1.bailey@icloud.com</t>
  </si>
  <si>
    <t>Miss S Bailey</t>
  </si>
  <si>
    <t>Forevermagic road king</t>
  </si>
  <si>
    <t>K0273807</t>
  </si>
  <si>
    <t>Working sheepdog</t>
  </si>
  <si>
    <t>Sapphire Inferno Sky</t>
  </si>
  <si>
    <t>K164665</t>
  </si>
  <si>
    <t>Bitch</t>
  </si>
  <si>
    <t>Sue Monk</t>
  </si>
  <si>
    <t>Jo Edwards</t>
  </si>
  <si>
    <t>Janet</t>
  </si>
  <si>
    <t>Aldridge</t>
  </si>
  <si>
    <t>2 Malabar farm Cottages, Badby Road West</t>
  </si>
  <si>
    <t>Daventry</t>
  </si>
  <si>
    <t>Northants</t>
  </si>
  <si>
    <t>NN114NH</t>
  </si>
  <si>
    <t>johnmalabar@hotmail.com</t>
  </si>
  <si>
    <t>Malaridge Sappire Sunset</t>
  </si>
  <si>
    <t>KO271139</t>
  </si>
  <si>
    <t>Working Sheepdog</t>
  </si>
  <si>
    <t>Karen Branthwaite</t>
  </si>
  <si>
    <t>Tigrys Treacle Tart at Malaridge</t>
  </si>
  <si>
    <t>K0261529</t>
  </si>
  <si>
    <t>Malaridge Dark Side of Moon</t>
  </si>
  <si>
    <t>KO261404</t>
  </si>
  <si>
    <t>Candlewind Cassanova at Malaridge</t>
  </si>
  <si>
    <t>AU01669807</t>
  </si>
  <si>
    <t>Malaridge Poachers Moon</t>
  </si>
  <si>
    <t>K159039</t>
  </si>
  <si>
    <t>Janet Oliver</t>
  </si>
  <si>
    <t>Kay</t>
  </si>
  <si>
    <t>Allen</t>
  </si>
  <si>
    <t>Maxworthy Barn</t>
  </si>
  <si>
    <t>Maxworthy</t>
  </si>
  <si>
    <t>Launceston</t>
  </si>
  <si>
    <t>Devon</t>
  </si>
  <si>
    <t>PL15 8LZ</t>
  </si>
  <si>
    <t>kay.allen41@gmail.com</t>
  </si>
  <si>
    <t>Kay Allen</t>
  </si>
  <si>
    <t>Torlake Red Nov Ex</t>
  </si>
  <si>
    <t>AW00031601</t>
  </si>
  <si>
    <t>Judging Ch C Bitch Sunday. Camping required Friday-Monday please. _x000D_
Steward Sue Garner</t>
  </si>
  <si>
    <t>Cories Crystal Lake B Ex AW(B)</t>
  </si>
  <si>
    <t>AR02059805</t>
  </si>
  <si>
    <t>Torlake Becka</t>
  </si>
  <si>
    <t>AW00031602</t>
  </si>
  <si>
    <t>Torlake Royal A ex</t>
  </si>
  <si>
    <t>AU00564401</t>
  </si>
  <si>
    <t>Torlake Temple</t>
  </si>
  <si>
    <t>BA18655305</t>
  </si>
  <si>
    <t>Tracy</t>
  </si>
  <si>
    <t>Ansell</t>
  </si>
  <si>
    <t>9 Bates close</t>
  </si>
  <si>
    <t>HIGHAM FERRES</t>
  </si>
  <si>
    <t>NORTHANTS</t>
  </si>
  <si>
    <t>NN10 8HF</t>
  </si>
  <si>
    <t>srallebone9@gmail.com</t>
  </si>
  <si>
    <t>Mrs Tracy Ansell</t>
  </si>
  <si>
    <t>Buskru Go With the Flo</t>
  </si>
  <si>
    <t>naf</t>
  </si>
  <si>
    <t>Camping - Friday night,Camping - Saturday night</t>
  </si>
  <si>
    <t>Tazziemin Strike a Pose for Chalkwell</t>
  </si>
  <si>
    <t>AZ15444205</t>
  </si>
  <si>
    <t>Standard Poodle</t>
  </si>
  <si>
    <t>Chalkwell Worth a Shot</t>
  </si>
  <si>
    <t>AU00900601</t>
  </si>
  <si>
    <t>Michelle Newman</t>
  </si>
  <si>
    <t>CH Chalkwell Express Yourself</t>
  </si>
  <si>
    <t>AP01851801</t>
  </si>
  <si>
    <t>Somanic pop the cork for Chalkwell</t>
  </si>
  <si>
    <t>AW02417801</t>
  </si>
  <si>
    <t>standard poodle</t>
  </si>
  <si>
    <t>Somanic Wotsit All About at Chalkwell</t>
  </si>
  <si>
    <t>AR02247801</t>
  </si>
  <si>
    <t>Katrina</t>
  </si>
  <si>
    <t>Arnold</t>
  </si>
  <si>
    <t>17 Eden Way</t>
  </si>
  <si>
    <t>Warlingham</t>
  </si>
  <si>
    <t>CR6 9DP</t>
  </si>
  <si>
    <t>katrina.arnold@btinternet.com</t>
  </si>
  <si>
    <t>Miss K Arnold</t>
  </si>
  <si>
    <t>Tilemash Just In Time</t>
  </si>
  <si>
    <t>KO275197</t>
  </si>
  <si>
    <t>DeeAnn Reckless Eric</t>
  </si>
  <si>
    <t>AV03405102</t>
  </si>
  <si>
    <t>Julie</t>
  </si>
  <si>
    <t>Askew</t>
  </si>
  <si>
    <t>10 devizes road Rowde</t>
  </si>
  <si>
    <t>Devizes</t>
  </si>
  <si>
    <t>wiltshire</t>
  </si>
  <si>
    <t>SN10 2LZ</t>
  </si>
  <si>
    <t>ask3w@live.co.uk</t>
  </si>
  <si>
    <t>RAINBOWSKY MAJORCA SNOW</t>
  </si>
  <si>
    <t>AR04371906</t>
  </si>
  <si>
    <t>Golden Retriever</t>
  </si>
  <si>
    <t>Shirley Hayward</t>
  </si>
  <si>
    <t>Nicola</t>
  </si>
  <si>
    <t>Barry</t>
  </si>
  <si>
    <t>33 Jubilee Road</t>
  </si>
  <si>
    <t>Stokenchurch</t>
  </si>
  <si>
    <t>High Wycombe</t>
  </si>
  <si>
    <t>Buckinghamshire</t>
  </si>
  <si>
    <t>HP14 3SH</t>
  </si>
  <si>
    <t>nicolajbarry1@hotmail.com</t>
  </si>
  <si>
    <t>Nicola Barry</t>
  </si>
  <si>
    <t>Skybound Little Comet</t>
  </si>
  <si>
    <t>AS01479705</t>
  </si>
  <si>
    <t>Tambuzi Wild Guess</t>
  </si>
  <si>
    <t>BB25049704</t>
  </si>
  <si>
    <t>kate</t>
  </si>
  <si>
    <t>Bartram</t>
  </si>
  <si>
    <t>Bromptons Cottage</t>
  </si>
  <si>
    <t>Colne Engaine</t>
  </si>
  <si>
    <t>Colchester</t>
  </si>
  <si>
    <t>Essex</t>
  </si>
  <si>
    <t>CO6 2HN</t>
  </si>
  <si>
    <t>katebartam21@gmail.com</t>
  </si>
  <si>
    <t>Glorioso Rey De Reyes</t>
  </si>
  <si>
    <t>F5-11065-2023</t>
  </si>
  <si>
    <t>BSD</t>
  </si>
  <si>
    <t>Ms</t>
  </si>
  <si>
    <t>Donna</t>
  </si>
  <si>
    <t>Bastin</t>
  </si>
  <si>
    <t>9 William Court</t>
  </si>
  <si>
    <t>Aspley</t>
  </si>
  <si>
    <t>Hemel Hempstead</t>
  </si>
  <si>
    <t>Herts</t>
  </si>
  <si>
    <t>HP3 0AY</t>
  </si>
  <si>
    <t>01442 405387</t>
  </si>
  <si>
    <t>donna.bastin@ntlworld.com</t>
  </si>
  <si>
    <t>Donna Bastin</t>
  </si>
  <si>
    <t>Landini New Vision Nov Ex</t>
  </si>
  <si>
    <t>K154303</t>
  </si>
  <si>
    <t>Kethinna My John Deere** B EX</t>
  </si>
  <si>
    <t>AW0903477</t>
  </si>
  <si>
    <t>Brian Reed</t>
  </si>
  <si>
    <t>Pat</t>
  </si>
  <si>
    <t>Batchelor</t>
  </si>
  <si>
    <t>20 Redland Way</t>
  </si>
  <si>
    <t>Aylesbury</t>
  </si>
  <si>
    <t>Bucks</t>
  </si>
  <si>
    <t>HP21 9RJ</t>
  </si>
  <si>
    <t>patriciaanderson111@gmail.com</t>
  </si>
  <si>
    <t>HAVASTORM DARK MATERIALS</t>
  </si>
  <si>
    <t>AX01751603</t>
  </si>
  <si>
    <t>Could I please have a running order in Novice with Havastorm Dark Materials. Thanks</t>
  </si>
  <si>
    <t>Darkbeck Osprey</t>
  </si>
  <si>
    <t>BA18364207</t>
  </si>
  <si>
    <t>Bates</t>
  </si>
  <si>
    <t>15 Brookside Avenue</t>
  </si>
  <si>
    <t>Ashford</t>
  </si>
  <si>
    <t>Middlesex</t>
  </si>
  <si>
    <t>TW15 3NH</t>
  </si>
  <si>
    <t>janbatesaussie4@hotmail.com</t>
  </si>
  <si>
    <t>Owner</t>
  </si>
  <si>
    <t>Lamintone For The JOY  Ride</t>
  </si>
  <si>
    <t>BA18299404</t>
  </si>
  <si>
    <t>Australian Shepherd</t>
  </si>
  <si>
    <t>Birkcross Here's Gizmo Ow</t>
  </si>
  <si>
    <t>AV01268706</t>
  </si>
  <si>
    <t>Taika star from Texas</t>
  </si>
  <si>
    <t>K146124</t>
  </si>
  <si>
    <t>Australian Shepherd Border Collie Cross</t>
  </si>
  <si>
    <t>Claire</t>
  </si>
  <si>
    <t>Bath</t>
  </si>
  <si>
    <t>33 Fore Street</t>
  </si>
  <si>
    <t>Westbury</t>
  </si>
  <si>
    <t>Wiltshire</t>
  </si>
  <si>
    <t>BA13 3AU</t>
  </si>
  <si>
    <t>indigok9massage@gmail.com</t>
  </si>
  <si>
    <t>Claire Bath</t>
  </si>
  <si>
    <t>Lookylooky Rhythm n Booz</t>
  </si>
  <si>
    <t>K133750</t>
  </si>
  <si>
    <t>WSD</t>
  </si>
  <si>
    <t>Stillrockin Back to Rehab</t>
  </si>
  <si>
    <t>K136979</t>
  </si>
  <si>
    <t>Forever Magic Soul Sister</t>
  </si>
  <si>
    <t>K0273799</t>
  </si>
  <si>
    <t>Lookylooky Azbo Ego</t>
  </si>
  <si>
    <t>K162970</t>
  </si>
  <si>
    <t>Longwaves Tempa Mental OW</t>
  </si>
  <si>
    <t>K151445</t>
  </si>
  <si>
    <t>Mr</t>
  </si>
  <si>
    <t>Russell</t>
  </si>
  <si>
    <t>Becque</t>
  </si>
  <si>
    <t>74 Lime Grove</t>
  </si>
  <si>
    <t>Paulsgrove</t>
  </si>
  <si>
    <t>Portsmouth</t>
  </si>
  <si>
    <t>PO6 4DQ</t>
  </si>
  <si>
    <t>023 9237 0909</t>
  </si>
  <si>
    <t>russell@amcbt.com</t>
  </si>
  <si>
    <t>Mr Russell Becque</t>
  </si>
  <si>
    <t>Bounceback Milo</t>
  </si>
  <si>
    <t>K0262240</t>
  </si>
  <si>
    <t>Working Cocker Spaniel</t>
  </si>
  <si>
    <t>Tazzzman of Blumoon</t>
  </si>
  <si>
    <t>K141206</t>
  </si>
  <si>
    <t>Siberian Husky x G.S.D.</t>
  </si>
  <si>
    <t>Haskaheim Sarah</t>
  </si>
  <si>
    <t>AV04032804</t>
  </si>
  <si>
    <t>Belgian Shepherd Dog (Malinois)</t>
  </si>
  <si>
    <t>Behagg</t>
  </si>
  <si>
    <t>45 St Clair Close</t>
  </si>
  <si>
    <t>Oxted</t>
  </si>
  <si>
    <t>RH89JP</t>
  </si>
  <si>
    <t>julie_behagg@hotmail.co.uk</t>
  </si>
  <si>
    <t>Mrs Julie Behagg</t>
  </si>
  <si>
    <t>Stormlake‚Äôs Charmer</t>
  </si>
  <si>
    <t>AY07356803</t>
  </si>
  <si>
    <t>GSD</t>
  </si>
  <si>
    <t>Stormlake's Quest of KY</t>
  </si>
  <si>
    <t>BA19708204</t>
  </si>
  <si>
    <t>German Shepherd Dog</t>
  </si>
  <si>
    <t>Andrew</t>
  </si>
  <si>
    <t>Biggs</t>
  </si>
  <si>
    <t>37 Broadshard Lane</t>
  </si>
  <si>
    <t>Ringwood</t>
  </si>
  <si>
    <t>BH24 1RP</t>
  </si>
  <si>
    <t>andrew_biggs@btinternet.com</t>
  </si>
  <si>
    <t>Jimmy Hill Billy</t>
  </si>
  <si>
    <t>Reggie Hill Billy</t>
  </si>
  <si>
    <t>K0261855</t>
  </si>
  <si>
    <t>Fran Godfrey</t>
  </si>
  <si>
    <t>Reggie competing in Beginners under rule change._x000D_
Also, need disable parking if available._x000D_
Thanks</t>
  </si>
  <si>
    <t>K159739</t>
  </si>
  <si>
    <t>Wendy</t>
  </si>
  <si>
    <t>Birch</t>
  </si>
  <si>
    <t>2 Merrow Drive</t>
  </si>
  <si>
    <t>Warners End</t>
  </si>
  <si>
    <t>Hertfordshire</t>
  </si>
  <si>
    <t>HP1 2LZ</t>
  </si>
  <si>
    <t>01442 396498</t>
  </si>
  <si>
    <t>wendyandian@ntlworld.com</t>
  </si>
  <si>
    <t>Westoning Just Krystie of Greyvalley</t>
  </si>
  <si>
    <t>K0266802</t>
  </si>
  <si>
    <t>Goytre Helter Skelter of Greyvalley</t>
  </si>
  <si>
    <t>AW03773506</t>
  </si>
  <si>
    <t>Coolpawz Just Joey of Greyvalley</t>
  </si>
  <si>
    <t>AS01113204</t>
  </si>
  <si>
    <t>Kylie</t>
  </si>
  <si>
    <t>24 Leith View</t>
  </si>
  <si>
    <t>North Holmwood</t>
  </si>
  <si>
    <t>RH54TG</t>
  </si>
  <si>
    <t>kjbirch5@gmail.com</t>
  </si>
  <si>
    <t>Kylie Birch</t>
  </si>
  <si>
    <t>Ch. Adaluma High Speed</t>
  </si>
  <si>
    <t>AW00761101</t>
  </si>
  <si>
    <t>Australian Cattle Dog</t>
  </si>
  <si>
    <t>Michelle Verrill</t>
  </si>
  <si>
    <t>Adaluma Exe Files</t>
  </si>
  <si>
    <t>BB23800803</t>
  </si>
  <si>
    <t>Fiona</t>
  </si>
  <si>
    <t>Bird</t>
  </si>
  <si>
    <t>4 Lodsworth Close</t>
  </si>
  <si>
    <t>Clanfield</t>
  </si>
  <si>
    <t>Hants</t>
  </si>
  <si>
    <t>PO8 0XW</t>
  </si>
  <si>
    <t>fibird1@gmail.com</t>
  </si>
  <si>
    <t>Fiona Bird</t>
  </si>
  <si>
    <t>Tispitzas Underlandian</t>
  </si>
  <si>
    <t>AY06558402</t>
  </si>
  <si>
    <t>Bleach</t>
  </si>
  <si>
    <t>109 Lawns Way</t>
  </si>
  <si>
    <t>Romford</t>
  </si>
  <si>
    <t>RM5 3TB</t>
  </si>
  <si>
    <t>slb50@hotmail.co.uk</t>
  </si>
  <si>
    <t>Jupavia Midnyte Masquerade</t>
  </si>
  <si>
    <t>AW02112406</t>
  </si>
  <si>
    <t>Jupavia Keep The Secret</t>
  </si>
  <si>
    <t>AS02837105</t>
  </si>
  <si>
    <t>Chris</t>
  </si>
  <si>
    <t>Blenkinsop</t>
  </si>
  <si>
    <t>7a Keywood drive</t>
  </si>
  <si>
    <t>Sunbury on Thames</t>
  </si>
  <si>
    <t>TW167QR</t>
  </si>
  <si>
    <t>chrisblenkinsop79@gmail.com</t>
  </si>
  <si>
    <t>Chris Blenkinsop</t>
  </si>
  <si>
    <t>Applebel saffron</t>
  </si>
  <si>
    <t>At04075002</t>
  </si>
  <si>
    <t>Copperhead Freya</t>
  </si>
  <si>
    <t>Ay11241803</t>
  </si>
  <si>
    <t>Border collie</t>
  </si>
  <si>
    <t>Pickle of Keywood</t>
  </si>
  <si>
    <t>F5-01164 2021</t>
  </si>
  <si>
    <t>Cross</t>
  </si>
  <si>
    <t>Redcharisma copperline</t>
  </si>
  <si>
    <t>Av04798103</t>
  </si>
  <si>
    <t>Seaposer Salazar</t>
  </si>
  <si>
    <t>BB24339802</t>
  </si>
  <si>
    <t>Sheltysham spectre</t>
  </si>
  <si>
    <t>Al04732002</t>
  </si>
  <si>
    <t>Suzanne</t>
  </si>
  <si>
    <t>Boucher</t>
  </si>
  <si>
    <t>27 King Edwards Road</t>
  </si>
  <si>
    <t>Ascot</t>
  </si>
  <si>
    <t>Berkshire</t>
  </si>
  <si>
    <t>SL5 8NY</t>
  </si>
  <si>
    <t>suzanneboucher8@icloud.com</t>
  </si>
  <si>
    <t>Suzanne Boucher</t>
  </si>
  <si>
    <t>Tess Tickle Monster</t>
  </si>
  <si>
    <t>KO274113</t>
  </si>
  <si>
    <t>Crossbreed</t>
  </si>
  <si>
    <t>Kate Hall</t>
  </si>
  <si>
    <t>Princess Naughty Nippy</t>
  </si>
  <si>
    <t>KO265343</t>
  </si>
  <si>
    <t>Tilly the Trick Pleaser</t>
  </si>
  <si>
    <t>K159484</t>
  </si>
  <si>
    <t>Lisa Paris-Brown</t>
  </si>
  <si>
    <t>Isabel</t>
  </si>
  <si>
    <t>Bradley</t>
  </si>
  <si>
    <t>Homewood Cottage</t>
  </si>
  <si>
    <t>Thruxton Farm</t>
  </si>
  <si>
    <t>Cholderton</t>
  </si>
  <si>
    <t>SP4 0EE</t>
  </si>
  <si>
    <t>ibbradley@btinternet.com</t>
  </si>
  <si>
    <t>Rosmak Midwinter Star  Nov Ex</t>
  </si>
  <si>
    <t>AR00456005</t>
  </si>
  <si>
    <t>Camping - Friday night,Camping - Saturday night,Camping - Sunday night</t>
  </si>
  <si>
    <t>Running orders with Birkcross Morning star both days. Either class</t>
  </si>
  <si>
    <t>Birkcross Morning Star Nov Ex</t>
  </si>
  <si>
    <t>AW00203504</t>
  </si>
  <si>
    <t>Gawsbury Guiding Star</t>
  </si>
  <si>
    <t>BA18032107</t>
  </si>
  <si>
    <t>Karen</t>
  </si>
  <si>
    <t>Branthwaite</t>
  </si>
  <si>
    <t>43 Keston Avenue</t>
  </si>
  <si>
    <t>New Haw</t>
  </si>
  <si>
    <t>Addlestone</t>
  </si>
  <si>
    <t>KT15 3EF</t>
  </si>
  <si>
    <t>karencollies@gmail.com</t>
  </si>
  <si>
    <t>Twist of Magic at Remror</t>
  </si>
  <si>
    <t>K153061</t>
  </si>
  <si>
    <t>Camping - Friday night</t>
  </si>
  <si>
    <t>Camping Saturday Night, as per email.   Judging on Sunday Novice Bitch</t>
  </si>
  <si>
    <t>FOXFLY TOTALLY SHAMELESS</t>
  </si>
  <si>
    <t>AQ01099201</t>
  </si>
  <si>
    <t>Mitzi</t>
  </si>
  <si>
    <t>FDU</t>
  </si>
  <si>
    <t>Cross Breed</t>
  </si>
  <si>
    <t>Tilly</t>
  </si>
  <si>
    <t>NA</t>
  </si>
  <si>
    <t>French Bulldog</t>
  </si>
  <si>
    <t>Alpana Lightning Flash</t>
  </si>
  <si>
    <t>BA19528502</t>
  </si>
  <si>
    <t>Birkcross Secret Idol</t>
  </si>
  <si>
    <t>AVO12686O3</t>
  </si>
  <si>
    <t>Gillian</t>
  </si>
  <si>
    <t>Brett</t>
  </si>
  <si>
    <t>Skylarks</t>
  </si>
  <si>
    <t>Railway Hill</t>
  </si>
  <si>
    <t>Barham</t>
  </si>
  <si>
    <t>Kent</t>
  </si>
  <si>
    <t>CT4 6PZ</t>
  </si>
  <si>
    <t>01227 832606</t>
  </si>
  <si>
    <t>rosambeaumike@gmail.com</t>
  </si>
  <si>
    <t>Ms G Brett</t>
  </si>
  <si>
    <t>Zanyway The Tempest</t>
  </si>
  <si>
    <t>AW02826805</t>
  </si>
  <si>
    <t>Parisway Skydancer</t>
  </si>
  <si>
    <t>A502742904</t>
  </si>
  <si>
    <t>Viv</t>
  </si>
  <si>
    <t>Brotherson</t>
  </si>
  <si>
    <t>Dog hill cottage</t>
  </si>
  <si>
    <t>18 Hazlemere Road</t>
  </si>
  <si>
    <t>Penn</t>
  </si>
  <si>
    <t>HP10 8AD</t>
  </si>
  <si>
    <t>01494  816203</t>
  </si>
  <si>
    <t>vivbrotherson18@gmail.com</t>
  </si>
  <si>
    <t>Joevaness King of Soho</t>
  </si>
  <si>
    <t>AWO1293504</t>
  </si>
  <si>
    <t>kerry</t>
  </si>
  <si>
    <t>brown</t>
  </si>
  <si>
    <t>42 Normandy House</t>
  </si>
  <si>
    <t>Cedar Road</t>
  </si>
  <si>
    <t>Enfield</t>
  </si>
  <si>
    <t>EN2 0PE</t>
  </si>
  <si>
    <t>ksullivanoscar@gmail.com</t>
  </si>
  <si>
    <t>Mrs K L Brown</t>
  </si>
  <si>
    <t>Pepsanner The Major</t>
  </si>
  <si>
    <t>AV02414703</t>
  </si>
  <si>
    <t>Burford</t>
  </si>
  <si>
    <t>Lakeside Cottage</t>
  </si>
  <si>
    <t>8 Woodhatch Road</t>
  </si>
  <si>
    <t>Reigate</t>
  </si>
  <si>
    <t>RH2 7QH</t>
  </si>
  <si>
    <t>dizzytonic@gmail.com</t>
  </si>
  <si>
    <t>Pat Burford</t>
  </si>
  <si>
    <t>Jeplong Smoke In The Mist</t>
  </si>
  <si>
    <t>AX00956601</t>
  </si>
  <si>
    <t>Camping - Saturday night</t>
  </si>
  <si>
    <t>Catherine</t>
  </si>
  <si>
    <t>Bussey</t>
  </si>
  <si>
    <t>36 Havendale</t>
  </si>
  <si>
    <t>Hedge End</t>
  </si>
  <si>
    <t>SO30 0FD</t>
  </si>
  <si>
    <t>cat@cakecraze.co.uk</t>
  </si>
  <si>
    <t>Mr S &amp; Mrs C Bussey</t>
  </si>
  <si>
    <t>Hamblerose Astral Dream</t>
  </si>
  <si>
    <t>AW04477003</t>
  </si>
  <si>
    <t>Shetland Sheepdog</t>
  </si>
  <si>
    <t>Hamblerose Turning Tide</t>
  </si>
  <si>
    <t>AU02377801</t>
  </si>
  <si>
    <t>Hamblerose Black Diamond</t>
  </si>
  <si>
    <t>AW04477001</t>
  </si>
  <si>
    <t>Kelgrove Kinda Black Magic at Hamblerose</t>
  </si>
  <si>
    <t>AQ04294101</t>
  </si>
  <si>
    <t>Lesley</t>
  </si>
  <si>
    <t>Campbell</t>
  </si>
  <si>
    <t>34, Newhurst park, Hilperton,</t>
  </si>
  <si>
    <t>Hilperton</t>
  </si>
  <si>
    <t>BA14 7QW</t>
  </si>
  <si>
    <t>lrmcampbell@googlemail.com</t>
  </si>
  <si>
    <t>Kenzduo English Primrose</t>
  </si>
  <si>
    <t>AZ12726905</t>
  </si>
  <si>
    <t>Pippa Pip</t>
  </si>
  <si>
    <t>Fs-06401 - 2022</t>
  </si>
  <si>
    <t>Pam</t>
  </si>
  <si>
    <t>Casado</t>
  </si>
  <si>
    <t>6 Islingword Street</t>
  </si>
  <si>
    <t>Brighton</t>
  </si>
  <si>
    <t>East Sussex</t>
  </si>
  <si>
    <t>BN2 9UR</t>
  </si>
  <si>
    <t>pam.casado@outlook.com</t>
  </si>
  <si>
    <t>Casapagu Samson</t>
  </si>
  <si>
    <t>BA18790106</t>
  </si>
  <si>
    <t>BC</t>
  </si>
  <si>
    <t>Kathleen</t>
  </si>
  <si>
    <t>Case</t>
  </si>
  <si>
    <t>9 Glenlea Close</t>
  </si>
  <si>
    <t>West End</t>
  </si>
  <si>
    <t>SO30 3FD</t>
  </si>
  <si>
    <t>kathleen.case@btinternet.com</t>
  </si>
  <si>
    <t>DUMAVALA FAST n FURIOUS</t>
  </si>
  <si>
    <t>K0260246</t>
  </si>
  <si>
    <t>Judging on Saturday_x000D_
Please can I have Karen Branthwaite on Sunday for Novice Bitch and Anne Strachan for Novice Dog on Sunday</t>
  </si>
  <si>
    <t>DUMAVALA WHATEVER NEXT</t>
  </si>
  <si>
    <t>K167052</t>
  </si>
  <si>
    <t>EDUCATED GUESS</t>
  </si>
  <si>
    <t>K150846</t>
  </si>
  <si>
    <t>Robert</t>
  </si>
  <si>
    <t>02380 471430</t>
  </si>
  <si>
    <t>Mr R P Case</t>
  </si>
  <si>
    <t>DUMAVALA SWAGGA</t>
  </si>
  <si>
    <t>K0264365</t>
  </si>
  <si>
    <t>Please can I have Pt 2 A Dog on Saturday as my wife is judging Pt 1 and Pt 1 B Dog on Saturday_x000D_
_x000D_
Please can I have Pt1 A Dog on Sunday and Pt1 B Dog on Sunday</t>
  </si>
  <si>
    <t>DUMAVALA THE BIZZTO KID (BB4)</t>
  </si>
  <si>
    <t>K0276492</t>
  </si>
  <si>
    <t>SHADOWTHORPE HAZARD A GUESS</t>
  </si>
  <si>
    <t>K154974</t>
  </si>
  <si>
    <t>Ellie</t>
  </si>
  <si>
    <t>Chadwick</t>
  </si>
  <si>
    <t>95 Taylors Field</t>
  </si>
  <si>
    <t>Midhurst</t>
  </si>
  <si>
    <t>West Sussex</t>
  </si>
  <si>
    <t>GU29 9PJ</t>
  </si>
  <si>
    <t>minichadders19@gmail.com</t>
  </si>
  <si>
    <t>Eleanor Chadwick</t>
  </si>
  <si>
    <t>Lady Daisie of the Roses</t>
  </si>
  <si>
    <t>F5-06566-2022</t>
  </si>
  <si>
    <t>Labrador Retriever</t>
  </si>
  <si>
    <t>Linda</t>
  </si>
  <si>
    <t>Challinor</t>
  </si>
  <si>
    <t>Rivermead Road</t>
  </si>
  <si>
    <t>Camberley</t>
  </si>
  <si>
    <t>GU15 2SE</t>
  </si>
  <si>
    <t>pamelasjazzy@gmail.com</t>
  </si>
  <si>
    <t>Deeann Magical Master</t>
  </si>
  <si>
    <t>AX00063709</t>
  </si>
  <si>
    <t>Pamelas take a chance on me</t>
  </si>
  <si>
    <t>BA18790105</t>
  </si>
  <si>
    <t>Goldie</t>
  </si>
  <si>
    <t>Chandler</t>
  </si>
  <si>
    <t>17 Buckland Drive, Pagham</t>
  </si>
  <si>
    <t>Pagham</t>
  </si>
  <si>
    <t>Bognor Regis</t>
  </si>
  <si>
    <t>PO21 3LJ</t>
  </si>
  <si>
    <t>goldiechandler@hotmail.co.uk</t>
  </si>
  <si>
    <t>Goldie Chandler</t>
  </si>
  <si>
    <t>Wispa's Magic Minstrel</t>
  </si>
  <si>
    <t>AX00032602</t>
  </si>
  <si>
    <t>Spaniel (Cocker)</t>
  </si>
  <si>
    <t>I will have a blue badge holder with me so please may we be as close as possible to the rings</t>
  </si>
  <si>
    <t>Thomas</t>
  </si>
  <si>
    <t>60 Derby Road</t>
  </si>
  <si>
    <t>Eastleigh</t>
  </si>
  <si>
    <t>SO50 5GU</t>
  </si>
  <si>
    <t>tom21chandler@hotmail.com</t>
  </si>
  <si>
    <t>Thomas Chandler</t>
  </si>
  <si>
    <t>Shadowsquad Just Me Myself</t>
  </si>
  <si>
    <t>AY09668905</t>
  </si>
  <si>
    <t>Charm Teguen</t>
  </si>
  <si>
    <t>AS01542904</t>
  </si>
  <si>
    <t>Cocker Spaniel</t>
  </si>
  <si>
    <t>Christine</t>
  </si>
  <si>
    <t>christinechandlers66@gmail.com</t>
  </si>
  <si>
    <t>Rachel</t>
  </si>
  <si>
    <t>Chapman</t>
  </si>
  <si>
    <t>15 Westmead drive</t>
  </si>
  <si>
    <t>Salfords</t>
  </si>
  <si>
    <t>Redhill</t>
  </si>
  <si>
    <t>RH1 5DB</t>
  </si>
  <si>
    <t>chay22@btinternet.com</t>
  </si>
  <si>
    <t>Rachel Chapman</t>
  </si>
  <si>
    <t>Hurry up z kurimskeho haje (B Ex)</t>
  </si>
  <si>
    <t>AX0901866</t>
  </si>
  <si>
    <t>German Shepherd</t>
  </si>
  <si>
    <t>Robin</t>
  </si>
  <si>
    <t>Chiang</t>
  </si>
  <si>
    <t>32 Holmleigh</t>
  </si>
  <si>
    <t>Swindon</t>
  </si>
  <si>
    <t>SN25 1RH</t>
  </si>
  <si>
    <t>robinchiang@btinternet.com</t>
  </si>
  <si>
    <t>Robin Chiang</t>
  </si>
  <si>
    <t>SANBOSIER PANDORA</t>
  </si>
  <si>
    <t>AW04235401</t>
  </si>
  <si>
    <t>Brittany</t>
  </si>
  <si>
    <t>if running order, class A please</t>
  </si>
  <si>
    <t>Amberslade Rock of Cashel</t>
  </si>
  <si>
    <t>BA22424604</t>
  </si>
  <si>
    <t>Carol</t>
  </si>
  <si>
    <t>Clack</t>
  </si>
  <si>
    <t>91 Shilton Road</t>
  </si>
  <si>
    <t>Carterton</t>
  </si>
  <si>
    <t>Oxon</t>
  </si>
  <si>
    <t>OX18 1EN</t>
  </si>
  <si>
    <t>clackcarol@gmail.com</t>
  </si>
  <si>
    <t>Janjelly Destindtobe Dylun</t>
  </si>
  <si>
    <t>K161508</t>
  </si>
  <si>
    <t>Tania</t>
  </si>
  <si>
    <t>Clements</t>
  </si>
  <si>
    <t>1 Apple Grove</t>
  </si>
  <si>
    <t>Christchurch</t>
  </si>
  <si>
    <t>BH23 2HG</t>
  </si>
  <si>
    <t>tclements@ntlworld.com</t>
  </si>
  <si>
    <t>Phoemaid Atlantic Ivy</t>
  </si>
  <si>
    <t>AW02425203</t>
  </si>
  <si>
    <t>Ann</t>
  </si>
  <si>
    <t>Codd</t>
  </si>
  <si>
    <t>25 Dering Road</t>
  </si>
  <si>
    <t>Herne Bay</t>
  </si>
  <si>
    <t>CT6 5RD</t>
  </si>
  <si>
    <t>01227 743373</t>
  </si>
  <si>
    <t>anncodd27@gmail.com</t>
  </si>
  <si>
    <t>Doughty Dora</t>
  </si>
  <si>
    <t>K0273112</t>
  </si>
  <si>
    <t>Polly</t>
  </si>
  <si>
    <t>Cole</t>
  </si>
  <si>
    <t>15 Bartlett Drive</t>
  </si>
  <si>
    <t>Bournemouth</t>
  </si>
  <si>
    <t>BH7 7JT</t>
  </si>
  <si>
    <t>pollycole95@outlook.com</t>
  </si>
  <si>
    <t>Polly Cole</t>
  </si>
  <si>
    <t>Foxbarton Regal Rebel</t>
  </si>
  <si>
    <t>BB24615004</t>
  </si>
  <si>
    <t>Rebecca</t>
  </si>
  <si>
    <t>Coleman</t>
  </si>
  <si>
    <t>24 Gosforth Close</t>
  </si>
  <si>
    <t>Lower Earley</t>
  </si>
  <si>
    <t>Reading</t>
  </si>
  <si>
    <t>Berks</t>
  </si>
  <si>
    <t>RG6 3BP</t>
  </si>
  <si>
    <t>07949 345156</t>
  </si>
  <si>
    <t>rebeccacoleman1002@gmail.com</t>
  </si>
  <si>
    <t>Rebecca Coleman</t>
  </si>
  <si>
    <t>Reddy Perry Go</t>
  </si>
  <si>
    <t>K162760</t>
  </si>
  <si>
    <t>My Little Rascal Roxy</t>
  </si>
  <si>
    <t>K143048</t>
  </si>
  <si>
    <t>Lyn</t>
  </si>
  <si>
    <t>Collins</t>
  </si>
  <si>
    <t>161a High Street</t>
  </si>
  <si>
    <t>SO50 5LS</t>
  </si>
  <si>
    <t>07795 388806</t>
  </si>
  <si>
    <t>lyn.collins.lc@gmail.com</t>
  </si>
  <si>
    <t>Mrs L M Collins</t>
  </si>
  <si>
    <t>Tippivale Tango Dancer</t>
  </si>
  <si>
    <t>BB27138205</t>
  </si>
  <si>
    <t>Seaposer Magical Mermaid OW C EX</t>
  </si>
  <si>
    <t>AV0901696</t>
  </si>
  <si>
    <t>Wysemarque Twist of Fate (AX3)</t>
  </si>
  <si>
    <t>AX02432705</t>
  </si>
  <si>
    <t>Helen</t>
  </si>
  <si>
    <t>Connolly</t>
  </si>
  <si>
    <t>58, Rectory Avenue.</t>
  </si>
  <si>
    <t>Corfe Mullen.</t>
  </si>
  <si>
    <t>Wimborne</t>
  </si>
  <si>
    <t>BH21 3EZ</t>
  </si>
  <si>
    <t>01202 693883</t>
  </si>
  <si>
    <t>helenmconnolly@btinternet.com</t>
  </si>
  <si>
    <t>Alpana Smokin Style  OW</t>
  </si>
  <si>
    <t>At01028406</t>
  </si>
  <si>
    <t>Solarwind Dusted in Glory A Ex</t>
  </si>
  <si>
    <t>AZ13268401</t>
  </si>
  <si>
    <t>Victoria</t>
  </si>
  <si>
    <t>Cook</t>
  </si>
  <si>
    <t>90 Stubbs Lane</t>
  </si>
  <si>
    <t>Braintree</t>
  </si>
  <si>
    <t>CM7 3XB</t>
  </si>
  <si>
    <t>vic_tonic@hotmail.co.uk</t>
  </si>
  <si>
    <t>Victoria Cook</t>
  </si>
  <si>
    <t>Lupitoonz Dance Monkey</t>
  </si>
  <si>
    <t>K0264228</t>
  </si>
  <si>
    <t>Jim</t>
  </si>
  <si>
    <t>28 Kings Walden Rise</t>
  </si>
  <si>
    <t>Stevenage</t>
  </si>
  <si>
    <t>SG2 0JX</t>
  </si>
  <si>
    <t>t-cook@hotmail.co.uk</t>
  </si>
  <si>
    <t>Jim Cook</t>
  </si>
  <si>
    <t>alfie beau</t>
  </si>
  <si>
    <t>ko263378</t>
  </si>
  <si>
    <t>imco moss</t>
  </si>
  <si>
    <t>ko261254</t>
  </si>
  <si>
    <t>Clare</t>
  </si>
  <si>
    <t>Cotterell</t>
  </si>
  <si>
    <t>Homeleigh</t>
  </si>
  <si>
    <t>Jacks Bush, Lopcombe</t>
  </si>
  <si>
    <t>Salisbury</t>
  </si>
  <si>
    <t>SP5 1BZ</t>
  </si>
  <si>
    <t>k9l8r@yahoo.co.uk</t>
  </si>
  <si>
    <t>Laetans Magic Flame</t>
  </si>
  <si>
    <t>AV01663503</t>
  </si>
  <si>
    <t>If I am required to have a running order please may I have it in A with Laetans Magic Flame, thanks</t>
  </si>
  <si>
    <t>Deeann Galileo</t>
  </si>
  <si>
    <t>AY10439501</t>
  </si>
  <si>
    <t>Sharon</t>
  </si>
  <si>
    <t>Cottingham</t>
  </si>
  <si>
    <t>7 Woodlands Close</t>
  </si>
  <si>
    <t>Heathfield</t>
  </si>
  <si>
    <t>TN21 8BH</t>
  </si>
  <si>
    <t>01435 866402</t>
  </si>
  <si>
    <t>sharoncottingham@live.co.uk</t>
  </si>
  <si>
    <t>Mrs S Cottingham</t>
  </si>
  <si>
    <t>Chipper Schaduw</t>
  </si>
  <si>
    <t>K160440</t>
  </si>
  <si>
    <t>Chipper Schaduw will be handled by my sister Emelye Snowdon in both pre beginners and beginners</t>
  </si>
  <si>
    <t>Chipper Bailey</t>
  </si>
  <si>
    <t>K0264083</t>
  </si>
  <si>
    <t>Tippivale Rumba Alot</t>
  </si>
  <si>
    <t>BB27138203</t>
  </si>
  <si>
    <t>Sally</t>
  </si>
  <si>
    <t>Craik</t>
  </si>
  <si>
    <t>Hamtun road</t>
  </si>
  <si>
    <t>SO19 1DQ</t>
  </si>
  <si>
    <t>023 80907521</t>
  </si>
  <si>
    <t>keithgreyhair@outlook.com</t>
  </si>
  <si>
    <t>Miss Sally Craik</t>
  </si>
  <si>
    <t>Mudlark Messy Bessie</t>
  </si>
  <si>
    <t>K156530</t>
  </si>
  <si>
    <t>If running order is given please could I have this in class B  thank you sally</t>
  </si>
  <si>
    <t>Cornlark Hayzee Maizee</t>
  </si>
  <si>
    <t>K0261610</t>
  </si>
  <si>
    <t>Susanne</t>
  </si>
  <si>
    <t>Crowhurst</t>
  </si>
  <si>
    <t>7 the parade</t>
  </si>
  <si>
    <t>Beachlands</t>
  </si>
  <si>
    <t>Pevensey</t>
  </si>
  <si>
    <t>East sussex</t>
  </si>
  <si>
    <t>BN24 6RG</t>
  </si>
  <si>
    <t>susy.crowhurst@yahoo.com</t>
  </si>
  <si>
    <t>Susanne Crowhurst</t>
  </si>
  <si>
    <t>STARLAPPS GIRJI TO LAPPVIKEN</t>
  </si>
  <si>
    <t>AX00055005</t>
  </si>
  <si>
    <t>Finnish Lapphund</t>
  </si>
  <si>
    <t>Lappviken Rubiini</t>
  </si>
  <si>
    <t>BA22347902</t>
  </si>
  <si>
    <t>Irene</t>
  </si>
  <si>
    <t>Cullum</t>
  </si>
  <si>
    <t>22 Kings Road</t>
  </si>
  <si>
    <t>Woking</t>
  </si>
  <si>
    <t>GU24 9LN</t>
  </si>
  <si>
    <t>irenecullum@gmail.com</t>
  </si>
  <si>
    <t>Irene Cullum</t>
  </si>
  <si>
    <t>Carandmar Orange Aero</t>
  </si>
  <si>
    <t>AW00404005</t>
  </si>
  <si>
    <t>Curry</t>
  </si>
  <si>
    <t>9 Averil Court</t>
  </si>
  <si>
    <t>Taplow</t>
  </si>
  <si>
    <t>Maidenhead</t>
  </si>
  <si>
    <t>SL6 0LQ</t>
  </si>
  <si>
    <t>sandra_curry@sky.com</t>
  </si>
  <si>
    <t>Westoning Sir Tom</t>
  </si>
  <si>
    <t>K0260948</t>
  </si>
  <si>
    <t>Mel</t>
  </si>
  <si>
    <t>Davis</t>
  </si>
  <si>
    <t>40 Halton Lane</t>
  </si>
  <si>
    <t>Wendover</t>
  </si>
  <si>
    <t>AYLESBURY</t>
  </si>
  <si>
    <t>HP22 6AR</t>
  </si>
  <si>
    <t>01296 589839</t>
  </si>
  <si>
    <t>mel.davis1@ntlworld.com</t>
  </si>
  <si>
    <t>Mrs M J Davis</t>
  </si>
  <si>
    <t>Aculsia Against The World B Ex</t>
  </si>
  <si>
    <t>AP02213105</t>
  </si>
  <si>
    <t>Go With The Flow</t>
  </si>
  <si>
    <t>K0273059</t>
  </si>
  <si>
    <t>Deeann Magical Secret Nov Ex.</t>
  </si>
  <si>
    <t>AV03405106</t>
  </si>
  <si>
    <t>Sarah</t>
  </si>
  <si>
    <t>Delany</t>
  </si>
  <si>
    <t>77 Kingsway</t>
  </si>
  <si>
    <t>Aldershot</t>
  </si>
  <si>
    <t>GU11 3PE</t>
  </si>
  <si>
    <t>01252 326207</t>
  </si>
  <si>
    <t>sarahrosedelany@virginmedia.com</t>
  </si>
  <si>
    <t>Miss S R Delany</t>
  </si>
  <si>
    <t>Arlo Norti But Nice</t>
  </si>
  <si>
    <t>K166439</t>
  </si>
  <si>
    <t>Poodle cross</t>
  </si>
  <si>
    <t>Tazaeos Diablo O.W.</t>
  </si>
  <si>
    <t>AP03100101</t>
  </si>
  <si>
    <t>SHELTYSHAM SIMPLY ASTAR</t>
  </si>
  <si>
    <t>AZ12070303</t>
  </si>
  <si>
    <t>Valerie</t>
  </si>
  <si>
    <t>Dickeson</t>
  </si>
  <si>
    <t>21 First Avenue</t>
  </si>
  <si>
    <t>Ravenswing Park</t>
  </si>
  <si>
    <t>Aldermaston</t>
  </si>
  <si>
    <t>RG7 4PS</t>
  </si>
  <si>
    <t>01189 812082</t>
  </si>
  <si>
    <t>catolujo@gmail.com</t>
  </si>
  <si>
    <t>Dickies Bobby Dazzler</t>
  </si>
  <si>
    <t>K164957</t>
  </si>
  <si>
    <t>Mylexa Tippitoe Thief</t>
  </si>
  <si>
    <t>AZ15933501</t>
  </si>
  <si>
    <t>Diment</t>
  </si>
  <si>
    <t>1 The  close</t>
  </si>
  <si>
    <t>Morgan vale</t>
  </si>
  <si>
    <t>Redlynch</t>
  </si>
  <si>
    <t>SP5 2JN</t>
  </si>
  <si>
    <t>sharondiment@hotmail.com</t>
  </si>
  <si>
    <t>Siron valhala</t>
  </si>
  <si>
    <t>K0274175</t>
  </si>
  <si>
    <t>No running order if possible</t>
  </si>
  <si>
    <t>Monika</t>
  </si>
  <si>
    <t>Dobbs</t>
  </si>
  <si>
    <t>The Bungalow,Brickhill Pastures</t>
  </si>
  <si>
    <t>Limbersey Lane</t>
  </si>
  <si>
    <t>Maulden</t>
  </si>
  <si>
    <t>Beds</t>
  </si>
  <si>
    <t>MK45 2EB</t>
  </si>
  <si>
    <t>01525 643734</t>
  </si>
  <si>
    <t>monikadobbs@hotmail.co.uk</t>
  </si>
  <si>
    <t>Vis Et Gloria Ade</t>
  </si>
  <si>
    <t>Ax0901409</t>
  </si>
  <si>
    <t>Docking</t>
  </si>
  <si>
    <t>101 Charrington Way</t>
  </si>
  <si>
    <t>Broadbridge Heath West Sussex</t>
  </si>
  <si>
    <t>West Siussex</t>
  </si>
  <si>
    <t>RH12 3TL</t>
  </si>
  <si>
    <t>juliedocking@btinternet.com</t>
  </si>
  <si>
    <t>Julie Docking</t>
  </si>
  <si>
    <t>Bramleycott Extravaganza</t>
  </si>
  <si>
    <t>BA20092604</t>
  </si>
  <si>
    <t>Bramleycott Miss Polyanna</t>
  </si>
  <si>
    <t>AV1887701</t>
  </si>
  <si>
    <t>Daffy Down Dilly</t>
  </si>
  <si>
    <t>K142662</t>
  </si>
  <si>
    <t>Collie/Pap</t>
  </si>
  <si>
    <t>Patmans Tinkerbelle</t>
  </si>
  <si>
    <t>AC3069201</t>
  </si>
  <si>
    <t>JRT</t>
  </si>
  <si>
    <t>Jackie</t>
  </si>
  <si>
    <t>Downey</t>
  </si>
  <si>
    <t>5 Stream Close</t>
  </si>
  <si>
    <t>Byfleet</t>
  </si>
  <si>
    <t>KT14 7LZ</t>
  </si>
  <si>
    <t>jackie.downey2@ntlworld.com</t>
  </si>
  <si>
    <t>Miss Jackie Downey</t>
  </si>
  <si>
    <t>Turlowfields Barley</t>
  </si>
  <si>
    <t>BA20224001</t>
  </si>
  <si>
    <t>Hello, I am stewarding for Karen Branthwaite on Sunday, Karen has already spoken to you about this. Thank you.</t>
  </si>
  <si>
    <t>Redi Stedi Freddie</t>
  </si>
  <si>
    <t>K0263943</t>
  </si>
  <si>
    <t>Dunkason</t>
  </si>
  <si>
    <t>1 Rufus Close</t>
  </si>
  <si>
    <t>Chandlers Ford</t>
  </si>
  <si>
    <t>SO53 1FL</t>
  </si>
  <si>
    <t>02380 253986</t>
  </si>
  <si>
    <t>karen.dunkason@mac.com</t>
  </si>
  <si>
    <t>Joevaness Foxy Marchioness</t>
  </si>
  <si>
    <t>BA19266709</t>
  </si>
  <si>
    <t>Joevaness Mr Mercury</t>
  </si>
  <si>
    <t>AW01293501</t>
  </si>
  <si>
    <t>Jane</t>
  </si>
  <si>
    <t>Dunn</t>
  </si>
  <si>
    <t>17 Falconmead</t>
  </si>
  <si>
    <t>Bicester</t>
  </si>
  <si>
    <t>OX26 6XE</t>
  </si>
  <si>
    <t>01869 249899</t>
  </si>
  <si>
    <t>janebentall@gmail.com</t>
  </si>
  <si>
    <t>Jane Dunn</t>
  </si>
  <si>
    <t>Kenxtwen Sapphire Sun</t>
  </si>
  <si>
    <t>AX04861504</t>
  </si>
  <si>
    <t>Isla Dunn to handle in both classes.</t>
  </si>
  <si>
    <t>Isla Dunn to handle</t>
  </si>
  <si>
    <t>Dunning</t>
  </si>
  <si>
    <t>Bramley Cottage , Pound Lane</t>
  </si>
  <si>
    <t>Sherfield English</t>
  </si>
  <si>
    <t>Romsey</t>
  </si>
  <si>
    <t>SO596FJ</t>
  </si>
  <si>
    <t>chrisdunning100@yahoo.co.uk</t>
  </si>
  <si>
    <t>Mrs K C Dunning</t>
  </si>
  <si>
    <t>Mohnesee Miss Nightingale</t>
  </si>
  <si>
    <t>AP01134701</t>
  </si>
  <si>
    <t>Bramleycott Madam Mara</t>
  </si>
  <si>
    <t>AY10573504</t>
  </si>
  <si>
    <t>Bramleycott Miss Marple</t>
  </si>
  <si>
    <t>AS00598501</t>
  </si>
  <si>
    <t>Debbie</t>
  </si>
  <si>
    <t>Durbridge</t>
  </si>
  <si>
    <t>103 Barber Road</t>
  </si>
  <si>
    <t>Basingstoke</t>
  </si>
  <si>
    <t>RG224EY</t>
  </si>
  <si>
    <t>07980 437058</t>
  </si>
  <si>
    <t>debbie.durbridge@icloud.com</t>
  </si>
  <si>
    <t>Debbie Durbridge</t>
  </si>
  <si>
    <t>Panaqua True Colours</t>
  </si>
  <si>
    <t>AY07358201</t>
  </si>
  <si>
    <t>Deal Me In</t>
  </si>
  <si>
    <t>K145938</t>
  </si>
  <si>
    <t>ASD x BC</t>
  </si>
  <si>
    <t>Sue</t>
  </si>
  <si>
    <t>Durham</t>
  </si>
  <si>
    <t>93 Hawkins Way</t>
  </si>
  <si>
    <t>Wootton</t>
  </si>
  <si>
    <t>Abingdon</t>
  </si>
  <si>
    <t>Oxfordshire</t>
  </si>
  <si>
    <t>OX13 6LA</t>
  </si>
  <si>
    <t>01865 327149</t>
  </si>
  <si>
    <t>sue@goody-4-paws.co.uk</t>
  </si>
  <si>
    <t>Ms S Durham</t>
  </si>
  <si>
    <t>Pencoppen High Flyer</t>
  </si>
  <si>
    <t>BA223688801</t>
  </si>
  <si>
    <t>Jamie Blue</t>
  </si>
  <si>
    <t>AT0902597</t>
  </si>
  <si>
    <t>Joanna</t>
  </si>
  <si>
    <t>Dyas</t>
  </si>
  <si>
    <t>Meadow Cottage</t>
  </si>
  <si>
    <t>Whelpley Hill</t>
  </si>
  <si>
    <t>Chesham</t>
  </si>
  <si>
    <t>HP 5 3RL</t>
  </si>
  <si>
    <t>alandjodyas@aol.com</t>
  </si>
  <si>
    <t>Bee's Red Label</t>
  </si>
  <si>
    <t>K166052</t>
  </si>
  <si>
    <t>JOANNE</t>
  </si>
  <si>
    <t>EDWARDS</t>
  </si>
  <si>
    <t>68 DARTMOUTH ROAD</t>
  </si>
  <si>
    <t>COPNOR</t>
  </si>
  <si>
    <t>PORTSMOUTH</t>
  </si>
  <si>
    <t>HANTS</t>
  </si>
  <si>
    <t>PO3 5DU</t>
  </si>
  <si>
    <t>joanne.eds65@gmail.com</t>
  </si>
  <si>
    <t>JOANNE EDWARDS</t>
  </si>
  <si>
    <t>Tamerrye Teddy Edward</t>
  </si>
  <si>
    <t>AR03422701</t>
  </si>
  <si>
    <t>Firetouch He'zz Mighty Fine</t>
  </si>
  <si>
    <t>K162722</t>
  </si>
  <si>
    <t>Kevin</t>
  </si>
  <si>
    <t>Edwardson</t>
  </si>
  <si>
    <t>48 Brook lane</t>
  </si>
  <si>
    <t>Snodland</t>
  </si>
  <si>
    <t>ME6 5JY</t>
  </si>
  <si>
    <t>kevin.edwardson@ianwilliams.co.uk</t>
  </si>
  <si>
    <t>Fayken capone</t>
  </si>
  <si>
    <t>AV04766104</t>
  </si>
  <si>
    <t>Angela</t>
  </si>
  <si>
    <t>Einon</t>
  </si>
  <si>
    <t>8 Stocks Lane</t>
  </si>
  <si>
    <t>Steventon</t>
  </si>
  <si>
    <t>OX13 6SG</t>
  </si>
  <si>
    <t>angela.einon@gmail.com</t>
  </si>
  <si>
    <t>Wysemarque Winnie the Wytch at Coltscroft</t>
  </si>
  <si>
    <t>AXO2432708</t>
  </si>
  <si>
    <t>Dalebrook Dora the Explora at Coltscroft</t>
  </si>
  <si>
    <t>AR0905993</t>
  </si>
  <si>
    <t>Caroline</t>
  </si>
  <si>
    <t>Eley</t>
  </si>
  <si>
    <t>3 Concorde Close</t>
  </si>
  <si>
    <t>Bexhill</t>
  </si>
  <si>
    <t>TN39 4LS</t>
  </si>
  <si>
    <t>01424 214215</t>
  </si>
  <si>
    <t>cceley@hotmail.com</t>
  </si>
  <si>
    <t>Caroline Eley &amp; David Harper</t>
  </si>
  <si>
    <t>Casblaidd Chuckle</t>
  </si>
  <si>
    <t>AW01889603</t>
  </si>
  <si>
    <t>Flatcoated Retriever</t>
  </si>
  <si>
    <t>Kenquince Teacherspet</t>
  </si>
  <si>
    <t>AS01710709</t>
  </si>
  <si>
    <t>Casblaidd Probably OW</t>
  </si>
  <si>
    <t>AM04221101</t>
  </si>
  <si>
    <t>Ruddleberry Gandalf</t>
  </si>
  <si>
    <t>BB25535203</t>
  </si>
  <si>
    <t>Retriever (Flat Coated)</t>
  </si>
  <si>
    <t>Kat</t>
  </si>
  <si>
    <t>Farrants</t>
  </si>
  <si>
    <t>77 Bownham Park</t>
  </si>
  <si>
    <t>Stroud</t>
  </si>
  <si>
    <t>Gloucs</t>
  </si>
  <si>
    <t>GL5 5BZ</t>
  </si>
  <si>
    <t>07989 395614</t>
  </si>
  <si>
    <t>katfarrants@hotmail.co.uk</t>
  </si>
  <si>
    <t>Kat Farrants</t>
  </si>
  <si>
    <t>Ob. Ch. Solarwind Power And Glory OW</t>
  </si>
  <si>
    <t>AV02401701</t>
  </si>
  <si>
    <t>Patricia</t>
  </si>
  <si>
    <t>Faulkner</t>
  </si>
  <si>
    <t>56 Ninehams Road</t>
  </si>
  <si>
    <t>Caterham</t>
  </si>
  <si>
    <t>CR3 5LG</t>
  </si>
  <si>
    <t>pat.faulkner@ntlworld.com</t>
  </si>
  <si>
    <t>Mrs Patricia Faulkner</t>
  </si>
  <si>
    <t>Star coast super gal</t>
  </si>
  <si>
    <t>AU0904076</t>
  </si>
  <si>
    <t>Casblaid weaver</t>
  </si>
  <si>
    <t>T00152204</t>
  </si>
  <si>
    <t>Zanyway Billie Jean A ex</t>
  </si>
  <si>
    <t>ALO3072903</t>
  </si>
  <si>
    <t>BORDER COLLLIE</t>
  </si>
  <si>
    <t>Kamal</t>
  </si>
  <si>
    <t>Fernandez</t>
  </si>
  <si>
    <t>15 Hastings Close</t>
  </si>
  <si>
    <t>Polegate</t>
  </si>
  <si>
    <t>BN26 6LD</t>
  </si>
  <si>
    <t>lamakfernandez@msn.com</t>
  </si>
  <si>
    <t>Firetouch Time to Be Great</t>
  </si>
  <si>
    <t>AV02528105</t>
  </si>
  <si>
    <t>Mary-Jaine</t>
  </si>
  <si>
    <t>Fickl</t>
  </si>
  <si>
    <t>16 Churchdale Road</t>
  </si>
  <si>
    <t>Eastbourne</t>
  </si>
  <si>
    <t>BN22 8PS</t>
  </si>
  <si>
    <t>foadfickl@aol.co.uk</t>
  </si>
  <si>
    <t>Mary-Jaine Fickl</t>
  </si>
  <si>
    <t>Gustav from Glory</t>
  </si>
  <si>
    <t>K0261909</t>
  </si>
  <si>
    <t>Windy Wiffles</t>
  </si>
  <si>
    <t>F5-16022-2024</t>
  </si>
  <si>
    <t>Lynn</t>
  </si>
  <si>
    <t>Finlay-Maxwell</t>
  </si>
  <si>
    <t>Nettle Cottage</t>
  </si>
  <si>
    <t>North Heath, Chieveley</t>
  </si>
  <si>
    <t>Newbury</t>
  </si>
  <si>
    <t>RG20 8UD</t>
  </si>
  <si>
    <t>lynnfinmax@gmail.com</t>
  </si>
  <si>
    <t>Mrs L Finlay-Maxwell</t>
  </si>
  <si>
    <t>Carandmar Bear Necessity</t>
  </si>
  <si>
    <t>AW00404004</t>
  </si>
  <si>
    <t>Chattlands Trick or Treat</t>
  </si>
  <si>
    <t>BA22563502</t>
  </si>
  <si>
    <t>Sheila</t>
  </si>
  <si>
    <t>Fleming</t>
  </si>
  <si>
    <t>Nightingale Cottage</t>
  </si>
  <si>
    <t>Pittleworth, Houghton</t>
  </si>
  <si>
    <t>Stockbridge</t>
  </si>
  <si>
    <t>SO20 6 NA</t>
  </si>
  <si>
    <t>01794 301131</t>
  </si>
  <si>
    <t>happydoghaven@btinternet.com</t>
  </si>
  <si>
    <t>Sheila Fleming</t>
  </si>
  <si>
    <t>Happy Haven`s Daphne</t>
  </si>
  <si>
    <t>FS-15923-2024</t>
  </si>
  <si>
    <t>LITTLE SCONCE</t>
  </si>
  <si>
    <t>AX01221507</t>
  </si>
  <si>
    <t>Maisie Lady Moo</t>
  </si>
  <si>
    <t>K0270385</t>
  </si>
  <si>
    <t>Mr &amp; Mrs</t>
  </si>
  <si>
    <t>David &amp; Rebecca</t>
  </si>
  <si>
    <t>Ford</t>
  </si>
  <si>
    <t>27 Broomfield Drive</t>
  </si>
  <si>
    <t>Alderholt</t>
  </si>
  <si>
    <t>Nr Fordingbridge</t>
  </si>
  <si>
    <t>SP6 3HY</t>
  </si>
  <si>
    <t>01425 653225</t>
  </si>
  <si>
    <t>daveford5966@aol.com</t>
  </si>
  <si>
    <t>Sochma Just In Time</t>
  </si>
  <si>
    <t>AY06244309</t>
  </si>
  <si>
    <t>Whippet</t>
  </si>
  <si>
    <t>William</t>
  </si>
  <si>
    <t>Forrest</t>
  </si>
  <si>
    <t>RANDOLPH CLOSE</t>
  </si>
  <si>
    <t>Cobham</t>
  </si>
  <si>
    <t>KT11 2SW</t>
  </si>
  <si>
    <t>ann.forrest@ntlworld.com</t>
  </si>
  <si>
    <t>Star</t>
  </si>
  <si>
    <t>K0276450</t>
  </si>
  <si>
    <t>I intend to work my C with Gem so please can I not be in the running orders for this class on both days._x000D_
Thankyou, William</t>
  </si>
  <si>
    <t>Birkcross Gem</t>
  </si>
  <si>
    <t>AW00199604</t>
  </si>
  <si>
    <t>Denise</t>
  </si>
  <si>
    <t>Fry</t>
  </si>
  <si>
    <t>Merle Oak</t>
  </si>
  <si>
    <t>Merle Common Road</t>
  </si>
  <si>
    <t>RH8 0RP</t>
  </si>
  <si>
    <t>01883 713672</t>
  </si>
  <si>
    <t>dennyf@shepherdshaven.uk</t>
  </si>
  <si>
    <t>Brechfa Tutti Frutti Nov.Ex</t>
  </si>
  <si>
    <t>AT01370105</t>
  </si>
  <si>
    <t>Georgina</t>
  </si>
  <si>
    <t>Fullerton</t>
  </si>
  <si>
    <t>2 Tyrsal Close</t>
  </si>
  <si>
    <t>Hornchurch</t>
  </si>
  <si>
    <t>RM11 3BF</t>
  </si>
  <si>
    <t>georginafullerton@hotmail.co.uk</t>
  </si>
  <si>
    <t>Georgina Fullerton</t>
  </si>
  <si>
    <t>Kenxtwen Jump for Joy</t>
  </si>
  <si>
    <t>AX03833004</t>
  </si>
  <si>
    <t>Emma</t>
  </si>
  <si>
    <t>Galbraith</t>
  </si>
  <si>
    <t>80 church Road</t>
  </si>
  <si>
    <t>Longlevens</t>
  </si>
  <si>
    <t>Gloucester</t>
  </si>
  <si>
    <t>Gloucestershire</t>
  </si>
  <si>
    <t>GL2 0AA</t>
  </si>
  <si>
    <t>hago72@outlook.com</t>
  </si>
  <si>
    <t>Mrs Emma Galbraith</t>
  </si>
  <si>
    <t>Sarkam  Mighty  Mcquin</t>
  </si>
  <si>
    <t>AV0902151</t>
  </si>
  <si>
    <t>Border  Collie</t>
  </si>
  <si>
    <t>The Shadow McCorleone</t>
  </si>
  <si>
    <t>KO275993</t>
  </si>
  <si>
    <t>Yonie Mystical Mcharper</t>
  </si>
  <si>
    <t>AX02428408</t>
  </si>
  <si>
    <t>Joe</t>
  </si>
  <si>
    <t>Game</t>
  </si>
  <si>
    <t>The Boundary,16 Kings Way</t>
  </si>
  <si>
    <t>Walsoken</t>
  </si>
  <si>
    <t>Wisbech</t>
  </si>
  <si>
    <t>cambs</t>
  </si>
  <si>
    <t>PE13 3DU</t>
  </si>
  <si>
    <t>joedemi@virginmedia.com</t>
  </si>
  <si>
    <t>Mr J W Game</t>
  </si>
  <si>
    <t>STOCKYARD MITY BLUE MINI ME OF RETHYMNI</t>
  </si>
  <si>
    <t>BA19598804</t>
  </si>
  <si>
    <t>PELOPONNESUS SPARTA OF RETHYMNI</t>
  </si>
  <si>
    <t>AY11384604</t>
  </si>
  <si>
    <t>SERENPURSUT TOMATO OF RETHYMNI</t>
  </si>
  <si>
    <t>AW01677904</t>
  </si>
  <si>
    <t>GOLDEN RETRIEVER</t>
  </si>
  <si>
    <t>STILLMOOR FIRE COMET OF RETHYMNI</t>
  </si>
  <si>
    <t>AS04095507</t>
  </si>
  <si>
    <t>GREENFOX REBEL OF RETHYMNI</t>
  </si>
  <si>
    <t>AT02841906</t>
  </si>
  <si>
    <t>COCKER SPANIEL</t>
  </si>
  <si>
    <t>Fay</t>
  </si>
  <si>
    <t>Gardner</t>
  </si>
  <si>
    <t>53 Rectory Avenue</t>
  </si>
  <si>
    <t>Corfe Mullen</t>
  </si>
  <si>
    <t>01202 692552</t>
  </si>
  <si>
    <t>fg9574@googlemail.com</t>
  </si>
  <si>
    <t>Deltamadog Kirroughtree</t>
  </si>
  <si>
    <t>AT04474003</t>
  </si>
  <si>
    <t>Garrett</t>
  </si>
  <si>
    <t>4 Kestrel Close</t>
  </si>
  <si>
    <t>Hove</t>
  </si>
  <si>
    <t>BN3 6NS</t>
  </si>
  <si>
    <t>carolineagarrett@googlemail.com</t>
  </si>
  <si>
    <t>Caroline Garrett</t>
  </si>
  <si>
    <t>Havastorm Golden Path</t>
  </si>
  <si>
    <t>BB26757504</t>
  </si>
  <si>
    <t>M and J Happy Days Time to Jive</t>
  </si>
  <si>
    <t>AX0902706</t>
  </si>
  <si>
    <t>Giddens</t>
  </si>
  <si>
    <t>51 Allen Road</t>
  </si>
  <si>
    <t>SO30 4EU</t>
  </si>
  <si>
    <t>debbie.giddens@gmail.com</t>
  </si>
  <si>
    <t>Touch Of Rhythm</t>
  </si>
  <si>
    <t>K146543</t>
  </si>
  <si>
    <t>Camping 2 nights agreed with show sec as judging</t>
  </si>
  <si>
    <t>Jezzaddy It‚Äôs A Stargazer</t>
  </si>
  <si>
    <t>K0273849</t>
  </si>
  <si>
    <t>Jezzaddy Its One Look</t>
  </si>
  <si>
    <t>K0263156</t>
  </si>
  <si>
    <t>Dave</t>
  </si>
  <si>
    <t>Gillett</t>
  </si>
  <si>
    <t>287 Chelmsford Road</t>
  </si>
  <si>
    <t>Shenfield</t>
  </si>
  <si>
    <t>Brentwood</t>
  </si>
  <si>
    <t>CM15 8SD</t>
  </si>
  <si>
    <t>widgits@sky.com</t>
  </si>
  <si>
    <t>Foggy boy</t>
  </si>
  <si>
    <t>K0265291</t>
  </si>
  <si>
    <t>Camping - Friday night,Camping - Sunday night</t>
  </si>
  <si>
    <t>Please please can you fit us in for camping Saturday  as  I'm scribing  ticket for Michelle Newman_x000D_
Can you let me know one way or the other and will try and and make other arrangements_x000D_
Sorry to be  pain Elaine</t>
  </si>
  <si>
    <t>Little airy Harris</t>
  </si>
  <si>
    <t>K149190</t>
  </si>
  <si>
    <t>Joviality Tilemash</t>
  </si>
  <si>
    <t>K0270868</t>
  </si>
  <si>
    <t>Fran</t>
  </si>
  <si>
    <t>Godfrey</t>
  </si>
  <si>
    <t>25 Kevington Drive</t>
  </si>
  <si>
    <t>Orpington</t>
  </si>
  <si>
    <t>BR5 2NT</t>
  </si>
  <si>
    <t>01689 876112</t>
  </si>
  <si>
    <t>fran.sunridge@gmail.com</t>
  </si>
  <si>
    <t>Miss Fran Godfrey</t>
  </si>
  <si>
    <t>Kingsfarm Brazen in Black at Sunridge OW</t>
  </si>
  <si>
    <t>K144225</t>
  </si>
  <si>
    <t>Tippivale Rock‚ÄôN Roller at Sunridge *</t>
  </si>
  <si>
    <t>BB27138201</t>
  </si>
  <si>
    <t>Seaposer Windjammer at Sunridge OW**</t>
  </si>
  <si>
    <t>AV0901699</t>
  </si>
  <si>
    <t>Kath</t>
  </si>
  <si>
    <t>Gorick</t>
  </si>
  <si>
    <t>275 Abbey Road</t>
  </si>
  <si>
    <t>RG24 9EQ</t>
  </si>
  <si>
    <t>kathgorick1@gmail.com</t>
  </si>
  <si>
    <t>Mrs K A Gorick</t>
  </si>
  <si>
    <t>Aleseshep Tula Bula</t>
  </si>
  <si>
    <t>AT02408908</t>
  </si>
  <si>
    <t>Chiricahua Little Everest</t>
  </si>
  <si>
    <t>BA21281905</t>
  </si>
  <si>
    <t>Green</t>
  </si>
  <si>
    <t>Lynwood</t>
  </si>
  <si>
    <t>Durfold Wood</t>
  </si>
  <si>
    <t>Plaistow, Billingshurst</t>
  </si>
  <si>
    <t>RH14 0PN</t>
  </si>
  <si>
    <t>01483 200168</t>
  </si>
  <si>
    <t>lyngreen@rocketmail.com</t>
  </si>
  <si>
    <t>Linda Green</t>
  </si>
  <si>
    <t>Matera's Wish of Love</t>
  </si>
  <si>
    <t>BA18543306</t>
  </si>
  <si>
    <t>Australian shepherd</t>
  </si>
  <si>
    <t>Jan</t>
  </si>
  <si>
    <t>High Meadow</t>
  </si>
  <si>
    <t>Biggin Lane</t>
  </si>
  <si>
    <t>Chadwell St Mary</t>
  </si>
  <si>
    <t>RM16 4LT</t>
  </si>
  <si>
    <t>northstifforddtc@msn.com</t>
  </si>
  <si>
    <t>Mo St√≥r of Ballina</t>
  </si>
  <si>
    <t>K0269510</t>
  </si>
  <si>
    <t>If drawn for running order, C please.</t>
  </si>
  <si>
    <t>Zanyway Huckleberry Finn</t>
  </si>
  <si>
    <t>AW02826803</t>
  </si>
  <si>
    <t>Marguerite</t>
  </si>
  <si>
    <t>Greening</t>
  </si>
  <si>
    <t>33 Copse Close</t>
  </si>
  <si>
    <t>East Grinstead</t>
  </si>
  <si>
    <t>W Sussex</t>
  </si>
  <si>
    <t>RH19 3EF</t>
  </si>
  <si>
    <t>01342 323064</t>
  </si>
  <si>
    <t>talsarn@btinternet.com</t>
  </si>
  <si>
    <t>M Greening</t>
  </si>
  <si>
    <t>Applebel Nutmeg</t>
  </si>
  <si>
    <t>AT04075006</t>
  </si>
  <si>
    <t>My dog is being worked by Louise Spenceley if this could be taken into account for running orders please</t>
  </si>
  <si>
    <t>Beltane Snow Dragon</t>
  </si>
  <si>
    <t>AM00091907</t>
  </si>
  <si>
    <t>Tri Once More</t>
  </si>
  <si>
    <t>K147813</t>
  </si>
  <si>
    <t>Lydia</t>
  </si>
  <si>
    <t>Greenwood</t>
  </si>
  <si>
    <t>4 Severn Road</t>
  </si>
  <si>
    <t>Hallen</t>
  </si>
  <si>
    <t>Bristol</t>
  </si>
  <si>
    <t>Avon</t>
  </si>
  <si>
    <t>BS107RZ</t>
  </si>
  <si>
    <t>lyds24@hotmail.com</t>
  </si>
  <si>
    <t>Lydia Greenwood</t>
  </si>
  <si>
    <t>Saartjie The Court Jester</t>
  </si>
  <si>
    <t>K160270</t>
  </si>
  <si>
    <t>Saartjie Lark Song</t>
  </si>
  <si>
    <t>K0274878</t>
  </si>
  <si>
    <t>peter</t>
  </si>
  <si>
    <t>gregory</t>
  </si>
  <si>
    <t>97,Limpsfield Road</t>
  </si>
  <si>
    <t>CR6 9RH</t>
  </si>
  <si>
    <t>07956 984361</t>
  </si>
  <si>
    <t>petemattgregory.pg@gmail.com</t>
  </si>
  <si>
    <t>Astra Kali</t>
  </si>
  <si>
    <t>AV0903152</t>
  </si>
  <si>
    <t>Denwyn Roxy</t>
  </si>
  <si>
    <t>AZ0919548</t>
  </si>
  <si>
    <t>Starcoast Kai</t>
  </si>
  <si>
    <t>K166501</t>
  </si>
  <si>
    <t>Trudy</t>
  </si>
  <si>
    <t>Groenenboom</t>
  </si>
  <si>
    <t>Hoendiep 25</t>
  </si>
  <si>
    <t>Dordrecht</t>
  </si>
  <si>
    <t>(ZH)</t>
  </si>
  <si>
    <t>3313 VA</t>
  </si>
  <si>
    <t>Netherlands</t>
  </si>
  <si>
    <t>t.groenenboom@yulius.nl</t>
  </si>
  <si>
    <t>Firetouch Too Hot By Half (TAF)</t>
  </si>
  <si>
    <t>BA21581301</t>
  </si>
  <si>
    <t>Janjelly Dutch Navy Seal</t>
  </si>
  <si>
    <t>F5 01155-2021</t>
  </si>
  <si>
    <t>Grooms</t>
  </si>
  <si>
    <t>42 St Johns Drive</t>
  </si>
  <si>
    <t>Westham</t>
  </si>
  <si>
    <t>BN24 5HX</t>
  </si>
  <si>
    <t>sarah.grooms@caffyns.co.uk</t>
  </si>
  <si>
    <t>HOLLY THE COLLIE ON THE MOOR (AZ4)</t>
  </si>
  <si>
    <t>K0268125</t>
  </si>
  <si>
    <t>Gunson</t>
  </si>
  <si>
    <t>10 Rowan Close</t>
  </si>
  <si>
    <t>Sway</t>
  </si>
  <si>
    <t>Lymington</t>
  </si>
  <si>
    <t>SO416AZ</t>
  </si>
  <si>
    <t>01590 681187</t>
  </si>
  <si>
    <t>swaydogs@gmail.com</t>
  </si>
  <si>
    <t>Ms S Gunson</t>
  </si>
  <si>
    <t>This Way</t>
  </si>
  <si>
    <t>K134958</t>
  </si>
  <si>
    <t>Crossbred</t>
  </si>
  <si>
    <t>Secret‚Äôs Way</t>
  </si>
  <si>
    <t>K165012</t>
  </si>
  <si>
    <t>Ragamuffin‚Äôs Way</t>
  </si>
  <si>
    <t>K0266405</t>
  </si>
  <si>
    <t>Kate</t>
  </si>
  <si>
    <t>Hall</t>
  </si>
  <si>
    <t>21 Coltham Road</t>
  </si>
  <si>
    <t>Cheltenham</t>
  </si>
  <si>
    <t>GL52 6RW</t>
  </si>
  <si>
    <t>nsdtrkate@gmail.com</t>
  </si>
  <si>
    <t>Mrs Kate Hall</t>
  </si>
  <si>
    <t>Itsjaros Hela</t>
  </si>
  <si>
    <t>AZ17431607</t>
  </si>
  <si>
    <t>Please draw Itsjaros Hela in B</t>
  </si>
  <si>
    <t>Itsjaros Lumi</t>
  </si>
  <si>
    <t>Av01742502</t>
  </si>
  <si>
    <t>Tollerice Bertuzzi Beg-Ex</t>
  </si>
  <si>
    <t>AQ03143903</t>
  </si>
  <si>
    <t>Nova Scotia Duck Tolling Retriever</t>
  </si>
  <si>
    <t>Megan-Rose</t>
  </si>
  <si>
    <t>9 Fairways</t>
  </si>
  <si>
    <t>Ferndown</t>
  </si>
  <si>
    <t>BH22 8BA</t>
  </si>
  <si>
    <t>larryandjames@sky.com</t>
  </si>
  <si>
    <t>Megan-Rose Hall</t>
  </si>
  <si>
    <t>Sixwillows Morning Venus (TAF)</t>
  </si>
  <si>
    <t>AW01470804</t>
  </si>
  <si>
    <t>Miniature Poodle</t>
  </si>
  <si>
    <t>James</t>
  </si>
  <si>
    <t>james.p.hall@sky.com</t>
  </si>
  <si>
    <t>Laura Simpson</t>
  </si>
  <si>
    <t>Jollidot‚Äôs Winter Snowdrop</t>
  </si>
  <si>
    <t>AQ0064811384</t>
  </si>
  <si>
    <t>Dalmatian</t>
  </si>
  <si>
    <t>Rosa Van Het Briarstabij</t>
  </si>
  <si>
    <t>K1540038</t>
  </si>
  <si>
    <t>Stabyhoun</t>
  </si>
  <si>
    <t>J</t>
  </si>
  <si>
    <t>Harbord</t>
  </si>
  <si>
    <t>127 Town Street</t>
  </si>
  <si>
    <t>Newton</t>
  </si>
  <si>
    <t>Cambridge</t>
  </si>
  <si>
    <t>Cambs</t>
  </si>
  <si>
    <t>CB22 7PE</t>
  </si>
  <si>
    <t>je.harbord@btinternet.com</t>
  </si>
  <si>
    <t>James Harbord</t>
  </si>
  <si>
    <t>Longwaves Opus Tigris</t>
  </si>
  <si>
    <t>AZ13080702</t>
  </si>
  <si>
    <t>Opuscanis Squirrel Tail</t>
  </si>
  <si>
    <t>AT03864703</t>
  </si>
  <si>
    <t>Virginia</t>
  </si>
  <si>
    <t>01223 874043</t>
  </si>
  <si>
    <t>Virginia Harbord</t>
  </si>
  <si>
    <t>Tillychance Magnum Opus</t>
  </si>
  <si>
    <t>AW04368505</t>
  </si>
  <si>
    <t>Liz</t>
  </si>
  <si>
    <t>Harman</t>
  </si>
  <si>
    <t>Weldon Close</t>
  </si>
  <si>
    <t>Church crookham</t>
  </si>
  <si>
    <t>GU526BG</t>
  </si>
  <si>
    <t>elizabethharman@btinternet.com</t>
  </si>
  <si>
    <t>Longwaves Kai‚Äômana</t>
  </si>
  <si>
    <t>Az13080703</t>
  </si>
  <si>
    <t>Rita</t>
  </si>
  <si>
    <t>Harmon</t>
  </si>
  <si>
    <t>Clouds Cottage</t>
  </si>
  <si>
    <t>Stevens Drove Houghton</t>
  </si>
  <si>
    <t>SO20 6LP</t>
  </si>
  <si>
    <t>ritaevieharmon@icloud.com</t>
  </si>
  <si>
    <t>Birkcross Dance with Dreams</t>
  </si>
  <si>
    <t>AUO 2346305</t>
  </si>
  <si>
    <t>Amy</t>
  </si>
  <si>
    <t>Harris-Harding</t>
  </si>
  <si>
    <t>42 Wallace Road</t>
  </si>
  <si>
    <t>PO2 7LA</t>
  </si>
  <si>
    <t>amyharrisharding@gmail.com</t>
  </si>
  <si>
    <t>Amy Harris-Harding</t>
  </si>
  <si>
    <t>Golden Child Suki</t>
  </si>
  <si>
    <t>KO277565</t>
  </si>
  <si>
    <t>Grey Menace</t>
  </si>
  <si>
    <t>KO277566</t>
  </si>
  <si>
    <t>karen</t>
  </si>
  <si>
    <t>harrison</t>
  </si>
  <si>
    <t>21 sunters wood close</t>
  </si>
  <si>
    <t>booker</t>
  </si>
  <si>
    <t>high wycombe</t>
  </si>
  <si>
    <t>bucks</t>
  </si>
  <si>
    <t>HP124DZ</t>
  </si>
  <si>
    <t>01494 474598</t>
  </si>
  <si>
    <t>hiflyer_66@hotmail.com</t>
  </si>
  <si>
    <t>Havastorm Dream On</t>
  </si>
  <si>
    <t>AX01751602</t>
  </si>
  <si>
    <t>Hatton</t>
  </si>
  <si>
    <t>76 Northey Road</t>
  </si>
  <si>
    <t>Southbourne</t>
  </si>
  <si>
    <t>BH6 5LT</t>
  </si>
  <si>
    <t>helen.pawsbox@virginmedia.com</t>
  </si>
  <si>
    <t>Helen Hatton</t>
  </si>
  <si>
    <t>Pawsbox Fynn the Whiner (AZ1)</t>
  </si>
  <si>
    <t>K0265290</t>
  </si>
  <si>
    <t>If running order in class A please</t>
  </si>
  <si>
    <t>C &amp; L</t>
  </si>
  <si>
    <t>Hearne &amp; Manning</t>
  </si>
  <si>
    <t>Janmar</t>
  </si>
  <si>
    <t>Tunstall Road</t>
  </si>
  <si>
    <t>Sittingbourne</t>
  </si>
  <si>
    <t>ME10 1YG</t>
  </si>
  <si>
    <t>mannie204@yahoo.co.uk</t>
  </si>
  <si>
    <t>C Hearne &amp; L Manning</t>
  </si>
  <si>
    <t>Stormlake's Casanova Eyes</t>
  </si>
  <si>
    <t>AW03277902</t>
  </si>
  <si>
    <t>diane</t>
  </si>
  <si>
    <t>hewitt</t>
  </si>
  <si>
    <t>12 st georges cottages</t>
  </si>
  <si>
    <t>hale</t>
  </si>
  <si>
    <t>nr fordingbridge</t>
  </si>
  <si>
    <t>hants</t>
  </si>
  <si>
    <t>SP6 2NJ</t>
  </si>
  <si>
    <t>hewitt2nj@btinternet.com</t>
  </si>
  <si>
    <t>miss d hewitt</t>
  </si>
  <si>
    <t>Hewthorn goblet of fire</t>
  </si>
  <si>
    <t>K0269278</t>
  </si>
  <si>
    <t>Xbreed</t>
  </si>
  <si>
    <t>Hewthorn under siege</t>
  </si>
  <si>
    <t>K167063</t>
  </si>
  <si>
    <t>Hewthorn apollo creed</t>
  </si>
  <si>
    <t>K0269272</t>
  </si>
  <si>
    <t>Hewthorn pulp fiction</t>
  </si>
  <si>
    <t>K0273997</t>
  </si>
  <si>
    <t>Hewthorn Tokyo star</t>
  </si>
  <si>
    <t>K156584</t>
  </si>
  <si>
    <t>Hewtorne live and let die</t>
  </si>
  <si>
    <t>K0277785</t>
  </si>
  <si>
    <t>Hewthorn fifty shades of red</t>
  </si>
  <si>
    <t>K149592</t>
  </si>
  <si>
    <t>pauline</t>
  </si>
  <si>
    <t>hill</t>
  </si>
  <si>
    <t>10 Rosetree Paddock</t>
  </si>
  <si>
    <t>Berrow</t>
  </si>
  <si>
    <t>Burnham-on-Sea</t>
  </si>
  <si>
    <t>Somerset</t>
  </si>
  <si>
    <t>TA8 2JP</t>
  </si>
  <si>
    <t>pauline.hill6986@gmail.com</t>
  </si>
  <si>
    <t>Calanhaf Strictly Ore'</t>
  </si>
  <si>
    <t>K162308</t>
  </si>
  <si>
    <t>Lorna</t>
  </si>
  <si>
    <t>Hilton</t>
  </si>
  <si>
    <t>38 STONELEIGH AVENUE</t>
  </si>
  <si>
    <t>BRIGHTON</t>
  </si>
  <si>
    <t>BN1 8NP</t>
  </si>
  <si>
    <t>lorna.hilton@googlemail.com</t>
  </si>
  <si>
    <t>Lorna Hilton</t>
  </si>
  <si>
    <t>OB CH Zanyway Great Expectations</t>
  </si>
  <si>
    <t>AW02826804</t>
  </si>
  <si>
    <t>Holmes</t>
  </si>
  <si>
    <t>15 Hill Meadow</t>
  </si>
  <si>
    <t>Overton</t>
  </si>
  <si>
    <t>RG25 3JD</t>
  </si>
  <si>
    <t>01256 771037</t>
  </si>
  <si>
    <t>chrisandlesley@hotmail.com</t>
  </si>
  <si>
    <t>Mrs Lesley Holmes and Mr Chris Holmes</t>
  </si>
  <si>
    <t>Dirnanean Babanango Valley</t>
  </si>
  <si>
    <t>AP00403701</t>
  </si>
  <si>
    <t>Pepsanner Clifton</t>
  </si>
  <si>
    <t>AW03162703</t>
  </si>
  <si>
    <t>Pepsanner Lord Eldon</t>
  </si>
  <si>
    <t>BA19369001</t>
  </si>
  <si>
    <t>Lou</t>
  </si>
  <si>
    <t>11 Upshire Gardens</t>
  </si>
  <si>
    <t>Martins Heron</t>
  </si>
  <si>
    <t>Bracknell</t>
  </si>
  <si>
    <t>RG12 9YZ</t>
  </si>
  <si>
    <t>holmeslou@hotmail.com</t>
  </si>
  <si>
    <t>Firetouch Might Be Drama*</t>
  </si>
  <si>
    <t>BA19559203</t>
  </si>
  <si>
    <t>Please if I have a running order can it be with Might Be Drama.</t>
  </si>
  <si>
    <t>Firetouch Might Be A Winner</t>
  </si>
  <si>
    <t>AY08347301</t>
  </si>
  <si>
    <t>allison</t>
  </si>
  <si>
    <t>holt</t>
  </si>
  <si>
    <t>2 Raven Square</t>
  </si>
  <si>
    <t>SO50 9JR</t>
  </si>
  <si>
    <t>allison.holt@ntlworld.com</t>
  </si>
  <si>
    <t>Deeann Misty Waters</t>
  </si>
  <si>
    <t>AV03405109</t>
  </si>
  <si>
    <t>jacqueline</t>
  </si>
  <si>
    <t>howe</t>
  </si>
  <si>
    <t>55 Cadwell Drive  Ockwells Park</t>
  </si>
  <si>
    <t>maidenhead</t>
  </si>
  <si>
    <t>berkshire</t>
  </si>
  <si>
    <t>SL6 3YS</t>
  </si>
  <si>
    <t>01628 626453</t>
  </si>
  <si>
    <t>stephenhowe@sky.com</t>
  </si>
  <si>
    <t>HYSTEPS IRISH MYSTIQUE</t>
  </si>
  <si>
    <t>AZ15117702</t>
  </si>
  <si>
    <t>Gracies back to black</t>
  </si>
  <si>
    <t>K163764</t>
  </si>
  <si>
    <t>Katherine</t>
  </si>
  <si>
    <t>Huggins</t>
  </si>
  <si>
    <t>60 Crockenhill Road</t>
  </si>
  <si>
    <t>BR5 4DF</t>
  </si>
  <si>
    <t>0774 8965572</t>
  </si>
  <si>
    <t>akita_inu@injami.com</t>
  </si>
  <si>
    <t>Katherine Huggins</t>
  </si>
  <si>
    <t>Malimaniacs Dynamic Dayzee</t>
  </si>
  <si>
    <t>AZ0917886</t>
  </si>
  <si>
    <t>Max Arrow Injami</t>
  </si>
  <si>
    <t>AR02619301</t>
  </si>
  <si>
    <t>Belgian Shepherd (Malinois)</t>
  </si>
  <si>
    <t>Edamentus BeKelda Injami</t>
  </si>
  <si>
    <t>AX00159207</t>
  </si>
  <si>
    <t>Hughes</t>
  </si>
  <si>
    <t>Foxhall, The Croft</t>
  </si>
  <si>
    <t>Bures</t>
  </si>
  <si>
    <t>Suffolk</t>
  </si>
  <si>
    <t>CO8 5JB</t>
  </si>
  <si>
    <t>linda@foxhallsolutions.com</t>
  </si>
  <si>
    <t>Mrs Linda hughes</t>
  </si>
  <si>
    <t>Eronel Fireside Treats</t>
  </si>
  <si>
    <t>BB26934903</t>
  </si>
  <si>
    <t>Toy Poodle</t>
  </si>
  <si>
    <t>All Action Sendze</t>
  </si>
  <si>
    <t>K167079</t>
  </si>
  <si>
    <t>Longwaves Hang Five*</t>
  </si>
  <si>
    <t>AZ13080705</t>
  </si>
  <si>
    <t>Douglas</t>
  </si>
  <si>
    <t>Hunter</t>
  </si>
  <si>
    <t>8 Hill Cottahe Gardens</t>
  </si>
  <si>
    <t>SO18 3AD</t>
  </si>
  <si>
    <t>douglas.hunter84@gmail.com</t>
  </si>
  <si>
    <t>Sitting Bull</t>
  </si>
  <si>
    <t>AX00081001</t>
  </si>
  <si>
    <t>Colin</t>
  </si>
  <si>
    <t>Huntley</t>
  </si>
  <si>
    <t>58 Sutton Park</t>
  </si>
  <si>
    <t>Blunsdon</t>
  </si>
  <si>
    <t>SN26 7BA</t>
  </si>
  <si>
    <t>01793 721422</t>
  </si>
  <si>
    <t>huntley.colin@aol.com</t>
  </si>
  <si>
    <t>It‚ÄôsJaros Moon Knight</t>
  </si>
  <si>
    <t>AZ17431606</t>
  </si>
  <si>
    <t>Hyde</t>
  </si>
  <si>
    <t>Finders, Bracken Lane</t>
  </si>
  <si>
    <t>Storrington</t>
  </si>
  <si>
    <t>Pulborough</t>
  </si>
  <si>
    <t>RH20 3HS</t>
  </si>
  <si>
    <t>linda@lindahyde.co.uk</t>
  </si>
  <si>
    <t>Wychnmutts Buggy Swires</t>
  </si>
  <si>
    <t>AW00788403</t>
  </si>
  <si>
    <t>Kaliazar Conan</t>
  </si>
  <si>
    <t>AQ01895804</t>
  </si>
  <si>
    <t>Instone</t>
  </si>
  <si>
    <t>35 Postley Road</t>
  </si>
  <si>
    <t>Maidstone</t>
  </si>
  <si>
    <t>ME15 6TP</t>
  </si>
  <si>
    <t>carolinstone@blueyonder.co.uk</t>
  </si>
  <si>
    <t>Carol Instone</t>
  </si>
  <si>
    <t>Fuzzy Wuzzy Wozza</t>
  </si>
  <si>
    <t>F5-12190-2023</t>
  </si>
  <si>
    <t>Tragility Quartz White</t>
  </si>
  <si>
    <t>AY09091808</t>
  </si>
  <si>
    <t>Rosie</t>
  </si>
  <si>
    <t>Ison</t>
  </si>
  <si>
    <t>63, Sunmead Rd</t>
  </si>
  <si>
    <t>TW16 6PF</t>
  </si>
  <si>
    <t>01932 882839</t>
  </si>
  <si>
    <t>rosieison@yahoo.co.uk</t>
  </si>
  <si>
    <t>Mister Kipling</t>
  </si>
  <si>
    <t>K0269185</t>
  </si>
  <si>
    <t>Running order in A only</t>
  </si>
  <si>
    <t>Jameson</t>
  </si>
  <si>
    <t>5 Marne Close</t>
  </si>
  <si>
    <t>Warfield</t>
  </si>
  <si>
    <t>RG42 6EW</t>
  </si>
  <si>
    <t>claire.jameson001@gmail.com</t>
  </si>
  <si>
    <t>Mrs C Jameson</t>
  </si>
  <si>
    <t>Tailtastic No Trouble At All</t>
  </si>
  <si>
    <t>K152517</t>
  </si>
  <si>
    <t>Stockyard Sandys Stream</t>
  </si>
  <si>
    <t>K0264941</t>
  </si>
  <si>
    <t>Judith</t>
  </si>
  <si>
    <t>Johnson</t>
  </si>
  <si>
    <t>21 Upper Hollis</t>
  </si>
  <si>
    <t>Gt Missenden</t>
  </si>
  <si>
    <t>HP169HP</t>
  </si>
  <si>
    <t>judith-johnson@outlook.com</t>
  </si>
  <si>
    <t>Foxbarton Queens Consort</t>
  </si>
  <si>
    <t>AW02998205</t>
  </si>
  <si>
    <t>Jones</t>
  </si>
  <si>
    <t>Consort Cottage, Row Hill</t>
  </si>
  <si>
    <t>Row Hill</t>
  </si>
  <si>
    <t>Bramshaw</t>
  </si>
  <si>
    <t>SO43 7JE</t>
  </si>
  <si>
    <t>sarahxxx1969@yahoo.co.uk</t>
  </si>
  <si>
    <t>Sarah Jones</t>
  </si>
  <si>
    <t>Beatrixpotter Sacredoak</t>
  </si>
  <si>
    <t>K0274247</t>
  </si>
  <si>
    <t>Steltella Dotty</t>
  </si>
  <si>
    <t>BA21709105</t>
  </si>
  <si>
    <t>Diane</t>
  </si>
  <si>
    <t>Merle Lodge</t>
  </si>
  <si>
    <t>Redpale</t>
  </si>
  <si>
    <t>Dallington</t>
  </si>
  <si>
    <t>TN21 9NR</t>
  </si>
  <si>
    <t>01435 830265</t>
  </si>
  <si>
    <t>berwickobedience@btinternet.com</t>
  </si>
  <si>
    <t>Diane Jones</t>
  </si>
  <si>
    <t>Parcheeni Grazioso</t>
  </si>
  <si>
    <t>AV02474005</t>
  </si>
  <si>
    <t>Corvesgate</t>
  </si>
  <si>
    <t>Lower Hardres</t>
  </si>
  <si>
    <t>Canterbury</t>
  </si>
  <si>
    <t>CT4 5NS</t>
  </si>
  <si>
    <t>pjclsmck@yahoo.co.uk</t>
  </si>
  <si>
    <t>Patricia Jones</t>
  </si>
  <si>
    <t>OB CH Longwaves Cloudy Sky</t>
  </si>
  <si>
    <t>K151518</t>
  </si>
  <si>
    <t>120 Church Road</t>
  </si>
  <si>
    <t>HANWELL</t>
  </si>
  <si>
    <t>Greater London</t>
  </si>
  <si>
    <t>W7 3BE</t>
  </si>
  <si>
    <t>gizmo6187@gmail.com</t>
  </si>
  <si>
    <t>Emleas Gizmo's Moonlight</t>
  </si>
  <si>
    <t>Ax 01067601</t>
  </si>
  <si>
    <t>Camping - Sunday night</t>
  </si>
  <si>
    <t>Seaposer Water Nymph</t>
  </si>
  <si>
    <t>BB24339806</t>
  </si>
  <si>
    <t>Jordan</t>
  </si>
  <si>
    <t>9 Minters Lepe</t>
  </si>
  <si>
    <t>Waterlooville</t>
  </si>
  <si>
    <t>PO7 5QS</t>
  </si>
  <si>
    <t>bradley.jordan1@hotmail.co.uk</t>
  </si>
  <si>
    <t>Kenzduo Philadelphia</t>
  </si>
  <si>
    <t>AZ17038606</t>
  </si>
  <si>
    <t>Kenny</t>
  </si>
  <si>
    <t>Greenclose</t>
  </si>
  <si>
    <t>Alpine Road</t>
  </si>
  <si>
    <t>Ashurst, Southampton</t>
  </si>
  <si>
    <t>SO40 7AN</t>
  </si>
  <si>
    <t>02380 292061</t>
  </si>
  <si>
    <t>suekenny1@hotmail.com</t>
  </si>
  <si>
    <t>Philhope Quincy</t>
  </si>
  <si>
    <t>AX01945603</t>
  </si>
  <si>
    <t>I‚Äôm eligible to work beginner‚Äôs because never come 1st on novice &amp; probably never will : )</t>
  </si>
  <si>
    <t>Mendipmist Handsome Prince</t>
  </si>
  <si>
    <t>AT03260401</t>
  </si>
  <si>
    <t>Clive</t>
  </si>
  <si>
    <t>King</t>
  </si>
  <si>
    <t>10 Plover Close</t>
  </si>
  <si>
    <t>Yate</t>
  </si>
  <si>
    <t>South Gloucester</t>
  </si>
  <si>
    <t>BS375XU</t>
  </si>
  <si>
    <t>thymelord@blueyonder.co.uk</t>
  </si>
  <si>
    <t>Mr C A and Mrs S M King</t>
  </si>
  <si>
    <t>Itsjaros Silver Surfer</t>
  </si>
  <si>
    <t>AZ17431603</t>
  </si>
  <si>
    <t>Jodame Great Escape A Ex</t>
  </si>
  <si>
    <t>K158789</t>
  </si>
  <si>
    <t>Lara it was meant to be</t>
  </si>
  <si>
    <t>Applied for</t>
  </si>
  <si>
    <t>Working Cocker</t>
  </si>
  <si>
    <t>Waggerland Forest Ranger</t>
  </si>
  <si>
    <t>K143479</t>
  </si>
  <si>
    <t>Longfield Farm</t>
  </si>
  <si>
    <t>Ifield Rd</t>
  </si>
  <si>
    <t>Charlwood</t>
  </si>
  <si>
    <t>RH6 0DR</t>
  </si>
  <si>
    <t>jan.king626@yahoo.com</t>
  </si>
  <si>
    <t>Kenxtwen turano</t>
  </si>
  <si>
    <t>Ax02675204</t>
  </si>
  <si>
    <t>0000-00-00</t>
  </si>
  <si>
    <t>Sarkam King of Diamonds is being handled by Louise Spenceley</t>
  </si>
  <si>
    <t>Sarkam King Of Diamonds</t>
  </si>
  <si>
    <t>K143594</t>
  </si>
  <si>
    <t>Lammin</t>
  </si>
  <si>
    <t>15 Springfield Avenue</t>
  </si>
  <si>
    <t>Merton Park</t>
  </si>
  <si>
    <t>London</t>
  </si>
  <si>
    <t>SW20 9JR</t>
  </si>
  <si>
    <t>dalammin@gmail.com</t>
  </si>
  <si>
    <t>Borderlair China Princess</t>
  </si>
  <si>
    <t>K0261553</t>
  </si>
  <si>
    <t>Borderlair Ruby Slippers</t>
  </si>
  <si>
    <t>K156726</t>
  </si>
  <si>
    <t>Lavender</t>
  </si>
  <si>
    <t>Sandholme House</t>
  </si>
  <si>
    <t>Landing Lane</t>
  </si>
  <si>
    <t>Gilberdyke</t>
  </si>
  <si>
    <t>Yorkshire</t>
  </si>
  <si>
    <t>HU15 2SB</t>
  </si>
  <si>
    <t>emmalavender30@yahoo.co.uk</t>
  </si>
  <si>
    <t>Emma Lavender</t>
  </si>
  <si>
    <t>OB CH Sixela Snow Wolf OW</t>
  </si>
  <si>
    <t>K159596</t>
  </si>
  <si>
    <t>HEIDI</t>
  </si>
  <si>
    <t>LAWRENCE</t>
  </si>
  <si>
    <t>13 PARK ROAD</t>
  </si>
  <si>
    <t>SANDHURST</t>
  </si>
  <si>
    <t>BERKS</t>
  </si>
  <si>
    <t>GU47 9AA</t>
  </si>
  <si>
    <t>yummylawrence@gmail.com</t>
  </si>
  <si>
    <t>Miss H Lawrence</t>
  </si>
  <si>
    <t>STILLMOOR LEAP OF FAITH FOR LUDGATE</t>
  </si>
  <si>
    <t>AX01076901</t>
  </si>
  <si>
    <t>CH LAMLUX COQO AMALA FOR LUDGATE</t>
  </si>
  <si>
    <t>AR0905350</t>
  </si>
  <si>
    <t>TIBETAN TERRIER</t>
  </si>
  <si>
    <t>LUDGATE JAMILLUMINATION</t>
  </si>
  <si>
    <t>AS02766303</t>
  </si>
  <si>
    <t>LUDGATE NOTE TO SELF</t>
  </si>
  <si>
    <t>AV 03531501</t>
  </si>
  <si>
    <t>LUDGATE TRUELUX</t>
  </si>
  <si>
    <t>AX02364801</t>
  </si>
  <si>
    <t>Yvonne</t>
  </si>
  <si>
    <t>Leather</t>
  </si>
  <si>
    <t>B Pendleton</t>
  </si>
  <si>
    <t>shefford road</t>
  </si>
  <si>
    <t>clophill</t>
  </si>
  <si>
    <t>Bedfordshire</t>
  </si>
  <si>
    <t>MK454BT</t>
  </si>
  <si>
    <t>01525 862527</t>
  </si>
  <si>
    <t>yvonne.leather@yahoo.co.uk</t>
  </si>
  <si>
    <t>Yvonne Leather</t>
  </si>
  <si>
    <t>Westoning Hidden Gem</t>
  </si>
  <si>
    <t>KO271224</t>
  </si>
  <si>
    <t>Levell</t>
  </si>
  <si>
    <t>20 Wellfield Road</t>
  </si>
  <si>
    <t>Walsall</t>
  </si>
  <si>
    <t>West Midlands</t>
  </si>
  <si>
    <t>WS9 8JD</t>
  </si>
  <si>
    <t>jane.levell@hotmail.co.uk</t>
  </si>
  <si>
    <t>J F Levell</t>
  </si>
  <si>
    <t>Touch of Wexford Spirit</t>
  </si>
  <si>
    <t>K0268598</t>
  </si>
  <si>
    <t>Malaridge Wexford Thriler</t>
  </si>
  <si>
    <t>K138238</t>
  </si>
  <si>
    <t>Touch of Wexford Charm</t>
  </si>
  <si>
    <t>K167916</t>
  </si>
  <si>
    <t>Leverington</t>
  </si>
  <si>
    <t>3 Gosden Hill Road</t>
  </si>
  <si>
    <t>Guildford</t>
  </si>
  <si>
    <t>GU4 7JE</t>
  </si>
  <si>
    <t>01483 560395</t>
  </si>
  <si>
    <t>john.leverington1@virginmedia.com</t>
  </si>
  <si>
    <t>Captain Cuddle Bug</t>
  </si>
  <si>
    <t>K0274285</t>
  </si>
  <si>
    <t>NAMPARA'S GARRICK</t>
  </si>
  <si>
    <t>K152272</t>
  </si>
  <si>
    <t>JOHN</t>
  </si>
  <si>
    <t>LEVERINGTON</t>
  </si>
  <si>
    <t>SIR SNIFF A LOT</t>
  </si>
  <si>
    <t>K164902</t>
  </si>
  <si>
    <t>Lincoln</t>
  </si>
  <si>
    <t>47a Alfred Road</t>
  </si>
  <si>
    <t>Hastings</t>
  </si>
  <si>
    <t>E Sussex</t>
  </si>
  <si>
    <t>TN35 5HZ</t>
  </si>
  <si>
    <t>dianell66@googlemail.com</t>
  </si>
  <si>
    <t>Blimey Mr Riley</t>
  </si>
  <si>
    <t>K0268098</t>
  </si>
  <si>
    <t>Maddox</t>
  </si>
  <si>
    <t>11 Hazel Way</t>
  </si>
  <si>
    <t>Fetcham</t>
  </si>
  <si>
    <t>Leatherhead</t>
  </si>
  <si>
    <t>KT22 9QF</t>
  </si>
  <si>
    <t>01372 453868</t>
  </si>
  <si>
    <t>se.maddox@btopenworld.com</t>
  </si>
  <si>
    <t>Jesterbrock Flower Moon</t>
  </si>
  <si>
    <t>AZ14105803</t>
  </si>
  <si>
    <t>Bernese Mountain Dog</t>
  </si>
  <si>
    <t>Lucy</t>
  </si>
  <si>
    <t>Maguire</t>
  </si>
  <si>
    <t>8 Dents Close</t>
  </si>
  <si>
    <t>Marston</t>
  </si>
  <si>
    <t>Oxford</t>
  </si>
  <si>
    <t>England</t>
  </si>
  <si>
    <t>OX3 0NP</t>
  </si>
  <si>
    <t>lucymaguire1@btinternet.com</t>
  </si>
  <si>
    <t>Lucy Maguire</t>
  </si>
  <si>
    <t>Racing Robin AW(S)</t>
  </si>
  <si>
    <t>K149215</t>
  </si>
  <si>
    <t>Jack Russell Terrier</t>
  </si>
  <si>
    <t>Manning</t>
  </si>
  <si>
    <t>01795 478223</t>
  </si>
  <si>
    <t>Ms Lesley Manning</t>
  </si>
  <si>
    <t>Buskru Double Tayke</t>
  </si>
  <si>
    <t>K0276789</t>
  </si>
  <si>
    <t>Stormlake's Orka</t>
  </si>
  <si>
    <t>AT03445706</t>
  </si>
  <si>
    <t>Geman Shepherd</t>
  </si>
  <si>
    <t>Stormlake's Warrior</t>
  </si>
  <si>
    <t>AV02874801</t>
  </si>
  <si>
    <t>Martin</t>
  </si>
  <si>
    <t>3 West View</t>
  </si>
  <si>
    <t>Everleigh</t>
  </si>
  <si>
    <t>Marlborough</t>
  </si>
  <si>
    <t>SN8 3EY</t>
  </si>
  <si>
    <t>01264 850902</t>
  </si>
  <si>
    <t>wysemarque@gmail.com</t>
  </si>
  <si>
    <t>Ronasvoe Merry at Wysemarque</t>
  </si>
  <si>
    <t>BB0924134</t>
  </si>
  <si>
    <t>Wysemarque Keepsake</t>
  </si>
  <si>
    <t>AX02432703</t>
  </si>
  <si>
    <t>Wysemarque Worth the Wait</t>
  </si>
  <si>
    <t>AX02432702</t>
  </si>
  <si>
    <t>Eglwys Whizz at Wysemarque</t>
  </si>
  <si>
    <t>AV0905252</t>
  </si>
  <si>
    <t>Kirsty</t>
  </si>
  <si>
    <t>Maskell</t>
  </si>
  <si>
    <t>29 Broomhill Way</t>
  </si>
  <si>
    <t>SO504RL</t>
  </si>
  <si>
    <t>kirstymaskell@ymail.com</t>
  </si>
  <si>
    <t>Kirsty Maskell</t>
  </si>
  <si>
    <t>The Tobias Pod</t>
  </si>
  <si>
    <t>KO271841</t>
  </si>
  <si>
    <t>Hilary</t>
  </si>
  <si>
    <t>McCartney</t>
  </si>
  <si>
    <t>8 Oakwood Close</t>
  </si>
  <si>
    <t>Warsash</t>
  </si>
  <si>
    <t>SO31 9PW</t>
  </si>
  <si>
    <t>hilarymccartney@sky.com</t>
  </si>
  <si>
    <t>Sukha November Clary Sage</t>
  </si>
  <si>
    <t>AY05142702</t>
  </si>
  <si>
    <t>McDonnell</t>
  </si>
  <si>
    <t>5, St Mary's Close</t>
  </si>
  <si>
    <t>Nonington</t>
  </si>
  <si>
    <t>Dover</t>
  </si>
  <si>
    <t>CT15 4JX</t>
  </si>
  <si>
    <t>carfernon@gmail.com</t>
  </si>
  <si>
    <t>Fern McDonnell</t>
  </si>
  <si>
    <t>Celestial Blue Moon</t>
  </si>
  <si>
    <t>AV01570603</t>
  </si>
  <si>
    <t>No running orders please as have a long journey, left it too late to book camping on the Friday evening. Please let me know if a space comes available for a vw caddy camper (small van) thank you</t>
  </si>
  <si>
    <t>Dana</t>
  </si>
  <si>
    <t>McDowell</t>
  </si>
  <si>
    <t>303 Woodland</t>
  </si>
  <si>
    <t>GU12 4FY</t>
  </si>
  <si>
    <t>danamcdowell97@gmail.com</t>
  </si>
  <si>
    <t>Wakaduze Dotame</t>
  </si>
  <si>
    <t>BB24157801</t>
  </si>
  <si>
    <t>Nova Scotia duck tolling retriever</t>
  </si>
  <si>
    <t>McMahon</t>
  </si>
  <si>
    <t>14 Golding Road</t>
  </si>
  <si>
    <t>Sussex</t>
  </si>
  <si>
    <t>BN23 7AW</t>
  </si>
  <si>
    <t>01323 767730</t>
  </si>
  <si>
    <t>mcmahon54@btinternet.com</t>
  </si>
  <si>
    <t>Joevaness King of the Road</t>
  </si>
  <si>
    <t>BA19266703</t>
  </si>
  <si>
    <t>If running order, A dog please</t>
  </si>
  <si>
    <t>Joevaness Little Scarlett</t>
  </si>
  <si>
    <t>AW01293508</t>
  </si>
  <si>
    <t>susan</t>
  </si>
  <si>
    <t>mcmanus</t>
  </si>
  <si>
    <t>133 Chiltern Road</t>
  </si>
  <si>
    <t>Dunstable</t>
  </si>
  <si>
    <t>LU6 1ET</t>
  </si>
  <si>
    <t>01582 663009</t>
  </si>
  <si>
    <t>susan_mcmanus_03@hotmail.com</t>
  </si>
  <si>
    <t>susan mcmanus</t>
  </si>
  <si>
    <t>Mezzscoo Maverick</t>
  </si>
  <si>
    <t>AZ14575505</t>
  </si>
  <si>
    <t>Veronica</t>
  </si>
  <si>
    <t>migliorini</t>
  </si>
  <si>
    <t>31 Craigweil Lane</t>
  </si>
  <si>
    <t>Aldwick</t>
  </si>
  <si>
    <t>PO21 4AN</t>
  </si>
  <si>
    <t>01243 827550</t>
  </si>
  <si>
    <t>mrsveronica4@gmail.com</t>
  </si>
  <si>
    <t>Lanford Coco Cappuccino</t>
  </si>
  <si>
    <t>AY049774010</t>
  </si>
  <si>
    <t>Sinead</t>
  </si>
  <si>
    <t>Miller</t>
  </si>
  <si>
    <t>60 Tyrrell Gardens</t>
  </si>
  <si>
    <t>Weighmouth</t>
  </si>
  <si>
    <t>BH8 0LG</t>
  </si>
  <si>
    <t>miller.sinead@yahoo.co.uk</t>
  </si>
  <si>
    <t>Steel legend</t>
  </si>
  <si>
    <t>AZ16178603</t>
  </si>
  <si>
    <t>Boston Terrier</t>
  </si>
  <si>
    <t>Monk</t>
  </si>
  <si>
    <t>4 Robinsfield</t>
  </si>
  <si>
    <t>Boxmoor</t>
  </si>
  <si>
    <t>HP1 1RW</t>
  </si>
  <si>
    <t>01442 264760</t>
  </si>
  <si>
    <t>suesuemonk@virginmedia.com</t>
  </si>
  <si>
    <t>Ob Ch Janjelly Fuddled Boy</t>
  </si>
  <si>
    <t>KO261536</t>
  </si>
  <si>
    <t>Ob Ch Ruskath Knockout Image</t>
  </si>
  <si>
    <t>AV0901593</t>
  </si>
  <si>
    <t>Morley</t>
  </si>
  <si>
    <t>The Manor House</t>
  </si>
  <si>
    <t>Paley Street</t>
  </si>
  <si>
    <t>SL6 3JT</t>
  </si>
  <si>
    <t>01628 672030</t>
  </si>
  <si>
    <t>suestune@hotmail.com</t>
  </si>
  <si>
    <t>Miss S E Morley</t>
  </si>
  <si>
    <t>Honeylands Best Friends</t>
  </si>
  <si>
    <t>AZ15133302</t>
  </si>
  <si>
    <t>Kathlyn's Samui</t>
  </si>
  <si>
    <t>K163756</t>
  </si>
  <si>
    <t>Samui Possibly Pete</t>
  </si>
  <si>
    <t>K151160</t>
  </si>
  <si>
    <t>ANITA</t>
  </si>
  <si>
    <t>NEAL</t>
  </si>
  <si>
    <t>30 WARNERS ROAD</t>
  </si>
  <si>
    <t>NEWTON LONGVILLE</t>
  </si>
  <si>
    <t>MILTON KEYNES</t>
  </si>
  <si>
    <t>BUCKINGHAMSHIRE</t>
  </si>
  <si>
    <t>MK17 0BL</t>
  </si>
  <si>
    <t>01908 365127</t>
  </si>
  <si>
    <t>anitaneal@talktalk.net</t>
  </si>
  <si>
    <t>FIRETOUCH HE'ZZ SO SCRUMMY O.W.</t>
  </si>
  <si>
    <t>K162720</t>
  </si>
  <si>
    <t>WORKING SHEEPDOG</t>
  </si>
  <si>
    <t>ROY</t>
  </si>
  <si>
    <t>MR R T NEAL</t>
  </si>
  <si>
    <t>DODGIN THE ARTFUL DODGER</t>
  </si>
  <si>
    <t>K142946</t>
  </si>
  <si>
    <t>The Bungalow Woodlea Nurseries</t>
  </si>
  <si>
    <t>Wintershill, Durley</t>
  </si>
  <si>
    <t>SO322AH</t>
  </si>
  <si>
    <t>hijust.trish@googlemail.com</t>
  </si>
  <si>
    <t>Queensway lily of the valley</t>
  </si>
  <si>
    <t>AU03876801</t>
  </si>
  <si>
    <t>German Shorthaired Pointer</t>
  </si>
  <si>
    <t>Topfield Magic Sunrise</t>
  </si>
  <si>
    <t>AY10287901</t>
  </si>
  <si>
    <t>Nixon</t>
  </si>
  <si>
    <t>20 Hilltop Road</t>
  </si>
  <si>
    <t>RH2 7HL</t>
  </si>
  <si>
    <t>01737 244882</t>
  </si>
  <si>
    <t>wendyjnixon@btinternet.com</t>
  </si>
  <si>
    <t>Havastorm Maybe Dynamite</t>
  </si>
  <si>
    <t>AXO1751604</t>
  </si>
  <si>
    <t>Pierre</t>
  </si>
  <si>
    <t>Norfolk</t>
  </si>
  <si>
    <t>42, Ravens Avenue</t>
  </si>
  <si>
    <t>Halstead</t>
  </si>
  <si>
    <t>CO9 1YA</t>
  </si>
  <si>
    <t>thenorfolks@aol.com</t>
  </si>
  <si>
    <t>JAZZLOR SPIRIT IN THE SKY</t>
  </si>
  <si>
    <t>K0276559</t>
  </si>
  <si>
    <t>Deeann No Smoke Without Fire</t>
  </si>
  <si>
    <t>Ax00053705</t>
  </si>
  <si>
    <t>OB CH Mikared Andoria</t>
  </si>
  <si>
    <t>AT02415805</t>
  </si>
  <si>
    <t>NORTHFIELD</t>
  </si>
  <si>
    <t>54 Suffolk Drive</t>
  </si>
  <si>
    <t>SO533HW</t>
  </si>
  <si>
    <t>jackie.northfield@btinternet.com</t>
  </si>
  <si>
    <t>Mr Joe Northfield</t>
  </si>
  <si>
    <t>Capenato Leapyear Lass</t>
  </si>
  <si>
    <t>BB24193509</t>
  </si>
  <si>
    <t>Please see notes for my wife Jackie Northfield thanks</t>
  </si>
  <si>
    <t>Touch of Grace</t>
  </si>
  <si>
    <t>K156574</t>
  </si>
  <si>
    <t>Northfield</t>
  </si>
  <si>
    <t>Mrs Jackie Northfield</t>
  </si>
  <si>
    <t>Kaliazar Devine</t>
  </si>
  <si>
    <t>AS02721103</t>
  </si>
  <si>
    <t>As my husband Joe Northfield is partially sighted it would be helpful if we didn't both have a running order as I need to be able to take him to his ring.Thank you.</t>
  </si>
  <si>
    <t>Capenato Peacekeeper</t>
  </si>
  <si>
    <t>AX00077007</t>
  </si>
  <si>
    <t>Anne</t>
  </si>
  <si>
    <t>173 Princes Road</t>
  </si>
  <si>
    <t>DARTFORD</t>
  </si>
  <si>
    <t>DA1 3HP</t>
  </si>
  <si>
    <t>01322 226067</t>
  </si>
  <si>
    <t>northfielda@yahoo.co.uk</t>
  </si>
  <si>
    <t>Dodgin Iatka New Moon O.W.</t>
  </si>
  <si>
    <t>AW01507105</t>
  </si>
  <si>
    <t>Moshanta Made for Me O.W.</t>
  </si>
  <si>
    <t>AS00639403</t>
  </si>
  <si>
    <t>Nuttall</t>
  </si>
  <si>
    <t>3 Green Lane</t>
  </si>
  <si>
    <t>RG7 6LD</t>
  </si>
  <si>
    <t>clairenuttall73@icloud.com</t>
  </si>
  <si>
    <t>Lady Spot</t>
  </si>
  <si>
    <t>K152751</t>
  </si>
  <si>
    <t>Magical Mr Mouse</t>
  </si>
  <si>
    <t>K0274224</t>
  </si>
  <si>
    <t>O'Donnell</t>
  </si>
  <si>
    <t>13 Thelton Avenue</t>
  </si>
  <si>
    <t>Horsham</t>
  </si>
  <si>
    <t>RH12 3LS</t>
  </si>
  <si>
    <t>ellieodonnell@hotmail.co.uk</t>
  </si>
  <si>
    <t>Ellie O'Donnell</t>
  </si>
  <si>
    <t>Fablehawk Faramir ***</t>
  </si>
  <si>
    <t>BA20088906</t>
  </si>
  <si>
    <t>Theo</t>
  </si>
  <si>
    <t>theoodo@hotmail.com</t>
  </si>
  <si>
    <t>Theo O'Donnell</t>
  </si>
  <si>
    <t>Thanks For All the Fish</t>
  </si>
  <si>
    <t>K0261757</t>
  </si>
  <si>
    <t>Oaten</t>
  </si>
  <si>
    <t>65 Pensford Drive</t>
  </si>
  <si>
    <t>Langney</t>
  </si>
  <si>
    <t>BN23 7NX</t>
  </si>
  <si>
    <t>-</t>
  </si>
  <si>
    <t>ritaoaten@gmail.com</t>
  </si>
  <si>
    <t>Freyasway Rune Kano OW</t>
  </si>
  <si>
    <t>Ay07370402</t>
  </si>
  <si>
    <t>Osborne</t>
  </si>
  <si>
    <t>141 Desborough Avenue</t>
  </si>
  <si>
    <t>HP11 2ST</t>
  </si>
  <si>
    <t>jules3063@sky.com</t>
  </si>
  <si>
    <t>Ms J Osborne</t>
  </si>
  <si>
    <t>Dibley by Design</t>
  </si>
  <si>
    <t>K162452</t>
  </si>
  <si>
    <t>Tiffy Diamond with Astol</t>
  </si>
  <si>
    <t>K146097</t>
  </si>
  <si>
    <t>Westoning Klass Act</t>
  </si>
  <si>
    <t>K0266804</t>
  </si>
  <si>
    <t>Saartjie Gone with the Wind</t>
  </si>
  <si>
    <t>K142632</t>
  </si>
  <si>
    <t>Judith Jane</t>
  </si>
  <si>
    <t>Owen</t>
  </si>
  <si>
    <t>253 Castle Lane West</t>
  </si>
  <si>
    <t>BH8 9TG</t>
  </si>
  <si>
    <t>judi_jane@yahoo.co.uk</t>
  </si>
  <si>
    <t>Judith Jane Owen</t>
  </si>
  <si>
    <t>Little Eggington</t>
  </si>
  <si>
    <t>AZ15916705</t>
  </si>
  <si>
    <t>I am Stewarding for Lisa Paris on the Sunday and she has booked my camping for Friday and Saturday night.</t>
  </si>
  <si>
    <t>Bonnie Belgische Bonbon</t>
  </si>
  <si>
    <t>K0278113</t>
  </si>
  <si>
    <t>Belgian Shepherd Dog (Tervueren)</t>
  </si>
  <si>
    <t>geoff</t>
  </si>
  <si>
    <t>painting</t>
  </si>
  <si>
    <t>35 selsdon road</t>
  </si>
  <si>
    <t>addlestone</t>
  </si>
  <si>
    <t>surrey</t>
  </si>
  <si>
    <t>KT153HP</t>
  </si>
  <si>
    <t>geoff.painting@gmail.com</t>
  </si>
  <si>
    <t>Geoff Painting</t>
  </si>
  <si>
    <t>Lanlwyd Garwen Nov Ex</t>
  </si>
  <si>
    <t>AX03707106</t>
  </si>
  <si>
    <t>Lisa</t>
  </si>
  <si>
    <t>Paris</t>
  </si>
  <si>
    <t>28 Wordsworth Avenue</t>
  </si>
  <si>
    <t>BH8 9NS</t>
  </si>
  <si>
    <t>07970 981777</t>
  </si>
  <si>
    <t>lisajparis@hotmail.com</t>
  </si>
  <si>
    <t>Miss L J Paris</t>
  </si>
  <si>
    <t>Parisway chase the dream</t>
  </si>
  <si>
    <t>Aw00646306</t>
  </si>
  <si>
    <t>Parisway diablo</t>
  </si>
  <si>
    <t>Aso2742903</t>
  </si>
  <si>
    <t>Parisway quiz</t>
  </si>
  <si>
    <t>AQ02196304</t>
  </si>
  <si>
    <t>Justin</t>
  </si>
  <si>
    <t>Parker</t>
  </si>
  <si>
    <t>58 Tir Founder Fields</t>
  </si>
  <si>
    <t>Aberdare</t>
  </si>
  <si>
    <t>R.C.T.</t>
  </si>
  <si>
    <t>CF440DT</t>
  </si>
  <si>
    <t>07517 193537</t>
  </si>
  <si>
    <t>justin@jlparker.co.uk</t>
  </si>
  <si>
    <t>ValleyWolves Edward</t>
  </si>
  <si>
    <t>AW03040602</t>
  </si>
  <si>
    <t>Peachey</t>
  </si>
  <si>
    <t>22 Green Walk</t>
  </si>
  <si>
    <t>Seaford</t>
  </si>
  <si>
    <t>BN25 4LY</t>
  </si>
  <si>
    <t>01323 896426</t>
  </si>
  <si>
    <t>peachey.sue@outlook.com</t>
  </si>
  <si>
    <t>Sue Peachey</t>
  </si>
  <si>
    <t>Moonwater Golden Phoenix</t>
  </si>
  <si>
    <t>AT03691503</t>
  </si>
  <si>
    <t>Carishill Isobella</t>
  </si>
  <si>
    <t>AP00268508</t>
  </si>
  <si>
    <t>Childrey Platinum Pearl</t>
  </si>
  <si>
    <t>AZ15244106</t>
  </si>
  <si>
    <t>Tina</t>
  </si>
  <si>
    <t>Plowman</t>
  </si>
  <si>
    <t>35 Lytton Road</t>
  </si>
  <si>
    <t>BH1 4SH</t>
  </si>
  <si>
    <t>01202 789525</t>
  </si>
  <si>
    <t>d-plowman@sky.com</t>
  </si>
  <si>
    <t>Tina Plowman</t>
  </si>
  <si>
    <t>Kentwone come fly with me</t>
  </si>
  <si>
    <t>AY11433101</t>
  </si>
  <si>
    <t>Pembroke Corgi</t>
  </si>
  <si>
    <t>Plows</t>
  </si>
  <si>
    <t>53 Crewes Avenue</t>
  </si>
  <si>
    <t>CR6 9NZ</t>
  </si>
  <si>
    <t>linda.plows@hotmail.co.uk</t>
  </si>
  <si>
    <t>Linda Plows</t>
  </si>
  <si>
    <t>Tilemash Kyp</t>
  </si>
  <si>
    <t>K142450</t>
  </si>
  <si>
    <t>Tilemash Mr Quiz</t>
  </si>
  <si>
    <t>K0267043</t>
  </si>
  <si>
    <t>Jean</t>
  </si>
  <si>
    <t>Poguntke</t>
  </si>
  <si>
    <t>33 Shelley Road</t>
  </si>
  <si>
    <t>HP11 2UW</t>
  </si>
  <si>
    <t>01494 530878</t>
  </si>
  <si>
    <t>jeanpoguntke@gmail.com</t>
  </si>
  <si>
    <t>Hysteps Irish Danny Boy</t>
  </si>
  <si>
    <t>AZ15117707</t>
  </si>
  <si>
    <t>Lynda</t>
  </si>
  <si>
    <t>Potter</t>
  </si>
  <si>
    <t>33 kingsley road</t>
  </si>
  <si>
    <t>horley</t>
  </si>
  <si>
    <t>RH6 8HP</t>
  </si>
  <si>
    <t>lynda.pratt@blueyonder.co.uk</t>
  </si>
  <si>
    <t>Alpana Step In Style</t>
  </si>
  <si>
    <t>AQ03213805</t>
  </si>
  <si>
    <t>jane</t>
  </si>
  <si>
    <t>pottle</t>
  </si>
  <si>
    <t>1 featherstone</t>
  </si>
  <si>
    <t>blindley heath</t>
  </si>
  <si>
    <t>lingfield</t>
  </si>
  <si>
    <t>RH7 6JY</t>
  </si>
  <si>
    <t>jane@cleverpaws.org</t>
  </si>
  <si>
    <t>mrs j pottle</t>
  </si>
  <si>
    <t>Astra Kanga</t>
  </si>
  <si>
    <t>AS0902585</t>
  </si>
  <si>
    <t>Stewarding Saturday</t>
  </si>
  <si>
    <t>Havastorm Loop the Loop</t>
  </si>
  <si>
    <t>BB26757501</t>
  </si>
  <si>
    <t>Ob Ch Halligalli Have A Riot</t>
  </si>
  <si>
    <t>AW0906820</t>
  </si>
  <si>
    <t>Ob Ch Havastorm Lets Go Crazy</t>
  </si>
  <si>
    <t>AX01751605</t>
  </si>
  <si>
    <t>ruth</t>
  </si>
  <si>
    <t>poupard</t>
  </si>
  <si>
    <t>10 meadowside park</t>
  </si>
  <si>
    <t>common road</t>
  </si>
  <si>
    <t>RH7 6BY</t>
  </si>
  <si>
    <t>ruthpoupard@googlemail.com</t>
  </si>
  <si>
    <t>ruth poupard</t>
  </si>
  <si>
    <t>Birkcross Blackraven</t>
  </si>
  <si>
    <t>BA19103901</t>
  </si>
  <si>
    <t>Burraland Rocket man</t>
  </si>
  <si>
    <t>AZ12117603</t>
  </si>
  <si>
    <t>Shetland sheep dog</t>
  </si>
  <si>
    <t>esterbon circle of life</t>
  </si>
  <si>
    <t>AU00201101</t>
  </si>
  <si>
    <t>Dorit</t>
  </si>
  <si>
    <t>Powell</t>
  </si>
  <si>
    <t>Ikara</t>
  </si>
  <si>
    <t>Whatfield Road</t>
  </si>
  <si>
    <t>Naughton</t>
  </si>
  <si>
    <t>IP7 7BS</t>
  </si>
  <si>
    <t>dpowell41@sky.com</t>
  </si>
  <si>
    <t>Baratpataki Gida</t>
  </si>
  <si>
    <t>K163569</t>
  </si>
  <si>
    <t>Mudi</t>
  </si>
  <si>
    <t>Janos will be handled by Chris Powell</t>
  </si>
  <si>
    <t>Baratpataki Janos Buda</t>
  </si>
  <si>
    <t>K163568</t>
  </si>
  <si>
    <t>Pryke</t>
  </si>
  <si>
    <t>Chylowen</t>
  </si>
  <si>
    <t>North Road</t>
  </si>
  <si>
    <t>Alfriston</t>
  </si>
  <si>
    <t>BN265XD</t>
  </si>
  <si>
    <t>jap100@btinternet.com</t>
  </si>
  <si>
    <t>Seaposer ziggysurfsup</t>
  </si>
  <si>
    <t>AZ13077605</t>
  </si>
  <si>
    <t>Require camping for Friday 30th and Saturday 31st Stewarding for Jant Oliver</t>
  </si>
  <si>
    <t>Brian</t>
  </si>
  <si>
    <t>Reed</t>
  </si>
  <si>
    <t>Oakley Cottage, Oakley Farm</t>
  </si>
  <si>
    <t>Ringwood Road</t>
  </si>
  <si>
    <t>Three Legged Cross,  Wimborne</t>
  </si>
  <si>
    <t>BH216RA</t>
  </si>
  <si>
    <t>07971 560130</t>
  </si>
  <si>
    <t>sandymay2204@gmail.com</t>
  </si>
  <si>
    <t>Mr B J Reed &amp; Mrs S M Elliston</t>
  </si>
  <si>
    <t>Hanans Evie Wonder</t>
  </si>
  <si>
    <t>AX02312002</t>
  </si>
  <si>
    <t>Jodame Grand Finale</t>
  </si>
  <si>
    <t>K158791</t>
  </si>
  <si>
    <t>Goldendance Brambles Dame</t>
  </si>
  <si>
    <t>AS03233908</t>
  </si>
  <si>
    <t>Wild Rosemary Beattie</t>
  </si>
  <si>
    <t>AR01927903</t>
  </si>
  <si>
    <t>Maureen</t>
  </si>
  <si>
    <t>Rees</t>
  </si>
  <si>
    <t>15 Borrowdale Drive</t>
  </si>
  <si>
    <t>Sanderstead</t>
  </si>
  <si>
    <t>CR2 9JS</t>
  </si>
  <si>
    <t>eremos.labradors@btinternet.com</t>
  </si>
  <si>
    <t>Bowstones Piccolo with Eremos</t>
  </si>
  <si>
    <t>BA22683802</t>
  </si>
  <si>
    <t>Blazingjacks Top Gun with Eremos</t>
  </si>
  <si>
    <t>AZ14965704</t>
  </si>
  <si>
    <t>Eileen</t>
  </si>
  <si>
    <t>Restell</t>
  </si>
  <si>
    <t>The Woodlands</t>
  </si>
  <si>
    <t>Sevenoaks Way</t>
  </si>
  <si>
    <t>BR5 3JE</t>
  </si>
  <si>
    <t>0208 3026041</t>
  </si>
  <si>
    <t>troykai1@msn.com</t>
  </si>
  <si>
    <t>Mrs Eileen Restell</t>
  </si>
  <si>
    <t>Birkcross Ghost Rider</t>
  </si>
  <si>
    <t>AT00728903</t>
  </si>
  <si>
    <t>Buskru Deja Vu</t>
  </si>
  <si>
    <t>K0276308</t>
  </si>
  <si>
    <t>Chocha Moose</t>
  </si>
  <si>
    <t>K158779</t>
  </si>
  <si>
    <t>BC GSD X</t>
  </si>
  <si>
    <t>RICHARDS</t>
  </si>
  <si>
    <t>Downs farm house</t>
  </si>
  <si>
    <t>Curdridge lane</t>
  </si>
  <si>
    <t>SO32 2LQ</t>
  </si>
  <si>
    <t>07960 211946</t>
  </si>
  <si>
    <t>jo5maze.jr@gmail.com</t>
  </si>
  <si>
    <t>JOANNE RICHARDS</t>
  </si>
  <si>
    <t>Freebirds Heaven Sent</t>
  </si>
  <si>
    <t>AY11394201</t>
  </si>
  <si>
    <t>TRAIGH JUBILEE FIRECRACKER</t>
  </si>
  <si>
    <t>AP02596405</t>
  </si>
  <si>
    <t>Traigh Jubilee Flypast</t>
  </si>
  <si>
    <t>Ap0259604</t>
  </si>
  <si>
    <t>Michelle</t>
  </si>
  <si>
    <t>Richmond</t>
  </si>
  <si>
    <t>2, Island View</t>
  </si>
  <si>
    <t>Manchester Road, Sway</t>
  </si>
  <si>
    <t>SO41 6AS</t>
  </si>
  <si>
    <t>info@newforestdogtrainingacademy.com</t>
  </si>
  <si>
    <t>Syanne Quickstep Edition</t>
  </si>
  <si>
    <t>AZ17836703</t>
  </si>
  <si>
    <t>Grace Shawyer YKC number 37551 is the handler for Syanne Quick Step Edition</t>
  </si>
  <si>
    <t>Ghostland Copper's Legacy OW</t>
  </si>
  <si>
    <t>AW02028701</t>
  </si>
  <si>
    <t>Ob Ch Caldonbeck Perfect Storm OW</t>
  </si>
  <si>
    <t>AS02374402</t>
  </si>
  <si>
    <t>jacky</t>
  </si>
  <si>
    <t>Roddick</t>
  </si>
  <si>
    <t>old barn</t>
  </si>
  <si>
    <t>the street</t>
  </si>
  <si>
    <t>wramplingham, wymondham</t>
  </si>
  <si>
    <t>NR18 0RU</t>
  </si>
  <si>
    <t>jacky.roddick@sky.com</t>
  </si>
  <si>
    <t>Tigrys Golden Starlight</t>
  </si>
  <si>
    <t>K0260062</t>
  </si>
  <si>
    <t>Don‚Äôt mind a running order in B if needs be . Ta</t>
  </si>
  <si>
    <t>Malaridge Bright Star</t>
  </si>
  <si>
    <t>K0272939</t>
  </si>
  <si>
    <t>ANN</t>
  </si>
  <si>
    <t>ROGERS</t>
  </si>
  <si>
    <t>163 MONMOUTH DRIVE</t>
  </si>
  <si>
    <t>BOLDMERE</t>
  </si>
  <si>
    <t>SUTTON COLDFIELD</t>
  </si>
  <si>
    <t>WEST MIDLANDS</t>
  </si>
  <si>
    <t>B73 6JR</t>
  </si>
  <si>
    <t>0121 241 4323</t>
  </si>
  <si>
    <t>arogers163@hotmail.co.uk</t>
  </si>
  <si>
    <t>ANN ROGERS</t>
  </si>
  <si>
    <t>TOUCH OF YABBA DABBA DOO</t>
  </si>
  <si>
    <t>KC0268482</t>
  </si>
  <si>
    <t>TOUCH OF DAZZLING DELIGHT</t>
  </si>
  <si>
    <t>K168035</t>
  </si>
  <si>
    <t>TOUCH OF POLKA DOT DELITE</t>
  </si>
  <si>
    <t>K157523</t>
  </si>
  <si>
    <t>Kim</t>
  </si>
  <si>
    <t>16 Brook Avenue</t>
  </si>
  <si>
    <t>Weybourne</t>
  </si>
  <si>
    <t>Farnham</t>
  </si>
  <si>
    <t>GU9 9HB</t>
  </si>
  <si>
    <t>kymruss@aol.com</t>
  </si>
  <si>
    <t>Atta Boy Dave</t>
  </si>
  <si>
    <t>K0265947</t>
  </si>
  <si>
    <t>Heather</t>
  </si>
  <si>
    <t>Sale</t>
  </si>
  <si>
    <t>39 Eight Acres</t>
  </si>
  <si>
    <t>Eight Acres</t>
  </si>
  <si>
    <t>Hindhead</t>
  </si>
  <si>
    <t>GU26 6RY</t>
  </si>
  <si>
    <t>01428 480472</t>
  </si>
  <si>
    <t>heathersale@yahoo.co.uk</t>
  </si>
  <si>
    <t>Heather Sale</t>
  </si>
  <si>
    <t>Draketor Dartmoor Star at Cloudfall</t>
  </si>
  <si>
    <t>AT02245206</t>
  </si>
  <si>
    <t>Free Spirit Black Brianta at Cloudfall (Imp Cze)</t>
  </si>
  <si>
    <t>AW0901994</t>
  </si>
  <si>
    <t>Velma</t>
  </si>
  <si>
    <t>Sellens</t>
  </si>
  <si>
    <t>Fishponds View</t>
  </si>
  <si>
    <t>Barley Lane</t>
  </si>
  <si>
    <t>TN35 5DU</t>
  </si>
  <si>
    <t>01424 441238</t>
  </si>
  <si>
    <t>sellensv@aol.com</t>
  </si>
  <si>
    <t>Velma Sellens</t>
  </si>
  <si>
    <t>Seaposer Rum Grog (BB2)</t>
  </si>
  <si>
    <t>BB24339801</t>
  </si>
  <si>
    <t>Seaposer Storm Lyra</t>
  </si>
  <si>
    <t>AZ13077601</t>
  </si>
  <si>
    <t>Sergiew</t>
  </si>
  <si>
    <t>Avon Dassett</t>
  </si>
  <si>
    <t>Southam</t>
  </si>
  <si>
    <t>Warks</t>
  </si>
  <si>
    <t>CV47 2AP</t>
  </si>
  <si>
    <t>lisa-southcott@hotmail.com</t>
  </si>
  <si>
    <t>Lisa Sergiew</t>
  </si>
  <si>
    <t>Izzabella Tinkerbell</t>
  </si>
  <si>
    <t>AT01053703</t>
  </si>
  <si>
    <t>Milesend Honeysuckle</t>
  </si>
  <si>
    <t>BB24929302</t>
  </si>
  <si>
    <t>Mo</t>
  </si>
  <si>
    <t>Shamsolmaali</t>
  </si>
  <si>
    <t>66 Springfield Avenue</t>
  </si>
  <si>
    <t>SW20 9JU</t>
  </si>
  <si>
    <t>020 8540 5998</t>
  </si>
  <si>
    <t>mojdeh.shamsolmaali@gmail.com</t>
  </si>
  <si>
    <t>Razkiah Thunderstorm</t>
  </si>
  <si>
    <t>BA20923007</t>
  </si>
  <si>
    <t>Borderlair Busby Boots</t>
  </si>
  <si>
    <t>K156723</t>
  </si>
  <si>
    <t>Jacqueline</t>
  </si>
  <si>
    <t>Shore</t>
  </si>
  <si>
    <t>16 Single Hill</t>
  </si>
  <si>
    <t>Shoscombe</t>
  </si>
  <si>
    <t>BANES</t>
  </si>
  <si>
    <t>BA2 8LZ</t>
  </si>
  <si>
    <t>shorej27@yahoo.co.uk</t>
  </si>
  <si>
    <t>Briztollie I Have A Dream</t>
  </si>
  <si>
    <t>BB24763706</t>
  </si>
  <si>
    <t>Tivalake Sure Thing Nov. Ex.</t>
  </si>
  <si>
    <t>AW02352703</t>
  </si>
  <si>
    <t>Barbara</t>
  </si>
  <si>
    <t>Short</t>
  </si>
  <si>
    <t>Colliecorner</t>
  </si>
  <si>
    <t>9 Cromwell Grove</t>
  </si>
  <si>
    <t>Caterham on the Hill</t>
  </si>
  <si>
    <t>CR3 5JH</t>
  </si>
  <si>
    <t>colliecorner@hotmail.co.uk</t>
  </si>
  <si>
    <t>Barbara Short</t>
  </si>
  <si>
    <t>Classic Dream Finale</t>
  </si>
  <si>
    <t>K0263141</t>
  </si>
  <si>
    <t>Run order A bitch with Classic Dream finale if required or B dog meisterwerk thanks</t>
  </si>
  <si>
    <t>Meisterwerk Panda Nov.ex</t>
  </si>
  <si>
    <t>AU00741106</t>
  </si>
  <si>
    <t>Regelblu sweet as the night</t>
  </si>
  <si>
    <t>BB26749704</t>
  </si>
  <si>
    <t>Sarkam Just a Dream ('A' Ex.)</t>
  </si>
  <si>
    <t>AV0901434</t>
  </si>
  <si>
    <t>Shortt</t>
  </si>
  <si>
    <t>Dunromin 313 Marlow Bottom road</t>
  </si>
  <si>
    <t>Marlow</t>
  </si>
  <si>
    <t>SL7 3QF</t>
  </si>
  <si>
    <t>lindashortt@yahoo.co.uk</t>
  </si>
  <si>
    <t>Ann Shortt</t>
  </si>
  <si>
    <t>Darian Fine Romance</t>
  </si>
  <si>
    <t>AZ16158702</t>
  </si>
  <si>
    <t>Darian had me at hello</t>
  </si>
  <si>
    <t>AU00555103</t>
  </si>
  <si>
    <t>Laura</t>
  </si>
  <si>
    <t>Simpson-Hall</t>
  </si>
  <si>
    <t>practisemakespawfect@gmail.com</t>
  </si>
  <si>
    <t>Laura Simpson-Hall</t>
  </si>
  <si>
    <t>Fairways Kira Crimes (NAF)</t>
  </si>
  <si>
    <t>Smith</t>
  </si>
  <si>
    <t>7 Charlwood Drive</t>
  </si>
  <si>
    <t>Oxshott, Leatherhead</t>
  </si>
  <si>
    <t>KT22 0HB</t>
  </si>
  <si>
    <t>sheilapuppyclass7@btinternet.com</t>
  </si>
  <si>
    <t>Sheila Smith</t>
  </si>
  <si>
    <t>BIRKCROSS RAZZLE DAZZLE</t>
  </si>
  <si>
    <t>at00728904</t>
  </si>
  <si>
    <t>MIRAJE WINTERFELL</t>
  </si>
  <si>
    <t>AX04011505</t>
  </si>
  <si>
    <t>Jenny</t>
  </si>
  <si>
    <t>21 Park Avenue</t>
  </si>
  <si>
    <t>CR3 6AH</t>
  </si>
  <si>
    <t>01883 342411</t>
  </si>
  <si>
    <t>j.smith1777@icloud.com</t>
  </si>
  <si>
    <t>Jenny Smith</t>
  </si>
  <si>
    <t>Borderpride Laced in Dreams</t>
  </si>
  <si>
    <t>BB23509206</t>
  </si>
  <si>
    <t>Borderpride Time for Magic</t>
  </si>
  <si>
    <t>AU02728102</t>
  </si>
  <si>
    <t>Rosemary</t>
  </si>
  <si>
    <t>Sparkes</t>
  </si>
  <si>
    <t>235 London Road</t>
  </si>
  <si>
    <t>Hailsham</t>
  </si>
  <si>
    <t>BN273AR</t>
  </si>
  <si>
    <t>01323 842362</t>
  </si>
  <si>
    <t>rosesparkes@gmail.com</t>
  </si>
  <si>
    <t>Freyasway Laguz Flow</t>
  </si>
  <si>
    <t>AY07370401</t>
  </si>
  <si>
    <t>Louise</t>
  </si>
  <si>
    <t>Spenceley</t>
  </si>
  <si>
    <t>133 Croydon Road</t>
  </si>
  <si>
    <t>Beddington</t>
  </si>
  <si>
    <t>CR0 4QJ</t>
  </si>
  <si>
    <t>quilters1@btinternet.com</t>
  </si>
  <si>
    <t>Louise Spenceley</t>
  </si>
  <si>
    <t>Quilters  Kingfisher</t>
  </si>
  <si>
    <t>AV04506002</t>
  </si>
  <si>
    <t>please note that on Sunday i will be handling for Marguerite Greening and Jan King, thanks</t>
  </si>
  <si>
    <t>Amberslade Black Magic</t>
  </si>
  <si>
    <t>BB26814007</t>
  </si>
  <si>
    <t>Kingsfarm Black Caviare at Quilters B.Ex</t>
  </si>
  <si>
    <t>K144272</t>
  </si>
  <si>
    <t>Woughstock Wotch Fire at Quilters</t>
  </si>
  <si>
    <t>AT04151603</t>
  </si>
  <si>
    <t>Spencer</t>
  </si>
  <si>
    <t>Ashton Gate</t>
  </si>
  <si>
    <t>4 Ridgeway View</t>
  </si>
  <si>
    <t>Pitstone</t>
  </si>
  <si>
    <t>LU7 9AR</t>
  </si>
  <si>
    <t>01296 662399</t>
  </si>
  <si>
    <t>carolspencer54@gmail.com</t>
  </si>
  <si>
    <t>Carol Spencer</t>
  </si>
  <si>
    <t>Darkbeck Falcon</t>
  </si>
  <si>
    <t>BA18364201</t>
  </si>
  <si>
    <t>Och Aye The Goose</t>
  </si>
  <si>
    <t>K166390</t>
  </si>
  <si>
    <t>Teresa</t>
  </si>
  <si>
    <t>Squires</t>
  </si>
  <si>
    <t>11 Heywood Green</t>
  </si>
  <si>
    <t>SO19 6GA</t>
  </si>
  <si>
    <t>07906 690040</t>
  </si>
  <si>
    <t>tsquires1971@yahoo.co.uk</t>
  </si>
  <si>
    <t>Teresa Squires</t>
  </si>
  <si>
    <t>Hakuna Matata No Worries</t>
  </si>
  <si>
    <t>K0269070</t>
  </si>
  <si>
    <t>If I have a running order, can I please have it in pre-beginners. Thank you</t>
  </si>
  <si>
    <t>Geraldine</t>
  </si>
  <si>
    <t>Steadman</t>
  </si>
  <si>
    <t>27 Holly Walk</t>
  </si>
  <si>
    <t>Silsoe</t>
  </si>
  <si>
    <t>MK45 4EB</t>
  </si>
  <si>
    <t>geraldinesteadman@hotmail.com</t>
  </si>
  <si>
    <t>Geraldine Steadman</t>
  </si>
  <si>
    <t>Stubleywood Tantivy Tam</t>
  </si>
  <si>
    <t>AT02194304</t>
  </si>
  <si>
    <t>OB. CH. Firetouch Great Xpectation</t>
  </si>
  <si>
    <t>K0261995</t>
  </si>
  <si>
    <t>June</t>
  </si>
  <si>
    <t>Stenning</t>
  </si>
  <si>
    <t>106 Hangleton Valley Drive</t>
  </si>
  <si>
    <t>BN3 8EJ</t>
  </si>
  <si>
    <t>lisapierce0611@outlook.com</t>
  </si>
  <si>
    <t>Malaridge Starshine</t>
  </si>
  <si>
    <t>K0272867</t>
  </si>
  <si>
    <t>Stewart</t>
  </si>
  <si>
    <t>11 First Avenue</t>
  </si>
  <si>
    <t>Queenborough</t>
  </si>
  <si>
    <t>ME11 5JF</t>
  </si>
  <si>
    <t>01795 585401</t>
  </si>
  <si>
    <t>carol@mojucabordercollies.com</t>
  </si>
  <si>
    <t>Mrs C A Stewart</t>
  </si>
  <si>
    <t>Easthoath Caesar For Mojuca</t>
  </si>
  <si>
    <t>BB25069309</t>
  </si>
  <si>
    <t>RETRIEVER(LABRADOR)</t>
  </si>
  <si>
    <t>Mojuca King of Hearts</t>
  </si>
  <si>
    <t>AV00346305</t>
  </si>
  <si>
    <t>Lorraine</t>
  </si>
  <si>
    <t>Stubbs</t>
  </si>
  <si>
    <t>One Acre</t>
  </si>
  <si>
    <t>38 Church Lane</t>
  </si>
  <si>
    <t>Colden Common</t>
  </si>
  <si>
    <t>SO21 1TP</t>
  </si>
  <si>
    <t>07799 370811</t>
  </si>
  <si>
    <t>lorraine.stubbs@btinternet.com</t>
  </si>
  <si>
    <t>Vonlisand Kraken Alkonost</t>
  </si>
  <si>
    <t>BA2174608</t>
  </si>
  <si>
    <t>Gaynor</t>
  </si>
  <si>
    <t>Taylor</t>
  </si>
  <si>
    <t>Westways</t>
  </si>
  <si>
    <t>Westerham</t>
  </si>
  <si>
    <t>TN16 1TT</t>
  </si>
  <si>
    <t>gaynor267@btinternet.com</t>
  </si>
  <si>
    <t>Miss Gaynor Taylor</t>
  </si>
  <si>
    <t>TORINSKA IT'S MY LIFE</t>
  </si>
  <si>
    <t>BB23136401</t>
  </si>
  <si>
    <t>English SHETLAND SHEEP DOG</t>
  </si>
  <si>
    <t>Torinska Ribbon in the sky</t>
  </si>
  <si>
    <t>AZ12190902</t>
  </si>
  <si>
    <t>Daniel</t>
  </si>
  <si>
    <t>Thompson</t>
  </si>
  <si>
    <t>5 Press Road</t>
  </si>
  <si>
    <t>Uxbridge</t>
  </si>
  <si>
    <t>Middx</t>
  </si>
  <si>
    <t>UB8 1AT</t>
  </si>
  <si>
    <t>dan_0028@me.com</t>
  </si>
  <si>
    <t>Zakanja Baa Baa</t>
  </si>
  <si>
    <t>AZ12009208</t>
  </si>
  <si>
    <t>Betsy</t>
  </si>
  <si>
    <t>Thorley</t>
  </si>
  <si>
    <t>17 Dunmow Road</t>
  </si>
  <si>
    <t>Andover</t>
  </si>
  <si>
    <t>SP10 2DQ</t>
  </si>
  <si>
    <t>01264 352099</t>
  </si>
  <si>
    <t>baylissthorley@gmail.com</t>
  </si>
  <si>
    <t>Redcharisma Midnight Rider</t>
  </si>
  <si>
    <t>AV04798101</t>
  </si>
  <si>
    <t>Suzy</t>
  </si>
  <si>
    <t>Tooley</t>
  </si>
  <si>
    <t>58 Church End ,</t>
  </si>
  <si>
    <t>Steppingley</t>
  </si>
  <si>
    <t>Bedford</t>
  </si>
  <si>
    <t>MK45 5AU</t>
  </si>
  <si>
    <t>keenmachine@yahoo.co.uk</t>
  </si>
  <si>
    <t>Malaridge star Talent</t>
  </si>
  <si>
    <t>K0272868</t>
  </si>
  <si>
    <t>woughstock wotch this space</t>
  </si>
  <si>
    <t>AT04151601</t>
  </si>
  <si>
    <t>Turner</t>
  </si>
  <si>
    <t>Fircrest</t>
  </si>
  <si>
    <t>Linden Road</t>
  </si>
  <si>
    <t>Headley Down</t>
  </si>
  <si>
    <t>GU35 8EN</t>
  </si>
  <si>
    <t>0780 5299347</t>
  </si>
  <si>
    <t>chrisgsd99@gmail.com</t>
  </si>
  <si>
    <t>Falkenwald Carbon</t>
  </si>
  <si>
    <t>AY06903701</t>
  </si>
  <si>
    <t>Helmpack shaded Loki</t>
  </si>
  <si>
    <t>BA22484508</t>
  </si>
  <si>
    <t>Lilian</t>
  </si>
  <si>
    <t>The Bungalow</t>
  </si>
  <si>
    <t>25, Sandys Close</t>
  </si>
  <si>
    <t>RG22 6AR</t>
  </si>
  <si>
    <t>N/A</t>
  </si>
  <si>
    <t>lilian.doghouse25@gmail.com</t>
  </si>
  <si>
    <t>Lilian Turner</t>
  </si>
  <si>
    <t>Coverackcove Our Macha</t>
  </si>
  <si>
    <t>AW02348902</t>
  </si>
  <si>
    <t>Papillon</t>
  </si>
  <si>
    <t>do I get one free?   Not staying Sunday night.</t>
  </si>
  <si>
    <t>Melcette Hello Bud</t>
  </si>
  <si>
    <t>AP01461603</t>
  </si>
  <si>
    <t>Dinmore Moonbeam</t>
  </si>
  <si>
    <t>BA21587902</t>
  </si>
  <si>
    <t>Jo</t>
  </si>
  <si>
    <t>Tuttle</t>
  </si>
  <si>
    <t>1 The Orchard</t>
  </si>
  <si>
    <t>Robertfield</t>
  </si>
  <si>
    <t>Thatcham</t>
  </si>
  <si>
    <t>RG19 3TW</t>
  </si>
  <si>
    <t>jo.tuttle@btinternet.com</t>
  </si>
  <si>
    <t>Laverko One Day More</t>
  </si>
  <si>
    <t>AX00497505</t>
  </si>
  <si>
    <t>Rottweiler</t>
  </si>
  <si>
    <t>Laverko Defying Gravity</t>
  </si>
  <si>
    <t>AX00497501</t>
  </si>
  <si>
    <t>Margaret</t>
  </si>
  <si>
    <t>Uglow</t>
  </si>
  <si>
    <t>32 Cygnet Drive</t>
  </si>
  <si>
    <t>Durrington</t>
  </si>
  <si>
    <t>SP4 8LQ</t>
  </si>
  <si>
    <t>m.uglow@talk21.com</t>
  </si>
  <si>
    <t>Caleykiz Drive With Power RL2Ex</t>
  </si>
  <si>
    <t>AZ15253601</t>
  </si>
  <si>
    <t>Usen</t>
  </si>
  <si>
    <t>7 Sunrise Avenue</t>
  </si>
  <si>
    <t>Bishops Cleeve</t>
  </si>
  <si>
    <t>GL52 8EP</t>
  </si>
  <si>
    <t>claire.usen@googlemail.com</t>
  </si>
  <si>
    <t>Mischief Mouse</t>
  </si>
  <si>
    <t>AV02027502</t>
  </si>
  <si>
    <t>Marianne</t>
  </si>
  <si>
    <t>van Gils</t>
  </si>
  <si>
    <t>Little Millham</t>
  </si>
  <si>
    <t>Mountfield</t>
  </si>
  <si>
    <t>Robertsbridge</t>
  </si>
  <si>
    <t>TN32 5JU</t>
  </si>
  <si>
    <t>wagginmutt@gmail.com</t>
  </si>
  <si>
    <t>Marianne van Gils</t>
  </si>
  <si>
    <t>Ruddleberry McFly Of Wagginmutt</t>
  </si>
  <si>
    <t>BA21007304</t>
  </si>
  <si>
    <t>Ruddleberry Copper Beech Of Wagginmutt</t>
  </si>
  <si>
    <t>AY07023809</t>
  </si>
  <si>
    <t>Bawdenflight Farkleberry At Wagginmutt OW</t>
  </si>
  <si>
    <t>AT03595704</t>
  </si>
  <si>
    <t>Neil</t>
  </si>
  <si>
    <t>Varns</t>
  </si>
  <si>
    <t>16 holly Lea</t>
  </si>
  <si>
    <t>Jacobs Well</t>
  </si>
  <si>
    <t>GU47PG</t>
  </si>
  <si>
    <t>neil.varns@ntlworld.com</t>
  </si>
  <si>
    <t>Neil Varns</t>
  </si>
  <si>
    <t>BIRKCROSS KIRA`S THE ONE</t>
  </si>
  <si>
    <t>BA20197401</t>
  </si>
  <si>
    <t>Peter</t>
  </si>
  <si>
    <t>Venables</t>
  </si>
  <si>
    <t>The Old Post Office, 17 Elm Fi</t>
  </si>
  <si>
    <t>Romney Marsh</t>
  </si>
  <si>
    <t>TN29 9SN</t>
  </si>
  <si>
    <t>valpeterbbk@btconnect.com</t>
  </si>
  <si>
    <t>Firetouch He'zz Kynda Hot</t>
  </si>
  <si>
    <t>K162724</t>
  </si>
  <si>
    <t>Ob Ch Firetouch Super Girlee</t>
  </si>
  <si>
    <t>AUO906740</t>
  </si>
  <si>
    <t>Verrill</t>
  </si>
  <si>
    <t>39 Manorbier Crescent</t>
  </si>
  <si>
    <t>Rumney</t>
  </si>
  <si>
    <t>Cardiff</t>
  </si>
  <si>
    <t>Wales</t>
  </si>
  <si>
    <t>CF3 3ND</t>
  </si>
  <si>
    <t>mishkd@gmail.com</t>
  </si>
  <si>
    <t>Itsjaros No Doubt OW Cex</t>
  </si>
  <si>
    <t>K142608</t>
  </si>
  <si>
    <t>Judging Sunday _x000D_
Camping sat night please ._x000D_
_x000D_
Please draw Hero in C _x000D_
Many thanks</t>
  </si>
  <si>
    <t>Sixela Riding Shotgun</t>
  </si>
  <si>
    <t>K167278</t>
  </si>
  <si>
    <t>Sixela Rising Sun</t>
  </si>
  <si>
    <t>AWO4286205</t>
  </si>
  <si>
    <t>Sixela Twenty Four Seven</t>
  </si>
  <si>
    <t>KT01009207</t>
  </si>
  <si>
    <t>Touch of  Ultra Violet</t>
  </si>
  <si>
    <t>K0268396</t>
  </si>
  <si>
    <t>Kathryn</t>
  </si>
  <si>
    <t>Warren</t>
  </si>
  <si>
    <t>15 Witham Close</t>
  </si>
  <si>
    <t>Chandler's Ford</t>
  </si>
  <si>
    <t>SO53 4TJ</t>
  </si>
  <si>
    <t>oopqoo@zoho.com</t>
  </si>
  <si>
    <t>Coldelee Jupiter Rises With Blamorder JW</t>
  </si>
  <si>
    <t>AZ13652101</t>
  </si>
  <si>
    <t>Collie (Smooth)</t>
  </si>
  <si>
    <t>Watson</t>
  </si>
  <si>
    <t>Holly Cottage</t>
  </si>
  <si>
    <t>49 The Street</t>
  </si>
  <si>
    <t>RG24 7BX</t>
  </si>
  <si>
    <t>0791 770 1691</t>
  </si>
  <si>
    <t>angela.pgd@hotmail.co.uk</t>
  </si>
  <si>
    <t>Angela Watson</t>
  </si>
  <si>
    <t>Hanans Golden Liberty @Wygulmut</t>
  </si>
  <si>
    <t>AX02312007</t>
  </si>
  <si>
    <t>If I am to have a running order can it please be with Corneroak Golden Courage in Class B if possible. Thank you :-)</t>
  </si>
  <si>
    <t>Corneroak Golden Courage @Wygulmut</t>
  </si>
  <si>
    <t>AS04244406</t>
  </si>
  <si>
    <t>Webb</t>
  </si>
  <si>
    <t>10 Bowling Green</t>
  </si>
  <si>
    <t>Farthinghoe</t>
  </si>
  <si>
    <t>Nr Brackley</t>
  </si>
  <si>
    <t>NN13 5PQ</t>
  </si>
  <si>
    <t>webbeddiver@aol.com</t>
  </si>
  <si>
    <t>Firetouch Red Theine</t>
  </si>
  <si>
    <t>AX01016702</t>
  </si>
  <si>
    <t>29 Long Mickle</t>
  </si>
  <si>
    <t>Sandhurst</t>
  </si>
  <si>
    <t>GU47 8QN</t>
  </si>
  <si>
    <t>kathypwebb@gmail.com</t>
  </si>
  <si>
    <t>Kathleen Webb</t>
  </si>
  <si>
    <t>Ditsy Dorothy (BB1)</t>
  </si>
  <si>
    <t>KO273785</t>
  </si>
  <si>
    <t>Avis</t>
  </si>
  <si>
    <t>30 Wickham Court</t>
  </si>
  <si>
    <t>Southwick Road, North Boarhunt</t>
  </si>
  <si>
    <t>Fareham</t>
  </si>
  <si>
    <t>PO17 6JS</t>
  </si>
  <si>
    <t>avisfay@aol.com</t>
  </si>
  <si>
    <t>Sunmarca Dark Star (Nov Ex)</t>
  </si>
  <si>
    <t>AVO1205002</t>
  </si>
  <si>
    <t>Sunmarca Moon Walker</t>
  </si>
  <si>
    <t>AX03032801</t>
  </si>
  <si>
    <t>Wheaton</t>
  </si>
  <si>
    <t>3 Whitley Way</t>
  </si>
  <si>
    <t>New Milton</t>
  </si>
  <si>
    <t>BH255ET</t>
  </si>
  <si>
    <t>origintes@btinternet.com</t>
  </si>
  <si>
    <t>Mrs. Judith Wheaton</t>
  </si>
  <si>
    <t>Alpana Touch of Style</t>
  </si>
  <si>
    <t>AQ03213806</t>
  </si>
  <si>
    <t>Kissimmee Ripple</t>
  </si>
  <si>
    <t>K165048</t>
  </si>
  <si>
    <t>Creme Koekje</t>
  </si>
  <si>
    <t>K0267935</t>
  </si>
  <si>
    <t>Wheeler</t>
  </si>
  <si>
    <t>12 High Wickham</t>
  </si>
  <si>
    <t>TN35 5PB</t>
  </si>
  <si>
    <t>sally.e.wheeler@hotmail.co.uk</t>
  </si>
  <si>
    <t>Firetouch Great Wizard</t>
  </si>
  <si>
    <t>K0261994</t>
  </si>
  <si>
    <t>Seaposer Boatman Zacharias</t>
  </si>
  <si>
    <t>AV0901697</t>
  </si>
  <si>
    <t>White</t>
  </si>
  <si>
    <t>The Bungalow, The Street</t>
  </si>
  <si>
    <t>West Winterslow</t>
  </si>
  <si>
    <t>SP5 1RY</t>
  </si>
  <si>
    <t>etihwam@btinternet.com</t>
  </si>
  <si>
    <t>Winters Black Falcon</t>
  </si>
  <si>
    <t>F5-07952-2022</t>
  </si>
  <si>
    <t>Winters Red Kite</t>
  </si>
  <si>
    <t>K157203</t>
  </si>
  <si>
    <t>Durlock</t>
  </si>
  <si>
    <t>Hill Road        Fairlight</t>
  </si>
  <si>
    <t>TN35 4AE</t>
  </si>
  <si>
    <t>lizwhite7@btinternet.com</t>
  </si>
  <si>
    <t>Pepsanner Firefly</t>
  </si>
  <si>
    <t>AW03162701</t>
  </si>
  <si>
    <t>Sharan</t>
  </si>
  <si>
    <t>Wicks</t>
  </si>
  <si>
    <t>7 Heathermount</t>
  </si>
  <si>
    <t>RG12 9QF</t>
  </si>
  <si>
    <t>01344 440757</t>
  </si>
  <si>
    <t>sharan.wicks@gmail.com</t>
  </si>
  <si>
    <t>Longwaves What a Hullabaroo</t>
  </si>
  <si>
    <t>AZ13080707</t>
  </si>
  <si>
    <t>Kerry</t>
  </si>
  <si>
    <t>Wiggins</t>
  </si>
  <si>
    <t>Leisure</t>
  </si>
  <si>
    <t>Green Lane</t>
  </si>
  <si>
    <t>Pamber Green, Tadley</t>
  </si>
  <si>
    <t>RG26 3AD</t>
  </si>
  <si>
    <t>01256 889649</t>
  </si>
  <si>
    <t>kerrywigginscareersadviser@gmail.com</t>
  </si>
  <si>
    <t>Kerry Wiggins</t>
  </si>
  <si>
    <t>Nantsannan Jac</t>
  </si>
  <si>
    <t>AVO3413204</t>
  </si>
  <si>
    <t>Williams</t>
  </si>
  <si>
    <t>3 Pudds Cross Cottages</t>
  </si>
  <si>
    <t>Pudds Cross</t>
  </si>
  <si>
    <t>Bovingdon</t>
  </si>
  <si>
    <t>HP3 0NJ</t>
  </si>
  <si>
    <t>07867 977382</t>
  </si>
  <si>
    <t>clare@puddscross.com</t>
  </si>
  <si>
    <t>Miss C F Williams</t>
  </si>
  <si>
    <t>Russell Sprout</t>
  </si>
  <si>
    <t>K144941</t>
  </si>
  <si>
    <t>Turnip Forthebooks</t>
  </si>
  <si>
    <t>K0276841</t>
  </si>
  <si>
    <t>Mixed</t>
  </si>
  <si>
    <t>Cauli Boli</t>
  </si>
  <si>
    <t>K167585</t>
  </si>
  <si>
    <t>Wilson</t>
  </si>
  <si>
    <t>60 Ashburnham Road</t>
  </si>
  <si>
    <t>TN35 5JH</t>
  </si>
  <si>
    <t>jacqui@fmail.co.uk</t>
  </si>
  <si>
    <t>TWO TON TED FROM TEDDINGTON</t>
  </si>
  <si>
    <t>KO274179</t>
  </si>
  <si>
    <t>The Old Granary</t>
  </si>
  <si>
    <t>Dippenhall</t>
  </si>
  <si>
    <t>GU10 5ED</t>
  </si>
  <si>
    <t>janetwilson510@yahoo.com</t>
  </si>
  <si>
    <t>Lucy High In The Sky</t>
  </si>
  <si>
    <t>K0271394</t>
  </si>
  <si>
    <t>My Fabulous Fennella</t>
  </si>
  <si>
    <t>K0266087</t>
  </si>
  <si>
    <t>My Belladonna</t>
  </si>
  <si>
    <t>K0267973</t>
  </si>
  <si>
    <t>Steve</t>
  </si>
  <si>
    <t>34 Bath Road</t>
  </si>
  <si>
    <t>Atworth</t>
  </si>
  <si>
    <t>Melksham</t>
  </si>
  <si>
    <t>SN12 8JW</t>
  </si>
  <si>
    <t>sjwiltshire@talktalk.net</t>
  </si>
  <si>
    <t>Berggeist Arne Nov Ex</t>
  </si>
  <si>
    <t>BA20530704</t>
  </si>
  <si>
    <t>Vakeranti Onnyx B Ex</t>
  </si>
  <si>
    <t>AT00761702</t>
  </si>
  <si>
    <t>MELKSHAM</t>
  </si>
  <si>
    <t>01225 793330</t>
  </si>
  <si>
    <t>cmwiltshire@talktalk.net</t>
  </si>
  <si>
    <t>Ostenhaus Yeyni Nov.Ex</t>
  </si>
  <si>
    <t>AT0901775</t>
  </si>
  <si>
    <t>Amanda</t>
  </si>
  <si>
    <t>Winborne</t>
  </si>
  <si>
    <t>8 Beams Close</t>
  </si>
  <si>
    <t>Billericay</t>
  </si>
  <si>
    <t>CM112NW</t>
  </si>
  <si>
    <t>amanda_winborne@yahoo.co.uk</t>
  </si>
  <si>
    <t>Moonseeker Usuriously Sky</t>
  </si>
  <si>
    <t>AV04227201</t>
  </si>
  <si>
    <t>Falkenwald Cinder</t>
  </si>
  <si>
    <t>AY06903703</t>
  </si>
  <si>
    <t>gillian</t>
  </si>
  <si>
    <t>winyard</t>
  </si>
  <si>
    <t>10 Easton end</t>
  </si>
  <si>
    <t>laindon west</t>
  </si>
  <si>
    <t>Basildon</t>
  </si>
  <si>
    <t>SS156QB</t>
  </si>
  <si>
    <t>01268 472139</t>
  </si>
  <si>
    <t>gill.winyard@yahoo.com</t>
  </si>
  <si>
    <t>gillian winyard</t>
  </si>
  <si>
    <t>Stockyard Secret Stetson</t>
  </si>
  <si>
    <t>K0261024</t>
  </si>
  <si>
    <t>HOOKA WIVVA NEFF</t>
  </si>
  <si>
    <t>K153530</t>
  </si>
  <si>
    <t>Diana</t>
  </si>
  <si>
    <t>Woodhouse</t>
  </si>
  <si>
    <t>At Last</t>
  </si>
  <si>
    <t>East Street</t>
  </si>
  <si>
    <t>Addington, West Malling</t>
  </si>
  <si>
    <t>ME19 5DE</t>
  </si>
  <si>
    <t>dwoodhouse@fastmail.co.uk</t>
  </si>
  <si>
    <t>Miss D Woodhouse</t>
  </si>
  <si>
    <t>Longwaves Thyme N Tide</t>
  </si>
  <si>
    <t>AV03663402</t>
  </si>
  <si>
    <t>Running order in A please with Merzhin's Magical Moments</t>
  </si>
  <si>
    <t>Merzhin's Magical Moments</t>
  </si>
  <si>
    <t>K0265807</t>
  </si>
  <si>
    <t>Magic Kyppery-Do</t>
  </si>
  <si>
    <t>K137346</t>
  </si>
  <si>
    <t>Mendipstar Rumour Mill</t>
  </si>
  <si>
    <t>AP04344005</t>
  </si>
  <si>
    <t>Stephanie</t>
  </si>
  <si>
    <t>Woollam</t>
  </si>
  <si>
    <t>67 Oakwood Road</t>
  </si>
  <si>
    <t>Henleaze</t>
  </si>
  <si>
    <t>BS9 4NT</t>
  </si>
  <si>
    <t>stephanie.woollam@blueyonder.co.uk</t>
  </si>
  <si>
    <t>Mrs S J Woollam</t>
  </si>
  <si>
    <t>Ob Ch Saartjie Luc</t>
  </si>
  <si>
    <t>K138529</t>
  </si>
  <si>
    <t>Saartjie Wagtail</t>
  </si>
  <si>
    <t>K141049</t>
  </si>
  <si>
    <t>Saartjie Winterberry</t>
  </si>
  <si>
    <t>K0270730</t>
  </si>
  <si>
    <t>Saartjie All About Eve</t>
  </si>
  <si>
    <t>K160268</t>
  </si>
  <si>
    <t>Justine</t>
  </si>
  <si>
    <t>Wright</t>
  </si>
  <si>
    <t>22 Hadleigh Street, Kingsnorth, Ashford</t>
  </si>
  <si>
    <t>Kingsnorth</t>
  </si>
  <si>
    <t>TN25 7EZ</t>
  </si>
  <si>
    <t>justine@kobadogtraining.co.uk</t>
  </si>
  <si>
    <t>Watercoombe HALLI</t>
  </si>
  <si>
    <t>AZ1301520</t>
  </si>
  <si>
    <t>Beverley</t>
  </si>
  <si>
    <t>York</t>
  </si>
  <si>
    <t>8 Chantrey Road</t>
  </si>
  <si>
    <t>Tilgate</t>
  </si>
  <si>
    <t>Crawley</t>
  </si>
  <si>
    <t>RH10 5AL</t>
  </si>
  <si>
    <t>beverley.york@blueyonder.co.uk</t>
  </si>
  <si>
    <t>Rooqui‚Äôs Cruzing On By</t>
  </si>
  <si>
    <t>az16059501</t>
  </si>
  <si>
    <t>P1</t>
  </si>
  <si>
    <t>Melanie</t>
  </si>
  <si>
    <t>Mathews</t>
  </si>
  <si>
    <t>Fermain Cottage</t>
  </si>
  <si>
    <t>Innings Road</t>
  </si>
  <si>
    <t>Little Frieth</t>
  </si>
  <si>
    <t>RG9 6NR</t>
  </si>
  <si>
    <t>melaniemathews@btinternet.com</t>
  </si>
  <si>
    <t>Melanie Mathews</t>
  </si>
  <si>
    <t>Hearofriend Coco Tilly</t>
  </si>
  <si>
    <t>P2</t>
  </si>
  <si>
    <t>Rhia</t>
  </si>
  <si>
    <t>Cantrell</t>
  </si>
  <si>
    <t>Grasmere</t>
  </si>
  <si>
    <t>Findon Road</t>
  </si>
  <si>
    <t>Findon</t>
  </si>
  <si>
    <t>BN14 0RD</t>
  </si>
  <si>
    <t>rhiannonmulrenan@gmail.com</t>
  </si>
  <si>
    <t>Rhia Cantrell</t>
  </si>
  <si>
    <t>Outta the Black O.W. B Ex</t>
  </si>
  <si>
    <t>Intro</t>
  </si>
  <si>
    <t>PB</t>
  </si>
  <si>
    <t>Beg</t>
  </si>
  <si>
    <t>Novice</t>
  </si>
  <si>
    <t>A</t>
  </si>
  <si>
    <t>B</t>
  </si>
  <si>
    <t>C</t>
  </si>
  <si>
    <t>Sp PB</t>
  </si>
  <si>
    <t>Novice D</t>
  </si>
  <si>
    <t>Novice B</t>
  </si>
  <si>
    <t>A D</t>
  </si>
  <si>
    <t>A B</t>
  </si>
  <si>
    <t>B D</t>
  </si>
  <si>
    <t>B B</t>
  </si>
  <si>
    <t>C D</t>
  </si>
  <si>
    <t>C B</t>
  </si>
  <si>
    <t>Champ C D</t>
  </si>
  <si>
    <t>Champ C B</t>
  </si>
  <si>
    <t xml:space="preserve">Eunice Pearson </t>
  </si>
  <si>
    <t>Min Partner</t>
  </si>
  <si>
    <t>Juliette Bloomfield</t>
  </si>
  <si>
    <t>Part 2</t>
  </si>
  <si>
    <t>Class Number</t>
  </si>
  <si>
    <t>Class</t>
  </si>
  <si>
    <t>Tracy Ansell</t>
  </si>
  <si>
    <t>Janet Bates</t>
  </si>
  <si>
    <t>Julie Behagg</t>
  </si>
  <si>
    <t>Isabel Bradley</t>
  </si>
  <si>
    <t>Lesley Campbell</t>
  </si>
  <si>
    <t>Pam Casado</t>
  </si>
  <si>
    <t>Carol Clack</t>
  </si>
  <si>
    <t>Helen Connolly</t>
  </si>
  <si>
    <t>Sally Craik</t>
  </si>
  <si>
    <t>Sandra Curry</t>
  </si>
  <si>
    <t>Monika Dobbs</t>
  </si>
  <si>
    <t>Jackie Downey</t>
  </si>
  <si>
    <t>Angela Einon</t>
  </si>
  <si>
    <t>William Forrest</t>
  </si>
  <si>
    <t>Emma Galbraith</t>
  </si>
  <si>
    <t>Joe Game</t>
  </si>
  <si>
    <t>Dave Gillett</t>
  </si>
  <si>
    <t>Jan Green</t>
  </si>
  <si>
    <t>Sue Gunson</t>
  </si>
  <si>
    <t>karen harrison</t>
  </si>
  <si>
    <t>C &amp; L Hearne &amp; Manning</t>
  </si>
  <si>
    <t>Linda Hughes</t>
  </si>
  <si>
    <t>Julie Jones</t>
  </si>
  <si>
    <t>Jane Levell</t>
  </si>
  <si>
    <t>Kay Leverington</t>
  </si>
  <si>
    <t>Diane Lincoln</t>
  </si>
  <si>
    <t>Julie Osborne</t>
  </si>
  <si>
    <t>Rosemary Sparkes</t>
  </si>
  <si>
    <t>Carol Stewart</t>
  </si>
  <si>
    <t>Gaynor Taylor</t>
  </si>
  <si>
    <t>Betsy Thorley</t>
  </si>
  <si>
    <t>Suzy Tooley</t>
  </si>
  <si>
    <t>Jane Webb</t>
  </si>
  <si>
    <t>Friday</t>
  </si>
  <si>
    <t>Saturday</t>
  </si>
  <si>
    <t>FREE</t>
  </si>
  <si>
    <t>Sunday</t>
  </si>
  <si>
    <t>Lisa Paris-brown</t>
  </si>
  <si>
    <t>Coriecollies@mail.com</t>
  </si>
  <si>
    <t>mishflynn@ntlworld.com</t>
  </si>
  <si>
    <t>Steward Sunday</t>
  </si>
  <si>
    <t>Judge Sunday</t>
  </si>
  <si>
    <t>Scribe Sunday</t>
  </si>
  <si>
    <t>07986 089541</t>
  </si>
  <si>
    <t>07847 656386</t>
  </si>
  <si>
    <t>07948 797964</t>
  </si>
  <si>
    <t>NFC</t>
  </si>
  <si>
    <t>Payments</t>
  </si>
  <si>
    <t>WyD</t>
  </si>
  <si>
    <t>Class entries</t>
  </si>
  <si>
    <t>Camping</t>
  </si>
  <si>
    <t>Paper</t>
  </si>
  <si>
    <t>Total Income:</t>
  </si>
  <si>
    <t>Bradley Jordan</t>
  </si>
  <si>
    <t>Hilary McCartney</t>
  </si>
  <si>
    <t>Kim Russell</t>
  </si>
  <si>
    <t>Kathryn Warren</t>
  </si>
  <si>
    <t>Jacqueline Wilson</t>
  </si>
  <si>
    <t>HilaryMcCartney</t>
  </si>
  <si>
    <t>Two Ton Ted From Teddington</t>
  </si>
  <si>
    <t>Susan Abraham</t>
  </si>
  <si>
    <t>Sandra Aburn</t>
  </si>
  <si>
    <t>Janet Aldridge</t>
  </si>
  <si>
    <t>Katrina Arnold</t>
  </si>
  <si>
    <t>Julie Askew</t>
  </si>
  <si>
    <t>kate Bartram</t>
  </si>
  <si>
    <t>Pat Batchelor</t>
  </si>
  <si>
    <t>Russell Becque</t>
  </si>
  <si>
    <t>Andrew Biggs</t>
  </si>
  <si>
    <t>Wendy Birch</t>
  </si>
  <si>
    <t>Susan Bleach</t>
  </si>
  <si>
    <t>Gillian Brett</t>
  </si>
  <si>
    <t>Viv Brotherson</t>
  </si>
  <si>
    <t>kerry brown</t>
  </si>
  <si>
    <t>Catherine Bussey</t>
  </si>
  <si>
    <t>Kathleen Case</t>
  </si>
  <si>
    <t>Robert Case</t>
  </si>
  <si>
    <t>Ellie Chadwick</t>
  </si>
  <si>
    <t>Linda Challinor</t>
  </si>
  <si>
    <t>Christine Chandler</t>
  </si>
  <si>
    <t>Tania Clements</t>
  </si>
  <si>
    <t>Ann Codd</t>
  </si>
  <si>
    <t>Lyn Collins</t>
  </si>
  <si>
    <t>Clare Cotterell</t>
  </si>
  <si>
    <t>Sharon Cottingham</t>
  </si>
  <si>
    <t>Mel Davis</t>
  </si>
  <si>
    <t>Sarah Delany</t>
  </si>
  <si>
    <t>Valerie Dickeson</t>
  </si>
  <si>
    <t>Sharon Diment</t>
  </si>
  <si>
    <t>Karen Dunkason</t>
  </si>
  <si>
    <t>Christine Dunning</t>
  </si>
  <si>
    <t>Sue Durham</t>
  </si>
  <si>
    <t>Joanna Dyas</t>
  </si>
  <si>
    <t>Kevin Edwardson</t>
  </si>
  <si>
    <t>Caroline Eley</t>
  </si>
  <si>
    <t>Patricia Faulkner</t>
  </si>
  <si>
    <t>Kamal Fernandez</t>
  </si>
  <si>
    <t>Lynn Finlay-Maxwell</t>
  </si>
  <si>
    <t>David &amp; Rebecca Ford</t>
  </si>
  <si>
    <t>Denise Fry</t>
  </si>
  <si>
    <t>Fay Gardner</t>
  </si>
  <si>
    <t>Kath Gorick</t>
  </si>
  <si>
    <t>Lyn Green</t>
  </si>
  <si>
    <t>Marguerite Greening</t>
  </si>
  <si>
    <t>peter gregory</t>
  </si>
  <si>
    <t>Trudy Groenenboom</t>
  </si>
  <si>
    <t>Sarah Grooms</t>
  </si>
  <si>
    <t>James Hall</t>
  </si>
  <si>
    <t>J Harbord</t>
  </si>
  <si>
    <t>Liz Harman</t>
  </si>
  <si>
    <t>Rita Harmon</t>
  </si>
  <si>
    <t>diane hewitt</t>
  </si>
  <si>
    <t>pauline hill</t>
  </si>
  <si>
    <t>Lesley Holmes</t>
  </si>
  <si>
    <t>Lou Holmes</t>
  </si>
  <si>
    <t>allison holt</t>
  </si>
  <si>
    <t>jacqueline howe</t>
  </si>
  <si>
    <t>Douglas Hunter</t>
  </si>
  <si>
    <t>Colin Huntley</t>
  </si>
  <si>
    <t>Linda Hyde</t>
  </si>
  <si>
    <t>Rosie Ison</t>
  </si>
  <si>
    <t>Claire Jameson</t>
  </si>
  <si>
    <t>Judith Johnson</t>
  </si>
  <si>
    <t>Susan Kenny</t>
  </si>
  <si>
    <t>Clive King</t>
  </si>
  <si>
    <t>Jan King</t>
  </si>
  <si>
    <t>Debbie Lammin</t>
  </si>
  <si>
    <t>HEIDI LAWRENCE</t>
  </si>
  <si>
    <t>JOHN LEVERINGTON</t>
  </si>
  <si>
    <t>Susan Maddox</t>
  </si>
  <si>
    <t>Lesley Manning</t>
  </si>
  <si>
    <t>Jane Martin</t>
  </si>
  <si>
    <t>Caroline McDonnell</t>
  </si>
  <si>
    <t>Dana McDowell</t>
  </si>
  <si>
    <t>Denise McMahon</t>
  </si>
  <si>
    <t>Veronica migliorini</t>
  </si>
  <si>
    <t>Sinead Miller</t>
  </si>
  <si>
    <t>Susan Morley</t>
  </si>
  <si>
    <t>ANITA NEAL</t>
  </si>
  <si>
    <t>ROY NEAL</t>
  </si>
  <si>
    <t>Patricia Newbury</t>
  </si>
  <si>
    <t>Wendy Nixon</t>
  </si>
  <si>
    <t>Pierre Norfolk</t>
  </si>
  <si>
    <t>Joe NORTHFIELD</t>
  </si>
  <si>
    <t>Jackie Northfield</t>
  </si>
  <si>
    <t>Anne Northfield</t>
  </si>
  <si>
    <t>Claire Nuttall</t>
  </si>
  <si>
    <t>Rita Oaten</t>
  </si>
  <si>
    <t>geoff painting</t>
  </si>
  <si>
    <t>Lisa Paris</t>
  </si>
  <si>
    <t>Justin Parker</t>
  </si>
  <si>
    <t>Jean Poguntke</t>
  </si>
  <si>
    <t>Lynda Potter</t>
  </si>
  <si>
    <t>jane pottle</t>
  </si>
  <si>
    <t>Dorit Powell</t>
  </si>
  <si>
    <t>Jackie Pryke</t>
  </si>
  <si>
    <t>Maureen Rees</t>
  </si>
  <si>
    <t>Eileen Restell</t>
  </si>
  <si>
    <t>jacky Roddick</t>
  </si>
  <si>
    <t>Mo Shamsolmaali</t>
  </si>
  <si>
    <t>Jacqueline Shore</t>
  </si>
  <si>
    <t>June Stenning</t>
  </si>
  <si>
    <t>Lorraine Stubbs</t>
  </si>
  <si>
    <t>Daniel Thompson</t>
  </si>
  <si>
    <t>Chris Turner</t>
  </si>
  <si>
    <t>Jo Tuttle</t>
  </si>
  <si>
    <t>Margaret Uglow</t>
  </si>
  <si>
    <t>Claire Usen</t>
  </si>
  <si>
    <t>Peter Venables</t>
  </si>
  <si>
    <t>Avis Webb</t>
  </si>
  <si>
    <t>Judith Wheaton</t>
  </si>
  <si>
    <t>Sally Wheeler</t>
  </si>
  <si>
    <t>Margaret White</t>
  </si>
  <si>
    <t>Liz White</t>
  </si>
  <si>
    <t>Sharan Wicks</t>
  </si>
  <si>
    <t>Clare Williams</t>
  </si>
  <si>
    <t>Janet Wilson</t>
  </si>
  <si>
    <t>Steve Wiltshire</t>
  </si>
  <si>
    <t>Carol Wiltshire</t>
  </si>
  <si>
    <t>Amanda Winborne</t>
  </si>
  <si>
    <t>Diana Woodhouse</t>
  </si>
  <si>
    <t>Stephanie Woollam</t>
  </si>
  <si>
    <t>Justine Wright</t>
  </si>
  <si>
    <t>Beverley York</t>
  </si>
  <si>
    <t>Surname</t>
  </si>
  <si>
    <t>Ri Coco the Clown</t>
  </si>
  <si>
    <t>Rainbowsky Majorca Snow</t>
  </si>
  <si>
    <t>Sharon Cottingham (handler Emelye Snowdon)</t>
  </si>
  <si>
    <t>Alfie Beau</t>
  </si>
  <si>
    <t>Little Sconce</t>
  </si>
  <si>
    <t>Happy Haven's Daphne</t>
  </si>
  <si>
    <t>Seaposer Ziggysurfsup</t>
  </si>
  <si>
    <t>Irish Terrier</t>
  </si>
  <si>
    <t>Kate Bartram</t>
  </si>
  <si>
    <t>Joanne Richards</t>
  </si>
  <si>
    <t>Veronica Migliorini</t>
  </si>
  <si>
    <t>Susan McManus</t>
  </si>
  <si>
    <t>John Leverington</t>
  </si>
  <si>
    <t>Peter Gregory</t>
  </si>
  <si>
    <t>Kaliazar Eclipse</t>
  </si>
  <si>
    <t>Sanbosier Pandora</t>
  </si>
  <si>
    <t>Imco Moss</t>
  </si>
  <si>
    <t>Star coast Super Gal</t>
  </si>
  <si>
    <t>Jezzaddy It's A Stargazer</t>
  </si>
  <si>
    <t>Mo Star of Ballina</t>
  </si>
  <si>
    <t>Sir Sniff a Lot</t>
  </si>
  <si>
    <t>Jazzlor Spirit in the Sky</t>
  </si>
  <si>
    <t>Birkcross Razzle Dazzle</t>
  </si>
  <si>
    <t>Birkcross Kira's The One</t>
  </si>
  <si>
    <t>Kentwone Come Fly With Me</t>
  </si>
  <si>
    <t>Stockyard Mity Blue Mini Me of Rethymni</t>
  </si>
  <si>
    <t>Peloponnesus Sparta of Rethymni</t>
  </si>
  <si>
    <t>Miniature Schnauzer</t>
  </si>
  <si>
    <t>Jane Dunn (handler Isla Dunn)</t>
  </si>
  <si>
    <t>Lurcher</t>
  </si>
  <si>
    <t>Griffon Bruxellois</t>
  </si>
  <si>
    <t>Weimaraner</t>
  </si>
  <si>
    <t>Rob Case</t>
  </si>
  <si>
    <t>Marguerite Greening (handler Louise Spenceley)</t>
  </si>
  <si>
    <t>Joe Northfield</t>
  </si>
  <si>
    <t>Jacky Roddick</t>
  </si>
  <si>
    <t>Jan King (handler Louise Spenceley)</t>
  </si>
  <si>
    <t>Jane Pottle</t>
  </si>
  <si>
    <t>Sandra Bailey</t>
  </si>
  <si>
    <t>Gill Brett</t>
  </si>
  <si>
    <t>Kerry Brown</t>
  </si>
  <si>
    <t>Jo Dyas</t>
  </si>
  <si>
    <t>Joanne Edwards</t>
  </si>
  <si>
    <t>Sarah Groom</t>
  </si>
  <si>
    <t>Karen Harrison</t>
  </si>
  <si>
    <t>Diane Hewitt</t>
  </si>
  <si>
    <t>Pauline Hill</t>
  </si>
  <si>
    <t>Allison Holt</t>
  </si>
  <si>
    <t>Jacqueline Howe</t>
  </si>
  <si>
    <t>Heidi Lawrence</t>
  </si>
  <si>
    <t>Anita Neal</t>
  </si>
  <si>
    <t>Ruth Poupard</t>
  </si>
  <si>
    <t>Brian Reed &amp; Sandy Elliston</t>
  </si>
  <si>
    <t>Ann Rogers</t>
  </si>
  <si>
    <t>Peter Venables (handler Kamal Fernandez)</t>
  </si>
  <si>
    <t>Carole Wiltshire</t>
  </si>
  <si>
    <t>Gillian Winyard</t>
  </si>
  <si>
    <t>Havastorm Dark Materials</t>
  </si>
  <si>
    <t>Lamintone For The Joy Ride</t>
  </si>
  <si>
    <t>Birkcross Here's Gizmo OW</t>
  </si>
  <si>
    <t>Stormlake's Charmer</t>
  </si>
  <si>
    <t>Applebel Saffron</t>
  </si>
  <si>
    <t>Dumavala Fast n Furious</t>
  </si>
  <si>
    <t>Dumavala Whatever Next</t>
  </si>
  <si>
    <t>Shadowthorpe Hazard a Guess</t>
  </si>
  <si>
    <t>Pamelas Take a Chance on Me</t>
  </si>
  <si>
    <t>Hurry up z Kurimskeho Haje (B Ex)</t>
  </si>
  <si>
    <t>Starlapps Girji to Lappviken</t>
  </si>
  <si>
    <t>Sheltysham Simply a Star</t>
  </si>
  <si>
    <t>Siron Valhala</t>
  </si>
  <si>
    <t>Fayken Capone</t>
  </si>
  <si>
    <t>Casblaid Weaver</t>
  </si>
  <si>
    <t>Serenpursut Tomato of Rethymni</t>
  </si>
  <si>
    <t>Stillmoor Fire Comet of Rethymni</t>
  </si>
  <si>
    <t>Holly the Collie on the Moor (AZ4)</t>
  </si>
  <si>
    <t>Secret's Way</t>
  </si>
  <si>
    <t>Ragamuffin's Way</t>
  </si>
  <si>
    <t>Longwaves Kai'mana</t>
  </si>
  <si>
    <t>Hewthorn Goblet of Fire</t>
  </si>
  <si>
    <t>Hewthorn Under Siege</t>
  </si>
  <si>
    <t>Hysteps Irish MystiqueUE</t>
  </si>
  <si>
    <t>Gracies Back to Black</t>
  </si>
  <si>
    <t>It'sJaros Moon Knight</t>
  </si>
  <si>
    <t>Stillmoor Leap of Faith for Ludgate</t>
  </si>
  <si>
    <t>Nampara's Garrick</t>
  </si>
  <si>
    <t>Steel Legend</t>
  </si>
  <si>
    <t>Firetouch He'zz So Scrummy O.W.</t>
  </si>
  <si>
    <t>Queensway Lily of the Valley</t>
  </si>
  <si>
    <t>Touch of Yabba Dabba Doo</t>
  </si>
  <si>
    <t>Touch of Dazzling Delight</t>
  </si>
  <si>
    <t>Touch of Polka Dot Delite</t>
  </si>
  <si>
    <t>Darian Had Me at Hello</t>
  </si>
  <si>
    <t>Miraje Winterfell</t>
  </si>
  <si>
    <t>Sheila Smith (handled by Gill Brett)</t>
  </si>
  <si>
    <t>Torinska Ribbon in the Sky</t>
  </si>
  <si>
    <t>Woughstock Wotch This Space</t>
  </si>
  <si>
    <t>Malaridge Star Talent</t>
  </si>
  <si>
    <t>Hooka Wivva Neff</t>
  </si>
  <si>
    <t>Watercoombe Halli</t>
  </si>
  <si>
    <t>Rooqui's Cruzing On By</t>
  </si>
  <si>
    <t>German Spitz Mittel</t>
  </si>
  <si>
    <t>Bearded Collie</t>
  </si>
  <si>
    <t>Spaniel (Springer)</t>
  </si>
  <si>
    <t>BSD (Malinois)</t>
  </si>
  <si>
    <t>BSD (Tervueren)</t>
  </si>
  <si>
    <t>Dorit Powell (handler Chris Powell)</t>
  </si>
  <si>
    <t>Michelle Richmond (handler Grace Shawyer)</t>
  </si>
  <si>
    <t xml:space="preserve">Please draw Hero in C </t>
  </si>
  <si>
    <t xml:space="preserve">Judging Sunday 
Camping sat night please .
</t>
  </si>
  <si>
    <t>Owner registered name</t>
  </si>
  <si>
    <t>Import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</si>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</sst>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222222"/>
      <name val="Arial"/>
      <family val="2"/>
    </font>
    <font>
      <sz val="11"/>
      <color rgb="FF222222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42"/>
    <xf numFmtId="0" fontId="19" fillId="0" borderId="0" xfId="0" applyFont="1"/>
    <xf numFmtId="0" fontId="0" fillId="33" borderId="0" xfId="0" applyFill="1"/>
    <xf numFmtId="0" fontId="16" fillId="0" borderId="0" xfId="0" applyFont="1"/>
    <xf numFmtId="2" fontId="0" fillId="0" borderId="0" xfId="0" applyNumberFormat="1"/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1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center" wrapText="1"/>
    </xf>
    <xf numFmtId="164" fontId="0" fillId="0" borderId="0" xfId="0" applyNumberFormat="1"/>
    <xf numFmtId="164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hiannonmulrenan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hiannonmulrenan@gmail.com" TargetMode="External"/><Relationship Id="rId1" Type="http://schemas.openxmlformats.org/officeDocument/2006/relationships/hyperlink" Target="mailto:rhiannonmulrenan@gmail.com" TargetMode="External"/><Relationship Id="rId6" Type="http://schemas.openxmlformats.org/officeDocument/2006/relationships/hyperlink" Target="mailto:melaniemathews@btinternet.com" TargetMode="External"/><Relationship Id="rId5" Type="http://schemas.openxmlformats.org/officeDocument/2006/relationships/hyperlink" Target="mailto:melaniemathews@btinternet.com" TargetMode="External"/><Relationship Id="rId4" Type="http://schemas.openxmlformats.org/officeDocument/2006/relationships/hyperlink" Target="mailto:melaniemathews@btinterne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hiannonmulrenan@g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rhiannonmulrenan@gmail.com" TargetMode="External"/><Relationship Id="rId1" Type="http://schemas.openxmlformats.org/officeDocument/2006/relationships/hyperlink" Target="mailto:rhiannonmulrenan@gmail.com" TargetMode="External"/><Relationship Id="rId6" Type="http://schemas.openxmlformats.org/officeDocument/2006/relationships/hyperlink" Target="mailto:melaniemathews@btinternet.com" TargetMode="External"/><Relationship Id="rId5" Type="http://schemas.openxmlformats.org/officeDocument/2006/relationships/hyperlink" Target="mailto:melaniemathews@btinternet.com" TargetMode="External"/><Relationship Id="rId4" Type="http://schemas.openxmlformats.org/officeDocument/2006/relationships/hyperlink" Target="mailto:melaniemathews@btinterne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hiannonmulrenan@gmail.com" TargetMode="External"/><Relationship Id="rId2" Type="http://schemas.openxmlformats.org/officeDocument/2006/relationships/hyperlink" Target="mailto:rhiannonmulrenan@gmail.com" TargetMode="External"/><Relationship Id="rId1" Type="http://schemas.openxmlformats.org/officeDocument/2006/relationships/hyperlink" Target="mailto:rhiannonmulrenan@gmail.com" TargetMode="External"/><Relationship Id="rId6" Type="http://schemas.openxmlformats.org/officeDocument/2006/relationships/hyperlink" Target="mailto:melaniemathews@btinternet.com" TargetMode="External"/><Relationship Id="rId5" Type="http://schemas.openxmlformats.org/officeDocument/2006/relationships/hyperlink" Target="mailto:melaniemathews@btinternet.com" TargetMode="External"/><Relationship Id="rId4" Type="http://schemas.openxmlformats.org/officeDocument/2006/relationships/hyperlink" Target="mailto:melaniemathews@btinterne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BAA0-275A-9F41-B0AA-A47AA0C7650E}">
  <sheetPr filterMode="1"/>
  <dimension ref="A1:AE1102"/>
  <sheetViews>
    <sheetView topLeftCell="D1" workbookViewId="0">
      <selection activeCell="D1" sqref="D1:AD1076"/>
    </sheetView>
  </sheetViews>
  <sheetFormatPr defaultColWidth="11" defaultRowHeight="16" x14ac:dyDescent="0.4"/>
  <cols>
    <col min="1" max="3" width="0" hidden="1" customWidth="1"/>
    <col min="5" max="7" width="0" hidden="1" customWidth="1"/>
    <col min="8" max="15" width="11" hidden="1" customWidth="1"/>
    <col min="16" max="16" width="24.83203125" customWidth="1"/>
    <col min="17" max="17" width="0" hidden="1" customWidth="1"/>
    <col min="18" max="18" width="39.25" bestFit="1" customWidth="1"/>
    <col min="19" max="19" width="0" hidden="1" customWidth="1"/>
    <col min="20" max="20" width="26.33203125" customWidth="1"/>
    <col min="22" max="23" width="0" hidden="1" customWidth="1"/>
    <col min="26" max="29" width="0" hidden="1" customWidth="1"/>
    <col min="30" max="30" width="31.83203125" customWidth="1"/>
    <col min="31" max="31" width="0" hidden="1" customWidth="1"/>
  </cols>
  <sheetData>
    <row r="1" spans="1:30" x14ac:dyDescent="0.4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229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4">
      <c r="A2" t="s">
        <v>27</v>
      </c>
      <c r="B2">
        <v>2670</v>
      </c>
      <c r="C2" t="str">
        <f>F2&amp;" "&amp;G2</f>
        <v>Annie Abbott</v>
      </c>
      <c r="D2">
        <f>VLOOKUP(R2,'Ring numbers'!G:H,2,FALSE)</f>
        <v>1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M2" t="s">
        <v>35</v>
      </c>
      <c r="N2">
        <v>7934997677</v>
      </c>
      <c r="O2" t="s">
        <v>36</v>
      </c>
      <c r="P2" t="s">
        <v>37</v>
      </c>
      <c r="R2" t="s">
        <v>38</v>
      </c>
      <c r="S2" t="s">
        <v>39</v>
      </c>
      <c r="T2" t="s">
        <v>1498</v>
      </c>
      <c r="U2" t="s">
        <v>40</v>
      </c>
      <c r="V2" s="1">
        <v>45309</v>
      </c>
      <c r="W2">
        <v>0</v>
      </c>
      <c r="X2">
        <v>2</v>
      </c>
      <c r="AA2" t="s">
        <v>42</v>
      </c>
      <c r="AB2" t="s">
        <v>43</v>
      </c>
      <c r="AC2" t="s">
        <v>43</v>
      </c>
    </row>
    <row r="3" spans="1:30" x14ac:dyDescent="0.4">
      <c r="A3" t="s">
        <v>27</v>
      </c>
      <c r="B3">
        <v>2670</v>
      </c>
      <c r="C3" t="s">
        <v>37</v>
      </c>
      <c r="D3">
        <v>2</v>
      </c>
      <c r="E3" t="s">
        <v>28</v>
      </c>
      <c r="F3" t="s">
        <v>29</v>
      </c>
      <c r="G3" t="s">
        <v>30</v>
      </c>
      <c r="H3" t="s">
        <v>31</v>
      </c>
      <c r="J3" t="s">
        <v>32</v>
      </c>
      <c r="K3" t="s">
        <v>33</v>
      </c>
      <c r="L3" t="s">
        <v>34</v>
      </c>
      <c r="M3" t="s">
        <v>35</v>
      </c>
      <c r="N3">
        <v>7934997677</v>
      </c>
      <c r="O3" t="s">
        <v>36</v>
      </c>
      <c r="P3" t="s">
        <v>37</v>
      </c>
      <c r="R3" t="s">
        <v>3032</v>
      </c>
      <c r="S3" t="s">
        <v>45</v>
      </c>
      <c r="T3" t="s">
        <v>46</v>
      </c>
      <c r="U3" t="s">
        <v>40</v>
      </c>
      <c r="V3" s="1">
        <v>41476</v>
      </c>
      <c r="W3">
        <v>0</v>
      </c>
      <c r="X3">
        <v>2</v>
      </c>
      <c r="AA3" t="s">
        <v>42</v>
      </c>
      <c r="AB3" t="s">
        <v>43</v>
      </c>
      <c r="AC3" t="s">
        <v>43</v>
      </c>
    </row>
    <row r="4" spans="1:30" hidden="1" x14ac:dyDescent="0.4">
      <c r="A4" t="s">
        <v>27</v>
      </c>
      <c r="B4">
        <v>2649</v>
      </c>
      <c r="C4" t="s">
        <v>2907</v>
      </c>
      <c r="E4" t="s">
        <v>28</v>
      </c>
      <c r="F4" t="s">
        <v>47</v>
      </c>
      <c r="G4" t="s">
        <v>48</v>
      </c>
      <c r="H4" t="s">
        <v>49</v>
      </c>
      <c r="J4" t="s">
        <v>50</v>
      </c>
      <c r="K4" t="s">
        <v>51</v>
      </c>
      <c r="L4" t="s">
        <v>52</v>
      </c>
      <c r="M4" t="s">
        <v>35</v>
      </c>
      <c r="N4" t="s">
        <v>53</v>
      </c>
      <c r="O4" t="s">
        <v>54</v>
      </c>
      <c r="P4" t="s">
        <v>55</v>
      </c>
      <c r="R4" t="s">
        <v>56</v>
      </c>
      <c r="S4" t="s">
        <v>57</v>
      </c>
      <c r="T4" t="s">
        <v>58</v>
      </c>
      <c r="U4" t="s">
        <v>40</v>
      </c>
      <c r="V4" s="1">
        <v>41397</v>
      </c>
      <c r="W4">
        <v>0</v>
      </c>
      <c r="X4">
        <v>0</v>
      </c>
      <c r="Y4" t="s">
        <v>59</v>
      </c>
      <c r="AA4" t="s">
        <v>42</v>
      </c>
      <c r="AB4" t="s">
        <v>43</v>
      </c>
      <c r="AC4" t="s">
        <v>43</v>
      </c>
    </row>
    <row r="5" spans="1:30" hidden="1" x14ac:dyDescent="0.4">
      <c r="A5" t="s">
        <v>27</v>
      </c>
      <c r="B5">
        <v>2649</v>
      </c>
      <c r="C5" t="s">
        <v>2907</v>
      </c>
      <c r="E5" t="s">
        <v>28</v>
      </c>
      <c r="F5" t="s">
        <v>47</v>
      </c>
      <c r="G5" t="s">
        <v>48</v>
      </c>
      <c r="H5" t="s">
        <v>49</v>
      </c>
      <c r="J5" t="s">
        <v>50</v>
      </c>
      <c r="K5" t="s">
        <v>51</v>
      </c>
      <c r="L5" t="s">
        <v>52</v>
      </c>
      <c r="M5" t="s">
        <v>35</v>
      </c>
      <c r="N5" t="s">
        <v>53</v>
      </c>
      <c r="O5" t="s">
        <v>54</v>
      </c>
      <c r="P5" t="s">
        <v>55</v>
      </c>
      <c r="R5" t="s">
        <v>60</v>
      </c>
      <c r="S5" t="s">
        <v>61</v>
      </c>
      <c r="T5" t="s">
        <v>62</v>
      </c>
      <c r="U5" t="s">
        <v>40</v>
      </c>
      <c r="V5" s="1">
        <v>45630</v>
      </c>
      <c r="W5">
        <v>0</v>
      </c>
      <c r="X5">
        <v>0</v>
      </c>
      <c r="Y5" t="s">
        <v>59</v>
      </c>
      <c r="AA5" t="s">
        <v>42</v>
      </c>
      <c r="AB5" t="s">
        <v>43</v>
      </c>
      <c r="AC5" t="s">
        <v>43</v>
      </c>
    </row>
    <row r="6" spans="1:30" x14ac:dyDescent="0.4">
      <c r="A6" t="s">
        <v>27</v>
      </c>
      <c r="B6">
        <v>2649</v>
      </c>
      <c r="C6" t="s">
        <v>2907</v>
      </c>
      <c r="D6">
        <v>3</v>
      </c>
      <c r="E6" t="s">
        <v>28</v>
      </c>
      <c r="F6" t="s">
        <v>47</v>
      </c>
      <c r="G6" t="s">
        <v>48</v>
      </c>
      <c r="H6" t="s">
        <v>49</v>
      </c>
      <c r="J6" t="s">
        <v>50</v>
      </c>
      <c r="K6" t="s">
        <v>51</v>
      </c>
      <c r="L6" t="s">
        <v>52</v>
      </c>
      <c r="M6" t="s">
        <v>35</v>
      </c>
      <c r="N6" t="s">
        <v>53</v>
      </c>
      <c r="O6" t="s">
        <v>54</v>
      </c>
      <c r="P6" t="s">
        <v>2907</v>
      </c>
      <c r="R6" t="s">
        <v>3046</v>
      </c>
      <c r="S6" t="s">
        <v>64</v>
      </c>
      <c r="T6" t="s">
        <v>58</v>
      </c>
      <c r="U6" t="s">
        <v>40</v>
      </c>
      <c r="V6" s="1">
        <v>43157</v>
      </c>
      <c r="W6">
        <v>0</v>
      </c>
      <c r="X6">
        <v>4</v>
      </c>
      <c r="Y6" t="s">
        <v>65</v>
      </c>
      <c r="AA6" t="s">
        <v>42</v>
      </c>
      <c r="AB6" t="s">
        <v>43</v>
      </c>
      <c r="AC6" t="s">
        <v>43</v>
      </c>
    </row>
    <row r="7" spans="1:30" x14ac:dyDescent="0.4">
      <c r="A7" t="s">
        <v>27</v>
      </c>
      <c r="B7">
        <v>2649</v>
      </c>
      <c r="C7" t="s">
        <v>2907</v>
      </c>
      <c r="D7">
        <v>3</v>
      </c>
      <c r="E7" t="s">
        <v>28</v>
      </c>
      <c r="F7" t="s">
        <v>47</v>
      </c>
      <c r="G7" t="s">
        <v>48</v>
      </c>
      <c r="H7" t="s">
        <v>49</v>
      </c>
      <c r="J7" t="s">
        <v>50</v>
      </c>
      <c r="K7" t="s">
        <v>51</v>
      </c>
      <c r="L7" t="s">
        <v>52</v>
      </c>
      <c r="M7" t="s">
        <v>35</v>
      </c>
      <c r="N7" t="s">
        <v>53</v>
      </c>
      <c r="O7" t="s">
        <v>54</v>
      </c>
      <c r="P7" t="s">
        <v>2907</v>
      </c>
      <c r="R7" t="s">
        <v>3046</v>
      </c>
      <c r="S7" t="s">
        <v>64</v>
      </c>
      <c r="T7" t="s">
        <v>58</v>
      </c>
      <c r="U7" t="s">
        <v>40</v>
      </c>
      <c r="V7" s="1">
        <v>43157</v>
      </c>
      <c r="W7">
        <v>0</v>
      </c>
      <c r="X7">
        <v>5</v>
      </c>
      <c r="Y7" t="s">
        <v>66</v>
      </c>
      <c r="AA7" t="s">
        <v>42</v>
      </c>
      <c r="AB7" t="s">
        <v>43</v>
      </c>
      <c r="AC7" t="s">
        <v>43</v>
      </c>
    </row>
    <row r="8" spans="1:30" x14ac:dyDescent="0.4">
      <c r="A8" t="s">
        <v>27</v>
      </c>
      <c r="B8">
        <v>2649</v>
      </c>
      <c r="C8" t="s">
        <v>2907</v>
      </c>
      <c r="D8">
        <v>3</v>
      </c>
      <c r="E8" t="s">
        <v>28</v>
      </c>
      <c r="F8" t="s">
        <v>47</v>
      </c>
      <c r="G8" t="s">
        <v>48</v>
      </c>
      <c r="H8" t="s">
        <v>49</v>
      </c>
      <c r="J8" t="s">
        <v>50</v>
      </c>
      <c r="K8" t="s">
        <v>51</v>
      </c>
      <c r="L8" t="s">
        <v>52</v>
      </c>
      <c r="M8" t="s">
        <v>35</v>
      </c>
      <c r="N8" t="s">
        <v>53</v>
      </c>
      <c r="O8" t="s">
        <v>54</v>
      </c>
      <c r="P8" t="s">
        <v>2907</v>
      </c>
      <c r="R8" t="s">
        <v>3046</v>
      </c>
      <c r="S8" t="s">
        <v>64</v>
      </c>
      <c r="T8" t="s">
        <v>58</v>
      </c>
      <c r="U8" t="s">
        <v>40</v>
      </c>
      <c r="V8" s="1">
        <v>43157</v>
      </c>
      <c r="W8">
        <v>0</v>
      </c>
      <c r="X8">
        <v>12</v>
      </c>
      <c r="AA8" t="s">
        <v>42</v>
      </c>
      <c r="AB8" t="s">
        <v>43</v>
      </c>
      <c r="AC8" t="s">
        <v>43</v>
      </c>
    </row>
    <row r="9" spans="1:30" x14ac:dyDescent="0.4">
      <c r="A9" t="s">
        <v>27</v>
      </c>
      <c r="B9">
        <v>2649</v>
      </c>
      <c r="C9" t="s">
        <v>2907</v>
      </c>
      <c r="D9">
        <v>3</v>
      </c>
      <c r="E9" t="s">
        <v>28</v>
      </c>
      <c r="F9" t="s">
        <v>47</v>
      </c>
      <c r="G9" t="s">
        <v>48</v>
      </c>
      <c r="H9" t="s">
        <v>49</v>
      </c>
      <c r="J9" t="s">
        <v>50</v>
      </c>
      <c r="K9" t="s">
        <v>51</v>
      </c>
      <c r="L9" t="s">
        <v>52</v>
      </c>
      <c r="M9" t="s">
        <v>35</v>
      </c>
      <c r="N9" t="s">
        <v>53</v>
      </c>
      <c r="O9" t="s">
        <v>54</v>
      </c>
      <c r="P9" t="s">
        <v>2907</v>
      </c>
      <c r="R9" t="s">
        <v>3046</v>
      </c>
      <c r="S9" t="s">
        <v>64</v>
      </c>
      <c r="T9" t="s">
        <v>58</v>
      </c>
      <c r="U9" t="s">
        <v>40</v>
      </c>
      <c r="V9" s="1">
        <v>43157</v>
      </c>
      <c r="W9">
        <v>0</v>
      </c>
      <c r="X9">
        <v>14</v>
      </c>
      <c r="AA9" t="s">
        <v>42</v>
      </c>
      <c r="AB9" t="s">
        <v>43</v>
      </c>
      <c r="AC9" t="s">
        <v>43</v>
      </c>
    </row>
    <row r="10" spans="1:30" hidden="1" x14ac:dyDescent="0.4">
      <c r="A10" t="s">
        <v>27</v>
      </c>
      <c r="B10">
        <v>2999</v>
      </c>
      <c r="C10" t="s">
        <v>2908</v>
      </c>
      <c r="E10" t="s">
        <v>68</v>
      </c>
      <c r="F10" t="s">
        <v>69</v>
      </c>
      <c r="G10" t="s">
        <v>70</v>
      </c>
      <c r="H10" t="s">
        <v>71</v>
      </c>
      <c r="J10" t="s">
        <v>72</v>
      </c>
      <c r="K10" t="s">
        <v>73</v>
      </c>
      <c r="L10" t="s">
        <v>74</v>
      </c>
      <c r="M10" t="s">
        <v>35</v>
      </c>
      <c r="N10">
        <v>7852469499</v>
      </c>
      <c r="O10" t="s">
        <v>75</v>
      </c>
      <c r="P10" t="s">
        <v>76</v>
      </c>
      <c r="R10" t="s">
        <v>77</v>
      </c>
      <c r="S10" t="s">
        <v>78</v>
      </c>
      <c r="T10" t="s">
        <v>79</v>
      </c>
      <c r="U10" t="s">
        <v>40</v>
      </c>
      <c r="V10" s="1">
        <v>45263</v>
      </c>
      <c r="W10">
        <v>0</v>
      </c>
      <c r="X10">
        <v>0</v>
      </c>
      <c r="Y10" t="s">
        <v>59</v>
      </c>
      <c r="AA10" t="s">
        <v>42</v>
      </c>
      <c r="AB10" t="s">
        <v>43</v>
      </c>
      <c r="AC10" t="s">
        <v>43</v>
      </c>
    </row>
    <row r="11" spans="1:30" x14ac:dyDescent="0.4">
      <c r="A11" t="s">
        <v>27</v>
      </c>
      <c r="B11">
        <v>2999</v>
      </c>
      <c r="C11" t="s">
        <v>2908</v>
      </c>
      <c r="D11">
        <v>4</v>
      </c>
      <c r="E11" t="s">
        <v>68</v>
      </c>
      <c r="F11" t="s">
        <v>69</v>
      </c>
      <c r="G11" t="s">
        <v>70</v>
      </c>
      <c r="H11" t="s">
        <v>71</v>
      </c>
      <c r="J11" t="s">
        <v>72</v>
      </c>
      <c r="K11" t="s">
        <v>73</v>
      </c>
      <c r="L11" t="s">
        <v>74</v>
      </c>
      <c r="M11" t="s">
        <v>35</v>
      </c>
      <c r="N11">
        <v>7852469499</v>
      </c>
      <c r="O11" t="s">
        <v>75</v>
      </c>
      <c r="P11" t="s">
        <v>3070</v>
      </c>
      <c r="R11" t="s">
        <v>80</v>
      </c>
      <c r="S11" t="s">
        <v>81</v>
      </c>
      <c r="T11" t="s">
        <v>94</v>
      </c>
      <c r="U11" t="s">
        <v>82</v>
      </c>
      <c r="V11" s="1">
        <v>43211</v>
      </c>
      <c r="W11">
        <v>0</v>
      </c>
      <c r="X11">
        <v>5</v>
      </c>
      <c r="Y11" t="s">
        <v>66</v>
      </c>
      <c r="AA11" t="s">
        <v>42</v>
      </c>
      <c r="AB11" t="s">
        <v>43</v>
      </c>
      <c r="AC11" t="s">
        <v>43</v>
      </c>
    </row>
    <row r="12" spans="1:30" x14ac:dyDescent="0.4">
      <c r="A12" t="s">
        <v>27</v>
      </c>
      <c r="B12">
        <v>2999</v>
      </c>
      <c r="C12" t="s">
        <v>2908</v>
      </c>
      <c r="D12">
        <v>4</v>
      </c>
      <c r="E12" t="s">
        <v>68</v>
      </c>
      <c r="F12" t="s">
        <v>69</v>
      </c>
      <c r="G12" t="s">
        <v>70</v>
      </c>
      <c r="H12" t="s">
        <v>71</v>
      </c>
      <c r="J12" t="s">
        <v>72</v>
      </c>
      <c r="K12" t="s">
        <v>73</v>
      </c>
      <c r="L12" t="s">
        <v>74</v>
      </c>
      <c r="M12" t="s">
        <v>35</v>
      </c>
      <c r="N12">
        <v>7852469499</v>
      </c>
      <c r="O12" t="s">
        <v>75</v>
      </c>
      <c r="P12" t="s">
        <v>3070</v>
      </c>
      <c r="R12" t="s">
        <v>80</v>
      </c>
      <c r="S12" t="s">
        <v>81</v>
      </c>
      <c r="T12" t="s">
        <v>94</v>
      </c>
      <c r="U12" t="s">
        <v>82</v>
      </c>
      <c r="V12" s="1">
        <v>43211</v>
      </c>
      <c r="W12">
        <v>0</v>
      </c>
      <c r="X12">
        <v>6</v>
      </c>
      <c r="Y12" t="s">
        <v>83</v>
      </c>
      <c r="AA12" t="s">
        <v>42</v>
      </c>
      <c r="AB12" t="s">
        <v>43</v>
      </c>
      <c r="AC12" t="s">
        <v>43</v>
      </c>
    </row>
    <row r="13" spans="1:30" hidden="1" x14ac:dyDescent="0.4">
      <c r="A13" t="s">
        <v>27</v>
      </c>
      <c r="B13">
        <v>2999</v>
      </c>
      <c r="C13" t="s">
        <v>2908</v>
      </c>
      <c r="E13" t="s">
        <v>68</v>
      </c>
      <c r="F13" t="s">
        <v>69</v>
      </c>
      <c r="G13" t="s">
        <v>70</v>
      </c>
      <c r="H13" t="s">
        <v>71</v>
      </c>
      <c r="J13" t="s">
        <v>72</v>
      </c>
      <c r="K13" t="s">
        <v>73</v>
      </c>
      <c r="L13" t="s">
        <v>74</v>
      </c>
      <c r="M13" t="s">
        <v>35</v>
      </c>
      <c r="N13">
        <v>7852469499</v>
      </c>
      <c r="O13" t="s">
        <v>75</v>
      </c>
      <c r="P13" t="s">
        <v>76</v>
      </c>
      <c r="R13" t="s">
        <v>77</v>
      </c>
      <c r="S13" t="s">
        <v>78</v>
      </c>
      <c r="T13" t="s">
        <v>79</v>
      </c>
      <c r="U13" t="s">
        <v>40</v>
      </c>
      <c r="V13" s="1">
        <v>45263</v>
      </c>
      <c r="W13">
        <v>0</v>
      </c>
      <c r="X13">
        <v>0</v>
      </c>
      <c r="Y13" t="s">
        <v>59</v>
      </c>
      <c r="AA13" t="s">
        <v>42</v>
      </c>
      <c r="AB13" t="s">
        <v>43</v>
      </c>
      <c r="AC13" t="s">
        <v>43</v>
      </c>
    </row>
    <row r="14" spans="1:30" x14ac:dyDescent="0.4">
      <c r="A14" t="s">
        <v>27</v>
      </c>
      <c r="B14">
        <v>2999</v>
      </c>
      <c r="C14" t="s">
        <v>2908</v>
      </c>
      <c r="D14">
        <v>4</v>
      </c>
      <c r="E14" t="s">
        <v>68</v>
      </c>
      <c r="F14" t="s">
        <v>69</v>
      </c>
      <c r="G14" t="s">
        <v>70</v>
      </c>
      <c r="H14" t="s">
        <v>71</v>
      </c>
      <c r="J14" t="s">
        <v>72</v>
      </c>
      <c r="K14" t="s">
        <v>73</v>
      </c>
      <c r="L14" t="s">
        <v>74</v>
      </c>
      <c r="M14" t="s">
        <v>35</v>
      </c>
      <c r="N14">
        <v>7852469499</v>
      </c>
      <c r="O14" t="s">
        <v>75</v>
      </c>
      <c r="P14" t="s">
        <v>3070</v>
      </c>
      <c r="R14" t="s">
        <v>80</v>
      </c>
      <c r="S14" t="s">
        <v>81</v>
      </c>
      <c r="T14" t="s">
        <v>94</v>
      </c>
      <c r="U14" t="s">
        <v>82</v>
      </c>
      <c r="V14" s="1">
        <v>43211</v>
      </c>
      <c r="W14">
        <v>0</v>
      </c>
      <c r="X14">
        <v>15</v>
      </c>
      <c r="AA14" t="s">
        <v>42</v>
      </c>
      <c r="AB14" t="s">
        <v>43</v>
      </c>
      <c r="AC14" t="s">
        <v>43</v>
      </c>
    </row>
    <row r="15" spans="1:30" x14ac:dyDescent="0.4">
      <c r="A15" t="s">
        <v>27</v>
      </c>
      <c r="B15">
        <v>2999</v>
      </c>
      <c r="C15" t="s">
        <v>2908</v>
      </c>
      <c r="D15">
        <v>4</v>
      </c>
      <c r="E15" t="s">
        <v>68</v>
      </c>
      <c r="F15" t="s">
        <v>69</v>
      </c>
      <c r="G15" t="s">
        <v>70</v>
      </c>
      <c r="H15" t="s">
        <v>71</v>
      </c>
      <c r="J15" t="s">
        <v>72</v>
      </c>
      <c r="K15" t="s">
        <v>73</v>
      </c>
      <c r="L15" t="s">
        <v>74</v>
      </c>
      <c r="M15" t="s">
        <v>35</v>
      </c>
      <c r="N15">
        <v>7852469499</v>
      </c>
      <c r="O15" t="s">
        <v>75</v>
      </c>
      <c r="P15" t="s">
        <v>3070</v>
      </c>
      <c r="R15" t="s">
        <v>80</v>
      </c>
      <c r="S15" t="s">
        <v>81</v>
      </c>
      <c r="T15" t="s">
        <v>94</v>
      </c>
      <c r="U15" t="s">
        <v>82</v>
      </c>
      <c r="V15" s="1">
        <v>43211</v>
      </c>
      <c r="W15">
        <v>0</v>
      </c>
      <c r="X15">
        <v>17</v>
      </c>
      <c r="AA15" t="s">
        <v>42</v>
      </c>
      <c r="AB15" t="s">
        <v>43</v>
      </c>
      <c r="AC15" t="s">
        <v>43</v>
      </c>
    </row>
    <row r="16" spans="1:30" x14ac:dyDescent="0.4">
      <c r="A16" t="s">
        <v>27</v>
      </c>
      <c r="B16">
        <v>2387</v>
      </c>
      <c r="C16" t="s">
        <v>2909</v>
      </c>
      <c r="D16">
        <v>8</v>
      </c>
      <c r="E16" t="s">
        <v>68</v>
      </c>
      <c r="F16" t="s">
        <v>85</v>
      </c>
      <c r="G16" t="s">
        <v>86</v>
      </c>
      <c r="H16" t="s">
        <v>87</v>
      </c>
      <c r="J16" t="s">
        <v>88</v>
      </c>
      <c r="K16" t="s">
        <v>89</v>
      </c>
      <c r="L16" t="s">
        <v>90</v>
      </c>
      <c r="M16" t="s">
        <v>35</v>
      </c>
      <c r="N16">
        <v>447970863728</v>
      </c>
      <c r="O16" t="s">
        <v>91</v>
      </c>
      <c r="P16" t="s">
        <v>2909</v>
      </c>
      <c r="R16" t="s">
        <v>92</v>
      </c>
      <c r="S16" t="s">
        <v>93</v>
      </c>
      <c r="T16" t="s">
        <v>94</v>
      </c>
      <c r="U16" t="s">
        <v>82</v>
      </c>
      <c r="V16" s="1">
        <v>44971</v>
      </c>
      <c r="W16">
        <v>0</v>
      </c>
      <c r="X16">
        <v>13</v>
      </c>
      <c r="AA16" t="s">
        <v>42</v>
      </c>
      <c r="AB16" t="s">
        <v>43</v>
      </c>
      <c r="AC16" t="s">
        <v>43</v>
      </c>
    </row>
    <row r="17" spans="1:31" x14ac:dyDescent="0.4">
      <c r="A17" t="s">
        <v>27</v>
      </c>
      <c r="B17">
        <v>2387</v>
      </c>
      <c r="C17" t="s">
        <v>2909</v>
      </c>
      <c r="D17">
        <v>9</v>
      </c>
      <c r="E17" t="s">
        <v>68</v>
      </c>
      <c r="F17" t="s">
        <v>85</v>
      </c>
      <c r="G17" t="s">
        <v>86</v>
      </c>
      <c r="H17" t="s">
        <v>87</v>
      </c>
      <c r="J17" t="s">
        <v>88</v>
      </c>
      <c r="K17" t="s">
        <v>89</v>
      </c>
      <c r="L17" t="s">
        <v>90</v>
      </c>
      <c r="M17" t="s">
        <v>35</v>
      </c>
      <c r="N17">
        <v>447970863728</v>
      </c>
      <c r="O17" t="s">
        <v>91</v>
      </c>
      <c r="P17" t="s">
        <v>2909</v>
      </c>
      <c r="R17" t="s">
        <v>96</v>
      </c>
      <c r="S17" t="s">
        <v>97</v>
      </c>
      <c r="T17" t="s">
        <v>94</v>
      </c>
      <c r="U17" t="s">
        <v>82</v>
      </c>
      <c r="V17" s="1">
        <v>44058</v>
      </c>
      <c r="W17">
        <v>0</v>
      </c>
      <c r="X17">
        <v>17</v>
      </c>
      <c r="AA17" t="s">
        <v>42</v>
      </c>
      <c r="AB17" t="s">
        <v>43</v>
      </c>
      <c r="AC17" t="s">
        <v>43</v>
      </c>
    </row>
    <row r="18" spans="1:31" x14ac:dyDescent="0.4">
      <c r="A18" t="s">
        <v>27</v>
      </c>
      <c r="B18">
        <v>2387</v>
      </c>
      <c r="C18" t="s">
        <v>2909</v>
      </c>
      <c r="D18">
        <v>6</v>
      </c>
      <c r="E18" t="s">
        <v>68</v>
      </c>
      <c r="F18" t="s">
        <v>85</v>
      </c>
      <c r="G18" t="s">
        <v>86</v>
      </c>
      <c r="H18" t="s">
        <v>87</v>
      </c>
      <c r="J18" t="s">
        <v>88</v>
      </c>
      <c r="K18" t="s">
        <v>89</v>
      </c>
      <c r="L18" t="s">
        <v>90</v>
      </c>
      <c r="M18" t="s">
        <v>35</v>
      </c>
      <c r="N18">
        <v>447970863728</v>
      </c>
      <c r="O18" t="s">
        <v>91</v>
      </c>
      <c r="P18" t="s">
        <v>2909</v>
      </c>
      <c r="R18" t="s">
        <v>98</v>
      </c>
      <c r="S18" t="s">
        <v>99</v>
      </c>
      <c r="T18" t="s">
        <v>94</v>
      </c>
      <c r="U18" t="s">
        <v>40</v>
      </c>
      <c r="V18" s="1">
        <v>44106</v>
      </c>
      <c r="W18">
        <v>0</v>
      </c>
      <c r="X18">
        <v>18</v>
      </c>
      <c r="AA18" t="s">
        <v>42</v>
      </c>
      <c r="AB18" t="s">
        <v>43</v>
      </c>
      <c r="AC18" t="s">
        <v>43</v>
      </c>
    </row>
    <row r="19" spans="1:31" x14ac:dyDescent="0.4">
      <c r="A19" t="s">
        <v>27</v>
      </c>
      <c r="B19">
        <v>2387</v>
      </c>
      <c r="C19" t="s">
        <v>2909</v>
      </c>
      <c r="D19">
        <v>5</v>
      </c>
      <c r="E19" t="s">
        <v>68</v>
      </c>
      <c r="F19" t="s">
        <v>85</v>
      </c>
      <c r="G19" t="s">
        <v>86</v>
      </c>
      <c r="H19" t="s">
        <v>87</v>
      </c>
      <c r="J19" t="s">
        <v>88</v>
      </c>
      <c r="K19" t="s">
        <v>89</v>
      </c>
      <c r="L19" t="s">
        <v>90</v>
      </c>
      <c r="M19" t="s">
        <v>35</v>
      </c>
      <c r="N19">
        <v>447970863728</v>
      </c>
      <c r="O19" t="s">
        <v>91</v>
      </c>
      <c r="P19" t="s">
        <v>2909</v>
      </c>
      <c r="R19" t="s">
        <v>100</v>
      </c>
      <c r="S19" t="s">
        <v>101</v>
      </c>
      <c r="T19" t="s">
        <v>58</v>
      </c>
      <c r="U19" t="s">
        <v>40</v>
      </c>
      <c r="V19" s="1">
        <v>42810</v>
      </c>
      <c r="W19">
        <v>0</v>
      </c>
      <c r="X19">
        <v>18</v>
      </c>
      <c r="AA19" t="s">
        <v>42</v>
      </c>
      <c r="AB19" t="s">
        <v>43</v>
      </c>
      <c r="AC19" t="s">
        <v>43</v>
      </c>
    </row>
    <row r="20" spans="1:31" x14ac:dyDescent="0.4">
      <c r="A20" t="s">
        <v>27</v>
      </c>
      <c r="B20">
        <v>2387</v>
      </c>
      <c r="C20" t="s">
        <v>2909</v>
      </c>
      <c r="D20">
        <v>7</v>
      </c>
      <c r="E20" t="s">
        <v>68</v>
      </c>
      <c r="F20" t="s">
        <v>85</v>
      </c>
      <c r="G20" t="s">
        <v>86</v>
      </c>
      <c r="H20" t="s">
        <v>87</v>
      </c>
      <c r="J20" t="s">
        <v>88</v>
      </c>
      <c r="K20" t="s">
        <v>89</v>
      </c>
      <c r="L20" t="s">
        <v>90</v>
      </c>
      <c r="M20" t="s">
        <v>35</v>
      </c>
      <c r="N20">
        <v>447970863728</v>
      </c>
      <c r="O20" t="s">
        <v>91</v>
      </c>
      <c r="P20" t="s">
        <v>2909</v>
      </c>
      <c r="R20" t="s">
        <v>102</v>
      </c>
      <c r="S20" t="s">
        <v>103</v>
      </c>
      <c r="T20" t="s">
        <v>94</v>
      </c>
      <c r="U20" t="s">
        <v>82</v>
      </c>
      <c r="V20" s="1">
        <v>42996</v>
      </c>
      <c r="W20">
        <v>0</v>
      </c>
      <c r="X20">
        <v>19</v>
      </c>
      <c r="AA20" t="s">
        <v>42</v>
      </c>
      <c r="AB20" t="s">
        <v>43</v>
      </c>
      <c r="AC20" t="s">
        <v>43</v>
      </c>
    </row>
    <row r="21" spans="1:31" ht="15" customHeight="1" x14ac:dyDescent="0.4">
      <c r="A21" t="s">
        <v>27</v>
      </c>
      <c r="B21">
        <v>1500</v>
      </c>
      <c r="C21" t="s">
        <v>113</v>
      </c>
      <c r="D21">
        <v>10</v>
      </c>
      <c r="E21" t="s">
        <v>68</v>
      </c>
      <c r="F21" t="s">
        <v>105</v>
      </c>
      <c r="G21" t="s">
        <v>106</v>
      </c>
      <c r="H21" t="s">
        <v>107</v>
      </c>
      <c r="I21" t="s">
        <v>108</v>
      </c>
      <c r="J21" t="s">
        <v>109</v>
      </c>
      <c r="K21" t="s">
        <v>110</v>
      </c>
      <c r="L21" t="s">
        <v>111</v>
      </c>
      <c r="M21" t="s">
        <v>35</v>
      </c>
      <c r="N21">
        <v>1566785587</v>
      </c>
      <c r="O21" t="s">
        <v>112</v>
      </c>
      <c r="P21" t="s">
        <v>113</v>
      </c>
      <c r="R21" t="s">
        <v>114</v>
      </c>
      <c r="S21" t="s">
        <v>115</v>
      </c>
      <c r="T21" t="s">
        <v>58</v>
      </c>
      <c r="U21" t="s">
        <v>40</v>
      </c>
      <c r="V21" s="1">
        <v>43422</v>
      </c>
      <c r="W21">
        <v>0</v>
      </c>
      <c r="X21">
        <v>5</v>
      </c>
      <c r="Y21" t="s">
        <v>66</v>
      </c>
      <c r="AA21" t="s">
        <v>42</v>
      </c>
      <c r="AB21" t="s">
        <v>43</v>
      </c>
      <c r="AC21" t="s">
        <v>42</v>
      </c>
      <c r="AE21" s="2" t="s">
        <v>116</v>
      </c>
    </row>
    <row r="22" spans="1:31" ht="48" hidden="1" x14ac:dyDescent="0.4">
      <c r="A22" t="s">
        <v>27</v>
      </c>
      <c r="B22">
        <v>1500</v>
      </c>
      <c r="C22" t="s">
        <v>113</v>
      </c>
      <c r="E22" t="s">
        <v>68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35</v>
      </c>
      <c r="N22">
        <v>1566785587</v>
      </c>
      <c r="O22" t="s">
        <v>112</v>
      </c>
      <c r="P22" t="s">
        <v>113</v>
      </c>
      <c r="R22" t="s">
        <v>117</v>
      </c>
      <c r="S22" t="s">
        <v>118</v>
      </c>
      <c r="T22" t="s">
        <v>58</v>
      </c>
      <c r="U22" t="s">
        <v>82</v>
      </c>
      <c r="V22" s="1">
        <v>41709</v>
      </c>
      <c r="W22">
        <v>0</v>
      </c>
      <c r="X22">
        <v>0</v>
      </c>
      <c r="Y22" t="s">
        <v>59</v>
      </c>
      <c r="AA22" t="s">
        <v>42</v>
      </c>
      <c r="AB22" t="s">
        <v>43</v>
      </c>
      <c r="AC22" t="s">
        <v>42</v>
      </c>
      <c r="AD22" s="2" t="s">
        <v>116</v>
      </c>
    </row>
    <row r="23" spans="1:31" ht="48" hidden="1" x14ac:dyDescent="0.4">
      <c r="A23" t="s">
        <v>27</v>
      </c>
      <c r="B23">
        <v>1500</v>
      </c>
      <c r="C23" t="s">
        <v>113</v>
      </c>
      <c r="E23" t="s">
        <v>68</v>
      </c>
      <c r="F23" t="s">
        <v>105</v>
      </c>
      <c r="G23" t="s">
        <v>106</v>
      </c>
      <c r="H23" t="s">
        <v>107</v>
      </c>
      <c r="I23" t="s">
        <v>108</v>
      </c>
      <c r="J23" t="s">
        <v>109</v>
      </c>
      <c r="K23" t="s">
        <v>110</v>
      </c>
      <c r="L23" t="s">
        <v>111</v>
      </c>
      <c r="M23" t="s">
        <v>35</v>
      </c>
      <c r="N23">
        <v>1566785587</v>
      </c>
      <c r="O23" t="s">
        <v>112</v>
      </c>
      <c r="P23" t="s">
        <v>113</v>
      </c>
      <c r="R23" t="s">
        <v>119</v>
      </c>
      <c r="S23" t="s">
        <v>120</v>
      </c>
      <c r="T23" t="s">
        <v>58</v>
      </c>
      <c r="U23" t="s">
        <v>82</v>
      </c>
      <c r="V23" s="1">
        <v>43422</v>
      </c>
      <c r="W23">
        <v>0</v>
      </c>
      <c r="X23">
        <v>0</v>
      </c>
      <c r="Y23" t="s">
        <v>59</v>
      </c>
      <c r="AA23" t="s">
        <v>42</v>
      </c>
      <c r="AB23" t="s">
        <v>43</v>
      </c>
      <c r="AC23" t="s">
        <v>42</v>
      </c>
      <c r="AD23" s="2" t="s">
        <v>116</v>
      </c>
    </row>
    <row r="24" spans="1:31" ht="48" hidden="1" x14ac:dyDescent="0.4">
      <c r="A24" t="s">
        <v>27</v>
      </c>
      <c r="B24">
        <v>1500</v>
      </c>
      <c r="C24" t="s">
        <v>113</v>
      </c>
      <c r="E24" t="s">
        <v>68</v>
      </c>
      <c r="F24" t="s">
        <v>105</v>
      </c>
      <c r="G24" t="s">
        <v>106</v>
      </c>
      <c r="H24" t="s">
        <v>107</v>
      </c>
      <c r="I24" t="s">
        <v>108</v>
      </c>
      <c r="J24" t="s">
        <v>109</v>
      </c>
      <c r="K24" t="s">
        <v>110</v>
      </c>
      <c r="L24" t="s">
        <v>111</v>
      </c>
      <c r="M24" t="s">
        <v>35</v>
      </c>
      <c r="N24">
        <v>1566785587</v>
      </c>
      <c r="O24" t="s">
        <v>112</v>
      </c>
      <c r="P24" t="s">
        <v>113</v>
      </c>
      <c r="R24" t="s">
        <v>121</v>
      </c>
      <c r="S24" t="s">
        <v>122</v>
      </c>
      <c r="T24" t="s">
        <v>58</v>
      </c>
      <c r="U24" t="s">
        <v>40</v>
      </c>
      <c r="V24" s="1">
        <v>42744</v>
      </c>
      <c r="W24">
        <v>0</v>
      </c>
      <c r="X24">
        <v>0</v>
      </c>
      <c r="Y24" t="s">
        <v>59</v>
      </c>
      <c r="AA24" t="s">
        <v>42</v>
      </c>
      <c r="AB24" t="s">
        <v>43</v>
      </c>
      <c r="AC24" t="s">
        <v>42</v>
      </c>
      <c r="AD24" s="2" t="s">
        <v>116</v>
      </c>
    </row>
    <row r="25" spans="1:31" ht="48" hidden="1" x14ac:dyDescent="0.4">
      <c r="A25" t="s">
        <v>27</v>
      </c>
      <c r="B25">
        <v>1500</v>
      </c>
      <c r="C25" t="s">
        <v>113</v>
      </c>
      <c r="E25" t="s">
        <v>68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35</v>
      </c>
      <c r="N25">
        <v>1566785587</v>
      </c>
      <c r="O25" t="s">
        <v>112</v>
      </c>
      <c r="P25" t="s">
        <v>113</v>
      </c>
      <c r="R25" t="s">
        <v>123</v>
      </c>
      <c r="S25" t="s">
        <v>124</v>
      </c>
      <c r="T25" t="s">
        <v>58</v>
      </c>
      <c r="U25" t="s">
        <v>82</v>
      </c>
      <c r="V25" s="1">
        <v>44931</v>
      </c>
      <c r="W25">
        <v>0</v>
      </c>
      <c r="X25">
        <v>0</v>
      </c>
      <c r="Y25" t="s">
        <v>59</v>
      </c>
      <c r="AA25" t="s">
        <v>42</v>
      </c>
      <c r="AB25" t="s">
        <v>43</v>
      </c>
      <c r="AC25" t="s">
        <v>42</v>
      </c>
      <c r="AD25" s="2" t="s">
        <v>116</v>
      </c>
    </row>
    <row r="26" spans="1:31" ht="48" hidden="1" x14ac:dyDescent="0.4">
      <c r="A26" t="s">
        <v>27</v>
      </c>
      <c r="B26">
        <v>1500</v>
      </c>
      <c r="C26" t="s">
        <v>113</v>
      </c>
      <c r="E26" t="s">
        <v>68</v>
      </c>
      <c r="F26" t="s">
        <v>105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111</v>
      </c>
      <c r="M26" t="s">
        <v>35</v>
      </c>
      <c r="N26">
        <v>1566785587</v>
      </c>
      <c r="O26" t="s">
        <v>112</v>
      </c>
      <c r="P26" t="s">
        <v>113</v>
      </c>
      <c r="R26" t="s">
        <v>119</v>
      </c>
      <c r="S26" t="s">
        <v>120</v>
      </c>
      <c r="T26" t="s">
        <v>58</v>
      </c>
      <c r="U26" t="s">
        <v>82</v>
      </c>
      <c r="V26" s="1">
        <v>43422</v>
      </c>
      <c r="W26">
        <v>0</v>
      </c>
      <c r="X26">
        <v>0</v>
      </c>
      <c r="Y26" t="s">
        <v>59</v>
      </c>
      <c r="AA26" t="s">
        <v>42</v>
      </c>
      <c r="AB26" t="s">
        <v>43</v>
      </c>
      <c r="AC26" t="s">
        <v>42</v>
      </c>
      <c r="AD26" s="2" t="s">
        <v>116</v>
      </c>
    </row>
    <row r="27" spans="1:31" ht="48" hidden="1" x14ac:dyDescent="0.4">
      <c r="A27" t="s">
        <v>27</v>
      </c>
      <c r="B27">
        <v>1500</v>
      </c>
      <c r="C27" t="s">
        <v>113</v>
      </c>
      <c r="E27" t="s">
        <v>68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35</v>
      </c>
      <c r="N27">
        <v>1566785587</v>
      </c>
      <c r="O27" t="s">
        <v>112</v>
      </c>
      <c r="P27" t="s">
        <v>113</v>
      </c>
      <c r="R27" t="s">
        <v>114</v>
      </c>
      <c r="S27" t="s">
        <v>115</v>
      </c>
      <c r="T27" t="s">
        <v>58</v>
      </c>
      <c r="U27" t="s">
        <v>40</v>
      </c>
      <c r="V27" s="1">
        <v>43422</v>
      </c>
      <c r="W27">
        <v>0</v>
      </c>
      <c r="X27">
        <v>0</v>
      </c>
      <c r="Y27" t="s">
        <v>59</v>
      </c>
      <c r="AA27" t="s">
        <v>42</v>
      </c>
      <c r="AB27" t="s">
        <v>43</v>
      </c>
      <c r="AC27" t="s">
        <v>42</v>
      </c>
      <c r="AD27" s="2" t="s">
        <v>116</v>
      </c>
    </row>
    <row r="28" spans="1:31" ht="48" hidden="1" x14ac:dyDescent="0.4">
      <c r="A28" t="s">
        <v>27</v>
      </c>
      <c r="B28">
        <v>1500</v>
      </c>
      <c r="C28" t="s">
        <v>113</v>
      </c>
      <c r="E28" t="s">
        <v>68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35</v>
      </c>
      <c r="N28">
        <v>1566785587</v>
      </c>
      <c r="O28" t="s">
        <v>112</v>
      </c>
      <c r="P28" t="s">
        <v>113</v>
      </c>
      <c r="R28" t="s">
        <v>121</v>
      </c>
      <c r="S28" t="s">
        <v>122</v>
      </c>
      <c r="T28" t="s">
        <v>58</v>
      </c>
      <c r="U28" t="s">
        <v>40</v>
      </c>
      <c r="V28" s="1">
        <v>42744</v>
      </c>
      <c r="W28">
        <v>0</v>
      </c>
      <c r="X28">
        <v>0</v>
      </c>
      <c r="Y28" t="s">
        <v>59</v>
      </c>
      <c r="AA28" t="s">
        <v>42</v>
      </c>
      <c r="AB28" t="s">
        <v>43</v>
      </c>
      <c r="AC28" t="s">
        <v>42</v>
      </c>
      <c r="AD28" s="2" t="s">
        <v>116</v>
      </c>
    </row>
    <row r="29" spans="1:31" ht="48" hidden="1" x14ac:dyDescent="0.4">
      <c r="A29" t="s">
        <v>27</v>
      </c>
      <c r="B29">
        <v>1500</v>
      </c>
      <c r="C29" t="s">
        <v>113</v>
      </c>
      <c r="E29" t="s">
        <v>68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35</v>
      </c>
      <c r="N29">
        <v>1566785587</v>
      </c>
      <c r="O29" t="s">
        <v>112</v>
      </c>
      <c r="P29" t="s">
        <v>113</v>
      </c>
      <c r="R29" t="s">
        <v>117</v>
      </c>
      <c r="S29" t="s">
        <v>118</v>
      </c>
      <c r="T29" t="s">
        <v>58</v>
      </c>
      <c r="U29" t="s">
        <v>82</v>
      </c>
      <c r="V29" s="1">
        <v>41709</v>
      </c>
      <c r="W29">
        <v>0</v>
      </c>
      <c r="X29">
        <v>0</v>
      </c>
      <c r="Y29" t="s">
        <v>59</v>
      </c>
      <c r="AA29" t="s">
        <v>42</v>
      </c>
      <c r="AB29" t="s">
        <v>43</v>
      </c>
      <c r="AC29" t="s">
        <v>42</v>
      </c>
      <c r="AD29" s="2" t="s">
        <v>116</v>
      </c>
    </row>
    <row r="30" spans="1:31" ht="48" hidden="1" x14ac:dyDescent="0.4">
      <c r="A30" t="s">
        <v>27</v>
      </c>
      <c r="B30">
        <v>1500</v>
      </c>
      <c r="C30" t="s">
        <v>113</v>
      </c>
      <c r="E30" t="s">
        <v>68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35</v>
      </c>
      <c r="N30">
        <v>1566785587</v>
      </c>
      <c r="O30" t="s">
        <v>112</v>
      </c>
      <c r="P30" t="s">
        <v>113</v>
      </c>
      <c r="R30" t="s">
        <v>123</v>
      </c>
      <c r="S30" t="s">
        <v>124</v>
      </c>
      <c r="T30" t="s">
        <v>58</v>
      </c>
      <c r="U30" t="s">
        <v>82</v>
      </c>
      <c r="V30" s="1">
        <v>44931</v>
      </c>
      <c r="W30">
        <v>0</v>
      </c>
      <c r="X30">
        <v>0</v>
      </c>
      <c r="Y30" t="s">
        <v>59</v>
      </c>
      <c r="AA30" t="s">
        <v>42</v>
      </c>
      <c r="AB30" t="s">
        <v>43</v>
      </c>
      <c r="AC30" t="s">
        <v>42</v>
      </c>
      <c r="AD30" s="2" t="s">
        <v>116</v>
      </c>
    </row>
    <row r="31" spans="1:31" x14ac:dyDescent="0.4">
      <c r="A31" t="s">
        <v>27</v>
      </c>
      <c r="B31">
        <v>701</v>
      </c>
      <c r="C31" t="s">
        <v>2847</v>
      </c>
      <c r="D31">
        <v>11</v>
      </c>
      <c r="E31" t="s">
        <v>68</v>
      </c>
      <c r="F31" t="s">
        <v>125</v>
      </c>
      <c r="G31" t="s">
        <v>126</v>
      </c>
      <c r="H31" t="s">
        <v>127</v>
      </c>
      <c r="J31" t="s">
        <v>128</v>
      </c>
      <c r="K31" t="s">
        <v>129</v>
      </c>
      <c r="L31" t="s">
        <v>130</v>
      </c>
      <c r="M31" t="s">
        <v>35</v>
      </c>
      <c r="N31">
        <v>1933353038</v>
      </c>
      <c r="O31" t="s">
        <v>131</v>
      </c>
      <c r="P31" t="s">
        <v>2847</v>
      </c>
      <c r="R31" t="s">
        <v>133</v>
      </c>
      <c r="S31" t="s">
        <v>134</v>
      </c>
      <c r="T31" t="s">
        <v>376</v>
      </c>
      <c r="U31" t="s">
        <v>82</v>
      </c>
      <c r="V31" s="1">
        <v>44890</v>
      </c>
      <c r="W31">
        <v>0</v>
      </c>
      <c r="X31">
        <v>4</v>
      </c>
      <c r="Y31" t="s">
        <v>65</v>
      </c>
      <c r="Z31" t="s">
        <v>135</v>
      </c>
      <c r="AA31" t="s">
        <v>42</v>
      </c>
      <c r="AB31" t="s">
        <v>43</v>
      </c>
      <c r="AC31" t="s">
        <v>43</v>
      </c>
    </row>
    <row r="32" spans="1:31" x14ac:dyDescent="0.4">
      <c r="A32" t="s">
        <v>27</v>
      </c>
      <c r="B32">
        <v>701</v>
      </c>
      <c r="C32" t="s">
        <v>2847</v>
      </c>
      <c r="D32">
        <v>13</v>
      </c>
      <c r="E32" t="s">
        <v>68</v>
      </c>
      <c r="F32" t="s">
        <v>125</v>
      </c>
      <c r="G32" t="s">
        <v>126</v>
      </c>
      <c r="H32" t="s">
        <v>127</v>
      </c>
      <c r="J32" t="s">
        <v>128</v>
      </c>
      <c r="K32" t="s">
        <v>129</v>
      </c>
      <c r="L32" t="s">
        <v>130</v>
      </c>
      <c r="M32" t="s">
        <v>35</v>
      </c>
      <c r="N32">
        <v>1933353038</v>
      </c>
      <c r="O32" t="s">
        <v>131</v>
      </c>
      <c r="P32" t="s">
        <v>2847</v>
      </c>
      <c r="R32" t="s">
        <v>136</v>
      </c>
      <c r="S32" t="s">
        <v>137</v>
      </c>
      <c r="T32" t="s">
        <v>138</v>
      </c>
      <c r="U32" t="s">
        <v>82</v>
      </c>
      <c r="V32" s="1">
        <v>44754</v>
      </c>
      <c r="W32">
        <v>0</v>
      </c>
      <c r="X32">
        <v>6</v>
      </c>
      <c r="Y32" t="s">
        <v>83</v>
      </c>
      <c r="Z32" t="s">
        <v>135</v>
      </c>
      <c r="AA32" t="s">
        <v>42</v>
      </c>
      <c r="AB32" t="s">
        <v>43</v>
      </c>
      <c r="AC32" t="s">
        <v>43</v>
      </c>
    </row>
    <row r="33" spans="1:29" x14ac:dyDescent="0.4">
      <c r="A33" t="s">
        <v>27</v>
      </c>
      <c r="B33">
        <v>701</v>
      </c>
      <c r="C33" t="s">
        <v>2847</v>
      </c>
      <c r="D33">
        <v>13</v>
      </c>
      <c r="E33" t="s">
        <v>68</v>
      </c>
      <c r="F33" t="s">
        <v>125</v>
      </c>
      <c r="G33" t="s">
        <v>126</v>
      </c>
      <c r="H33" t="s">
        <v>127</v>
      </c>
      <c r="J33" t="s">
        <v>128</v>
      </c>
      <c r="K33" t="s">
        <v>129</v>
      </c>
      <c r="L33" t="s">
        <v>130</v>
      </c>
      <c r="M33" t="s">
        <v>35</v>
      </c>
      <c r="N33">
        <v>1933353038</v>
      </c>
      <c r="O33" t="s">
        <v>131</v>
      </c>
      <c r="P33" t="s">
        <v>2847</v>
      </c>
      <c r="R33" t="s">
        <v>136</v>
      </c>
      <c r="S33" t="s">
        <v>137</v>
      </c>
      <c r="T33" t="s">
        <v>138</v>
      </c>
      <c r="U33" t="s">
        <v>82</v>
      </c>
      <c r="V33" s="1">
        <v>44754</v>
      </c>
      <c r="W33">
        <v>0</v>
      </c>
      <c r="X33">
        <v>5</v>
      </c>
      <c r="Y33" t="s">
        <v>66</v>
      </c>
      <c r="Z33" t="s">
        <v>135</v>
      </c>
      <c r="AA33" t="s">
        <v>42</v>
      </c>
      <c r="AB33" t="s">
        <v>43</v>
      </c>
      <c r="AC33" t="s">
        <v>43</v>
      </c>
    </row>
    <row r="34" spans="1:29" x14ac:dyDescent="0.4">
      <c r="A34" t="s">
        <v>27</v>
      </c>
      <c r="B34">
        <v>701</v>
      </c>
      <c r="C34" t="s">
        <v>2847</v>
      </c>
      <c r="D34">
        <v>12</v>
      </c>
      <c r="E34" t="s">
        <v>68</v>
      </c>
      <c r="F34" t="s">
        <v>125</v>
      </c>
      <c r="G34" t="s">
        <v>126</v>
      </c>
      <c r="H34" t="s">
        <v>127</v>
      </c>
      <c r="J34" t="s">
        <v>128</v>
      </c>
      <c r="K34" t="s">
        <v>129</v>
      </c>
      <c r="L34" t="s">
        <v>130</v>
      </c>
      <c r="M34" t="s">
        <v>35</v>
      </c>
      <c r="N34">
        <v>1933353038</v>
      </c>
      <c r="O34" t="s">
        <v>131</v>
      </c>
      <c r="P34" t="s">
        <v>2847</v>
      </c>
      <c r="R34" t="s">
        <v>139</v>
      </c>
      <c r="S34" t="s">
        <v>140</v>
      </c>
      <c r="T34" t="s">
        <v>138</v>
      </c>
      <c r="U34" t="s">
        <v>40</v>
      </c>
      <c r="V34" s="1">
        <v>42657</v>
      </c>
      <c r="W34">
        <v>0</v>
      </c>
      <c r="X34">
        <v>7</v>
      </c>
      <c r="Z34" t="s">
        <v>135</v>
      </c>
      <c r="AA34" t="s">
        <v>42</v>
      </c>
      <c r="AB34" t="s">
        <v>43</v>
      </c>
      <c r="AC34" t="s">
        <v>43</v>
      </c>
    </row>
    <row r="35" spans="1:29" x14ac:dyDescent="0.4">
      <c r="A35" t="s">
        <v>27</v>
      </c>
      <c r="B35">
        <v>701</v>
      </c>
      <c r="C35" t="s">
        <v>2847</v>
      </c>
      <c r="D35">
        <v>11</v>
      </c>
      <c r="E35" t="s">
        <v>68</v>
      </c>
      <c r="F35" t="s">
        <v>125</v>
      </c>
      <c r="G35" t="s">
        <v>126</v>
      </c>
      <c r="H35" t="s">
        <v>127</v>
      </c>
      <c r="J35" t="s">
        <v>128</v>
      </c>
      <c r="K35" t="s">
        <v>129</v>
      </c>
      <c r="L35" t="s">
        <v>130</v>
      </c>
      <c r="M35" t="s">
        <v>35</v>
      </c>
      <c r="N35">
        <v>1933353038</v>
      </c>
      <c r="O35" t="s">
        <v>131</v>
      </c>
      <c r="P35" t="s">
        <v>2847</v>
      </c>
      <c r="R35" t="s">
        <v>133</v>
      </c>
      <c r="S35" t="s">
        <v>134</v>
      </c>
      <c r="T35" t="s">
        <v>376</v>
      </c>
      <c r="U35" t="s">
        <v>82</v>
      </c>
      <c r="V35" s="1">
        <v>44890</v>
      </c>
      <c r="W35">
        <v>0</v>
      </c>
      <c r="X35">
        <v>13</v>
      </c>
      <c r="Z35" t="s">
        <v>135</v>
      </c>
      <c r="AA35" t="s">
        <v>42</v>
      </c>
      <c r="AB35" t="s">
        <v>43</v>
      </c>
      <c r="AC35" t="s">
        <v>43</v>
      </c>
    </row>
    <row r="36" spans="1:29" x14ac:dyDescent="0.4">
      <c r="A36" t="s">
        <v>27</v>
      </c>
      <c r="B36">
        <v>701</v>
      </c>
      <c r="C36" t="s">
        <v>2847</v>
      </c>
      <c r="D36">
        <v>13</v>
      </c>
      <c r="E36" t="s">
        <v>68</v>
      </c>
      <c r="F36" t="s">
        <v>125</v>
      </c>
      <c r="G36" t="s">
        <v>126</v>
      </c>
      <c r="H36" t="s">
        <v>127</v>
      </c>
      <c r="J36" t="s">
        <v>128</v>
      </c>
      <c r="K36" t="s">
        <v>129</v>
      </c>
      <c r="L36" t="s">
        <v>130</v>
      </c>
      <c r="M36" t="s">
        <v>35</v>
      </c>
      <c r="N36">
        <v>1933353038</v>
      </c>
      <c r="O36" t="s">
        <v>131</v>
      </c>
      <c r="P36" t="s">
        <v>2847</v>
      </c>
      <c r="R36" t="s">
        <v>136</v>
      </c>
      <c r="S36" t="s">
        <v>137</v>
      </c>
      <c r="T36" t="s">
        <v>138</v>
      </c>
      <c r="U36" t="s">
        <v>82</v>
      </c>
      <c r="V36" s="1">
        <v>44754</v>
      </c>
      <c r="W36">
        <v>0</v>
      </c>
      <c r="X36">
        <v>15</v>
      </c>
      <c r="Z36" t="s">
        <v>135</v>
      </c>
      <c r="AA36" t="s">
        <v>42</v>
      </c>
      <c r="AB36" t="s">
        <v>43</v>
      </c>
      <c r="AC36" t="s">
        <v>43</v>
      </c>
    </row>
    <row r="37" spans="1:29" x14ac:dyDescent="0.4">
      <c r="A37" t="s">
        <v>27</v>
      </c>
      <c r="B37">
        <v>701</v>
      </c>
      <c r="C37" t="s">
        <v>2847</v>
      </c>
      <c r="D37">
        <v>13</v>
      </c>
      <c r="E37" t="s">
        <v>68</v>
      </c>
      <c r="F37" t="s">
        <v>125</v>
      </c>
      <c r="G37" t="s">
        <v>126</v>
      </c>
      <c r="H37" t="s">
        <v>127</v>
      </c>
      <c r="J37" t="s">
        <v>128</v>
      </c>
      <c r="K37" t="s">
        <v>129</v>
      </c>
      <c r="L37" t="s">
        <v>130</v>
      </c>
      <c r="M37" t="s">
        <v>35</v>
      </c>
      <c r="N37">
        <v>1933353038</v>
      </c>
      <c r="O37" t="s">
        <v>131</v>
      </c>
      <c r="P37" t="s">
        <v>2847</v>
      </c>
      <c r="R37" t="s">
        <v>136</v>
      </c>
      <c r="S37" t="s">
        <v>137</v>
      </c>
      <c r="T37" t="s">
        <v>138</v>
      </c>
      <c r="U37" t="s">
        <v>82</v>
      </c>
      <c r="V37" s="1">
        <v>44754</v>
      </c>
      <c r="W37">
        <v>0</v>
      </c>
      <c r="X37">
        <v>17</v>
      </c>
      <c r="Z37" t="s">
        <v>135</v>
      </c>
      <c r="AA37" t="s">
        <v>42</v>
      </c>
      <c r="AB37" t="s">
        <v>43</v>
      </c>
      <c r="AC37" t="s">
        <v>43</v>
      </c>
    </row>
    <row r="38" spans="1:29" x14ac:dyDescent="0.4">
      <c r="A38" t="s">
        <v>27</v>
      </c>
      <c r="B38">
        <v>701</v>
      </c>
      <c r="C38" t="s">
        <v>2847</v>
      </c>
      <c r="D38">
        <v>12</v>
      </c>
      <c r="E38" t="s">
        <v>68</v>
      </c>
      <c r="F38" t="s">
        <v>125</v>
      </c>
      <c r="G38" t="s">
        <v>126</v>
      </c>
      <c r="H38" t="s">
        <v>127</v>
      </c>
      <c r="J38" t="s">
        <v>128</v>
      </c>
      <c r="K38" t="s">
        <v>129</v>
      </c>
      <c r="L38" t="s">
        <v>130</v>
      </c>
      <c r="M38" t="s">
        <v>35</v>
      </c>
      <c r="N38">
        <v>1933353038</v>
      </c>
      <c r="O38" t="s">
        <v>131</v>
      </c>
      <c r="P38" t="s">
        <v>2847</v>
      </c>
      <c r="R38" t="s">
        <v>139</v>
      </c>
      <c r="S38" t="s">
        <v>140</v>
      </c>
      <c r="T38" t="s">
        <v>138</v>
      </c>
      <c r="U38" t="s">
        <v>40</v>
      </c>
      <c r="V38" s="1">
        <v>42657</v>
      </c>
      <c r="W38">
        <v>0</v>
      </c>
      <c r="X38">
        <v>20</v>
      </c>
      <c r="Z38" t="s">
        <v>135</v>
      </c>
      <c r="AA38" t="s">
        <v>42</v>
      </c>
      <c r="AB38" t="s">
        <v>43</v>
      </c>
      <c r="AC38" t="s">
        <v>43</v>
      </c>
    </row>
    <row r="39" spans="1:29" hidden="1" x14ac:dyDescent="0.4">
      <c r="A39" t="s">
        <v>27</v>
      </c>
      <c r="B39">
        <v>701</v>
      </c>
      <c r="C39" t="s">
        <v>2847</v>
      </c>
      <c r="E39" t="s">
        <v>68</v>
      </c>
      <c r="F39" t="s">
        <v>125</v>
      </c>
      <c r="G39" t="s">
        <v>126</v>
      </c>
      <c r="H39" t="s">
        <v>127</v>
      </c>
      <c r="J39" t="s">
        <v>128</v>
      </c>
      <c r="K39" t="s">
        <v>129</v>
      </c>
      <c r="L39" t="s">
        <v>130</v>
      </c>
      <c r="M39" t="s">
        <v>35</v>
      </c>
      <c r="N39">
        <v>1933353038</v>
      </c>
      <c r="O39" t="s">
        <v>131</v>
      </c>
      <c r="P39" t="s">
        <v>132</v>
      </c>
      <c r="R39" t="s">
        <v>142</v>
      </c>
      <c r="S39" t="s">
        <v>143</v>
      </c>
      <c r="T39" t="s">
        <v>138</v>
      </c>
      <c r="U39" t="s">
        <v>40</v>
      </c>
      <c r="V39" s="1">
        <v>41005</v>
      </c>
      <c r="W39">
        <v>0</v>
      </c>
      <c r="X39">
        <v>0</v>
      </c>
      <c r="Y39" t="s">
        <v>59</v>
      </c>
      <c r="Z39" t="s">
        <v>135</v>
      </c>
      <c r="AA39" t="s">
        <v>42</v>
      </c>
      <c r="AB39" t="s">
        <v>43</v>
      </c>
      <c r="AC39" t="s">
        <v>43</v>
      </c>
    </row>
    <row r="40" spans="1:29" hidden="1" x14ac:dyDescent="0.4">
      <c r="A40" t="s">
        <v>27</v>
      </c>
      <c r="B40">
        <v>701</v>
      </c>
      <c r="C40" t="s">
        <v>2847</v>
      </c>
      <c r="E40" t="s">
        <v>68</v>
      </c>
      <c r="F40" t="s">
        <v>125</v>
      </c>
      <c r="G40" t="s">
        <v>126</v>
      </c>
      <c r="H40" t="s">
        <v>127</v>
      </c>
      <c r="J40" t="s">
        <v>128</v>
      </c>
      <c r="K40" t="s">
        <v>129</v>
      </c>
      <c r="L40" t="s">
        <v>130</v>
      </c>
      <c r="M40" t="s">
        <v>35</v>
      </c>
      <c r="N40">
        <v>1933353038</v>
      </c>
      <c r="O40" t="s">
        <v>131</v>
      </c>
      <c r="P40" t="s">
        <v>132</v>
      </c>
      <c r="R40" t="s">
        <v>144</v>
      </c>
      <c r="S40" t="s">
        <v>145</v>
      </c>
      <c r="T40" t="s">
        <v>146</v>
      </c>
      <c r="U40" t="s">
        <v>82</v>
      </c>
      <c r="V40" s="1">
        <v>43595</v>
      </c>
      <c r="W40">
        <v>0</v>
      </c>
      <c r="X40">
        <v>0</v>
      </c>
      <c r="Y40" t="s">
        <v>59</v>
      </c>
      <c r="Z40" t="s">
        <v>135</v>
      </c>
      <c r="AA40" t="s">
        <v>42</v>
      </c>
      <c r="AB40" t="s">
        <v>43</v>
      </c>
      <c r="AC40" t="s">
        <v>43</v>
      </c>
    </row>
    <row r="41" spans="1:29" hidden="1" x14ac:dyDescent="0.4">
      <c r="A41" t="s">
        <v>27</v>
      </c>
      <c r="B41">
        <v>701</v>
      </c>
      <c r="C41" t="s">
        <v>2847</v>
      </c>
      <c r="E41" t="s">
        <v>68</v>
      </c>
      <c r="F41" t="s">
        <v>125</v>
      </c>
      <c r="G41" t="s">
        <v>126</v>
      </c>
      <c r="H41" t="s">
        <v>127</v>
      </c>
      <c r="J41" t="s">
        <v>128</v>
      </c>
      <c r="K41" t="s">
        <v>129</v>
      </c>
      <c r="L41" t="s">
        <v>130</v>
      </c>
      <c r="M41" t="s">
        <v>35</v>
      </c>
      <c r="N41">
        <v>1933353038</v>
      </c>
      <c r="O41" t="s">
        <v>131</v>
      </c>
      <c r="P41" t="s">
        <v>132</v>
      </c>
      <c r="R41" t="s">
        <v>147</v>
      </c>
      <c r="S41" t="s">
        <v>148</v>
      </c>
      <c r="T41" t="s">
        <v>138</v>
      </c>
      <c r="U41" t="s">
        <v>82</v>
      </c>
      <c r="V41" s="1">
        <v>41773</v>
      </c>
      <c r="W41">
        <v>0</v>
      </c>
      <c r="X41">
        <v>0</v>
      </c>
      <c r="Y41" t="s">
        <v>59</v>
      </c>
      <c r="Z41" t="s">
        <v>135</v>
      </c>
      <c r="AA41" t="s">
        <v>42</v>
      </c>
      <c r="AB41" t="s">
        <v>43</v>
      </c>
      <c r="AC41" t="s">
        <v>43</v>
      </c>
    </row>
    <row r="42" spans="1:29" hidden="1" x14ac:dyDescent="0.4">
      <c r="A42" t="s">
        <v>27</v>
      </c>
      <c r="B42">
        <v>701</v>
      </c>
      <c r="C42" t="s">
        <v>2847</v>
      </c>
      <c r="E42" t="s">
        <v>68</v>
      </c>
      <c r="F42" t="s">
        <v>125</v>
      </c>
      <c r="G42" t="s">
        <v>126</v>
      </c>
      <c r="H42" t="s">
        <v>127</v>
      </c>
      <c r="J42" t="s">
        <v>128</v>
      </c>
      <c r="K42" t="s">
        <v>129</v>
      </c>
      <c r="L42" t="s">
        <v>130</v>
      </c>
      <c r="M42" t="s">
        <v>35</v>
      </c>
      <c r="N42">
        <v>1933353038</v>
      </c>
      <c r="O42" t="s">
        <v>131</v>
      </c>
      <c r="P42" t="s">
        <v>132</v>
      </c>
      <c r="R42" t="s">
        <v>142</v>
      </c>
      <c r="S42" t="s">
        <v>143</v>
      </c>
      <c r="T42" t="s">
        <v>138</v>
      </c>
      <c r="U42" t="s">
        <v>40</v>
      </c>
      <c r="V42" s="1">
        <v>41005</v>
      </c>
      <c r="W42">
        <v>0</v>
      </c>
      <c r="X42">
        <v>0</v>
      </c>
      <c r="Y42" t="s">
        <v>59</v>
      </c>
      <c r="Z42" t="s">
        <v>135</v>
      </c>
      <c r="AA42" t="s">
        <v>42</v>
      </c>
      <c r="AB42" t="s">
        <v>43</v>
      </c>
      <c r="AC42" t="s">
        <v>43</v>
      </c>
    </row>
    <row r="43" spans="1:29" hidden="1" x14ac:dyDescent="0.4">
      <c r="A43" t="s">
        <v>27</v>
      </c>
      <c r="B43">
        <v>701</v>
      </c>
      <c r="C43" t="s">
        <v>2847</v>
      </c>
      <c r="E43" t="s">
        <v>68</v>
      </c>
      <c r="F43" t="s">
        <v>125</v>
      </c>
      <c r="G43" t="s">
        <v>126</v>
      </c>
      <c r="H43" t="s">
        <v>127</v>
      </c>
      <c r="J43" t="s">
        <v>128</v>
      </c>
      <c r="K43" t="s">
        <v>129</v>
      </c>
      <c r="L43" t="s">
        <v>130</v>
      </c>
      <c r="M43" t="s">
        <v>35</v>
      </c>
      <c r="N43">
        <v>1933353038</v>
      </c>
      <c r="O43" t="s">
        <v>131</v>
      </c>
      <c r="P43" t="s">
        <v>132</v>
      </c>
      <c r="R43" t="s">
        <v>144</v>
      </c>
      <c r="S43" t="s">
        <v>145</v>
      </c>
      <c r="T43" t="s">
        <v>146</v>
      </c>
      <c r="U43" t="s">
        <v>82</v>
      </c>
      <c r="V43" s="1">
        <v>43595</v>
      </c>
      <c r="W43">
        <v>0</v>
      </c>
      <c r="X43">
        <v>0</v>
      </c>
      <c r="Y43" t="s">
        <v>59</v>
      </c>
      <c r="Z43" t="s">
        <v>135</v>
      </c>
      <c r="AA43" t="s">
        <v>42</v>
      </c>
      <c r="AB43" t="s">
        <v>43</v>
      </c>
      <c r="AC43" t="s">
        <v>43</v>
      </c>
    </row>
    <row r="44" spans="1:29" hidden="1" x14ac:dyDescent="0.4">
      <c r="A44" t="s">
        <v>27</v>
      </c>
      <c r="B44">
        <v>701</v>
      </c>
      <c r="C44" t="s">
        <v>2847</v>
      </c>
      <c r="E44" t="s">
        <v>68</v>
      </c>
      <c r="F44" t="s">
        <v>125</v>
      </c>
      <c r="G44" t="s">
        <v>126</v>
      </c>
      <c r="H44" t="s">
        <v>127</v>
      </c>
      <c r="J44" t="s">
        <v>128</v>
      </c>
      <c r="K44" t="s">
        <v>129</v>
      </c>
      <c r="L44" t="s">
        <v>130</v>
      </c>
      <c r="M44" t="s">
        <v>35</v>
      </c>
      <c r="N44">
        <v>1933353038</v>
      </c>
      <c r="O44" t="s">
        <v>131</v>
      </c>
      <c r="P44" t="s">
        <v>132</v>
      </c>
      <c r="R44" t="s">
        <v>147</v>
      </c>
      <c r="S44" t="s">
        <v>148</v>
      </c>
      <c r="T44" t="s">
        <v>138</v>
      </c>
      <c r="U44" t="s">
        <v>82</v>
      </c>
      <c r="V44" s="1">
        <v>41773</v>
      </c>
      <c r="W44">
        <v>0</v>
      </c>
      <c r="X44">
        <v>0</v>
      </c>
      <c r="Y44" t="s">
        <v>59</v>
      </c>
      <c r="Z44" t="s">
        <v>135</v>
      </c>
      <c r="AA44" t="s">
        <v>42</v>
      </c>
      <c r="AB44" t="s">
        <v>43</v>
      </c>
      <c r="AC44" t="s">
        <v>43</v>
      </c>
    </row>
    <row r="45" spans="1:29" x14ac:dyDescent="0.4">
      <c r="A45" t="s">
        <v>27</v>
      </c>
      <c r="B45">
        <v>2342</v>
      </c>
      <c r="C45" t="s">
        <v>2910</v>
      </c>
      <c r="D45">
        <v>15</v>
      </c>
      <c r="E45" t="s">
        <v>28</v>
      </c>
      <c r="F45" t="s">
        <v>149</v>
      </c>
      <c r="G45" t="s">
        <v>150</v>
      </c>
      <c r="H45" t="s">
        <v>151</v>
      </c>
      <c r="J45" t="s">
        <v>152</v>
      </c>
      <c r="K45" t="s">
        <v>73</v>
      </c>
      <c r="L45" t="s">
        <v>153</v>
      </c>
      <c r="M45" t="s">
        <v>35</v>
      </c>
      <c r="N45">
        <v>7778388879</v>
      </c>
      <c r="O45" t="s">
        <v>154</v>
      </c>
      <c r="P45" t="s">
        <v>2910</v>
      </c>
      <c r="R45" t="s">
        <v>156</v>
      </c>
      <c r="S45" t="s">
        <v>157</v>
      </c>
      <c r="T45" t="s">
        <v>94</v>
      </c>
      <c r="U45" t="s">
        <v>40</v>
      </c>
      <c r="V45" s="1">
        <v>45348</v>
      </c>
      <c r="W45">
        <v>0</v>
      </c>
      <c r="X45">
        <v>4</v>
      </c>
      <c r="Y45" t="s">
        <v>65</v>
      </c>
      <c r="AA45" t="s">
        <v>42</v>
      </c>
      <c r="AB45" t="s">
        <v>43</v>
      </c>
      <c r="AC45" t="s">
        <v>43</v>
      </c>
    </row>
    <row r="46" spans="1:29" x14ac:dyDescent="0.4">
      <c r="A46" t="s">
        <v>27</v>
      </c>
      <c r="B46">
        <v>2342</v>
      </c>
      <c r="C46" t="s">
        <v>2910</v>
      </c>
      <c r="D46">
        <v>14</v>
      </c>
      <c r="E46" t="s">
        <v>28</v>
      </c>
      <c r="F46" t="s">
        <v>149</v>
      </c>
      <c r="G46" t="s">
        <v>150</v>
      </c>
      <c r="H46" t="s">
        <v>151</v>
      </c>
      <c r="J46" t="s">
        <v>152</v>
      </c>
      <c r="K46" t="s">
        <v>73</v>
      </c>
      <c r="L46" t="s">
        <v>153</v>
      </c>
      <c r="M46" t="s">
        <v>35</v>
      </c>
      <c r="N46">
        <v>7778388879</v>
      </c>
      <c r="O46" t="s">
        <v>154</v>
      </c>
      <c r="P46" t="s">
        <v>2910</v>
      </c>
      <c r="R46" t="s">
        <v>158</v>
      </c>
      <c r="S46" t="s">
        <v>159</v>
      </c>
      <c r="T46" t="s">
        <v>58</v>
      </c>
      <c r="U46" t="s">
        <v>40</v>
      </c>
      <c r="V46" s="1">
        <v>43302</v>
      </c>
      <c r="W46">
        <v>0</v>
      </c>
      <c r="X46">
        <v>5</v>
      </c>
      <c r="Y46" t="s">
        <v>66</v>
      </c>
      <c r="AA46" t="s">
        <v>42</v>
      </c>
      <c r="AB46" t="s">
        <v>43</v>
      </c>
      <c r="AC46" t="s">
        <v>43</v>
      </c>
    </row>
    <row r="47" spans="1:29" x14ac:dyDescent="0.4">
      <c r="A47" t="s">
        <v>27</v>
      </c>
      <c r="B47">
        <v>2342</v>
      </c>
      <c r="C47" t="s">
        <v>2910</v>
      </c>
      <c r="D47">
        <v>14</v>
      </c>
      <c r="E47" t="s">
        <v>28</v>
      </c>
      <c r="F47" t="s">
        <v>149</v>
      </c>
      <c r="G47" t="s">
        <v>150</v>
      </c>
      <c r="H47" t="s">
        <v>151</v>
      </c>
      <c r="J47" t="s">
        <v>152</v>
      </c>
      <c r="K47" t="s">
        <v>73</v>
      </c>
      <c r="L47" t="s">
        <v>153</v>
      </c>
      <c r="M47" t="s">
        <v>35</v>
      </c>
      <c r="N47">
        <v>7778388879</v>
      </c>
      <c r="O47" t="s">
        <v>154</v>
      </c>
      <c r="P47" t="s">
        <v>2910</v>
      </c>
      <c r="R47" t="s">
        <v>158</v>
      </c>
      <c r="S47" t="s">
        <v>159</v>
      </c>
      <c r="T47" t="s">
        <v>58</v>
      </c>
      <c r="U47" t="s">
        <v>40</v>
      </c>
      <c r="V47" s="1">
        <v>43302</v>
      </c>
      <c r="W47">
        <v>0</v>
      </c>
      <c r="X47">
        <v>6</v>
      </c>
      <c r="Y47" t="s">
        <v>83</v>
      </c>
      <c r="AA47" t="s">
        <v>42</v>
      </c>
      <c r="AB47" t="s">
        <v>43</v>
      </c>
      <c r="AC47" t="s">
        <v>43</v>
      </c>
    </row>
    <row r="48" spans="1:29" hidden="1" x14ac:dyDescent="0.4">
      <c r="A48" t="s">
        <v>27</v>
      </c>
      <c r="B48">
        <v>2342</v>
      </c>
      <c r="C48" t="s">
        <v>2910</v>
      </c>
      <c r="E48" t="s">
        <v>28</v>
      </c>
      <c r="F48" t="s">
        <v>149</v>
      </c>
      <c r="G48" t="s">
        <v>150</v>
      </c>
      <c r="H48" t="s">
        <v>151</v>
      </c>
      <c r="J48" t="s">
        <v>152</v>
      </c>
      <c r="K48" t="s">
        <v>73</v>
      </c>
      <c r="L48" t="s">
        <v>153</v>
      </c>
      <c r="M48" t="s">
        <v>35</v>
      </c>
      <c r="N48">
        <v>7778388879</v>
      </c>
      <c r="O48" t="s">
        <v>154</v>
      </c>
      <c r="P48" t="s">
        <v>155</v>
      </c>
      <c r="R48" t="s">
        <v>158</v>
      </c>
      <c r="S48" t="s">
        <v>159</v>
      </c>
      <c r="T48" t="s">
        <v>58</v>
      </c>
      <c r="U48" t="s">
        <v>40</v>
      </c>
      <c r="V48" s="1">
        <v>43302</v>
      </c>
      <c r="W48">
        <v>0</v>
      </c>
      <c r="X48">
        <v>0</v>
      </c>
      <c r="Y48" t="s">
        <v>59</v>
      </c>
      <c r="AA48" t="s">
        <v>42</v>
      </c>
      <c r="AB48" t="s">
        <v>43</v>
      </c>
      <c r="AC48" t="s">
        <v>43</v>
      </c>
    </row>
    <row r="49" spans="1:30" hidden="1" x14ac:dyDescent="0.4">
      <c r="A49" t="s">
        <v>27</v>
      </c>
      <c r="B49">
        <v>2342</v>
      </c>
      <c r="C49" t="s">
        <v>2910</v>
      </c>
      <c r="E49" t="s">
        <v>28</v>
      </c>
      <c r="F49" t="s">
        <v>149</v>
      </c>
      <c r="G49" t="s">
        <v>150</v>
      </c>
      <c r="H49" t="s">
        <v>151</v>
      </c>
      <c r="J49" t="s">
        <v>152</v>
      </c>
      <c r="K49" t="s">
        <v>73</v>
      </c>
      <c r="L49" t="s">
        <v>153</v>
      </c>
      <c r="M49" t="s">
        <v>35</v>
      </c>
      <c r="N49">
        <v>7778388879</v>
      </c>
      <c r="O49" t="s">
        <v>154</v>
      </c>
      <c r="P49" t="s">
        <v>155</v>
      </c>
      <c r="R49" t="s">
        <v>156</v>
      </c>
      <c r="S49" t="s">
        <v>157</v>
      </c>
      <c r="T49" t="s">
        <v>94</v>
      </c>
      <c r="U49" t="s">
        <v>40</v>
      </c>
      <c r="V49" s="1">
        <v>45348</v>
      </c>
      <c r="W49">
        <v>0</v>
      </c>
      <c r="X49">
        <v>0</v>
      </c>
      <c r="Y49" t="s">
        <v>59</v>
      </c>
      <c r="AA49" t="s">
        <v>42</v>
      </c>
      <c r="AB49" t="s">
        <v>43</v>
      </c>
      <c r="AC49" t="s">
        <v>43</v>
      </c>
    </row>
    <row r="50" spans="1:30" x14ac:dyDescent="0.4">
      <c r="A50" t="s">
        <v>27</v>
      </c>
      <c r="B50">
        <v>2162</v>
      </c>
      <c r="C50" t="s">
        <v>2911</v>
      </c>
      <c r="D50">
        <v>16</v>
      </c>
      <c r="E50" t="s">
        <v>28</v>
      </c>
      <c r="F50" t="s">
        <v>160</v>
      </c>
      <c r="G50" t="s">
        <v>161</v>
      </c>
      <c r="H50" t="s">
        <v>162</v>
      </c>
      <c r="J50" t="s">
        <v>163</v>
      </c>
      <c r="K50" t="s">
        <v>164</v>
      </c>
      <c r="L50" t="s">
        <v>165</v>
      </c>
      <c r="M50" t="s">
        <v>35</v>
      </c>
      <c r="N50">
        <v>1380721236</v>
      </c>
      <c r="O50" t="s">
        <v>166</v>
      </c>
      <c r="P50" t="s">
        <v>2911</v>
      </c>
      <c r="R50" t="s">
        <v>3033</v>
      </c>
      <c r="S50" t="s">
        <v>168</v>
      </c>
      <c r="T50" t="s">
        <v>169</v>
      </c>
      <c r="U50" t="s">
        <v>82</v>
      </c>
      <c r="V50" s="1">
        <v>41975</v>
      </c>
      <c r="W50">
        <v>0</v>
      </c>
      <c r="X50">
        <v>2</v>
      </c>
      <c r="AA50" t="s">
        <v>42</v>
      </c>
      <c r="AB50" t="s">
        <v>43</v>
      </c>
      <c r="AC50" t="s">
        <v>43</v>
      </c>
    </row>
    <row r="51" spans="1:30" x14ac:dyDescent="0.4">
      <c r="A51" t="s">
        <v>27</v>
      </c>
      <c r="B51">
        <v>2162</v>
      </c>
      <c r="C51" t="s">
        <v>2911</v>
      </c>
      <c r="D51">
        <v>16</v>
      </c>
      <c r="E51" t="s">
        <v>28</v>
      </c>
      <c r="F51" t="s">
        <v>160</v>
      </c>
      <c r="G51" t="s">
        <v>161</v>
      </c>
      <c r="H51" t="s">
        <v>162</v>
      </c>
      <c r="J51" t="s">
        <v>163</v>
      </c>
      <c r="K51" t="s">
        <v>164</v>
      </c>
      <c r="L51" t="s">
        <v>165</v>
      </c>
      <c r="M51" t="s">
        <v>35</v>
      </c>
      <c r="N51">
        <v>1380721236</v>
      </c>
      <c r="O51" t="s">
        <v>166</v>
      </c>
      <c r="P51" t="s">
        <v>2911</v>
      </c>
      <c r="R51" t="s">
        <v>3033</v>
      </c>
      <c r="S51" t="s">
        <v>168</v>
      </c>
      <c r="T51" t="s">
        <v>169</v>
      </c>
      <c r="U51" t="s">
        <v>82</v>
      </c>
      <c r="V51" s="1">
        <v>41975</v>
      </c>
      <c r="W51">
        <v>0</v>
      </c>
      <c r="X51">
        <v>3</v>
      </c>
      <c r="AA51" t="s">
        <v>42</v>
      </c>
      <c r="AB51" t="s">
        <v>43</v>
      </c>
      <c r="AC51" t="s">
        <v>43</v>
      </c>
    </row>
    <row r="52" spans="1:30" hidden="1" x14ac:dyDescent="0.4">
      <c r="A52" t="s">
        <v>27</v>
      </c>
      <c r="B52">
        <v>1549</v>
      </c>
      <c r="C52" t="s">
        <v>179</v>
      </c>
      <c r="E52" t="s">
        <v>28</v>
      </c>
      <c r="F52" t="s">
        <v>171</v>
      </c>
      <c r="G52" t="s">
        <v>172</v>
      </c>
      <c r="H52" t="s">
        <v>173</v>
      </c>
      <c r="I52" t="s">
        <v>174</v>
      </c>
      <c r="J52" t="s">
        <v>175</v>
      </c>
      <c r="K52" t="s">
        <v>176</v>
      </c>
      <c r="L52" t="s">
        <v>177</v>
      </c>
      <c r="M52" t="s">
        <v>35</v>
      </c>
      <c r="N52">
        <v>7989311982</v>
      </c>
      <c r="O52" t="s">
        <v>178</v>
      </c>
      <c r="P52" t="s">
        <v>179</v>
      </c>
      <c r="R52" t="s">
        <v>180</v>
      </c>
      <c r="S52" t="s">
        <v>181</v>
      </c>
      <c r="T52" t="s">
        <v>58</v>
      </c>
      <c r="U52" t="s">
        <v>82</v>
      </c>
      <c r="V52" s="1">
        <v>42085</v>
      </c>
      <c r="W52">
        <v>0</v>
      </c>
      <c r="X52">
        <v>0</v>
      </c>
      <c r="Y52" t="s">
        <v>59</v>
      </c>
      <c r="AA52" t="s">
        <v>42</v>
      </c>
      <c r="AB52" t="s">
        <v>43</v>
      </c>
      <c r="AC52" t="s">
        <v>43</v>
      </c>
    </row>
    <row r="53" spans="1:30" hidden="1" x14ac:dyDescent="0.4">
      <c r="A53" t="s">
        <v>27</v>
      </c>
      <c r="B53">
        <v>1549</v>
      </c>
      <c r="C53" t="s">
        <v>179</v>
      </c>
      <c r="E53" t="s">
        <v>28</v>
      </c>
      <c r="F53" t="s">
        <v>171</v>
      </c>
      <c r="G53" t="s">
        <v>172</v>
      </c>
      <c r="H53" t="s">
        <v>173</v>
      </c>
      <c r="I53" t="s">
        <v>174</v>
      </c>
      <c r="J53" t="s">
        <v>175</v>
      </c>
      <c r="K53" t="s">
        <v>176</v>
      </c>
      <c r="L53" t="s">
        <v>177</v>
      </c>
      <c r="M53" t="s">
        <v>35</v>
      </c>
      <c r="N53">
        <v>7989311982</v>
      </c>
      <c r="O53" t="s">
        <v>178</v>
      </c>
      <c r="P53" t="s">
        <v>179</v>
      </c>
      <c r="R53" t="s">
        <v>182</v>
      </c>
      <c r="S53" t="s">
        <v>183</v>
      </c>
      <c r="T53" t="s">
        <v>58</v>
      </c>
      <c r="U53" t="s">
        <v>40</v>
      </c>
      <c r="V53" s="1">
        <v>45442</v>
      </c>
      <c r="W53">
        <v>0</v>
      </c>
      <c r="X53">
        <v>0</v>
      </c>
      <c r="Y53" t="s">
        <v>59</v>
      </c>
      <c r="AA53" t="s">
        <v>42</v>
      </c>
      <c r="AB53" t="s">
        <v>43</v>
      </c>
      <c r="AC53" t="s">
        <v>43</v>
      </c>
    </row>
    <row r="54" spans="1:30" hidden="1" x14ac:dyDescent="0.4">
      <c r="A54" t="s">
        <v>27</v>
      </c>
      <c r="B54">
        <v>1549</v>
      </c>
      <c r="C54" t="s">
        <v>179</v>
      </c>
      <c r="E54" t="s">
        <v>28</v>
      </c>
      <c r="F54" t="s">
        <v>171</v>
      </c>
      <c r="G54" t="s">
        <v>172</v>
      </c>
      <c r="H54" t="s">
        <v>173</v>
      </c>
      <c r="I54" t="s">
        <v>174</v>
      </c>
      <c r="J54" t="s">
        <v>175</v>
      </c>
      <c r="K54" t="s">
        <v>176</v>
      </c>
      <c r="L54" t="s">
        <v>177</v>
      </c>
      <c r="M54" t="s">
        <v>35</v>
      </c>
      <c r="N54">
        <v>7989311982</v>
      </c>
      <c r="O54" t="s">
        <v>178</v>
      </c>
      <c r="P54" t="s">
        <v>179</v>
      </c>
      <c r="R54" t="s">
        <v>180</v>
      </c>
      <c r="S54" t="s">
        <v>181</v>
      </c>
      <c r="T54" t="s">
        <v>58</v>
      </c>
      <c r="U54" t="s">
        <v>82</v>
      </c>
      <c r="V54" s="1">
        <v>42085</v>
      </c>
      <c r="W54">
        <v>0</v>
      </c>
      <c r="X54">
        <v>0</v>
      </c>
      <c r="Y54" t="s">
        <v>59</v>
      </c>
      <c r="AA54" t="s">
        <v>42</v>
      </c>
      <c r="AB54" t="s">
        <v>43</v>
      </c>
      <c r="AC54" t="s">
        <v>43</v>
      </c>
    </row>
    <row r="55" spans="1:30" hidden="1" x14ac:dyDescent="0.4">
      <c r="A55" t="s">
        <v>27</v>
      </c>
      <c r="B55">
        <v>1549</v>
      </c>
      <c r="C55" t="s">
        <v>179</v>
      </c>
      <c r="E55" t="s">
        <v>28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176</v>
      </c>
      <c r="L55" t="s">
        <v>177</v>
      </c>
      <c r="M55" t="s">
        <v>35</v>
      </c>
      <c r="N55">
        <v>7989311982</v>
      </c>
      <c r="O55" t="s">
        <v>178</v>
      </c>
      <c r="P55" t="s">
        <v>179</v>
      </c>
      <c r="R55" t="s">
        <v>182</v>
      </c>
      <c r="S55" t="s">
        <v>183</v>
      </c>
      <c r="T55" t="s">
        <v>58</v>
      </c>
      <c r="U55" t="s">
        <v>40</v>
      </c>
      <c r="V55" s="1">
        <v>45442</v>
      </c>
      <c r="W55">
        <v>0</v>
      </c>
      <c r="X55">
        <v>0</v>
      </c>
      <c r="Y55" t="s">
        <v>59</v>
      </c>
      <c r="AA55" t="s">
        <v>42</v>
      </c>
      <c r="AB55" t="s">
        <v>43</v>
      </c>
      <c r="AC55" t="s">
        <v>43</v>
      </c>
    </row>
    <row r="56" spans="1:30" x14ac:dyDescent="0.4">
      <c r="A56" t="s">
        <v>27</v>
      </c>
      <c r="B56">
        <v>1384</v>
      </c>
      <c r="C56" t="s">
        <v>2912</v>
      </c>
      <c r="D56">
        <v>17</v>
      </c>
      <c r="E56" t="s">
        <v>68</v>
      </c>
      <c r="F56" t="s">
        <v>184</v>
      </c>
      <c r="G56" t="s">
        <v>185</v>
      </c>
      <c r="H56" t="s">
        <v>186</v>
      </c>
      <c r="I56" t="s">
        <v>187</v>
      </c>
      <c r="J56" t="s">
        <v>188</v>
      </c>
      <c r="K56" t="s">
        <v>189</v>
      </c>
      <c r="L56" t="s">
        <v>190</v>
      </c>
      <c r="M56" t="s">
        <v>35</v>
      </c>
      <c r="N56">
        <v>7921452558</v>
      </c>
      <c r="O56" t="s">
        <v>191</v>
      </c>
      <c r="P56" t="s">
        <v>3040</v>
      </c>
      <c r="R56" t="s">
        <v>192</v>
      </c>
      <c r="S56" t="s">
        <v>193</v>
      </c>
      <c r="T56" t="s">
        <v>194</v>
      </c>
      <c r="U56" t="s">
        <v>40</v>
      </c>
      <c r="V56" s="1">
        <v>44514</v>
      </c>
      <c r="W56">
        <v>0</v>
      </c>
      <c r="X56">
        <v>4</v>
      </c>
      <c r="Y56" t="s">
        <v>65</v>
      </c>
      <c r="AA56" t="s">
        <v>42</v>
      </c>
      <c r="AB56" t="s">
        <v>43</v>
      </c>
      <c r="AC56" t="s">
        <v>43</v>
      </c>
    </row>
    <row r="57" spans="1:30" x14ac:dyDescent="0.4">
      <c r="A57" t="s">
        <v>27</v>
      </c>
      <c r="B57">
        <v>1384</v>
      </c>
      <c r="C57" t="s">
        <v>2912</v>
      </c>
      <c r="D57">
        <v>17</v>
      </c>
      <c r="E57" t="s">
        <v>68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35</v>
      </c>
      <c r="N57">
        <v>7921452558</v>
      </c>
      <c r="O57" t="s">
        <v>191</v>
      </c>
      <c r="P57" t="s">
        <v>3040</v>
      </c>
      <c r="R57" t="s">
        <v>192</v>
      </c>
      <c r="S57" t="s">
        <v>193</v>
      </c>
      <c r="T57" t="s">
        <v>194</v>
      </c>
      <c r="U57" t="s">
        <v>40</v>
      </c>
      <c r="V57" s="1">
        <v>44514</v>
      </c>
      <c r="W57">
        <v>0</v>
      </c>
      <c r="X57">
        <v>5</v>
      </c>
      <c r="Y57" t="s">
        <v>66</v>
      </c>
      <c r="AA57" t="s">
        <v>42</v>
      </c>
      <c r="AB57" t="s">
        <v>43</v>
      </c>
      <c r="AC57" t="s">
        <v>43</v>
      </c>
    </row>
    <row r="58" spans="1:30" hidden="1" x14ac:dyDescent="0.4">
      <c r="A58" t="s">
        <v>27</v>
      </c>
      <c r="B58">
        <v>1131</v>
      </c>
      <c r="C58" t="s">
        <v>205</v>
      </c>
      <c r="E58" t="s">
        <v>195</v>
      </c>
      <c r="F58" t="s">
        <v>196</v>
      </c>
      <c r="G58" t="s">
        <v>197</v>
      </c>
      <c r="H58" t="s">
        <v>198</v>
      </c>
      <c r="I58" t="s">
        <v>199</v>
      </c>
      <c r="J58" t="s">
        <v>200</v>
      </c>
      <c r="K58" t="s">
        <v>201</v>
      </c>
      <c r="L58" t="s">
        <v>202</v>
      </c>
      <c r="M58" t="s">
        <v>35</v>
      </c>
      <c r="N58" t="s">
        <v>203</v>
      </c>
      <c r="O58" t="s">
        <v>204</v>
      </c>
      <c r="P58" t="s">
        <v>205</v>
      </c>
      <c r="R58" t="s">
        <v>206</v>
      </c>
      <c r="S58" t="s">
        <v>207</v>
      </c>
      <c r="T58" t="s">
        <v>94</v>
      </c>
      <c r="U58" t="s">
        <v>82</v>
      </c>
      <c r="V58" s="1">
        <v>42451</v>
      </c>
      <c r="W58">
        <v>0</v>
      </c>
      <c r="X58">
        <v>0</v>
      </c>
      <c r="Y58" t="s">
        <v>59</v>
      </c>
      <c r="AA58" t="s">
        <v>42</v>
      </c>
      <c r="AB58" t="s">
        <v>43</v>
      </c>
      <c r="AC58" t="s">
        <v>43</v>
      </c>
    </row>
    <row r="59" spans="1:30" hidden="1" x14ac:dyDescent="0.4">
      <c r="A59" t="s">
        <v>27</v>
      </c>
      <c r="B59">
        <v>1131</v>
      </c>
      <c r="C59" t="s">
        <v>205</v>
      </c>
      <c r="E59" t="s">
        <v>195</v>
      </c>
      <c r="F59" t="s">
        <v>196</v>
      </c>
      <c r="G59" t="s">
        <v>197</v>
      </c>
      <c r="H59" t="s">
        <v>198</v>
      </c>
      <c r="I59" t="s">
        <v>199</v>
      </c>
      <c r="J59" t="s">
        <v>200</v>
      </c>
      <c r="K59" t="s">
        <v>201</v>
      </c>
      <c r="L59" t="s">
        <v>202</v>
      </c>
      <c r="M59" t="s">
        <v>35</v>
      </c>
      <c r="N59" t="s">
        <v>203</v>
      </c>
      <c r="O59" t="s">
        <v>204</v>
      </c>
      <c r="P59" t="s">
        <v>205</v>
      </c>
      <c r="R59" t="s">
        <v>206</v>
      </c>
      <c r="S59" t="s">
        <v>207</v>
      </c>
      <c r="T59" t="s">
        <v>94</v>
      </c>
      <c r="U59" t="s">
        <v>82</v>
      </c>
      <c r="V59" s="1">
        <v>42451</v>
      </c>
      <c r="W59">
        <v>0</v>
      </c>
      <c r="X59">
        <v>0</v>
      </c>
      <c r="Y59" t="s">
        <v>59</v>
      </c>
      <c r="AA59" t="s">
        <v>42</v>
      </c>
      <c r="AB59" t="s">
        <v>43</v>
      </c>
      <c r="AC59" t="s">
        <v>43</v>
      </c>
    </row>
    <row r="60" spans="1:30" x14ac:dyDescent="0.4">
      <c r="A60" t="s">
        <v>27</v>
      </c>
      <c r="B60">
        <v>1131</v>
      </c>
      <c r="C60" t="s">
        <v>205</v>
      </c>
      <c r="D60">
        <v>18</v>
      </c>
      <c r="E60" t="s">
        <v>195</v>
      </c>
      <c r="F60" t="s">
        <v>196</v>
      </c>
      <c r="G60" t="s">
        <v>197</v>
      </c>
      <c r="H60" t="s">
        <v>198</v>
      </c>
      <c r="I60" t="s">
        <v>199</v>
      </c>
      <c r="J60" t="s">
        <v>200</v>
      </c>
      <c r="K60" t="s">
        <v>201</v>
      </c>
      <c r="L60" t="s">
        <v>202</v>
      </c>
      <c r="M60" t="s">
        <v>35</v>
      </c>
      <c r="N60" t="s">
        <v>203</v>
      </c>
      <c r="O60" t="s">
        <v>204</v>
      </c>
      <c r="P60" t="s">
        <v>205</v>
      </c>
      <c r="R60" t="s">
        <v>208</v>
      </c>
      <c r="S60" t="s">
        <v>209</v>
      </c>
      <c r="T60" t="s">
        <v>58</v>
      </c>
      <c r="U60" t="s">
        <v>40</v>
      </c>
      <c r="V60" s="1">
        <v>43217</v>
      </c>
      <c r="W60">
        <v>0</v>
      </c>
      <c r="X60">
        <v>6</v>
      </c>
      <c r="Y60" t="s">
        <v>83</v>
      </c>
      <c r="AA60" t="s">
        <v>42</v>
      </c>
      <c r="AB60" t="s">
        <v>43</v>
      </c>
      <c r="AC60" t="s">
        <v>43</v>
      </c>
    </row>
    <row r="61" spans="1:30" x14ac:dyDescent="0.4">
      <c r="A61" t="s">
        <v>27</v>
      </c>
      <c r="B61">
        <v>1131</v>
      </c>
      <c r="C61" t="s">
        <v>205</v>
      </c>
      <c r="D61">
        <v>18</v>
      </c>
      <c r="E61" t="s">
        <v>195</v>
      </c>
      <c r="F61" t="s">
        <v>196</v>
      </c>
      <c r="G61" t="s">
        <v>197</v>
      </c>
      <c r="H61" t="s">
        <v>198</v>
      </c>
      <c r="I61" t="s">
        <v>199</v>
      </c>
      <c r="J61" t="s">
        <v>200</v>
      </c>
      <c r="K61" t="s">
        <v>201</v>
      </c>
      <c r="L61" t="s">
        <v>202</v>
      </c>
      <c r="M61" t="s">
        <v>35</v>
      </c>
      <c r="N61" t="s">
        <v>203</v>
      </c>
      <c r="O61" t="s">
        <v>204</v>
      </c>
      <c r="P61" t="s">
        <v>205</v>
      </c>
      <c r="R61" t="s">
        <v>208</v>
      </c>
      <c r="S61" t="s">
        <v>209</v>
      </c>
      <c r="T61" t="s">
        <v>58</v>
      </c>
      <c r="U61" t="s">
        <v>40</v>
      </c>
      <c r="V61" s="1">
        <v>43217</v>
      </c>
      <c r="W61">
        <v>0</v>
      </c>
      <c r="X61">
        <v>16</v>
      </c>
      <c r="AA61" t="s">
        <v>42</v>
      </c>
      <c r="AB61" t="s">
        <v>43</v>
      </c>
      <c r="AC61" t="s">
        <v>43</v>
      </c>
    </row>
    <row r="62" spans="1:30" x14ac:dyDescent="0.4">
      <c r="A62" t="s">
        <v>27</v>
      </c>
      <c r="B62">
        <v>1131</v>
      </c>
      <c r="C62" t="s">
        <v>205</v>
      </c>
      <c r="D62">
        <v>18</v>
      </c>
      <c r="E62" t="s">
        <v>195</v>
      </c>
      <c r="F62" t="s">
        <v>196</v>
      </c>
      <c r="G62" t="s">
        <v>197</v>
      </c>
      <c r="H62" t="s">
        <v>198</v>
      </c>
      <c r="I62" t="s">
        <v>199</v>
      </c>
      <c r="J62" t="s">
        <v>200</v>
      </c>
      <c r="K62" t="s">
        <v>201</v>
      </c>
      <c r="L62" t="s">
        <v>202</v>
      </c>
      <c r="M62" t="s">
        <v>35</v>
      </c>
      <c r="N62" t="s">
        <v>203</v>
      </c>
      <c r="O62" t="s">
        <v>204</v>
      </c>
      <c r="P62" t="s">
        <v>205</v>
      </c>
      <c r="R62" t="s">
        <v>208</v>
      </c>
      <c r="S62" t="s">
        <v>209</v>
      </c>
      <c r="T62" t="s">
        <v>58</v>
      </c>
      <c r="U62" t="s">
        <v>40</v>
      </c>
      <c r="V62" s="1">
        <v>43217</v>
      </c>
      <c r="W62">
        <v>0</v>
      </c>
      <c r="X62">
        <v>18</v>
      </c>
      <c r="AA62" t="s">
        <v>42</v>
      </c>
      <c r="AB62" t="s">
        <v>43</v>
      </c>
      <c r="AC62" t="s">
        <v>43</v>
      </c>
    </row>
    <row r="63" spans="1:30" x14ac:dyDescent="0.4">
      <c r="A63" t="s">
        <v>27</v>
      </c>
      <c r="B63">
        <v>892</v>
      </c>
      <c r="C63" t="s">
        <v>2913</v>
      </c>
      <c r="D63">
        <v>20</v>
      </c>
      <c r="E63" t="s">
        <v>68</v>
      </c>
      <c r="F63" t="s">
        <v>211</v>
      </c>
      <c r="G63" t="s">
        <v>212</v>
      </c>
      <c r="H63" t="s">
        <v>213</v>
      </c>
      <c r="J63" t="s">
        <v>214</v>
      </c>
      <c r="K63" t="s">
        <v>215</v>
      </c>
      <c r="L63" t="s">
        <v>216</v>
      </c>
      <c r="M63" t="s">
        <v>35</v>
      </c>
      <c r="N63">
        <v>7956649566</v>
      </c>
      <c r="O63" t="s">
        <v>217</v>
      </c>
      <c r="P63" t="s">
        <v>2913</v>
      </c>
      <c r="R63" t="s">
        <v>3089</v>
      </c>
      <c r="S63" t="s">
        <v>219</v>
      </c>
      <c r="T63" t="s">
        <v>58</v>
      </c>
      <c r="U63" t="s">
        <v>82</v>
      </c>
      <c r="V63" s="1">
        <v>43886</v>
      </c>
      <c r="W63">
        <v>0</v>
      </c>
      <c r="X63">
        <v>13</v>
      </c>
      <c r="AA63" t="s">
        <v>42</v>
      </c>
      <c r="AB63" t="s">
        <v>43</v>
      </c>
      <c r="AC63" t="s">
        <v>42</v>
      </c>
      <c r="AD63" t="s">
        <v>220</v>
      </c>
    </row>
    <row r="64" spans="1:30" x14ac:dyDescent="0.4">
      <c r="A64" t="s">
        <v>27</v>
      </c>
      <c r="B64">
        <v>892</v>
      </c>
      <c r="C64" t="s">
        <v>2913</v>
      </c>
      <c r="D64">
        <v>20</v>
      </c>
      <c r="E64" t="s">
        <v>68</v>
      </c>
      <c r="F64" t="s">
        <v>211</v>
      </c>
      <c r="G64" t="s">
        <v>212</v>
      </c>
      <c r="H64" t="s">
        <v>213</v>
      </c>
      <c r="J64" t="s">
        <v>214</v>
      </c>
      <c r="K64" t="s">
        <v>215</v>
      </c>
      <c r="L64" t="s">
        <v>216</v>
      </c>
      <c r="M64" t="s">
        <v>35</v>
      </c>
      <c r="N64">
        <v>7956649566</v>
      </c>
      <c r="O64" t="s">
        <v>217</v>
      </c>
      <c r="P64" t="s">
        <v>2913</v>
      </c>
      <c r="R64" t="s">
        <v>3089</v>
      </c>
      <c r="S64" t="s">
        <v>219</v>
      </c>
      <c r="T64" t="s">
        <v>58</v>
      </c>
      <c r="U64" t="s">
        <v>82</v>
      </c>
      <c r="V64" s="1">
        <v>43886</v>
      </c>
      <c r="W64">
        <v>0</v>
      </c>
      <c r="X64">
        <v>15</v>
      </c>
      <c r="AA64" t="s">
        <v>42</v>
      </c>
      <c r="AB64" t="s">
        <v>43</v>
      </c>
      <c r="AC64" t="s">
        <v>42</v>
      </c>
      <c r="AD64" t="s">
        <v>220</v>
      </c>
    </row>
    <row r="65" spans="1:30" x14ac:dyDescent="0.4">
      <c r="A65" t="s">
        <v>27</v>
      </c>
      <c r="B65">
        <v>892</v>
      </c>
      <c r="C65" t="s">
        <v>2913</v>
      </c>
      <c r="D65">
        <v>19</v>
      </c>
      <c r="E65" t="s">
        <v>68</v>
      </c>
      <c r="F65" t="s">
        <v>211</v>
      </c>
      <c r="G65" t="s">
        <v>212</v>
      </c>
      <c r="H65" t="s">
        <v>213</v>
      </c>
      <c r="J65" t="s">
        <v>214</v>
      </c>
      <c r="K65" t="s">
        <v>215</v>
      </c>
      <c r="L65" t="s">
        <v>216</v>
      </c>
      <c r="M65" t="s">
        <v>35</v>
      </c>
      <c r="N65">
        <v>7956649566</v>
      </c>
      <c r="O65" t="s">
        <v>217</v>
      </c>
      <c r="P65" t="s">
        <v>2913</v>
      </c>
      <c r="R65" t="s">
        <v>221</v>
      </c>
      <c r="S65" t="s">
        <v>222</v>
      </c>
      <c r="T65" t="s">
        <v>58</v>
      </c>
      <c r="U65" t="s">
        <v>82</v>
      </c>
      <c r="V65" s="1">
        <v>44869</v>
      </c>
      <c r="W65">
        <v>0</v>
      </c>
      <c r="X65">
        <v>13</v>
      </c>
      <c r="AA65" t="s">
        <v>42</v>
      </c>
      <c r="AB65" t="s">
        <v>43</v>
      </c>
      <c r="AC65" t="s">
        <v>42</v>
      </c>
      <c r="AD65" t="s">
        <v>220</v>
      </c>
    </row>
    <row r="66" spans="1:30" x14ac:dyDescent="0.4">
      <c r="A66" t="s">
        <v>27</v>
      </c>
      <c r="B66">
        <v>892</v>
      </c>
      <c r="C66" t="s">
        <v>2913</v>
      </c>
      <c r="D66">
        <v>19</v>
      </c>
      <c r="E66" t="s">
        <v>68</v>
      </c>
      <c r="F66" t="s">
        <v>211</v>
      </c>
      <c r="G66" t="s">
        <v>212</v>
      </c>
      <c r="H66" t="s">
        <v>213</v>
      </c>
      <c r="J66" t="s">
        <v>214</v>
      </c>
      <c r="K66" t="s">
        <v>215</v>
      </c>
      <c r="L66" t="s">
        <v>216</v>
      </c>
      <c r="M66" t="s">
        <v>35</v>
      </c>
      <c r="N66">
        <v>7956649566</v>
      </c>
      <c r="O66" t="s">
        <v>217</v>
      </c>
      <c r="P66" t="s">
        <v>2913</v>
      </c>
      <c r="R66" t="s">
        <v>221</v>
      </c>
      <c r="S66" t="s">
        <v>222</v>
      </c>
      <c r="T66" t="s">
        <v>58</v>
      </c>
      <c r="U66" t="s">
        <v>82</v>
      </c>
      <c r="V66" s="1">
        <v>44869</v>
      </c>
      <c r="W66">
        <v>0</v>
      </c>
      <c r="X66">
        <v>15</v>
      </c>
      <c r="AA66" t="s">
        <v>42</v>
      </c>
      <c r="AB66" t="s">
        <v>43</v>
      </c>
      <c r="AC66" t="s">
        <v>42</v>
      </c>
      <c r="AD66" t="s">
        <v>220</v>
      </c>
    </row>
    <row r="67" spans="1:30" x14ac:dyDescent="0.4">
      <c r="A67" t="s">
        <v>27</v>
      </c>
      <c r="B67">
        <v>237</v>
      </c>
      <c r="C67" t="s">
        <v>2848</v>
      </c>
      <c r="D67">
        <v>22</v>
      </c>
      <c r="E67" t="s">
        <v>68</v>
      </c>
      <c r="F67" t="s">
        <v>85</v>
      </c>
      <c r="G67" t="s">
        <v>223</v>
      </c>
      <c r="H67" t="s">
        <v>224</v>
      </c>
      <c r="J67" t="s">
        <v>225</v>
      </c>
      <c r="K67" t="s">
        <v>226</v>
      </c>
      <c r="L67" t="s">
        <v>227</v>
      </c>
      <c r="M67" t="s">
        <v>35</v>
      </c>
      <c r="N67">
        <v>1784246235</v>
      </c>
      <c r="O67" t="s">
        <v>228</v>
      </c>
      <c r="P67" t="s">
        <v>2848</v>
      </c>
      <c r="R67" t="s">
        <v>3090</v>
      </c>
      <c r="S67" t="s">
        <v>231</v>
      </c>
      <c r="T67" t="s">
        <v>232</v>
      </c>
      <c r="U67" t="s">
        <v>40</v>
      </c>
      <c r="V67" s="1">
        <v>44817</v>
      </c>
      <c r="W67">
        <v>0</v>
      </c>
      <c r="X67">
        <v>4</v>
      </c>
      <c r="Y67" t="s">
        <v>65</v>
      </c>
      <c r="Z67" t="s">
        <v>135</v>
      </c>
      <c r="AA67" t="s">
        <v>42</v>
      </c>
      <c r="AB67" t="s">
        <v>43</v>
      </c>
      <c r="AC67" t="s">
        <v>43</v>
      </c>
    </row>
    <row r="68" spans="1:30" x14ac:dyDescent="0.4">
      <c r="A68" t="s">
        <v>27</v>
      </c>
      <c r="B68">
        <v>237</v>
      </c>
      <c r="C68" t="s">
        <v>2848</v>
      </c>
      <c r="D68">
        <v>22</v>
      </c>
      <c r="E68" t="s">
        <v>68</v>
      </c>
      <c r="F68" t="s">
        <v>85</v>
      </c>
      <c r="G68" t="s">
        <v>223</v>
      </c>
      <c r="H68" t="s">
        <v>224</v>
      </c>
      <c r="J68" t="s">
        <v>225</v>
      </c>
      <c r="K68" t="s">
        <v>226</v>
      </c>
      <c r="L68" t="s">
        <v>227</v>
      </c>
      <c r="M68" t="s">
        <v>35</v>
      </c>
      <c r="N68">
        <v>1784246235</v>
      </c>
      <c r="O68" t="s">
        <v>228</v>
      </c>
      <c r="P68" t="s">
        <v>2848</v>
      </c>
      <c r="R68" t="s">
        <v>3090</v>
      </c>
      <c r="S68" t="s">
        <v>231</v>
      </c>
      <c r="T68" t="s">
        <v>232</v>
      </c>
      <c r="U68" t="s">
        <v>40</v>
      </c>
      <c r="V68" s="1">
        <v>44817</v>
      </c>
      <c r="W68">
        <v>0</v>
      </c>
      <c r="X68">
        <v>5</v>
      </c>
      <c r="Y68" t="s">
        <v>66</v>
      </c>
      <c r="Z68" t="s">
        <v>135</v>
      </c>
      <c r="AA68" t="s">
        <v>42</v>
      </c>
      <c r="AB68" t="s">
        <v>43</v>
      </c>
      <c r="AC68" t="s">
        <v>43</v>
      </c>
    </row>
    <row r="69" spans="1:30" hidden="1" x14ac:dyDescent="0.4">
      <c r="A69" t="s">
        <v>27</v>
      </c>
      <c r="B69">
        <v>237</v>
      </c>
      <c r="C69" t="s">
        <v>2848</v>
      </c>
      <c r="E69" t="s">
        <v>68</v>
      </c>
      <c r="F69" t="s">
        <v>85</v>
      </c>
      <c r="G69" t="s">
        <v>223</v>
      </c>
      <c r="H69" t="s">
        <v>224</v>
      </c>
      <c r="J69" t="s">
        <v>225</v>
      </c>
      <c r="K69" t="s">
        <v>226</v>
      </c>
      <c r="L69" t="s">
        <v>227</v>
      </c>
      <c r="M69" t="s">
        <v>35</v>
      </c>
      <c r="N69">
        <v>1784246235</v>
      </c>
      <c r="O69" t="s">
        <v>228</v>
      </c>
      <c r="P69" t="s">
        <v>229</v>
      </c>
      <c r="R69" t="s">
        <v>233</v>
      </c>
      <c r="S69" t="s">
        <v>234</v>
      </c>
      <c r="T69" t="s">
        <v>232</v>
      </c>
      <c r="U69" t="s">
        <v>40</v>
      </c>
      <c r="V69" s="1">
        <v>43008</v>
      </c>
      <c r="W69">
        <v>0</v>
      </c>
      <c r="X69">
        <v>0</v>
      </c>
      <c r="Y69" t="s">
        <v>59</v>
      </c>
      <c r="Z69" t="s">
        <v>135</v>
      </c>
      <c r="AA69" t="s">
        <v>42</v>
      </c>
      <c r="AB69" t="s">
        <v>43</v>
      </c>
      <c r="AC69" t="s">
        <v>43</v>
      </c>
    </row>
    <row r="70" spans="1:30" hidden="1" x14ac:dyDescent="0.4">
      <c r="A70" t="s">
        <v>27</v>
      </c>
      <c r="B70">
        <v>237</v>
      </c>
      <c r="C70" t="s">
        <v>2848</v>
      </c>
      <c r="E70" t="s">
        <v>68</v>
      </c>
      <c r="F70" t="s">
        <v>85</v>
      </c>
      <c r="G70" t="s">
        <v>223</v>
      </c>
      <c r="H70" t="s">
        <v>224</v>
      </c>
      <c r="J70" t="s">
        <v>225</v>
      </c>
      <c r="K70" t="s">
        <v>226</v>
      </c>
      <c r="L70" t="s">
        <v>227</v>
      </c>
      <c r="M70" t="s">
        <v>35</v>
      </c>
      <c r="N70">
        <v>1784246235</v>
      </c>
      <c r="O70" t="s">
        <v>228</v>
      </c>
      <c r="P70" t="s">
        <v>229</v>
      </c>
      <c r="R70" t="s">
        <v>235</v>
      </c>
      <c r="S70" t="s">
        <v>236</v>
      </c>
      <c r="T70" t="s">
        <v>237</v>
      </c>
      <c r="U70" t="s">
        <v>40</v>
      </c>
      <c r="V70" s="1">
        <v>41544</v>
      </c>
      <c r="W70">
        <v>0</v>
      </c>
      <c r="X70">
        <v>0</v>
      </c>
      <c r="Y70" t="s">
        <v>59</v>
      </c>
      <c r="Z70" t="s">
        <v>135</v>
      </c>
      <c r="AA70" t="s">
        <v>42</v>
      </c>
      <c r="AB70" t="s">
        <v>43</v>
      </c>
      <c r="AC70" t="s">
        <v>43</v>
      </c>
    </row>
    <row r="71" spans="1:30" hidden="1" x14ac:dyDescent="0.4">
      <c r="A71" t="s">
        <v>27</v>
      </c>
      <c r="B71">
        <v>237</v>
      </c>
      <c r="C71" t="s">
        <v>2848</v>
      </c>
      <c r="E71" t="s">
        <v>68</v>
      </c>
      <c r="F71" t="s">
        <v>85</v>
      </c>
      <c r="G71" t="s">
        <v>223</v>
      </c>
      <c r="H71" t="s">
        <v>224</v>
      </c>
      <c r="J71" t="s">
        <v>225</v>
      </c>
      <c r="K71" t="s">
        <v>226</v>
      </c>
      <c r="L71" t="s">
        <v>227</v>
      </c>
      <c r="M71" t="s">
        <v>35</v>
      </c>
      <c r="N71">
        <v>1784246235</v>
      </c>
      <c r="O71" t="s">
        <v>228</v>
      </c>
      <c r="P71" t="s">
        <v>229</v>
      </c>
      <c r="R71" t="s">
        <v>235</v>
      </c>
      <c r="S71" t="s">
        <v>236</v>
      </c>
      <c r="T71" t="s">
        <v>237</v>
      </c>
      <c r="U71" t="s">
        <v>40</v>
      </c>
      <c r="V71" s="1">
        <v>41544</v>
      </c>
      <c r="W71">
        <v>0</v>
      </c>
      <c r="X71">
        <v>0</v>
      </c>
      <c r="Y71" t="s">
        <v>59</v>
      </c>
      <c r="Z71" t="s">
        <v>135</v>
      </c>
      <c r="AA71" t="s">
        <v>42</v>
      </c>
      <c r="AB71" t="s">
        <v>43</v>
      </c>
      <c r="AC71" t="s">
        <v>43</v>
      </c>
    </row>
    <row r="72" spans="1:30" x14ac:dyDescent="0.4">
      <c r="A72" t="s">
        <v>27</v>
      </c>
      <c r="B72">
        <v>237</v>
      </c>
      <c r="C72" t="s">
        <v>2848</v>
      </c>
      <c r="D72">
        <v>21</v>
      </c>
      <c r="E72" t="s">
        <v>68</v>
      </c>
      <c r="F72" t="s">
        <v>85</v>
      </c>
      <c r="G72" t="s">
        <v>223</v>
      </c>
      <c r="H72" t="s">
        <v>224</v>
      </c>
      <c r="J72" t="s">
        <v>225</v>
      </c>
      <c r="K72" t="s">
        <v>226</v>
      </c>
      <c r="L72" t="s">
        <v>227</v>
      </c>
      <c r="M72" t="s">
        <v>35</v>
      </c>
      <c r="N72">
        <v>1784246235</v>
      </c>
      <c r="O72" t="s">
        <v>228</v>
      </c>
      <c r="P72" t="s">
        <v>2848</v>
      </c>
      <c r="R72" t="s">
        <v>3091</v>
      </c>
      <c r="S72" t="s">
        <v>234</v>
      </c>
      <c r="T72" t="s">
        <v>232</v>
      </c>
      <c r="U72" t="s">
        <v>40</v>
      </c>
      <c r="V72" s="1">
        <v>43008</v>
      </c>
      <c r="W72">
        <v>0</v>
      </c>
      <c r="X72">
        <v>20</v>
      </c>
      <c r="Z72" t="s">
        <v>135</v>
      </c>
      <c r="AA72" t="s">
        <v>42</v>
      </c>
      <c r="AB72" t="s">
        <v>43</v>
      </c>
      <c r="AC72" t="s">
        <v>43</v>
      </c>
    </row>
    <row r="73" spans="1:30" x14ac:dyDescent="0.4">
      <c r="A73" t="s">
        <v>27</v>
      </c>
      <c r="B73">
        <v>237</v>
      </c>
      <c r="C73" t="s">
        <v>2848</v>
      </c>
      <c r="D73">
        <v>22</v>
      </c>
      <c r="E73" t="s">
        <v>68</v>
      </c>
      <c r="F73" t="s">
        <v>85</v>
      </c>
      <c r="G73" t="s">
        <v>223</v>
      </c>
      <c r="H73" t="s">
        <v>224</v>
      </c>
      <c r="J73" t="s">
        <v>225</v>
      </c>
      <c r="K73" t="s">
        <v>226</v>
      </c>
      <c r="L73" t="s">
        <v>227</v>
      </c>
      <c r="M73" t="s">
        <v>35</v>
      </c>
      <c r="N73">
        <v>1784246235</v>
      </c>
      <c r="O73" t="s">
        <v>228</v>
      </c>
      <c r="P73" t="s">
        <v>2848</v>
      </c>
      <c r="R73" t="s">
        <v>3090</v>
      </c>
      <c r="S73" t="s">
        <v>231</v>
      </c>
      <c r="T73" t="s">
        <v>232</v>
      </c>
      <c r="U73" t="s">
        <v>40</v>
      </c>
      <c r="V73" s="1">
        <v>44817</v>
      </c>
      <c r="W73">
        <v>0</v>
      </c>
      <c r="X73">
        <v>12</v>
      </c>
      <c r="Z73" t="s">
        <v>135</v>
      </c>
      <c r="AA73" t="s">
        <v>42</v>
      </c>
      <c r="AB73" t="s">
        <v>43</v>
      </c>
      <c r="AC73" t="s">
        <v>43</v>
      </c>
    </row>
    <row r="74" spans="1:30" hidden="1" x14ac:dyDescent="0.4">
      <c r="A74" t="s">
        <v>27</v>
      </c>
      <c r="B74">
        <v>681</v>
      </c>
      <c r="C74" t="s">
        <v>245</v>
      </c>
      <c r="E74" t="s">
        <v>68</v>
      </c>
      <c r="F74" t="s">
        <v>238</v>
      </c>
      <c r="G74" t="s">
        <v>239</v>
      </c>
      <c r="H74" t="s">
        <v>240</v>
      </c>
      <c r="J74" t="s">
        <v>241</v>
      </c>
      <c r="K74" t="s">
        <v>242</v>
      </c>
      <c r="L74" t="s">
        <v>243</v>
      </c>
      <c r="M74" t="s">
        <v>35</v>
      </c>
      <c r="N74">
        <v>7977869117</v>
      </c>
      <c r="O74" t="s">
        <v>244</v>
      </c>
      <c r="P74" t="s">
        <v>245</v>
      </c>
      <c r="R74" t="s">
        <v>246</v>
      </c>
      <c r="S74" t="s">
        <v>247</v>
      </c>
      <c r="T74" t="s">
        <v>248</v>
      </c>
      <c r="U74" t="s">
        <v>40</v>
      </c>
      <c r="V74" s="1">
        <v>40238</v>
      </c>
      <c r="W74">
        <v>0</v>
      </c>
      <c r="X74">
        <v>0</v>
      </c>
      <c r="Y74" t="s">
        <v>59</v>
      </c>
      <c r="AA74" t="s">
        <v>42</v>
      </c>
      <c r="AB74" t="s">
        <v>43</v>
      </c>
      <c r="AC74" t="s">
        <v>43</v>
      </c>
    </row>
    <row r="75" spans="1:30" hidden="1" x14ac:dyDescent="0.4">
      <c r="A75" t="s">
        <v>27</v>
      </c>
      <c r="B75">
        <v>681</v>
      </c>
      <c r="C75" t="s">
        <v>245</v>
      </c>
      <c r="E75" t="s">
        <v>68</v>
      </c>
      <c r="F75" t="s">
        <v>238</v>
      </c>
      <c r="G75" t="s">
        <v>239</v>
      </c>
      <c r="H75" t="s">
        <v>240</v>
      </c>
      <c r="J75" t="s">
        <v>241</v>
      </c>
      <c r="K75" t="s">
        <v>242</v>
      </c>
      <c r="L75" t="s">
        <v>243</v>
      </c>
      <c r="M75" t="s">
        <v>35</v>
      </c>
      <c r="N75">
        <v>7977869117</v>
      </c>
      <c r="O75" t="s">
        <v>244</v>
      </c>
      <c r="P75" t="s">
        <v>245</v>
      </c>
      <c r="R75" t="s">
        <v>249</v>
      </c>
      <c r="S75" t="s">
        <v>250</v>
      </c>
      <c r="T75" t="s">
        <v>248</v>
      </c>
      <c r="U75" t="s">
        <v>40</v>
      </c>
      <c r="V75" s="1">
        <v>40585</v>
      </c>
      <c r="W75">
        <v>0</v>
      </c>
      <c r="X75">
        <v>0</v>
      </c>
      <c r="Y75" t="s">
        <v>59</v>
      </c>
      <c r="AA75" t="s">
        <v>42</v>
      </c>
      <c r="AB75" t="s">
        <v>43</v>
      </c>
      <c r="AC75" t="s">
        <v>43</v>
      </c>
    </row>
    <row r="76" spans="1:30" x14ac:dyDescent="0.4">
      <c r="A76" t="s">
        <v>27</v>
      </c>
      <c r="B76">
        <v>681</v>
      </c>
      <c r="C76" t="s">
        <v>245</v>
      </c>
      <c r="D76">
        <v>23</v>
      </c>
      <c r="E76" t="s">
        <v>68</v>
      </c>
      <c r="F76" t="s">
        <v>238</v>
      </c>
      <c r="G76" t="s">
        <v>239</v>
      </c>
      <c r="H76" t="s">
        <v>240</v>
      </c>
      <c r="J76" t="s">
        <v>241</v>
      </c>
      <c r="K76" t="s">
        <v>242</v>
      </c>
      <c r="L76" t="s">
        <v>243</v>
      </c>
      <c r="M76" t="s">
        <v>35</v>
      </c>
      <c r="N76">
        <v>7977869117</v>
      </c>
      <c r="O76" t="s">
        <v>244</v>
      </c>
      <c r="P76" t="s">
        <v>245</v>
      </c>
      <c r="R76" t="s">
        <v>251</v>
      </c>
      <c r="S76" t="s">
        <v>252</v>
      </c>
      <c r="T76" t="s">
        <v>94</v>
      </c>
      <c r="U76" t="s">
        <v>82</v>
      </c>
      <c r="V76" s="1">
        <v>45257</v>
      </c>
      <c r="W76">
        <v>0</v>
      </c>
      <c r="X76">
        <v>15</v>
      </c>
      <c r="AA76" t="s">
        <v>42</v>
      </c>
      <c r="AB76" t="s">
        <v>43</v>
      </c>
      <c r="AC76" t="s">
        <v>43</v>
      </c>
    </row>
    <row r="77" spans="1:30" x14ac:dyDescent="0.4">
      <c r="A77" t="s">
        <v>27</v>
      </c>
      <c r="B77">
        <v>681</v>
      </c>
      <c r="C77" t="s">
        <v>245</v>
      </c>
      <c r="D77">
        <v>23</v>
      </c>
      <c r="E77" t="s">
        <v>68</v>
      </c>
      <c r="F77" t="s">
        <v>238</v>
      </c>
      <c r="G77" t="s">
        <v>239</v>
      </c>
      <c r="H77" t="s">
        <v>240</v>
      </c>
      <c r="J77" t="s">
        <v>241</v>
      </c>
      <c r="K77" t="s">
        <v>242</v>
      </c>
      <c r="L77" t="s">
        <v>243</v>
      </c>
      <c r="M77" t="s">
        <v>35</v>
      </c>
      <c r="N77">
        <v>7977869117</v>
      </c>
      <c r="O77" t="s">
        <v>244</v>
      </c>
      <c r="P77" t="s">
        <v>245</v>
      </c>
      <c r="R77" t="s">
        <v>251</v>
      </c>
      <c r="S77" t="s">
        <v>252</v>
      </c>
      <c r="T77" t="s">
        <v>94</v>
      </c>
      <c r="U77" t="s">
        <v>82</v>
      </c>
      <c r="V77" s="1">
        <v>45257</v>
      </c>
      <c r="W77">
        <v>0</v>
      </c>
      <c r="X77">
        <v>17</v>
      </c>
      <c r="AA77" t="s">
        <v>42</v>
      </c>
      <c r="AB77" t="s">
        <v>43</v>
      </c>
      <c r="AC77" t="s">
        <v>43</v>
      </c>
    </row>
    <row r="78" spans="1:30" x14ac:dyDescent="0.4">
      <c r="A78" t="s">
        <v>27</v>
      </c>
      <c r="B78">
        <v>681</v>
      </c>
      <c r="C78" t="s">
        <v>245</v>
      </c>
      <c r="D78">
        <v>25</v>
      </c>
      <c r="E78" t="s">
        <v>68</v>
      </c>
      <c r="F78" t="s">
        <v>238</v>
      </c>
      <c r="G78" t="s">
        <v>239</v>
      </c>
      <c r="H78" t="s">
        <v>240</v>
      </c>
      <c r="J78" t="s">
        <v>241</v>
      </c>
      <c r="K78" t="s">
        <v>242</v>
      </c>
      <c r="L78" t="s">
        <v>243</v>
      </c>
      <c r="M78" t="s">
        <v>35</v>
      </c>
      <c r="N78">
        <v>7977869117</v>
      </c>
      <c r="O78" t="s">
        <v>244</v>
      </c>
      <c r="P78" t="s">
        <v>245</v>
      </c>
      <c r="R78" t="s">
        <v>253</v>
      </c>
      <c r="S78" t="s">
        <v>254</v>
      </c>
      <c r="T78" t="s">
        <v>94</v>
      </c>
      <c r="U78" t="s">
        <v>40</v>
      </c>
      <c r="V78" s="1">
        <v>43393</v>
      </c>
      <c r="W78">
        <v>0</v>
      </c>
      <c r="X78">
        <v>16</v>
      </c>
      <c r="AA78" t="s">
        <v>42</v>
      </c>
      <c r="AB78" t="s">
        <v>43</v>
      </c>
      <c r="AC78" t="s">
        <v>43</v>
      </c>
    </row>
    <row r="79" spans="1:30" x14ac:dyDescent="0.4">
      <c r="A79" t="s">
        <v>27</v>
      </c>
      <c r="B79">
        <v>681</v>
      </c>
      <c r="C79" t="s">
        <v>245</v>
      </c>
      <c r="D79">
        <v>24</v>
      </c>
      <c r="E79" t="s">
        <v>68</v>
      </c>
      <c r="F79" t="s">
        <v>238</v>
      </c>
      <c r="G79" t="s">
        <v>239</v>
      </c>
      <c r="H79" t="s">
        <v>240</v>
      </c>
      <c r="J79" t="s">
        <v>241</v>
      </c>
      <c r="K79" t="s">
        <v>242</v>
      </c>
      <c r="L79" t="s">
        <v>243</v>
      </c>
      <c r="M79" t="s">
        <v>35</v>
      </c>
      <c r="N79">
        <v>7977869117</v>
      </c>
      <c r="O79" t="s">
        <v>244</v>
      </c>
      <c r="P79" t="s">
        <v>245</v>
      </c>
      <c r="R79" t="s">
        <v>255</v>
      </c>
      <c r="S79" t="s">
        <v>256</v>
      </c>
      <c r="T79" t="s">
        <v>94</v>
      </c>
      <c r="U79" t="s">
        <v>82</v>
      </c>
      <c r="V79" s="1">
        <v>42069</v>
      </c>
      <c r="W79">
        <v>0</v>
      </c>
      <c r="X79">
        <v>19</v>
      </c>
      <c r="AA79" t="s">
        <v>42</v>
      </c>
      <c r="AB79" t="s">
        <v>43</v>
      </c>
      <c r="AC79" t="s">
        <v>43</v>
      </c>
    </row>
    <row r="80" spans="1:30" x14ac:dyDescent="0.4">
      <c r="A80" t="s">
        <v>27</v>
      </c>
      <c r="B80">
        <v>681</v>
      </c>
      <c r="C80" t="s">
        <v>245</v>
      </c>
      <c r="D80">
        <v>24</v>
      </c>
      <c r="E80" t="s">
        <v>68</v>
      </c>
      <c r="F80" t="s">
        <v>238</v>
      </c>
      <c r="G80" t="s">
        <v>239</v>
      </c>
      <c r="H80" t="s">
        <v>240</v>
      </c>
      <c r="J80" t="s">
        <v>241</v>
      </c>
      <c r="K80" t="s">
        <v>242</v>
      </c>
      <c r="L80" t="s">
        <v>243</v>
      </c>
      <c r="M80" t="s">
        <v>35</v>
      </c>
      <c r="N80">
        <v>7977869117</v>
      </c>
      <c r="O80" t="s">
        <v>244</v>
      </c>
      <c r="P80" t="s">
        <v>245</v>
      </c>
      <c r="R80" t="s">
        <v>255</v>
      </c>
      <c r="S80" t="s">
        <v>256</v>
      </c>
      <c r="T80" t="s">
        <v>94</v>
      </c>
      <c r="U80" t="s">
        <v>82</v>
      </c>
      <c r="V80" s="1">
        <v>42069</v>
      </c>
      <c r="W80">
        <v>0</v>
      </c>
      <c r="X80">
        <v>21</v>
      </c>
      <c r="AA80" t="s">
        <v>42</v>
      </c>
      <c r="AB80" t="s">
        <v>43</v>
      </c>
      <c r="AC80" t="s">
        <v>43</v>
      </c>
    </row>
    <row r="81" spans="1:31" hidden="1" x14ac:dyDescent="0.4">
      <c r="A81" t="s">
        <v>27</v>
      </c>
      <c r="B81">
        <v>96</v>
      </c>
      <c r="C81" t="s">
        <v>2914</v>
      </c>
      <c r="E81" t="s">
        <v>257</v>
      </c>
      <c r="F81" t="s">
        <v>258</v>
      </c>
      <c r="G81" t="s">
        <v>259</v>
      </c>
      <c r="H81" t="s">
        <v>260</v>
      </c>
      <c r="I81" t="s">
        <v>261</v>
      </c>
      <c r="J81" t="s">
        <v>262</v>
      </c>
      <c r="K81" t="s">
        <v>51</v>
      </c>
      <c r="L81" t="s">
        <v>263</v>
      </c>
      <c r="M81" t="s">
        <v>35</v>
      </c>
      <c r="N81" t="s">
        <v>264</v>
      </c>
      <c r="O81" t="s">
        <v>265</v>
      </c>
      <c r="P81" t="s">
        <v>266</v>
      </c>
      <c r="R81" t="s">
        <v>267</v>
      </c>
      <c r="S81" t="s">
        <v>268</v>
      </c>
      <c r="T81" t="s">
        <v>269</v>
      </c>
      <c r="U81" t="s">
        <v>40</v>
      </c>
      <c r="V81" s="1">
        <v>43238</v>
      </c>
      <c r="W81">
        <v>0</v>
      </c>
      <c r="X81">
        <v>0</v>
      </c>
      <c r="Y81" t="s">
        <v>59</v>
      </c>
      <c r="AA81" t="s">
        <v>42</v>
      </c>
      <c r="AB81" t="s">
        <v>43</v>
      </c>
      <c r="AC81" t="s">
        <v>43</v>
      </c>
    </row>
    <row r="82" spans="1:31" hidden="1" x14ac:dyDescent="0.4">
      <c r="A82" t="s">
        <v>27</v>
      </c>
      <c r="B82">
        <v>96</v>
      </c>
      <c r="C82" t="s">
        <v>2914</v>
      </c>
      <c r="E82" t="s">
        <v>257</v>
      </c>
      <c r="F82" t="s">
        <v>258</v>
      </c>
      <c r="G82" t="s">
        <v>259</v>
      </c>
      <c r="H82" t="s">
        <v>260</v>
      </c>
      <c r="I82" t="s">
        <v>261</v>
      </c>
      <c r="J82" t="s">
        <v>262</v>
      </c>
      <c r="K82" t="s">
        <v>51</v>
      </c>
      <c r="L82" t="s">
        <v>263</v>
      </c>
      <c r="M82" t="s">
        <v>35</v>
      </c>
      <c r="N82" t="s">
        <v>264</v>
      </c>
      <c r="O82" t="s">
        <v>265</v>
      </c>
      <c r="P82" t="s">
        <v>266</v>
      </c>
      <c r="R82" t="s">
        <v>270</v>
      </c>
      <c r="S82" t="s">
        <v>271</v>
      </c>
      <c r="T82" t="s">
        <v>272</v>
      </c>
      <c r="U82" t="s">
        <v>40</v>
      </c>
      <c r="V82" s="1">
        <v>40713</v>
      </c>
      <c r="W82">
        <v>0</v>
      </c>
      <c r="X82">
        <v>0</v>
      </c>
      <c r="Y82" t="s">
        <v>59</v>
      </c>
      <c r="AA82" t="s">
        <v>42</v>
      </c>
      <c r="AB82" t="s">
        <v>43</v>
      </c>
      <c r="AC82" t="s">
        <v>43</v>
      </c>
    </row>
    <row r="83" spans="1:31" hidden="1" x14ac:dyDescent="0.4">
      <c r="A83" t="s">
        <v>27</v>
      </c>
      <c r="B83">
        <v>96</v>
      </c>
      <c r="C83" t="s">
        <v>2914</v>
      </c>
      <c r="E83" t="s">
        <v>257</v>
      </c>
      <c r="F83" t="s">
        <v>258</v>
      </c>
      <c r="G83" t="s">
        <v>259</v>
      </c>
      <c r="H83" t="s">
        <v>260</v>
      </c>
      <c r="I83" t="s">
        <v>261</v>
      </c>
      <c r="J83" t="s">
        <v>262</v>
      </c>
      <c r="K83" t="s">
        <v>51</v>
      </c>
      <c r="L83" t="s">
        <v>263</v>
      </c>
      <c r="M83" t="s">
        <v>35</v>
      </c>
      <c r="N83" t="s">
        <v>264</v>
      </c>
      <c r="O83" t="s">
        <v>265</v>
      </c>
      <c r="P83" t="s">
        <v>266</v>
      </c>
      <c r="R83" t="s">
        <v>267</v>
      </c>
      <c r="S83" t="s">
        <v>268</v>
      </c>
      <c r="T83" t="s">
        <v>269</v>
      </c>
      <c r="U83" t="s">
        <v>40</v>
      </c>
      <c r="V83" s="1">
        <v>43238</v>
      </c>
      <c r="W83">
        <v>0</v>
      </c>
      <c r="X83">
        <v>0</v>
      </c>
      <c r="Y83" t="s">
        <v>59</v>
      </c>
      <c r="AA83" t="s">
        <v>42</v>
      </c>
      <c r="AB83" t="s">
        <v>43</v>
      </c>
      <c r="AC83" t="s">
        <v>43</v>
      </c>
    </row>
    <row r="84" spans="1:31" hidden="1" x14ac:dyDescent="0.4">
      <c r="A84" t="s">
        <v>27</v>
      </c>
      <c r="B84">
        <v>96</v>
      </c>
      <c r="C84" t="s">
        <v>2914</v>
      </c>
      <c r="E84" t="s">
        <v>257</v>
      </c>
      <c r="F84" t="s">
        <v>258</v>
      </c>
      <c r="G84" t="s">
        <v>259</v>
      </c>
      <c r="H84" t="s">
        <v>260</v>
      </c>
      <c r="I84" t="s">
        <v>261</v>
      </c>
      <c r="J84" t="s">
        <v>262</v>
      </c>
      <c r="K84" t="s">
        <v>51</v>
      </c>
      <c r="L84" t="s">
        <v>263</v>
      </c>
      <c r="M84" t="s">
        <v>35</v>
      </c>
      <c r="N84" t="s">
        <v>264</v>
      </c>
      <c r="O84" t="s">
        <v>265</v>
      </c>
      <c r="P84" t="s">
        <v>266</v>
      </c>
      <c r="R84" t="s">
        <v>270</v>
      </c>
      <c r="S84" t="s">
        <v>271</v>
      </c>
      <c r="T84" t="s">
        <v>272</v>
      </c>
      <c r="U84" t="s">
        <v>40</v>
      </c>
      <c r="V84" s="1">
        <v>40713</v>
      </c>
      <c r="W84">
        <v>0</v>
      </c>
      <c r="X84">
        <v>0</v>
      </c>
      <c r="Y84" t="s">
        <v>59</v>
      </c>
      <c r="AA84" t="s">
        <v>42</v>
      </c>
      <c r="AB84" t="s">
        <v>43</v>
      </c>
      <c r="AC84" t="s">
        <v>43</v>
      </c>
    </row>
    <row r="85" spans="1:31" x14ac:dyDescent="0.4">
      <c r="A85" t="s">
        <v>27</v>
      </c>
      <c r="B85">
        <v>96</v>
      </c>
      <c r="C85" t="s">
        <v>2914</v>
      </c>
      <c r="D85">
        <v>26</v>
      </c>
      <c r="E85" t="s">
        <v>257</v>
      </c>
      <c r="F85" t="s">
        <v>258</v>
      </c>
      <c r="G85" t="s">
        <v>259</v>
      </c>
      <c r="H85" t="s">
        <v>260</v>
      </c>
      <c r="I85" t="s">
        <v>261</v>
      </c>
      <c r="J85" t="s">
        <v>262</v>
      </c>
      <c r="K85" t="s">
        <v>51</v>
      </c>
      <c r="L85" t="s">
        <v>263</v>
      </c>
      <c r="M85" t="s">
        <v>35</v>
      </c>
      <c r="N85" t="s">
        <v>264</v>
      </c>
      <c r="O85" t="s">
        <v>265</v>
      </c>
      <c r="P85" t="s">
        <v>2914</v>
      </c>
      <c r="R85" t="s">
        <v>273</v>
      </c>
      <c r="S85" t="s">
        <v>274</v>
      </c>
      <c r="T85" t="s">
        <v>3135</v>
      </c>
      <c r="U85" t="s">
        <v>82</v>
      </c>
      <c r="V85" s="1">
        <v>43330</v>
      </c>
      <c r="W85">
        <v>0</v>
      </c>
      <c r="X85">
        <v>7</v>
      </c>
      <c r="AA85" t="s">
        <v>42</v>
      </c>
      <c r="AB85" t="s">
        <v>43</v>
      </c>
      <c r="AC85" t="s">
        <v>43</v>
      </c>
    </row>
    <row r="86" spans="1:31" x14ac:dyDescent="0.4">
      <c r="A86" t="s">
        <v>27</v>
      </c>
      <c r="B86">
        <v>96</v>
      </c>
      <c r="C86" t="s">
        <v>2914</v>
      </c>
      <c r="D86">
        <v>26</v>
      </c>
      <c r="E86" t="s">
        <v>257</v>
      </c>
      <c r="F86" t="s">
        <v>258</v>
      </c>
      <c r="G86" t="s">
        <v>259</v>
      </c>
      <c r="H86" t="s">
        <v>260</v>
      </c>
      <c r="I86" t="s">
        <v>261</v>
      </c>
      <c r="J86" t="s">
        <v>262</v>
      </c>
      <c r="K86" t="s">
        <v>51</v>
      </c>
      <c r="L86" t="s">
        <v>263</v>
      </c>
      <c r="M86" t="s">
        <v>35</v>
      </c>
      <c r="N86" t="s">
        <v>264</v>
      </c>
      <c r="O86" t="s">
        <v>265</v>
      </c>
      <c r="P86" t="s">
        <v>2914</v>
      </c>
      <c r="R86" t="s">
        <v>273</v>
      </c>
      <c r="S86" t="s">
        <v>274</v>
      </c>
      <c r="T86" t="s">
        <v>3135</v>
      </c>
      <c r="U86" t="s">
        <v>82</v>
      </c>
      <c r="V86" s="1">
        <v>43330</v>
      </c>
      <c r="W86">
        <v>0</v>
      </c>
      <c r="X86">
        <v>19</v>
      </c>
      <c r="AA86" t="s">
        <v>42</v>
      </c>
      <c r="AB86" t="s">
        <v>43</v>
      </c>
      <c r="AC86" t="s">
        <v>43</v>
      </c>
    </row>
    <row r="87" spans="1:31" x14ac:dyDescent="0.4">
      <c r="A87" t="s">
        <v>27</v>
      </c>
      <c r="B87">
        <v>2370</v>
      </c>
      <c r="C87" t="s">
        <v>2849</v>
      </c>
      <c r="D87">
        <v>27</v>
      </c>
      <c r="E87" t="s">
        <v>195</v>
      </c>
      <c r="F87" t="s">
        <v>160</v>
      </c>
      <c r="G87" t="s">
        <v>276</v>
      </c>
      <c r="H87" t="s">
        <v>277</v>
      </c>
      <c r="J87" t="s">
        <v>278</v>
      </c>
      <c r="K87" t="s">
        <v>73</v>
      </c>
      <c r="L87" t="s">
        <v>279</v>
      </c>
      <c r="M87" t="s">
        <v>35</v>
      </c>
      <c r="N87">
        <v>7941875227</v>
      </c>
      <c r="O87" t="s">
        <v>280</v>
      </c>
      <c r="P87" t="s">
        <v>2849</v>
      </c>
      <c r="R87" t="s">
        <v>3092</v>
      </c>
      <c r="S87" t="s">
        <v>283</v>
      </c>
      <c r="T87" t="s">
        <v>284</v>
      </c>
      <c r="U87" t="s">
        <v>40</v>
      </c>
      <c r="V87" s="1">
        <v>44280</v>
      </c>
      <c r="W87">
        <v>0</v>
      </c>
      <c r="X87">
        <v>6</v>
      </c>
      <c r="Y87" t="s">
        <v>83</v>
      </c>
      <c r="Z87" t="s">
        <v>135</v>
      </c>
      <c r="AA87" t="s">
        <v>42</v>
      </c>
      <c r="AB87" t="s">
        <v>43</v>
      </c>
      <c r="AC87" t="s">
        <v>43</v>
      </c>
    </row>
    <row r="88" spans="1:31" x14ac:dyDescent="0.4">
      <c r="A88" t="s">
        <v>27</v>
      </c>
      <c r="B88">
        <v>2370</v>
      </c>
      <c r="C88" t="s">
        <v>2849</v>
      </c>
      <c r="D88">
        <v>27</v>
      </c>
      <c r="E88" t="s">
        <v>195</v>
      </c>
      <c r="F88" t="s">
        <v>160</v>
      </c>
      <c r="G88" t="s">
        <v>276</v>
      </c>
      <c r="H88" t="s">
        <v>277</v>
      </c>
      <c r="J88" t="s">
        <v>278</v>
      </c>
      <c r="K88" t="s">
        <v>73</v>
      </c>
      <c r="L88" t="s">
        <v>279</v>
      </c>
      <c r="M88" t="s">
        <v>35</v>
      </c>
      <c r="N88">
        <v>7941875227</v>
      </c>
      <c r="O88" t="s">
        <v>280</v>
      </c>
      <c r="P88" t="s">
        <v>2849</v>
      </c>
      <c r="R88" t="s">
        <v>3092</v>
      </c>
      <c r="S88" t="s">
        <v>283</v>
      </c>
      <c r="T88" t="s">
        <v>284</v>
      </c>
      <c r="U88" t="s">
        <v>40</v>
      </c>
      <c r="V88" s="1">
        <v>44280</v>
      </c>
      <c r="W88">
        <v>0</v>
      </c>
      <c r="X88">
        <v>16</v>
      </c>
      <c r="Z88" t="s">
        <v>135</v>
      </c>
      <c r="AA88" t="s">
        <v>42</v>
      </c>
      <c r="AB88" t="s">
        <v>43</v>
      </c>
      <c r="AC88" t="s">
        <v>43</v>
      </c>
    </row>
    <row r="89" spans="1:31" hidden="1" x14ac:dyDescent="0.4">
      <c r="A89" t="s">
        <v>27</v>
      </c>
      <c r="B89">
        <v>2370</v>
      </c>
      <c r="C89" t="s">
        <v>2849</v>
      </c>
      <c r="E89" t="s">
        <v>195</v>
      </c>
      <c r="F89" t="s">
        <v>160</v>
      </c>
      <c r="G89" t="s">
        <v>276</v>
      </c>
      <c r="H89" t="s">
        <v>277</v>
      </c>
      <c r="J89" t="s">
        <v>278</v>
      </c>
      <c r="K89" t="s">
        <v>73</v>
      </c>
      <c r="L89" t="s">
        <v>279</v>
      </c>
      <c r="M89" t="s">
        <v>35</v>
      </c>
      <c r="N89">
        <v>7941875227</v>
      </c>
      <c r="O89" t="s">
        <v>280</v>
      </c>
      <c r="P89" t="s">
        <v>281</v>
      </c>
      <c r="R89" t="s">
        <v>285</v>
      </c>
      <c r="S89" t="s">
        <v>286</v>
      </c>
      <c r="T89" t="s">
        <v>287</v>
      </c>
      <c r="U89" t="s">
        <v>40</v>
      </c>
      <c r="V89" s="1">
        <v>45015</v>
      </c>
      <c r="W89">
        <v>0</v>
      </c>
      <c r="X89">
        <v>0</v>
      </c>
      <c r="Y89" t="s">
        <v>59</v>
      </c>
      <c r="Z89" t="s">
        <v>135</v>
      </c>
      <c r="AA89" t="s">
        <v>42</v>
      </c>
      <c r="AB89" t="s">
        <v>43</v>
      </c>
      <c r="AC89" t="s">
        <v>43</v>
      </c>
    </row>
    <row r="90" spans="1:31" hidden="1" x14ac:dyDescent="0.4">
      <c r="A90" t="s">
        <v>27</v>
      </c>
      <c r="B90">
        <v>2370</v>
      </c>
      <c r="C90" t="s">
        <v>2849</v>
      </c>
      <c r="E90" t="s">
        <v>195</v>
      </c>
      <c r="F90" t="s">
        <v>160</v>
      </c>
      <c r="G90" t="s">
        <v>276</v>
      </c>
      <c r="H90" t="s">
        <v>277</v>
      </c>
      <c r="J90" t="s">
        <v>278</v>
      </c>
      <c r="K90" t="s">
        <v>73</v>
      </c>
      <c r="L90" t="s">
        <v>279</v>
      </c>
      <c r="M90" t="s">
        <v>35</v>
      </c>
      <c r="N90">
        <v>7941875227</v>
      </c>
      <c r="O90" t="s">
        <v>280</v>
      </c>
      <c r="P90" t="s">
        <v>281</v>
      </c>
      <c r="R90" t="s">
        <v>285</v>
      </c>
      <c r="S90" t="s">
        <v>286</v>
      </c>
      <c r="T90" t="s">
        <v>287</v>
      </c>
      <c r="U90" t="s">
        <v>40</v>
      </c>
      <c r="V90" s="1">
        <v>45015</v>
      </c>
      <c r="W90">
        <v>0</v>
      </c>
      <c r="X90">
        <v>0</v>
      </c>
      <c r="Y90" t="s">
        <v>59</v>
      </c>
      <c r="Z90" t="s">
        <v>135</v>
      </c>
      <c r="AA90" t="s">
        <v>42</v>
      </c>
      <c r="AB90" t="s">
        <v>43</v>
      </c>
      <c r="AC90" t="s">
        <v>43</v>
      </c>
    </row>
    <row r="91" spans="1:31" ht="160" x14ac:dyDescent="0.4">
      <c r="A91" t="s">
        <v>27</v>
      </c>
      <c r="B91">
        <v>197</v>
      </c>
      <c r="C91" t="s">
        <v>2915</v>
      </c>
      <c r="D91">
        <v>29</v>
      </c>
      <c r="E91" t="s">
        <v>257</v>
      </c>
      <c r="F91" t="s">
        <v>288</v>
      </c>
      <c r="G91" t="s">
        <v>289</v>
      </c>
      <c r="H91" t="s">
        <v>290</v>
      </c>
      <c r="J91" t="s">
        <v>291</v>
      </c>
      <c r="K91" t="s">
        <v>51</v>
      </c>
      <c r="L91" t="s">
        <v>292</v>
      </c>
      <c r="M91" t="s">
        <v>35</v>
      </c>
      <c r="N91">
        <v>441425470839</v>
      </c>
      <c r="O91" t="s">
        <v>293</v>
      </c>
      <c r="P91" t="s">
        <v>2915</v>
      </c>
      <c r="R91" t="s">
        <v>295</v>
      </c>
      <c r="S91" t="s">
        <v>296</v>
      </c>
      <c r="T91" t="s">
        <v>94</v>
      </c>
      <c r="U91" t="s">
        <v>40</v>
      </c>
      <c r="V91" s="1">
        <v>44157</v>
      </c>
      <c r="W91">
        <v>0</v>
      </c>
      <c r="X91">
        <v>11</v>
      </c>
      <c r="AA91" t="s">
        <v>42</v>
      </c>
      <c r="AB91" t="s">
        <v>43</v>
      </c>
      <c r="AC91" t="s">
        <v>43</v>
      </c>
      <c r="AE91" s="2" t="s">
        <v>298</v>
      </c>
    </row>
    <row r="92" spans="1:31" ht="160" x14ac:dyDescent="0.4">
      <c r="A92" t="s">
        <v>27</v>
      </c>
      <c r="B92">
        <v>197</v>
      </c>
      <c r="C92" t="s">
        <v>2915</v>
      </c>
      <c r="D92">
        <v>28</v>
      </c>
      <c r="E92" t="s">
        <v>257</v>
      </c>
      <c r="F92" t="s">
        <v>288</v>
      </c>
      <c r="G92" t="s">
        <v>289</v>
      </c>
      <c r="H92" t="s">
        <v>290</v>
      </c>
      <c r="J92" t="s">
        <v>291</v>
      </c>
      <c r="K92" t="s">
        <v>51</v>
      </c>
      <c r="L92" t="s">
        <v>292</v>
      </c>
      <c r="M92" t="s">
        <v>35</v>
      </c>
      <c r="N92">
        <v>441425470839</v>
      </c>
      <c r="O92" t="s">
        <v>293</v>
      </c>
      <c r="P92" t="s">
        <v>2915</v>
      </c>
      <c r="R92" t="s">
        <v>294</v>
      </c>
      <c r="S92" t="s">
        <v>299</v>
      </c>
      <c r="T92" t="s">
        <v>58</v>
      </c>
      <c r="U92" t="s">
        <v>40</v>
      </c>
      <c r="V92" s="1">
        <v>42646</v>
      </c>
      <c r="W92">
        <v>0</v>
      </c>
      <c r="X92">
        <v>12</v>
      </c>
      <c r="AA92" t="s">
        <v>42</v>
      </c>
      <c r="AB92" t="s">
        <v>43</v>
      </c>
      <c r="AC92" t="s">
        <v>43</v>
      </c>
      <c r="AE92" s="2" t="s">
        <v>298</v>
      </c>
    </row>
    <row r="93" spans="1:31" ht="160" x14ac:dyDescent="0.4">
      <c r="A93" t="s">
        <v>27</v>
      </c>
      <c r="B93">
        <v>197</v>
      </c>
      <c r="C93" t="s">
        <v>2915</v>
      </c>
      <c r="D93">
        <v>29</v>
      </c>
      <c r="E93" t="s">
        <v>257</v>
      </c>
      <c r="F93" t="s">
        <v>288</v>
      </c>
      <c r="G93" t="s">
        <v>289</v>
      </c>
      <c r="H93" t="s">
        <v>290</v>
      </c>
      <c r="J93" t="s">
        <v>291</v>
      </c>
      <c r="K93" t="s">
        <v>51</v>
      </c>
      <c r="L93" t="s">
        <v>292</v>
      </c>
      <c r="M93" t="s">
        <v>35</v>
      </c>
      <c r="N93">
        <v>441425470839</v>
      </c>
      <c r="O93" t="s">
        <v>293</v>
      </c>
      <c r="P93" t="s">
        <v>2915</v>
      </c>
      <c r="R93" t="s">
        <v>295</v>
      </c>
      <c r="S93" t="s">
        <v>296</v>
      </c>
      <c r="T93" t="s">
        <v>94</v>
      </c>
      <c r="U93" t="s">
        <v>40</v>
      </c>
      <c r="V93" s="1">
        <v>44157</v>
      </c>
      <c r="W93">
        <v>0</v>
      </c>
      <c r="X93">
        <v>12</v>
      </c>
      <c r="AA93" t="s">
        <v>42</v>
      </c>
      <c r="AB93" t="s">
        <v>43</v>
      </c>
      <c r="AC93" t="s">
        <v>43</v>
      </c>
      <c r="AE93" s="2" t="s">
        <v>298</v>
      </c>
    </row>
    <row r="94" spans="1:31" x14ac:dyDescent="0.4">
      <c r="A94" t="s">
        <v>27</v>
      </c>
      <c r="B94">
        <v>1099</v>
      </c>
      <c r="C94" t="s">
        <v>2916</v>
      </c>
      <c r="D94">
        <v>34</v>
      </c>
      <c r="E94" t="s">
        <v>68</v>
      </c>
      <c r="F94" t="s">
        <v>300</v>
      </c>
      <c r="G94" t="s">
        <v>301</v>
      </c>
      <c r="H94" t="s">
        <v>302</v>
      </c>
      <c r="I94" t="s">
        <v>303</v>
      </c>
      <c r="J94" t="s">
        <v>200</v>
      </c>
      <c r="K94" t="s">
        <v>304</v>
      </c>
      <c r="L94" t="s">
        <v>305</v>
      </c>
      <c r="M94" t="s">
        <v>35</v>
      </c>
      <c r="N94" t="s">
        <v>306</v>
      </c>
      <c r="O94" t="s">
        <v>307</v>
      </c>
      <c r="P94" t="s">
        <v>2916</v>
      </c>
      <c r="R94" t="s">
        <v>308</v>
      </c>
      <c r="S94" t="s">
        <v>309</v>
      </c>
      <c r="T94" t="s">
        <v>94</v>
      </c>
      <c r="U94" t="s">
        <v>82</v>
      </c>
      <c r="V94" s="1">
        <v>44690</v>
      </c>
      <c r="W94">
        <v>0</v>
      </c>
      <c r="X94">
        <v>13</v>
      </c>
      <c r="AA94" t="s">
        <v>42</v>
      </c>
      <c r="AB94" t="s">
        <v>43</v>
      </c>
      <c r="AC94" t="s">
        <v>43</v>
      </c>
    </row>
    <row r="95" spans="1:31" x14ac:dyDescent="0.4">
      <c r="A95" t="s">
        <v>27</v>
      </c>
      <c r="B95">
        <v>1099</v>
      </c>
      <c r="C95" t="s">
        <v>2916</v>
      </c>
      <c r="D95">
        <v>33</v>
      </c>
      <c r="E95" t="s">
        <v>68</v>
      </c>
      <c r="F95" t="s">
        <v>300</v>
      </c>
      <c r="G95" t="s">
        <v>301</v>
      </c>
      <c r="H95" t="s">
        <v>302</v>
      </c>
      <c r="I95" t="s">
        <v>303</v>
      </c>
      <c r="J95" t="s">
        <v>200</v>
      </c>
      <c r="K95" t="s">
        <v>304</v>
      </c>
      <c r="L95" t="s">
        <v>305</v>
      </c>
      <c r="M95" t="s">
        <v>35</v>
      </c>
      <c r="N95" t="s">
        <v>306</v>
      </c>
      <c r="O95" t="s">
        <v>307</v>
      </c>
      <c r="P95" t="s">
        <v>2916</v>
      </c>
      <c r="R95" t="s">
        <v>310</v>
      </c>
      <c r="S95" t="s">
        <v>311</v>
      </c>
      <c r="T95" t="s">
        <v>58</v>
      </c>
      <c r="U95" t="s">
        <v>40</v>
      </c>
      <c r="V95" s="1">
        <v>43720</v>
      </c>
      <c r="W95">
        <v>0</v>
      </c>
      <c r="X95">
        <v>16</v>
      </c>
      <c r="AA95" t="s">
        <v>42</v>
      </c>
      <c r="AB95" t="s">
        <v>43</v>
      </c>
      <c r="AC95" t="s">
        <v>43</v>
      </c>
    </row>
    <row r="96" spans="1:31" x14ac:dyDescent="0.4">
      <c r="A96" t="s">
        <v>27</v>
      </c>
      <c r="B96">
        <v>1099</v>
      </c>
      <c r="C96" t="s">
        <v>2916</v>
      </c>
      <c r="D96">
        <v>32</v>
      </c>
      <c r="E96" t="s">
        <v>68</v>
      </c>
      <c r="F96" t="s">
        <v>300</v>
      </c>
      <c r="G96" t="s">
        <v>301</v>
      </c>
      <c r="H96" t="s">
        <v>302</v>
      </c>
      <c r="I96" t="s">
        <v>303</v>
      </c>
      <c r="J96" t="s">
        <v>200</v>
      </c>
      <c r="K96" t="s">
        <v>304</v>
      </c>
      <c r="L96" t="s">
        <v>305</v>
      </c>
      <c r="M96" t="s">
        <v>35</v>
      </c>
      <c r="N96" t="s">
        <v>306</v>
      </c>
      <c r="O96" t="s">
        <v>307</v>
      </c>
      <c r="P96" t="s">
        <v>2916</v>
      </c>
      <c r="R96" t="s">
        <v>312</v>
      </c>
      <c r="S96" t="s">
        <v>313</v>
      </c>
      <c r="T96" t="s">
        <v>58</v>
      </c>
      <c r="U96" t="s">
        <v>40</v>
      </c>
      <c r="V96" s="1">
        <v>42011</v>
      </c>
      <c r="W96">
        <v>0</v>
      </c>
      <c r="X96">
        <v>18</v>
      </c>
      <c r="AA96" t="s">
        <v>42</v>
      </c>
      <c r="AB96" t="s">
        <v>43</v>
      </c>
      <c r="AC96" t="s">
        <v>43</v>
      </c>
    </row>
    <row r="97" spans="1:29" x14ac:dyDescent="0.4">
      <c r="A97" t="s">
        <v>27</v>
      </c>
      <c r="B97">
        <v>1099</v>
      </c>
      <c r="C97" t="s">
        <v>2916</v>
      </c>
      <c r="D97">
        <v>32</v>
      </c>
      <c r="E97" t="s">
        <v>68</v>
      </c>
      <c r="F97" t="s">
        <v>300</v>
      </c>
      <c r="G97" t="s">
        <v>301</v>
      </c>
      <c r="H97" t="s">
        <v>302</v>
      </c>
      <c r="I97" t="s">
        <v>303</v>
      </c>
      <c r="J97" t="s">
        <v>200</v>
      </c>
      <c r="K97" t="s">
        <v>304</v>
      </c>
      <c r="L97" t="s">
        <v>305</v>
      </c>
      <c r="M97" t="s">
        <v>35</v>
      </c>
      <c r="N97" t="s">
        <v>306</v>
      </c>
      <c r="O97" t="s">
        <v>307</v>
      </c>
      <c r="P97" t="s">
        <v>2916</v>
      </c>
      <c r="R97" t="s">
        <v>312</v>
      </c>
      <c r="S97" t="s">
        <v>313</v>
      </c>
      <c r="T97" t="s">
        <v>58</v>
      </c>
      <c r="U97" t="s">
        <v>40</v>
      </c>
      <c r="V97" s="1">
        <v>42011</v>
      </c>
      <c r="W97">
        <v>0</v>
      </c>
      <c r="X97">
        <v>20</v>
      </c>
      <c r="AA97" t="s">
        <v>42</v>
      </c>
      <c r="AB97" t="s">
        <v>43</v>
      </c>
      <c r="AC97" t="s">
        <v>43</v>
      </c>
    </row>
    <row r="98" spans="1:29" x14ac:dyDescent="0.4">
      <c r="A98" t="s">
        <v>27</v>
      </c>
      <c r="B98">
        <v>2661</v>
      </c>
      <c r="C98" t="s">
        <v>319</v>
      </c>
      <c r="D98">
        <v>31</v>
      </c>
      <c r="E98" t="s">
        <v>28</v>
      </c>
      <c r="F98" t="s">
        <v>314</v>
      </c>
      <c r="G98" t="s">
        <v>301</v>
      </c>
      <c r="H98" t="s">
        <v>315</v>
      </c>
      <c r="I98" t="s">
        <v>316</v>
      </c>
      <c r="J98" t="s">
        <v>72</v>
      </c>
      <c r="K98" t="s">
        <v>73</v>
      </c>
      <c r="L98" t="s">
        <v>317</v>
      </c>
      <c r="M98" t="s">
        <v>35</v>
      </c>
      <c r="N98">
        <v>7918939154</v>
      </c>
      <c r="O98" t="s">
        <v>318</v>
      </c>
      <c r="P98" t="s">
        <v>319</v>
      </c>
      <c r="R98" t="s">
        <v>320</v>
      </c>
      <c r="S98" t="s">
        <v>321</v>
      </c>
      <c r="T98" t="s">
        <v>322</v>
      </c>
      <c r="U98" t="s">
        <v>40</v>
      </c>
      <c r="V98" s="1">
        <v>43483</v>
      </c>
      <c r="W98">
        <v>0</v>
      </c>
      <c r="X98">
        <v>12</v>
      </c>
      <c r="AA98" t="s">
        <v>42</v>
      </c>
      <c r="AB98" t="s">
        <v>43</v>
      </c>
      <c r="AC98" t="s">
        <v>43</v>
      </c>
    </row>
    <row r="99" spans="1:29" x14ac:dyDescent="0.4">
      <c r="A99" t="s">
        <v>27</v>
      </c>
      <c r="B99">
        <v>2661</v>
      </c>
      <c r="C99" t="s">
        <v>319</v>
      </c>
      <c r="D99">
        <v>30</v>
      </c>
      <c r="E99" t="s">
        <v>28</v>
      </c>
      <c r="F99" t="s">
        <v>314</v>
      </c>
      <c r="G99" t="s">
        <v>301</v>
      </c>
      <c r="H99" t="s">
        <v>315</v>
      </c>
      <c r="I99" t="s">
        <v>316</v>
      </c>
      <c r="J99" t="s">
        <v>72</v>
      </c>
      <c r="K99" t="s">
        <v>73</v>
      </c>
      <c r="L99" t="s">
        <v>317</v>
      </c>
      <c r="M99" t="s">
        <v>35</v>
      </c>
      <c r="N99">
        <v>7918939154</v>
      </c>
      <c r="O99" t="s">
        <v>318</v>
      </c>
      <c r="P99" t="s">
        <v>319</v>
      </c>
      <c r="R99" t="s">
        <v>324</v>
      </c>
      <c r="S99" t="s">
        <v>325</v>
      </c>
      <c r="T99" t="s">
        <v>322</v>
      </c>
      <c r="U99" t="s">
        <v>82</v>
      </c>
      <c r="V99" s="1">
        <v>45233</v>
      </c>
      <c r="W99">
        <v>0</v>
      </c>
      <c r="X99">
        <v>13</v>
      </c>
      <c r="AA99" t="s">
        <v>42</v>
      </c>
      <c r="AB99" t="s">
        <v>43</v>
      </c>
      <c r="AC99" t="s">
        <v>43</v>
      </c>
    </row>
    <row r="100" spans="1:29" x14ac:dyDescent="0.4">
      <c r="A100" t="s">
        <v>27</v>
      </c>
      <c r="B100">
        <v>2661</v>
      </c>
      <c r="C100" t="s">
        <v>319</v>
      </c>
      <c r="D100">
        <v>31</v>
      </c>
      <c r="E100" t="s">
        <v>28</v>
      </c>
      <c r="F100" t="s">
        <v>314</v>
      </c>
      <c r="G100" t="s">
        <v>301</v>
      </c>
      <c r="H100" t="s">
        <v>315</v>
      </c>
      <c r="I100" t="s">
        <v>316</v>
      </c>
      <c r="J100" t="s">
        <v>72</v>
      </c>
      <c r="K100" t="s">
        <v>73</v>
      </c>
      <c r="L100" t="s">
        <v>317</v>
      </c>
      <c r="M100" t="s">
        <v>35</v>
      </c>
      <c r="N100">
        <v>7918939154</v>
      </c>
      <c r="O100" t="s">
        <v>318</v>
      </c>
      <c r="P100" t="s">
        <v>319</v>
      </c>
      <c r="R100" t="s">
        <v>320</v>
      </c>
      <c r="S100" t="s">
        <v>321</v>
      </c>
      <c r="T100" t="s">
        <v>322</v>
      </c>
      <c r="U100" t="s">
        <v>40</v>
      </c>
      <c r="V100" s="1">
        <v>43483</v>
      </c>
      <c r="W100">
        <v>0</v>
      </c>
      <c r="X100">
        <v>14</v>
      </c>
      <c r="AA100" t="s">
        <v>42</v>
      </c>
      <c r="AB100" t="s">
        <v>43</v>
      </c>
      <c r="AC100" t="s">
        <v>43</v>
      </c>
    </row>
    <row r="101" spans="1:29" x14ac:dyDescent="0.4">
      <c r="A101" t="s">
        <v>27</v>
      </c>
      <c r="B101">
        <v>2661</v>
      </c>
      <c r="C101" t="s">
        <v>319</v>
      </c>
      <c r="D101">
        <v>30</v>
      </c>
      <c r="E101" t="s">
        <v>28</v>
      </c>
      <c r="F101" t="s">
        <v>314</v>
      </c>
      <c r="G101" t="s">
        <v>301</v>
      </c>
      <c r="H101" t="s">
        <v>315</v>
      </c>
      <c r="I101" t="s">
        <v>316</v>
      </c>
      <c r="J101" t="s">
        <v>72</v>
      </c>
      <c r="K101" t="s">
        <v>73</v>
      </c>
      <c r="L101" t="s">
        <v>317</v>
      </c>
      <c r="M101" t="s">
        <v>35</v>
      </c>
      <c r="N101">
        <v>7918939154</v>
      </c>
      <c r="O101" t="s">
        <v>318</v>
      </c>
      <c r="P101" t="s">
        <v>319</v>
      </c>
      <c r="R101" t="s">
        <v>324</v>
      </c>
      <c r="S101" t="s">
        <v>325</v>
      </c>
      <c r="T101" t="s">
        <v>322</v>
      </c>
      <c r="U101" t="s">
        <v>82</v>
      </c>
      <c r="V101" s="1">
        <v>45233</v>
      </c>
      <c r="W101">
        <v>0</v>
      </c>
      <c r="X101">
        <v>15</v>
      </c>
      <c r="AA101" t="s">
        <v>42</v>
      </c>
      <c r="AB101" t="s">
        <v>43</v>
      </c>
      <c r="AC101" t="s">
        <v>43</v>
      </c>
    </row>
    <row r="102" spans="1:29" x14ac:dyDescent="0.4">
      <c r="A102" t="s">
        <v>27</v>
      </c>
      <c r="B102">
        <v>2653</v>
      </c>
      <c r="C102" t="s">
        <v>333</v>
      </c>
      <c r="D102">
        <v>35</v>
      </c>
      <c r="E102" t="s">
        <v>68</v>
      </c>
      <c r="F102" t="s">
        <v>326</v>
      </c>
      <c r="G102" t="s">
        <v>327</v>
      </c>
      <c r="H102" t="s">
        <v>328</v>
      </c>
      <c r="J102" t="s">
        <v>329</v>
      </c>
      <c r="K102" t="s">
        <v>330</v>
      </c>
      <c r="L102" t="s">
        <v>331</v>
      </c>
      <c r="M102" t="s">
        <v>35</v>
      </c>
      <c r="N102">
        <v>7855900003</v>
      </c>
      <c r="O102" t="s">
        <v>332</v>
      </c>
      <c r="P102" t="s">
        <v>333</v>
      </c>
      <c r="R102" t="s">
        <v>334</v>
      </c>
      <c r="S102" t="s">
        <v>335</v>
      </c>
      <c r="T102" t="s">
        <v>3132</v>
      </c>
      <c r="U102" t="s">
        <v>40</v>
      </c>
      <c r="V102" s="1">
        <v>44234</v>
      </c>
      <c r="W102">
        <v>0</v>
      </c>
      <c r="X102">
        <v>7</v>
      </c>
      <c r="AA102" t="s">
        <v>42</v>
      </c>
      <c r="AB102" t="s">
        <v>43</v>
      </c>
      <c r="AC102" t="s">
        <v>43</v>
      </c>
    </row>
    <row r="103" spans="1:29" x14ac:dyDescent="0.4">
      <c r="A103" t="s">
        <v>27</v>
      </c>
      <c r="B103">
        <v>2653</v>
      </c>
      <c r="C103" t="s">
        <v>333</v>
      </c>
      <c r="D103">
        <v>35</v>
      </c>
      <c r="E103" t="s">
        <v>68</v>
      </c>
      <c r="F103" t="s">
        <v>326</v>
      </c>
      <c r="G103" t="s">
        <v>327</v>
      </c>
      <c r="H103" t="s">
        <v>328</v>
      </c>
      <c r="J103" t="s">
        <v>329</v>
      </c>
      <c r="K103" t="s">
        <v>330</v>
      </c>
      <c r="L103" t="s">
        <v>331</v>
      </c>
      <c r="M103" t="s">
        <v>35</v>
      </c>
      <c r="N103">
        <v>7855900003</v>
      </c>
      <c r="O103" t="s">
        <v>332</v>
      </c>
      <c r="P103" t="s">
        <v>333</v>
      </c>
      <c r="R103" t="s">
        <v>334</v>
      </c>
      <c r="S103" t="s">
        <v>335</v>
      </c>
      <c r="T103" t="s">
        <v>3132</v>
      </c>
      <c r="U103" t="s">
        <v>40</v>
      </c>
      <c r="V103" s="1">
        <v>44234</v>
      </c>
      <c r="W103">
        <v>0</v>
      </c>
      <c r="X103">
        <v>6</v>
      </c>
      <c r="Y103" t="s">
        <v>83</v>
      </c>
      <c r="AA103" t="s">
        <v>42</v>
      </c>
      <c r="AB103" t="s">
        <v>43</v>
      </c>
      <c r="AC103" t="s">
        <v>43</v>
      </c>
    </row>
    <row r="104" spans="1:29" x14ac:dyDescent="0.4">
      <c r="A104" t="s">
        <v>27</v>
      </c>
      <c r="B104">
        <v>712</v>
      </c>
      <c r="C104" t="s">
        <v>2917</v>
      </c>
      <c r="D104">
        <v>37</v>
      </c>
      <c r="E104" t="s">
        <v>68</v>
      </c>
      <c r="F104" t="s">
        <v>47</v>
      </c>
      <c r="G104" t="s">
        <v>336</v>
      </c>
      <c r="H104" t="s">
        <v>337</v>
      </c>
      <c r="J104" t="s">
        <v>338</v>
      </c>
      <c r="K104" t="s">
        <v>189</v>
      </c>
      <c r="L104" t="s">
        <v>339</v>
      </c>
      <c r="M104" t="s">
        <v>35</v>
      </c>
      <c r="N104">
        <v>1708765846</v>
      </c>
      <c r="O104" t="s">
        <v>340</v>
      </c>
      <c r="P104" t="s">
        <v>2917</v>
      </c>
      <c r="R104" t="s">
        <v>341</v>
      </c>
      <c r="S104" t="s">
        <v>342</v>
      </c>
      <c r="T104" t="s">
        <v>58</v>
      </c>
      <c r="U104" t="s">
        <v>40</v>
      </c>
      <c r="V104" s="1">
        <v>43607</v>
      </c>
      <c r="W104">
        <v>0</v>
      </c>
      <c r="X104">
        <v>16</v>
      </c>
      <c r="AA104" t="s">
        <v>42</v>
      </c>
      <c r="AB104" t="s">
        <v>43</v>
      </c>
      <c r="AC104" t="s">
        <v>43</v>
      </c>
    </row>
    <row r="105" spans="1:29" x14ac:dyDescent="0.4">
      <c r="A105" t="s">
        <v>27</v>
      </c>
      <c r="B105">
        <v>712</v>
      </c>
      <c r="C105" t="s">
        <v>2917</v>
      </c>
      <c r="D105">
        <v>36</v>
      </c>
      <c r="E105" t="s">
        <v>68</v>
      </c>
      <c r="F105" t="s">
        <v>47</v>
      </c>
      <c r="G105" t="s">
        <v>336</v>
      </c>
      <c r="H105" t="s">
        <v>337</v>
      </c>
      <c r="J105" t="s">
        <v>338</v>
      </c>
      <c r="K105" t="s">
        <v>189</v>
      </c>
      <c r="L105" t="s">
        <v>339</v>
      </c>
      <c r="M105" t="s">
        <v>35</v>
      </c>
      <c r="N105">
        <v>1708765846</v>
      </c>
      <c r="O105" t="s">
        <v>340</v>
      </c>
      <c r="P105" t="s">
        <v>2917</v>
      </c>
      <c r="R105" t="s">
        <v>343</v>
      </c>
      <c r="S105" t="s">
        <v>344</v>
      </c>
      <c r="T105" t="s">
        <v>58</v>
      </c>
      <c r="U105" t="s">
        <v>40</v>
      </c>
      <c r="V105" s="1">
        <v>42217</v>
      </c>
      <c r="W105">
        <v>0</v>
      </c>
      <c r="X105">
        <v>18</v>
      </c>
      <c r="AA105" t="s">
        <v>42</v>
      </c>
      <c r="AB105" t="s">
        <v>43</v>
      </c>
      <c r="AC105" t="s">
        <v>43</v>
      </c>
    </row>
    <row r="106" spans="1:29" x14ac:dyDescent="0.4">
      <c r="A106" t="s">
        <v>27</v>
      </c>
      <c r="B106">
        <v>1455</v>
      </c>
      <c r="C106" t="s">
        <v>351</v>
      </c>
      <c r="D106">
        <v>38</v>
      </c>
      <c r="E106" t="s">
        <v>68</v>
      </c>
      <c r="F106" t="s">
        <v>345</v>
      </c>
      <c r="G106" t="s">
        <v>346</v>
      </c>
      <c r="H106" t="s">
        <v>347</v>
      </c>
      <c r="J106" t="s">
        <v>348</v>
      </c>
      <c r="K106" t="s">
        <v>226</v>
      </c>
      <c r="L106" t="s">
        <v>349</v>
      </c>
      <c r="M106" t="s">
        <v>35</v>
      </c>
      <c r="N106">
        <v>1932761191</v>
      </c>
      <c r="O106" t="s">
        <v>350</v>
      </c>
      <c r="P106" t="s">
        <v>351</v>
      </c>
      <c r="R106" t="s">
        <v>3093</v>
      </c>
      <c r="S106" t="s">
        <v>353</v>
      </c>
      <c r="T106" t="s">
        <v>169</v>
      </c>
      <c r="U106" t="s">
        <v>82</v>
      </c>
      <c r="V106" s="1">
        <v>44287</v>
      </c>
      <c r="W106">
        <v>0</v>
      </c>
      <c r="X106">
        <v>5</v>
      </c>
      <c r="Y106" t="s">
        <v>66</v>
      </c>
      <c r="Z106" t="s">
        <v>135</v>
      </c>
      <c r="AA106" t="s">
        <v>42</v>
      </c>
      <c r="AB106" t="s">
        <v>43</v>
      </c>
      <c r="AC106" t="s">
        <v>43</v>
      </c>
    </row>
    <row r="107" spans="1:29" x14ac:dyDescent="0.4">
      <c r="A107" t="s">
        <v>27</v>
      </c>
      <c r="B107">
        <v>1455</v>
      </c>
      <c r="C107" t="s">
        <v>351</v>
      </c>
      <c r="D107">
        <v>38</v>
      </c>
      <c r="E107" t="s">
        <v>68</v>
      </c>
      <c r="F107" t="s">
        <v>345</v>
      </c>
      <c r="G107" t="s">
        <v>346</v>
      </c>
      <c r="H107" t="s">
        <v>347</v>
      </c>
      <c r="J107" t="s">
        <v>348</v>
      </c>
      <c r="K107" t="s">
        <v>226</v>
      </c>
      <c r="L107" t="s">
        <v>349</v>
      </c>
      <c r="M107" t="s">
        <v>35</v>
      </c>
      <c r="N107">
        <v>1932761191</v>
      </c>
      <c r="O107" t="s">
        <v>350</v>
      </c>
      <c r="P107" t="s">
        <v>351</v>
      </c>
      <c r="R107" t="s">
        <v>3093</v>
      </c>
      <c r="S107" t="s">
        <v>353</v>
      </c>
      <c r="T107" t="s">
        <v>169</v>
      </c>
      <c r="U107" t="s">
        <v>82</v>
      </c>
      <c r="V107" s="1">
        <v>44287</v>
      </c>
      <c r="W107">
        <v>0</v>
      </c>
      <c r="X107">
        <v>6</v>
      </c>
      <c r="Y107" t="s">
        <v>83</v>
      </c>
      <c r="Z107" t="s">
        <v>135</v>
      </c>
      <c r="AA107" t="s">
        <v>42</v>
      </c>
      <c r="AB107" t="s">
        <v>43</v>
      </c>
      <c r="AC107" t="s">
        <v>43</v>
      </c>
    </row>
    <row r="108" spans="1:29" x14ac:dyDescent="0.4">
      <c r="A108" t="s">
        <v>27</v>
      </c>
      <c r="B108">
        <v>1455</v>
      </c>
      <c r="C108" t="s">
        <v>351</v>
      </c>
      <c r="D108">
        <v>38</v>
      </c>
      <c r="E108" t="s">
        <v>68</v>
      </c>
      <c r="F108" t="s">
        <v>345</v>
      </c>
      <c r="G108" t="s">
        <v>346</v>
      </c>
      <c r="H108" t="s">
        <v>347</v>
      </c>
      <c r="J108" t="s">
        <v>348</v>
      </c>
      <c r="K108" t="s">
        <v>226</v>
      </c>
      <c r="L108" t="s">
        <v>349</v>
      </c>
      <c r="M108" t="s">
        <v>35</v>
      </c>
      <c r="N108">
        <v>1932761191</v>
      </c>
      <c r="O108" t="s">
        <v>350</v>
      </c>
      <c r="P108" t="s">
        <v>351</v>
      </c>
      <c r="R108" t="s">
        <v>3093</v>
      </c>
      <c r="S108" t="s">
        <v>353</v>
      </c>
      <c r="T108" t="s">
        <v>169</v>
      </c>
      <c r="U108" t="s">
        <v>82</v>
      </c>
      <c r="V108" s="1">
        <v>44287</v>
      </c>
      <c r="W108">
        <v>0</v>
      </c>
      <c r="X108">
        <v>15</v>
      </c>
      <c r="Z108" t="s">
        <v>135</v>
      </c>
      <c r="AA108" t="s">
        <v>42</v>
      </c>
      <c r="AB108" t="s">
        <v>43</v>
      </c>
      <c r="AC108" t="s">
        <v>43</v>
      </c>
    </row>
    <row r="109" spans="1:29" x14ac:dyDescent="0.4">
      <c r="A109" t="s">
        <v>27</v>
      </c>
      <c r="B109">
        <v>1455</v>
      </c>
      <c r="C109" t="s">
        <v>351</v>
      </c>
      <c r="D109">
        <v>38</v>
      </c>
      <c r="E109" t="s">
        <v>68</v>
      </c>
      <c r="F109" t="s">
        <v>345</v>
      </c>
      <c r="G109" t="s">
        <v>346</v>
      </c>
      <c r="H109" t="s">
        <v>347</v>
      </c>
      <c r="J109" t="s">
        <v>348</v>
      </c>
      <c r="K109" t="s">
        <v>226</v>
      </c>
      <c r="L109" t="s">
        <v>349</v>
      </c>
      <c r="M109" t="s">
        <v>35</v>
      </c>
      <c r="N109">
        <v>1932761191</v>
      </c>
      <c r="O109" t="s">
        <v>350</v>
      </c>
      <c r="P109" t="s">
        <v>351</v>
      </c>
      <c r="R109" t="s">
        <v>3093</v>
      </c>
      <c r="S109" t="s">
        <v>353</v>
      </c>
      <c r="T109" t="s">
        <v>169</v>
      </c>
      <c r="U109" t="s">
        <v>82</v>
      </c>
      <c r="V109" s="1">
        <v>44287</v>
      </c>
      <c r="W109">
        <v>0</v>
      </c>
      <c r="X109">
        <v>17</v>
      </c>
      <c r="Z109" t="s">
        <v>135</v>
      </c>
      <c r="AA109" t="s">
        <v>42</v>
      </c>
      <c r="AB109" t="s">
        <v>43</v>
      </c>
      <c r="AC109" t="s">
        <v>43</v>
      </c>
    </row>
    <row r="110" spans="1:29" hidden="1" x14ac:dyDescent="0.4">
      <c r="A110" t="s">
        <v>27</v>
      </c>
      <c r="B110">
        <v>1455</v>
      </c>
      <c r="C110" t="s">
        <v>351</v>
      </c>
      <c r="E110" t="s">
        <v>68</v>
      </c>
      <c r="F110" t="s">
        <v>345</v>
      </c>
      <c r="G110" t="s">
        <v>346</v>
      </c>
      <c r="H110" t="s">
        <v>347</v>
      </c>
      <c r="J110" t="s">
        <v>348</v>
      </c>
      <c r="K110" t="s">
        <v>226</v>
      </c>
      <c r="L110" t="s">
        <v>349</v>
      </c>
      <c r="M110" t="s">
        <v>35</v>
      </c>
      <c r="N110">
        <v>1932761191</v>
      </c>
      <c r="O110" t="s">
        <v>350</v>
      </c>
      <c r="P110" t="s">
        <v>351</v>
      </c>
      <c r="R110" t="s">
        <v>354</v>
      </c>
      <c r="S110" t="s">
        <v>355</v>
      </c>
      <c r="T110" t="s">
        <v>356</v>
      </c>
      <c r="U110" t="s">
        <v>82</v>
      </c>
      <c r="V110" s="1">
        <v>44491</v>
      </c>
      <c r="W110">
        <v>0</v>
      </c>
      <c r="X110">
        <v>0</v>
      </c>
      <c r="Y110" t="s">
        <v>59</v>
      </c>
      <c r="Z110" t="s">
        <v>135</v>
      </c>
      <c r="AA110" t="s">
        <v>42</v>
      </c>
      <c r="AB110" t="s">
        <v>43</v>
      </c>
      <c r="AC110" t="s">
        <v>43</v>
      </c>
    </row>
    <row r="111" spans="1:29" hidden="1" x14ac:dyDescent="0.4">
      <c r="A111" t="s">
        <v>27</v>
      </c>
      <c r="B111">
        <v>1455</v>
      </c>
      <c r="C111" t="s">
        <v>351</v>
      </c>
      <c r="E111" t="s">
        <v>68</v>
      </c>
      <c r="F111" t="s">
        <v>345</v>
      </c>
      <c r="G111" t="s">
        <v>346</v>
      </c>
      <c r="H111" t="s">
        <v>347</v>
      </c>
      <c r="J111" t="s">
        <v>348</v>
      </c>
      <c r="K111" t="s">
        <v>226</v>
      </c>
      <c r="L111" t="s">
        <v>349</v>
      </c>
      <c r="M111" t="s">
        <v>35</v>
      </c>
      <c r="N111">
        <v>1932761191</v>
      </c>
      <c r="O111" t="s">
        <v>350</v>
      </c>
      <c r="P111" t="s">
        <v>351</v>
      </c>
      <c r="R111" t="s">
        <v>357</v>
      </c>
      <c r="S111" t="s">
        <v>358</v>
      </c>
      <c r="T111" t="s">
        <v>359</v>
      </c>
      <c r="U111" t="s">
        <v>40</v>
      </c>
      <c r="V111" s="1">
        <v>44101</v>
      </c>
      <c r="W111">
        <v>0</v>
      </c>
      <c r="X111">
        <v>0</v>
      </c>
      <c r="Y111" t="s">
        <v>59</v>
      </c>
      <c r="Z111" t="s">
        <v>135</v>
      </c>
      <c r="AA111" t="s">
        <v>42</v>
      </c>
      <c r="AB111" t="s">
        <v>43</v>
      </c>
      <c r="AC111" t="s">
        <v>43</v>
      </c>
    </row>
    <row r="112" spans="1:29" hidden="1" x14ac:dyDescent="0.4">
      <c r="A112" t="s">
        <v>27</v>
      </c>
      <c r="B112">
        <v>1455</v>
      </c>
      <c r="C112" t="s">
        <v>351</v>
      </c>
      <c r="E112" t="s">
        <v>68</v>
      </c>
      <c r="F112" t="s">
        <v>345</v>
      </c>
      <c r="G112" t="s">
        <v>346</v>
      </c>
      <c r="H112" t="s">
        <v>347</v>
      </c>
      <c r="J112" t="s">
        <v>348</v>
      </c>
      <c r="K112" t="s">
        <v>226</v>
      </c>
      <c r="L112" t="s">
        <v>349</v>
      </c>
      <c r="M112" t="s">
        <v>35</v>
      </c>
      <c r="N112">
        <v>1932761191</v>
      </c>
      <c r="O112" t="s">
        <v>350</v>
      </c>
      <c r="P112" t="s">
        <v>351</v>
      </c>
      <c r="R112" t="s">
        <v>360</v>
      </c>
      <c r="S112" t="s">
        <v>361</v>
      </c>
      <c r="T112" t="s">
        <v>356</v>
      </c>
      <c r="U112" t="s">
        <v>82</v>
      </c>
      <c r="V112" s="1">
        <v>43441</v>
      </c>
      <c r="W112">
        <v>0</v>
      </c>
      <c r="X112">
        <v>0</v>
      </c>
      <c r="Y112" t="s">
        <v>59</v>
      </c>
      <c r="Z112" t="s">
        <v>135</v>
      </c>
      <c r="AA112" t="s">
        <v>42</v>
      </c>
      <c r="AB112" t="s">
        <v>43</v>
      </c>
      <c r="AC112" t="s">
        <v>43</v>
      </c>
    </row>
    <row r="113" spans="1:30" hidden="1" x14ac:dyDescent="0.4">
      <c r="A113" t="s">
        <v>27</v>
      </c>
      <c r="B113">
        <v>1455</v>
      </c>
      <c r="C113" t="s">
        <v>351</v>
      </c>
      <c r="E113" t="s">
        <v>68</v>
      </c>
      <c r="F113" t="s">
        <v>345</v>
      </c>
      <c r="G113" t="s">
        <v>346</v>
      </c>
      <c r="H113" t="s">
        <v>347</v>
      </c>
      <c r="J113" t="s">
        <v>348</v>
      </c>
      <c r="K113" t="s">
        <v>226</v>
      </c>
      <c r="L113" t="s">
        <v>349</v>
      </c>
      <c r="M113" t="s">
        <v>35</v>
      </c>
      <c r="N113">
        <v>1932761191</v>
      </c>
      <c r="O113" t="s">
        <v>350</v>
      </c>
      <c r="P113" t="s">
        <v>351</v>
      </c>
      <c r="R113" t="s">
        <v>362</v>
      </c>
      <c r="S113" t="s">
        <v>363</v>
      </c>
      <c r="T113" t="s">
        <v>58</v>
      </c>
      <c r="U113" t="s">
        <v>40</v>
      </c>
      <c r="V113" s="1">
        <v>45364</v>
      </c>
      <c r="W113">
        <v>0</v>
      </c>
      <c r="X113">
        <v>0</v>
      </c>
      <c r="Y113" t="s">
        <v>59</v>
      </c>
      <c r="Z113" t="s">
        <v>135</v>
      </c>
      <c r="AA113" t="s">
        <v>42</v>
      </c>
      <c r="AB113" t="s">
        <v>43</v>
      </c>
      <c r="AC113" t="s">
        <v>43</v>
      </c>
    </row>
    <row r="114" spans="1:30" hidden="1" x14ac:dyDescent="0.4">
      <c r="A114" t="s">
        <v>27</v>
      </c>
      <c r="B114">
        <v>1455</v>
      </c>
      <c r="C114" t="s">
        <v>351</v>
      </c>
      <c r="E114" t="s">
        <v>68</v>
      </c>
      <c r="F114" t="s">
        <v>345</v>
      </c>
      <c r="G114" t="s">
        <v>346</v>
      </c>
      <c r="H114" t="s">
        <v>347</v>
      </c>
      <c r="J114" t="s">
        <v>348</v>
      </c>
      <c r="K114" t="s">
        <v>226</v>
      </c>
      <c r="L114" t="s">
        <v>349</v>
      </c>
      <c r="M114" t="s">
        <v>35</v>
      </c>
      <c r="N114">
        <v>1932761191</v>
      </c>
      <c r="O114" t="s">
        <v>350</v>
      </c>
      <c r="P114" t="s">
        <v>351</v>
      </c>
      <c r="R114" t="s">
        <v>364</v>
      </c>
      <c r="S114" t="s">
        <v>365</v>
      </c>
      <c r="T114" t="s">
        <v>356</v>
      </c>
      <c r="U114" t="s">
        <v>40</v>
      </c>
      <c r="V114" s="1">
        <v>40458</v>
      </c>
      <c r="W114">
        <v>0</v>
      </c>
      <c r="X114">
        <v>0</v>
      </c>
      <c r="Y114" t="s">
        <v>59</v>
      </c>
      <c r="Z114" t="s">
        <v>135</v>
      </c>
      <c r="AA114" t="s">
        <v>42</v>
      </c>
      <c r="AB114" t="s">
        <v>43</v>
      </c>
      <c r="AC114" t="s">
        <v>43</v>
      </c>
    </row>
    <row r="115" spans="1:30" hidden="1" x14ac:dyDescent="0.4">
      <c r="A115" t="s">
        <v>27</v>
      </c>
      <c r="B115">
        <v>1455</v>
      </c>
      <c r="C115" t="s">
        <v>351</v>
      </c>
      <c r="E115" t="s">
        <v>68</v>
      </c>
      <c r="F115" t="s">
        <v>345</v>
      </c>
      <c r="G115" t="s">
        <v>346</v>
      </c>
      <c r="H115" t="s">
        <v>347</v>
      </c>
      <c r="J115" t="s">
        <v>348</v>
      </c>
      <c r="K115" t="s">
        <v>226</v>
      </c>
      <c r="L115" t="s">
        <v>349</v>
      </c>
      <c r="M115" t="s">
        <v>35</v>
      </c>
      <c r="N115">
        <v>1932761191</v>
      </c>
      <c r="O115" t="s">
        <v>350</v>
      </c>
      <c r="P115" t="s">
        <v>351</v>
      </c>
      <c r="R115" t="s">
        <v>354</v>
      </c>
      <c r="S115" t="s">
        <v>355</v>
      </c>
      <c r="T115" t="s">
        <v>356</v>
      </c>
      <c r="U115" t="s">
        <v>82</v>
      </c>
      <c r="V115" s="1">
        <v>44491</v>
      </c>
      <c r="W115">
        <v>0</v>
      </c>
      <c r="X115">
        <v>0</v>
      </c>
      <c r="Y115" t="s">
        <v>59</v>
      </c>
      <c r="Z115" t="s">
        <v>135</v>
      </c>
      <c r="AA115" t="s">
        <v>42</v>
      </c>
      <c r="AB115" t="s">
        <v>43</v>
      </c>
      <c r="AC115" t="s">
        <v>43</v>
      </c>
    </row>
    <row r="116" spans="1:30" hidden="1" x14ac:dyDescent="0.4">
      <c r="A116" t="s">
        <v>27</v>
      </c>
      <c r="B116">
        <v>1455</v>
      </c>
      <c r="C116" t="s">
        <v>351</v>
      </c>
      <c r="E116" t="s">
        <v>68</v>
      </c>
      <c r="F116" t="s">
        <v>345</v>
      </c>
      <c r="G116" t="s">
        <v>346</v>
      </c>
      <c r="H116" t="s">
        <v>347</v>
      </c>
      <c r="J116" t="s">
        <v>348</v>
      </c>
      <c r="K116" t="s">
        <v>226</v>
      </c>
      <c r="L116" t="s">
        <v>349</v>
      </c>
      <c r="M116" t="s">
        <v>35</v>
      </c>
      <c r="N116">
        <v>1932761191</v>
      </c>
      <c r="O116" t="s">
        <v>350</v>
      </c>
      <c r="P116" t="s">
        <v>351</v>
      </c>
      <c r="R116" t="s">
        <v>357</v>
      </c>
      <c r="S116" t="s">
        <v>358</v>
      </c>
      <c r="T116" t="s">
        <v>359</v>
      </c>
      <c r="U116" t="s">
        <v>40</v>
      </c>
      <c r="V116" s="1">
        <v>44101</v>
      </c>
      <c r="W116">
        <v>0</v>
      </c>
      <c r="X116">
        <v>0</v>
      </c>
      <c r="Y116" t="s">
        <v>59</v>
      </c>
      <c r="Z116" t="s">
        <v>135</v>
      </c>
      <c r="AA116" t="s">
        <v>42</v>
      </c>
      <c r="AB116" t="s">
        <v>43</v>
      </c>
      <c r="AC116" t="s">
        <v>43</v>
      </c>
    </row>
    <row r="117" spans="1:30" hidden="1" x14ac:dyDescent="0.4">
      <c r="A117" t="s">
        <v>27</v>
      </c>
      <c r="B117">
        <v>1455</v>
      </c>
      <c r="C117" t="s">
        <v>351</v>
      </c>
      <c r="E117" t="s">
        <v>68</v>
      </c>
      <c r="F117" t="s">
        <v>345</v>
      </c>
      <c r="G117" t="s">
        <v>346</v>
      </c>
      <c r="H117" t="s">
        <v>347</v>
      </c>
      <c r="J117" t="s">
        <v>348</v>
      </c>
      <c r="K117" t="s">
        <v>226</v>
      </c>
      <c r="L117" t="s">
        <v>349</v>
      </c>
      <c r="M117" t="s">
        <v>35</v>
      </c>
      <c r="N117">
        <v>1932761191</v>
      </c>
      <c r="O117" t="s">
        <v>350</v>
      </c>
      <c r="P117" t="s">
        <v>351</v>
      </c>
      <c r="R117" t="s">
        <v>360</v>
      </c>
      <c r="S117" t="s">
        <v>361</v>
      </c>
      <c r="T117" t="s">
        <v>356</v>
      </c>
      <c r="U117" t="s">
        <v>82</v>
      </c>
      <c r="V117" s="1">
        <v>43441</v>
      </c>
      <c r="W117">
        <v>0</v>
      </c>
      <c r="X117">
        <v>0</v>
      </c>
      <c r="Y117" t="s">
        <v>59</v>
      </c>
      <c r="Z117" t="s">
        <v>135</v>
      </c>
      <c r="AA117" t="s">
        <v>42</v>
      </c>
      <c r="AB117" t="s">
        <v>43</v>
      </c>
      <c r="AC117" t="s">
        <v>43</v>
      </c>
    </row>
    <row r="118" spans="1:30" hidden="1" x14ac:dyDescent="0.4">
      <c r="A118" t="s">
        <v>27</v>
      </c>
      <c r="B118">
        <v>1455</v>
      </c>
      <c r="C118" t="s">
        <v>351</v>
      </c>
      <c r="E118" t="s">
        <v>68</v>
      </c>
      <c r="F118" t="s">
        <v>345</v>
      </c>
      <c r="G118" t="s">
        <v>346</v>
      </c>
      <c r="H118" t="s">
        <v>347</v>
      </c>
      <c r="J118" t="s">
        <v>348</v>
      </c>
      <c r="K118" t="s">
        <v>226</v>
      </c>
      <c r="L118" t="s">
        <v>349</v>
      </c>
      <c r="M118" t="s">
        <v>35</v>
      </c>
      <c r="N118">
        <v>1932761191</v>
      </c>
      <c r="O118" t="s">
        <v>350</v>
      </c>
      <c r="P118" t="s">
        <v>351</v>
      </c>
      <c r="R118" t="s">
        <v>362</v>
      </c>
      <c r="S118" t="s">
        <v>363</v>
      </c>
      <c r="T118" t="s">
        <v>58</v>
      </c>
      <c r="U118" t="s">
        <v>40</v>
      </c>
      <c r="V118" s="1">
        <v>45364</v>
      </c>
      <c r="W118">
        <v>0</v>
      </c>
      <c r="X118">
        <v>0</v>
      </c>
      <c r="Y118" t="s">
        <v>59</v>
      </c>
      <c r="Z118" t="s">
        <v>135</v>
      </c>
      <c r="AA118" t="s">
        <v>42</v>
      </c>
      <c r="AB118" t="s">
        <v>43</v>
      </c>
      <c r="AC118" t="s">
        <v>43</v>
      </c>
    </row>
    <row r="119" spans="1:30" hidden="1" x14ac:dyDescent="0.4">
      <c r="A119" t="s">
        <v>27</v>
      </c>
      <c r="B119">
        <v>1455</v>
      </c>
      <c r="C119" t="s">
        <v>351</v>
      </c>
      <c r="E119" t="s">
        <v>68</v>
      </c>
      <c r="F119" t="s">
        <v>345</v>
      </c>
      <c r="G119" t="s">
        <v>346</v>
      </c>
      <c r="H119" t="s">
        <v>347</v>
      </c>
      <c r="J119" t="s">
        <v>348</v>
      </c>
      <c r="K119" t="s">
        <v>226</v>
      </c>
      <c r="L119" t="s">
        <v>349</v>
      </c>
      <c r="M119" t="s">
        <v>35</v>
      </c>
      <c r="N119">
        <v>1932761191</v>
      </c>
      <c r="O119" t="s">
        <v>350</v>
      </c>
      <c r="P119" t="s">
        <v>351</v>
      </c>
      <c r="R119" t="s">
        <v>364</v>
      </c>
      <c r="S119" t="s">
        <v>365</v>
      </c>
      <c r="T119" t="s">
        <v>356</v>
      </c>
      <c r="U119" t="s">
        <v>40</v>
      </c>
      <c r="V119" s="1">
        <v>40458</v>
      </c>
      <c r="W119">
        <v>0</v>
      </c>
      <c r="X119">
        <v>0</v>
      </c>
      <c r="Y119" t="s">
        <v>59</v>
      </c>
      <c r="Z119" t="s">
        <v>135</v>
      </c>
      <c r="AA119" t="s">
        <v>42</v>
      </c>
      <c r="AB119" t="s">
        <v>43</v>
      </c>
      <c r="AC119" t="s">
        <v>43</v>
      </c>
    </row>
    <row r="120" spans="1:30" x14ac:dyDescent="0.4">
      <c r="A120" t="s">
        <v>27</v>
      </c>
      <c r="B120">
        <v>4998</v>
      </c>
      <c r="C120" t="s">
        <v>373</v>
      </c>
      <c r="D120">
        <v>40</v>
      </c>
      <c r="E120" t="s">
        <v>195</v>
      </c>
      <c r="F120" t="s">
        <v>366</v>
      </c>
      <c r="G120" t="s">
        <v>367</v>
      </c>
      <c r="H120" t="s">
        <v>368</v>
      </c>
      <c r="J120" t="s">
        <v>369</v>
      </c>
      <c r="K120" t="s">
        <v>370</v>
      </c>
      <c r="L120" t="s">
        <v>371</v>
      </c>
      <c r="M120" t="s">
        <v>35</v>
      </c>
      <c r="N120">
        <v>1344884292</v>
      </c>
      <c r="O120" t="s">
        <v>372</v>
      </c>
      <c r="P120" t="s">
        <v>373</v>
      </c>
      <c r="R120" t="s">
        <v>374</v>
      </c>
      <c r="S120" t="s">
        <v>375</v>
      </c>
      <c r="T120" t="s">
        <v>376</v>
      </c>
      <c r="U120" t="s">
        <v>82</v>
      </c>
      <c r="V120" s="1">
        <v>44976</v>
      </c>
      <c r="W120">
        <v>0</v>
      </c>
      <c r="X120">
        <v>8</v>
      </c>
      <c r="AA120" t="s">
        <v>42</v>
      </c>
      <c r="AB120" t="s">
        <v>43</v>
      </c>
      <c r="AC120" t="s">
        <v>43</v>
      </c>
    </row>
    <row r="121" spans="1:30" x14ac:dyDescent="0.4">
      <c r="A121" t="s">
        <v>27</v>
      </c>
      <c r="B121">
        <v>4998</v>
      </c>
      <c r="C121" t="s">
        <v>373</v>
      </c>
      <c r="D121">
        <v>39</v>
      </c>
      <c r="E121" t="s">
        <v>195</v>
      </c>
      <c r="F121" t="s">
        <v>366</v>
      </c>
      <c r="G121" t="s">
        <v>367</v>
      </c>
      <c r="H121" t="s">
        <v>368</v>
      </c>
      <c r="J121" t="s">
        <v>369</v>
      </c>
      <c r="K121" t="s">
        <v>370</v>
      </c>
      <c r="L121" t="s">
        <v>371</v>
      </c>
      <c r="M121" t="s">
        <v>35</v>
      </c>
      <c r="N121">
        <v>1344884292</v>
      </c>
      <c r="O121" t="s">
        <v>372</v>
      </c>
      <c r="P121" t="s">
        <v>373</v>
      </c>
      <c r="R121" t="s">
        <v>378</v>
      </c>
      <c r="S121" t="s">
        <v>379</v>
      </c>
      <c r="T121" t="s">
        <v>376</v>
      </c>
      <c r="U121" t="s">
        <v>82</v>
      </c>
      <c r="V121" s="1">
        <v>45927</v>
      </c>
      <c r="W121">
        <v>0</v>
      </c>
      <c r="X121">
        <v>8</v>
      </c>
      <c r="AA121" t="s">
        <v>42</v>
      </c>
      <c r="AB121" t="s">
        <v>43</v>
      </c>
      <c r="AC121" t="s">
        <v>43</v>
      </c>
    </row>
    <row r="122" spans="1:30" x14ac:dyDescent="0.4">
      <c r="A122" t="s">
        <v>27</v>
      </c>
      <c r="B122">
        <v>4998</v>
      </c>
      <c r="C122" t="s">
        <v>373</v>
      </c>
      <c r="D122">
        <v>41</v>
      </c>
      <c r="E122" t="s">
        <v>195</v>
      </c>
      <c r="F122" t="s">
        <v>366</v>
      </c>
      <c r="G122" t="s">
        <v>367</v>
      </c>
      <c r="H122" t="s">
        <v>368</v>
      </c>
      <c r="J122" t="s">
        <v>369</v>
      </c>
      <c r="K122" t="s">
        <v>370</v>
      </c>
      <c r="L122" t="s">
        <v>371</v>
      </c>
      <c r="M122" t="s">
        <v>35</v>
      </c>
      <c r="N122">
        <v>1344884292</v>
      </c>
      <c r="O122" t="s">
        <v>372</v>
      </c>
      <c r="P122" t="s">
        <v>373</v>
      </c>
      <c r="R122" t="s">
        <v>380</v>
      </c>
      <c r="S122" t="s">
        <v>381</v>
      </c>
      <c r="T122" t="s">
        <v>376</v>
      </c>
      <c r="U122" t="s">
        <v>82</v>
      </c>
      <c r="V122" s="1">
        <v>42667</v>
      </c>
      <c r="W122">
        <v>0</v>
      </c>
      <c r="X122">
        <v>10</v>
      </c>
      <c r="AA122" t="s">
        <v>42</v>
      </c>
      <c r="AB122" t="s">
        <v>43</v>
      </c>
      <c r="AC122" t="s">
        <v>43</v>
      </c>
    </row>
    <row r="123" spans="1:30" hidden="1" x14ac:dyDescent="0.4">
      <c r="A123" t="s">
        <v>27</v>
      </c>
      <c r="B123">
        <v>405</v>
      </c>
      <c r="C123" t="s">
        <v>2850</v>
      </c>
      <c r="E123" t="s">
        <v>195</v>
      </c>
      <c r="F123" t="s">
        <v>383</v>
      </c>
      <c r="G123" t="s">
        <v>384</v>
      </c>
      <c r="H123" t="s">
        <v>385</v>
      </c>
      <c r="I123" t="s">
        <v>386</v>
      </c>
      <c r="J123" t="s">
        <v>387</v>
      </c>
      <c r="K123" t="s">
        <v>242</v>
      </c>
      <c r="L123" t="s">
        <v>388</v>
      </c>
      <c r="M123" t="s">
        <v>35</v>
      </c>
      <c r="N123">
        <v>1980629343</v>
      </c>
      <c r="O123" t="s">
        <v>389</v>
      </c>
      <c r="P123" t="s">
        <v>2850</v>
      </c>
      <c r="R123" t="s">
        <v>390</v>
      </c>
      <c r="S123" t="s">
        <v>391</v>
      </c>
      <c r="T123" t="s">
        <v>58</v>
      </c>
      <c r="U123" t="s">
        <v>82</v>
      </c>
      <c r="V123" s="1">
        <v>41630</v>
      </c>
      <c r="W123">
        <v>0</v>
      </c>
      <c r="X123">
        <v>0</v>
      </c>
      <c r="Y123" t="s">
        <v>59</v>
      </c>
      <c r="Z123" t="s">
        <v>392</v>
      </c>
      <c r="AA123" t="s">
        <v>42</v>
      </c>
      <c r="AB123" t="s">
        <v>43</v>
      </c>
      <c r="AC123" t="s">
        <v>43</v>
      </c>
      <c r="AD123" t="s">
        <v>393</v>
      </c>
    </row>
    <row r="124" spans="1:30" hidden="1" x14ac:dyDescent="0.4">
      <c r="A124" t="s">
        <v>27</v>
      </c>
      <c r="B124">
        <v>405</v>
      </c>
      <c r="C124" t="s">
        <v>2850</v>
      </c>
      <c r="E124" t="s">
        <v>195</v>
      </c>
      <c r="F124" t="s">
        <v>383</v>
      </c>
      <c r="G124" t="s">
        <v>384</v>
      </c>
      <c r="H124" t="s">
        <v>385</v>
      </c>
      <c r="I124" t="s">
        <v>386</v>
      </c>
      <c r="J124" t="s">
        <v>387</v>
      </c>
      <c r="K124" t="s">
        <v>242</v>
      </c>
      <c r="L124" t="s">
        <v>388</v>
      </c>
      <c r="M124" t="s">
        <v>35</v>
      </c>
      <c r="N124">
        <v>1980629343</v>
      </c>
      <c r="O124" t="s">
        <v>389</v>
      </c>
      <c r="P124" t="s">
        <v>2850</v>
      </c>
      <c r="R124" t="s">
        <v>390</v>
      </c>
      <c r="S124" t="s">
        <v>391</v>
      </c>
      <c r="T124" t="s">
        <v>58</v>
      </c>
      <c r="U124" t="s">
        <v>82</v>
      </c>
      <c r="V124" s="1">
        <v>41630</v>
      </c>
      <c r="W124">
        <v>0</v>
      </c>
      <c r="X124">
        <v>0</v>
      </c>
      <c r="Y124" t="s">
        <v>59</v>
      </c>
      <c r="Z124" t="s">
        <v>392</v>
      </c>
      <c r="AA124" t="s">
        <v>42</v>
      </c>
      <c r="AB124" t="s">
        <v>43</v>
      </c>
      <c r="AC124" t="s">
        <v>43</v>
      </c>
      <c r="AD124" t="s">
        <v>393</v>
      </c>
    </row>
    <row r="125" spans="1:30" x14ac:dyDescent="0.4">
      <c r="A125" t="s">
        <v>27</v>
      </c>
      <c r="B125">
        <v>405</v>
      </c>
      <c r="C125" t="s">
        <v>2850</v>
      </c>
      <c r="D125">
        <v>42</v>
      </c>
      <c r="E125" t="s">
        <v>195</v>
      </c>
      <c r="F125" t="s">
        <v>383</v>
      </c>
      <c r="G125" t="s">
        <v>384</v>
      </c>
      <c r="H125" t="s">
        <v>385</v>
      </c>
      <c r="I125" t="s">
        <v>386</v>
      </c>
      <c r="J125" t="s">
        <v>387</v>
      </c>
      <c r="K125" t="s">
        <v>242</v>
      </c>
      <c r="L125" t="s">
        <v>388</v>
      </c>
      <c r="M125" t="s">
        <v>35</v>
      </c>
      <c r="N125">
        <v>1980629343</v>
      </c>
      <c r="O125" t="s">
        <v>389</v>
      </c>
      <c r="P125" t="s">
        <v>2850</v>
      </c>
      <c r="R125" t="s">
        <v>394</v>
      </c>
      <c r="S125" t="s">
        <v>395</v>
      </c>
      <c r="T125" t="s">
        <v>58</v>
      </c>
      <c r="U125" t="s">
        <v>82</v>
      </c>
      <c r="V125" s="1">
        <v>43339</v>
      </c>
      <c r="W125">
        <v>0</v>
      </c>
      <c r="X125">
        <v>5</v>
      </c>
      <c r="Y125" t="s">
        <v>66</v>
      </c>
      <c r="Z125" t="s">
        <v>392</v>
      </c>
      <c r="AA125" t="s">
        <v>42</v>
      </c>
      <c r="AB125" t="s">
        <v>43</v>
      </c>
      <c r="AC125" t="s">
        <v>43</v>
      </c>
      <c r="AD125" t="s">
        <v>393</v>
      </c>
    </row>
    <row r="126" spans="1:30" x14ac:dyDescent="0.4">
      <c r="A126" t="s">
        <v>27</v>
      </c>
      <c r="B126">
        <v>405</v>
      </c>
      <c r="C126" t="s">
        <v>2850</v>
      </c>
      <c r="D126">
        <v>43</v>
      </c>
      <c r="E126" t="s">
        <v>195</v>
      </c>
      <c r="F126" t="s">
        <v>383</v>
      </c>
      <c r="G126" t="s">
        <v>384</v>
      </c>
      <c r="H126" t="s">
        <v>385</v>
      </c>
      <c r="I126" t="s">
        <v>386</v>
      </c>
      <c r="J126" t="s">
        <v>387</v>
      </c>
      <c r="K126" t="s">
        <v>242</v>
      </c>
      <c r="L126" t="s">
        <v>388</v>
      </c>
      <c r="M126" t="s">
        <v>35</v>
      </c>
      <c r="N126">
        <v>1980629343</v>
      </c>
      <c r="O126" t="s">
        <v>389</v>
      </c>
      <c r="P126" t="s">
        <v>2850</v>
      </c>
      <c r="R126" t="s">
        <v>396</v>
      </c>
      <c r="S126" t="s">
        <v>397</v>
      </c>
      <c r="T126" t="s">
        <v>58</v>
      </c>
      <c r="U126" t="s">
        <v>82</v>
      </c>
      <c r="V126" s="1">
        <v>44904</v>
      </c>
      <c r="W126">
        <v>0</v>
      </c>
      <c r="X126">
        <v>4</v>
      </c>
      <c r="Y126" t="s">
        <v>65</v>
      </c>
      <c r="Z126" t="s">
        <v>392</v>
      </c>
      <c r="AA126" t="s">
        <v>42</v>
      </c>
      <c r="AB126" t="s">
        <v>43</v>
      </c>
      <c r="AC126" t="s">
        <v>43</v>
      </c>
      <c r="AD126" t="s">
        <v>393</v>
      </c>
    </row>
    <row r="127" spans="1:30" x14ac:dyDescent="0.4">
      <c r="A127" t="s">
        <v>27</v>
      </c>
      <c r="B127">
        <v>405</v>
      </c>
      <c r="C127" t="s">
        <v>2850</v>
      </c>
      <c r="D127">
        <v>42</v>
      </c>
      <c r="E127" t="s">
        <v>195</v>
      </c>
      <c r="F127" t="s">
        <v>383</v>
      </c>
      <c r="G127" t="s">
        <v>384</v>
      </c>
      <c r="H127" t="s">
        <v>385</v>
      </c>
      <c r="I127" t="s">
        <v>386</v>
      </c>
      <c r="J127" t="s">
        <v>387</v>
      </c>
      <c r="K127" t="s">
        <v>242</v>
      </c>
      <c r="L127" t="s">
        <v>388</v>
      </c>
      <c r="M127" t="s">
        <v>35</v>
      </c>
      <c r="N127">
        <v>1980629343</v>
      </c>
      <c r="O127" t="s">
        <v>389</v>
      </c>
      <c r="P127" t="s">
        <v>2850</v>
      </c>
      <c r="R127" t="s">
        <v>394</v>
      </c>
      <c r="S127" t="s">
        <v>395</v>
      </c>
      <c r="T127" t="s">
        <v>58</v>
      </c>
      <c r="U127" t="s">
        <v>82</v>
      </c>
      <c r="V127" s="1">
        <v>43339</v>
      </c>
      <c r="W127">
        <v>0</v>
      </c>
      <c r="X127">
        <v>6</v>
      </c>
      <c r="Y127" t="s">
        <v>83</v>
      </c>
      <c r="Z127" t="s">
        <v>392</v>
      </c>
      <c r="AA127" t="s">
        <v>42</v>
      </c>
      <c r="AB127" t="s">
        <v>43</v>
      </c>
      <c r="AC127" t="s">
        <v>43</v>
      </c>
      <c r="AD127" t="s">
        <v>393</v>
      </c>
    </row>
    <row r="128" spans="1:30" x14ac:dyDescent="0.4">
      <c r="A128" t="s">
        <v>27</v>
      </c>
      <c r="B128">
        <v>405</v>
      </c>
      <c r="C128" t="s">
        <v>2850</v>
      </c>
      <c r="D128">
        <v>43</v>
      </c>
      <c r="E128" t="s">
        <v>195</v>
      </c>
      <c r="F128" t="s">
        <v>383</v>
      </c>
      <c r="G128" t="s">
        <v>384</v>
      </c>
      <c r="H128" t="s">
        <v>385</v>
      </c>
      <c r="I128" t="s">
        <v>386</v>
      </c>
      <c r="J128" t="s">
        <v>387</v>
      </c>
      <c r="K128" t="s">
        <v>242</v>
      </c>
      <c r="L128" t="s">
        <v>388</v>
      </c>
      <c r="M128" t="s">
        <v>35</v>
      </c>
      <c r="N128">
        <v>1980629343</v>
      </c>
      <c r="O128" t="s">
        <v>389</v>
      </c>
      <c r="P128" t="s">
        <v>2850</v>
      </c>
      <c r="R128" t="s">
        <v>396</v>
      </c>
      <c r="S128" t="s">
        <v>397</v>
      </c>
      <c r="T128" t="s">
        <v>58</v>
      </c>
      <c r="U128" t="s">
        <v>82</v>
      </c>
      <c r="V128" s="1">
        <v>44904</v>
      </c>
      <c r="W128">
        <v>0</v>
      </c>
      <c r="X128">
        <v>13</v>
      </c>
      <c r="Z128" t="s">
        <v>392</v>
      </c>
      <c r="AA128" t="s">
        <v>42</v>
      </c>
      <c r="AB128" t="s">
        <v>43</v>
      </c>
      <c r="AC128" t="s">
        <v>43</v>
      </c>
      <c r="AD128" t="s">
        <v>393</v>
      </c>
    </row>
    <row r="129" spans="1:31" x14ac:dyDescent="0.4">
      <c r="A129" t="s">
        <v>27</v>
      </c>
      <c r="B129">
        <v>405</v>
      </c>
      <c r="C129" t="s">
        <v>2850</v>
      </c>
      <c r="D129">
        <v>42</v>
      </c>
      <c r="E129" t="s">
        <v>195</v>
      </c>
      <c r="F129" t="s">
        <v>383</v>
      </c>
      <c r="G129" t="s">
        <v>384</v>
      </c>
      <c r="H129" t="s">
        <v>385</v>
      </c>
      <c r="I129" t="s">
        <v>386</v>
      </c>
      <c r="J129" t="s">
        <v>387</v>
      </c>
      <c r="K129" t="s">
        <v>242</v>
      </c>
      <c r="L129" t="s">
        <v>388</v>
      </c>
      <c r="M129" t="s">
        <v>35</v>
      </c>
      <c r="N129">
        <v>1980629343</v>
      </c>
      <c r="O129" t="s">
        <v>389</v>
      </c>
      <c r="P129" t="s">
        <v>2850</v>
      </c>
      <c r="R129" t="s">
        <v>394</v>
      </c>
      <c r="S129" t="s">
        <v>395</v>
      </c>
      <c r="T129" t="s">
        <v>58</v>
      </c>
      <c r="U129" t="s">
        <v>82</v>
      </c>
      <c r="V129" s="1">
        <v>43339</v>
      </c>
      <c r="W129">
        <v>0</v>
      </c>
      <c r="X129">
        <v>15</v>
      </c>
      <c r="Z129" t="s">
        <v>392</v>
      </c>
      <c r="AA129" t="s">
        <v>42</v>
      </c>
      <c r="AB129" t="s">
        <v>43</v>
      </c>
      <c r="AC129" t="s">
        <v>43</v>
      </c>
      <c r="AD129" t="s">
        <v>393</v>
      </c>
    </row>
    <row r="130" spans="1:31" x14ac:dyDescent="0.4">
      <c r="A130" t="s">
        <v>27</v>
      </c>
      <c r="B130">
        <v>405</v>
      </c>
      <c r="C130" t="s">
        <v>2850</v>
      </c>
      <c r="D130">
        <v>42</v>
      </c>
      <c r="E130" t="s">
        <v>195</v>
      </c>
      <c r="F130" t="s">
        <v>383</v>
      </c>
      <c r="G130" t="s">
        <v>384</v>
      </c>
      <c r="H130" t="s">
        <v>385</v>
      </c>
      <c r="I130" t="s">
        <v>386</v>
      </c>
      <c r="J130" t="s">
        <v>387</v>
      </c>
      <c r="K130" t="s">
        <v>242</v>
      </c>
      <c r="L130" t="s">
        <v>388</v>
      </c>
      <c r="M130" t="s">
        <v>35</v>
      </c>
      <c r="N130">
        <v>1980629343</v>
      </c>
      <c r="O130" t="s">
        <v>389</v>
      </c>
      <c r="P130" t="s">
        <v>2850</v>
      </c>
      <c r="R130" t="s">
        <v>394</v>
      </c>
      <c r="S130" t="s">
        <v>395</v>
      </c>
      <c r="T130" t="s">
        <v>58</v>
      </c>
      <c r="U130" t="s">
        <v>82</v>
      </c>
      <c r="V130" s="1">
        <v>43339</v>
      </c>
      <c r="W130">
        <v>0</v>
      </c>
      <c r="X130">
        <v>17</v>
      </c>
      <c r="Z130" t="s">
        <v>392</v>
      </c>
      <c r="AA130" t="s">
        <v>42</v>
      </c>
      <c r="AB130" t="s">
        <v>43</v>
      </c>
      <c r="AC130" t="s">
        <v>43</v>
      </c>
      <c r="AD130" t="s">
        <v>393</v>
      </c>
    </row>
    <row r="131" spans="1:31" hidden="1" x14ac:dyDescent="0.4">
      <c r="A131" t="s">
        <v>27</v>
      </c>
      <c r="B131">
        <v>195</v>
      </c>
      <c r="C131" t="s">
        <v>95</v>
      </c>
      <c r="E131" t="s">
        <v>195</v>
      </c>
      <c r="F131" t="s">
        <v>398</v>
      </c>
      <c r="G131" t="s">
        <v>399</v>
      </c>
      <c r="H131" t="s">
        <v>400</v>
      </c>
      <c r="I131" t="s">
        <v>401</v>
      </c>
      <c r="J131" t="s">
        <v>402</v>
      </c>
      <c r="K131" t="s">
        <v>73</v>
      </c>
      <c r="L131" t="s">
        <v>403</v>
      </c>
      <c r="M131" t="s">
        <v>35</v>
      </c>
      <c r="N131">
        <v>7799071166</v>
      </c>
      <c r="O131" t="s">
        <v>404</v>
      </c>
      <c r="P131" t="s">
        <v>95</v>
      </c>
      <c r="R131" t="s">
        <v>405</v>
      </c>
      <c r="S131" t="s">
        <v>406</v>
      </c>
      <c r="T131" t="s">
        <v>94</v>
      </c>
      <c r="U131" t="s">
        <v>40</v>
      </c>
      <c r="V131" s="1">
        <v>41884</v>
      </c>
      <c r="W131">
        <v>0</v>
      </c>
      <c r="X131">
        <v>0</v>
      </c>
      <c r="Y131" t="s">
        <v>59</v>
      </c>
      <c r="Z131" t="s">
        <v>407</v>
      </c>
      <c r="AA131" t="s">
        <v>42</v>
      </c>
      <c r="AB131" t="s">
        <v>43</v>
      </c>
      <c r="AC131" t="s">
        <v>42</v>
      </c>
      <c r="AD131" t="s">
        <v>408</v>
      </c>
    </row>
    <row r="132" spans="1:31" hidden="1" x14ac:dyDescent="0.4">
      <c r="A132" t="s">
        <v>27</v>
      </c>
      <c r="B132">
        <v>195</v>
      </c>
      <c r="C132" t="s">
        <v>95</v>
      </c>
      <c r="E132" t="s">
        <v>195</v>
      </c>
      <c r="F132" t="s">
        <v>398</v>
      </c>
      <c r="G132" t="s">
        <v>399</v>
      </c>
      <c r="H132" t="s">
        <v>400</v>
      </c>
      <c r="I132" t="s">
        <v>401</v>
      </c>
      <c r="J132" t="s">
        <v>402</v>
      </c>
      <c r="K132" t="s">
        <v>73</v>
      </c>
      <c r="L132" t="s">
        <v>403</v>
      </c>
      <c r="M132" t="s">
        <v>35</v>
      </c>
      <c r="N132">
        <v>7799071166</v>
      </c>
      <c r="O132" t="s">
        <v>404</v>
      </c>
      <c r="P132" t="s">
        <v>95</v>
      </c>
      <c r="R132" t="s">
        <v>409</v>
      </c>
      <c r="S132" t="s">
        <v>410</v>
      </c>
      <c r="T132" t="s">
        <v>3062</v>
      </c>
      <c r="U132" t="s">
        <v>40</v>
      </c>
      <c r="V132" s="1">
        <v>41340</v>
      </c>
      <c r="W132">
        <v>0</v>
      </c>
      <c r="X132">
        <v>0</v>
      </c>
      <c r="Y132" t="s">
        <v>59</v>
      </c>
      <c r="Z132" t="s">
        <v>407</v>
      </c>
      <c r="AA132" t="s">
        <v>42</v>
      </c>
      <c r="AB132" t="s">
        <v>43</v>
      </c>
      <c r="AC132" t="s">
        <v>42</v>
      </c>
      <c r="AD132" t="s">
        <v>408</v>
      </c>
    </row>
    <row r="133" spans="1:31" hidden="1" x14ac:dyDescent="0.4">
      <c r="A133" t="s">
        <v>27</v>
      </c>
      <c r="B133">
        <v>195</v>
      </c>
      <c r="C133" t="s">
        <v>95</v>
      </c>
      <c r="E133" t="s">
        <v>195</v>
      </c>
      <c r="F133" t="s">
        <v>398</v>
      </c>
      <c r="G133" t="s">
        <v>399</v>
      </c>
      <c r="H133" t="s">
        <v>400</v>
      </c>
      <c r="I133" t="s">
        <v>401</v>
      </c>
      <c r="J133" t="s">
        <v>402</v>
      </c>
      <c r="K133" t="s">
        <v>73</v>
      </c>
      <c r="L133" t="s">
        <v>403</v>
      </c>
      <c r="M133" t="s">
        <v>35</v>
      </c>
      <c r="N133">
        <v>7799071166</v>
      </c>
      <c r="O133" t="s">
        <v>404</v>
      </c>
      <c r="P133" t="s">
        <v>95</v>
      </c>
      <c r="R133" t="s">
        <v>411</v>
      </c>
      <c r="S133" t="s">
        <v>412</v>
      </c>
      <c r="T133" t="s">
        <v>376</v>
      </c>
      <c r="U133" t="s">
        <v>82</v>
      </c>
      <c r="V133" s="1">
        <v>44603</v>
      </c>
      <c r="W133">
        <v>0</v>
      </c>
      <c r="X133">
        <v>0</v>
      </c>
      <c r="Y133" t="s">
        <v>59</v>
      </c>
      <c r="Z133" t="s">
        <v>407</v>
      </c>
      <c r="AA133" t="s">
        <v>42</v>
      </c>
      <c r="AB133" t="s">
        <v>43</v>
      </c>
      <c r="AC133" t="s">
        <v>42</v>
      </c>
      <c r="AD133" t="s">
        <v>408</v>
      </c>
    </row>
    <row r="134" spans="1:31" hidden="1" x14ac:dyDescent="0.4">
      <c r="A134" t="s">
        <v>27</v>
      </c>
      <c r="B134">
        <v>195</v>
      </c>
      <c r="C134" t="s">
        <v>95</v>
      </c>
      <c r="E134" t="s">
        <v>195</v>
      </c>
      <c r="F134" t="s">
        <v>398</v>
      </c>
      <c r="G134" t="s">
        <v>399</v>
      </c>
      <c r="H134" t="s">
        <v>400</v>
      </c>
      <c r="I134" t="s">
        <v>401</v>
      </c>
      <c r="J134" t="s">
        <v>402</v>
      </c>
      <c r="K134" t="s">
        <v>73</v>
      </c>
      <c r="L134" t="s">
        <v>403</v>
      </c>
      <c r="M134" t="s">
        <v>35</v>
      </c>
      <c r="N134">
        <v>7799071166</v>
      </c>
      <c r="O134" t="s">
        <v>404</v>
      </c>
      <c r="P134" t="s">
        <v>95</v>
      </c>
      <c r="R134" t="s">
        <v>414</v>
      </c>
      <c r="S134" t="s">
        <v>415</v>
      </c>
      <c r="T134" t="s">
        <v>416</v>
      </c>
      <c r="U134" t="s">
        <v>82</v>
      </c>
      <c r="V134" s="1">
        <v>42809</v>
      </c>
      <c r="W134">
        <v>0</v>
      </c>
      <c r="X134">
        <v>0</v>
      </c>
      <c r="Y134" t="s">
        <v>59</v>
      </c>
      <c r="Z134" t="s">
        <v>407</v>
      </c>
      <c r="AA134" t="s">
        <v>42</v>
      </c>
      <c r="AB134" t="s">
        <v>43</v>
      </c>
      <c r="AC134" t="s">
        <v>42</v>
      </c>
      <c r="AD134" t="s">
        <v>408</v>
      </c>
    </row>
    <row r="135" spans="1:31" x14ac:dyDescent="0.4">
      <c r="A135" t="s">
        <v>27</v>
      </c>
      <c r="B135">
        <v>195</v>
      </c>
      <c r="C135" t="s">
        <v>95</v>
      </c>
      <c r="D135">
        <v>44</v>
      </c>
      <c r="E135" t="s">
        <v>195</v>
      </c>
      <c r="F135" t="s">
        <v>398</v>
      </c>
      <c r="G135" t="s">
        <v>399</v>
      </c>
      <c r="H135" t="s">
        <v>400</v>
      </c>
      <c r="I135" t="s">
        <v>401</v>
      </c>
      <c r="J135" t="s">
        <v>402</v>
      </c>
      <c r="K135" t="s">
        <v>73</v>
      </c>
      <c r="L135" t="s">
        <v>403</v>
      </c>
      <c r="M135" t="s">
        <v>35</v>
      </c>
      <c r="N135">
        <v>7799071166</v>
      </c>
      <c r="O135" t="s">
        <v>404</v>
      </c>
      <c r="P135" t="s">
        <v>95</v>
      </c>
      <c r="R135" t="s">
        <v>417</v>
      </c>
      <c r="S135" t="s">
        <v>418</v>
      </c>
      <c r="T135" t="s">
        <v>58</v>
      </c>
      <c r="U135" t="s">
        <v>40</v>
      </c>
      <c r="V135" s="1">
        <v>45015</v>
      </c>
      <c r="W135">
        <v>0</v>
      </c>
      <c r="X135">
        <v>4</v>
      </c>
      <c r="Y135" t="s">
        <v>65</v>
      </c>
      <c r="Z135" t="s">
        <v>407</v>
      </c>
      <c r="AA135" t="s">
        <v>42</v>
      </c>
      <c r="AB135" t="s">
        <v>43</v>
      </c>
      <c r="AC135" t="s">
        <v>42</v>
      </c>
      <c r="AE135" t="s">
        <v>408</v>
      </c>
    </row>
    <row r="136" spans="1:31" x14ac:dyDescent="0.4">
      <c r="A136" t="s">
        <v>27</v>
      </c>
      <c r="B136">
        <v>195</v>
      </c>
      <c r="C136" t="s">
        <v>95</v>
      </c>
      <c r="D136">
        <v>45</v>
      </c>
      <c r="E136" t="s">
        <v>195</v>
      </c>
      <c r="F136" t="s">
        <v>398</v>
      </c>
      <c r="G136" t="s">
        <v>399</v>
      </c>
      <c r="H136" t="s">
        <v>400</v>
      </c>
      <c r="I136" t="s">
        <v>401</v>
      </c>
      <c r="J136" t="s">
        <v>402</v>
      </c>
      <c r="K136" t="s">
        <v>73</v>
      </c>
      <c r="L136" t="s">
        <v>403</v>
      </c>
      <c r="M136" t="s">
        <v>35</v>
      </c>
      <c r="N136">
        <v>7799071166</v>
      </c>
      <c r="O136" t="s">
        <v>404</v>
      </c>
      <c r="P136" t="s">
        <v>95</v>
      </c>
      <c r="R136" t="s">
        <v>419</v>
      </c>
      <c r="S136" t="s">
        <v>420</v>
      </c>
      <c r="T136" t="s">
        <v>232</v>
      </c>
      <c r="U136" t="s">
        <v>40</v>
      </c>
      <c r="V136" s="1">
        <v>43063</v>
      </c>
      <c r="W136">
        <v>0</v>
      </c>
      <c r="X136">
        <v>6</v>
      </c>
      <c r="Y136" t="s">
        <v>83</v>
      </c>
      <c r="Z136" t="s">
        <v>407</v>
      </c>
      <c r="AA136" t="s">
        <v>42</v>
      </c>
      <c r="AB136" t="s">
        <v>43</v>
      </c>
      <c r="AC136" t="s">
        <v>42</v>
      </c>
      <c r="AE136" t="s">
        <v>408</v>
      </c>
    </row>
    <row r="137" spans="1:31" hidden="1" x14ac:dyDescent="0.4">
      <c r="A137" t="s">
        <v>27</v>
      </c>
      <c r="B137">
        <v>195</v>
      </c>
      <c r="C137" t="s">
        <v>95</v>
      </c>
      <c r="E137" t="s">
        <v>195</v>
      </c>
      <c r="F137" t="s">
        <v>398</v>
      </c>
      <c r="G137" t="s">
        <v>399</v>
      </c>
      <c r="H137" t="s">
        <v>400</v>
      </c>
      <c r="I137" t="s">
        <v>401</v>
      </c>
      <c r="J137" t="s">
        <v>402</v>
      </c>
      <c r="K137" t="s">
        <v>73</v>
      </c>
      <c r="L137" t="s">
        <v>403</v>
      </c>
      <c r="M137" t="s">
        <v>35</v>
      </c>
      <c r="N137">
        <v>7799071166</v>
      </c>
      <c r="O137" t="s">
        <v>404</v>
      </c>
      <c r="P137" t="s">
        <v>95</v>
      </c>
      <c r="R137" t="s">
        <v>417</v>
      </c>
      <c r="S137" t="s">
        <v>418</v>
      </c>
      <c r="T137" t="s">
        <v>58</v>
      </c>
      <c r="U137" t="s">
        <v>40</v>
      </c>
      <c r="V137" s="1">
        <v>45015</v>
      </c>
      <c r="W137">
        <v>0</v>
      </c>
      <c r="X137">
        <v>0</v>
      </c>
      <c r="Y137" t="s">
        <v>59</v>
      </c>
      <c r="Z137" t="s">
        <v>407</v>
      </c>
      <c r="AA137" t="s">
        <v>42</v>
      </c>
      <c r="AB137" t="s">
        <v>43</v>
      </c>
      <c r="AC137" t="s">
        <v>42</v>
      </c>
      <c r="AD137" t="s">
        <v>408</v>
      </c>
    </row>
    <row r="138" spans="1:31" hidden="1" x14ac:dyDescent="0.4">
      <c r="A138" t="s">
        <v>27</v>
      </c>
      <c r="B138">
        <v>195</v>
      </c>
      <c r="C138" t="s">
        <v>95</v>
      </c>
      <c r="E138" t="s">
        <v>195</v>
      </c>
      <c r="F138" t="s">
        <v>398</v>
      </c>
      <c r="G138" t="s">
        <v>399</v>
      </c>
      <c r="H138" t="s">
        <v>400</v>
      </c>
      <c r="I138" t="s">
        <v>401</v>
      </c>
      <c r="J138" t="s">
        <v>402</v>
      </c>
      <c r="K138" t="s">
        <v>73</v>
      </c>
      <c r="L138" t="s">
        <v>403</v>
      </c>
      <c r="M138" t="s">
        <v>35</v>
      </c>
      <c r="N138">
        <v>7799071166</v>
      </c>
      <c r="O138" t="s">
        <v>404</v>
      </c>
      <c r="P138" t="s">
        <v>95</v>
      </c>
      <c r="R138" t="s">
        <v>419</v>
      </c>
      <c r="S138" t="s">
        <v>420</v>
      </c>
      <c r="T138" t="s">
        <v>232</v>
      </c>
      <c r="U138" t="s">
        <v>40</v>
      </c>
      <c r="V138" s="1">
        <v>43063</v>
      </c>
      <c r="W138">
        <v>0</v>
      </c>
      <c r="X138">
        <v>0</v>
      </c>
      <c r="Y138" t="s">
        <v>59</v>
      </c>
      <c r="Z138" t="s">
        <v>407</v>
      </c>
      <c r="AA138" t="s">
        <v>42</v>
      </c>
      <c r="AB138" t="s">
        <v>43</v>
      </c>
      <c r="AC138" t="s">
        <v>42</v>
      </c>
      <c r="AD138" t="s">
        <v>408</v>
      </c>
    </row>
    <row r="139" spans="1:31" hidden="1" x14ac:dyDescent="0.4">
      <c r="A139" t="s">
        <v>27</v>
      </c>
      <c r="B139">
        <v>195</v>
      </c>
      <c r="C139" t="s">
        <v>95</v>
      </c>
      <c r="E139" t="s">
        <v>195</v>
      </c>
      <c r="F139" t="s">
        <v>398</v>
      </c>
      <c r="G139" t="s">
        <v>399</v>
      </c>
      <c r="H139" t="s">
        <v>400</v>
      </c>
      <c r="I139" t="s">
        <v>401</v>
      </c>
      <c r="J139" t="s">
        <v>402</v>
      </c>
      <c r="K139" t="s">
        <v>73</v>
      </c>
      <c r="L139" t="s">
        <v>403</v>
      </c>
      <c r="M139" t="s">
        <v>35</v>
      </c>
      <c r="N139">
        <v>7799071166</v>
      </c>
      <c r="O139" t="s">
        <v>404</v>
      </c>
      <c r="P139" t="s">
        <v>95</v>
      </c>
      <c r="R139" t="s">
        <v>409</v>
      </c>
      <c r="S139" t="s">
        <v>410</v>
      </c>
      <c r="T139" t="s">
        <v>3062</v>
      </c>
      <c r="U139" t="s">
        <v>40</v>
      </c>
      <c r="V139" s="1">
        <v>41340</v>
      </c>
      <c r="W139">
        <v>0</v>
      </c>
      <c r="X139">
        <v>0</v>
      </c>
      <c r="Y139" t="s">
        <v>59</v>
      </c>
      <c r="Z139" t="s">
        <v>407</v>
      </c>
      <c r="AA139" t="s">
        <v>42</v>
      </c>
      <c r="AB139" t="s">
        <v>43</v>
      </c>
      <c r="AC139" t="s">
        <v>42</v>
      </c>
      <c r="AD139" t="s">
        <v>408</v>
      </c>
    </row>
    <row r="140" spans="1:31" hidden="1" x14ac:dyDescent="0.4">
      <c r="A140" t="s">
        <v>27</v>
      </c>
      <c r="B140">
        <v>195</v>
      </c>
      <c r="C140" t="s">
        <v>95</v>
      </c>
      <c r="E140" t="s">
        <v>195</v>
      </c>
      <c r="F140" t="s">
        <v>398</v>
      </c>
      <c r="G140" t="s">
        <v>399</v>
      </c>
      <c r="H140" t="s">
        <v>400</v>
      </c>
      <c r="I140" t="s">
        <v>401</v>
      </c>
      <c r="J140" t="s">
        <v>402</v>
      </c>
      <c r="K140" t="s">
        <v>73</v>
      </c>
      <c r="L140" t="s">
        <v>403</v>
      </c>
      <c r="M140" t="s">
        <v>35</v>
      </c>
      <c r="N140">
        <v>7799071166</v>
      </c>
      <c r="O140" t="s">
        <v>404</v>
      </c>
      <c r="P140" t="s">
        <v>95</v>
      </c>
      <c r="R140" t="s">
        <v>411</v>
      </c>
      <c r="S140" t="s">
        <v>412</v>
      </c>
      <c r="T140" t="s">
        <v>376</v>
      </c>
      <c r="U140" t="s">
        <v>82</v>
      </c>
      <c r="V140" s="1">
        <v>44603</v>
      </c>
      <c r="W140">
        <v>0</v>
      </c>
      <c r="X140">
        <v>0</v>
      </c>
      <c r="Y140" t="s">
        <v>59</v>
      </c>
      <c r="Z140" t="s">
        <v>407</v>
      </c>
      <c r="AA140" t="s">
        <v>42</v>
      </c>
      <c r="AB140" t="s">
        <v>43</v>
      </c>
      <c r="AC140" t="s">
        <v>42</v>
      </c>
      <c r="AD140" t="s">
        <v>408</v>
      </c>
    </row>
    <row r="141" spans="1:31" hidden="1" x14ac:dyDescent="0.4">
      <c r="A141" t="s">
        <v>27</v>
      </c>
      <c r="B141">
        <v>195</v>
      </c>
      <c r="C141" t="s">
        <v>95</v>
      </c>
      <c r="E141" t="s">
        <v>195</v>
      </c>
      <c r="F141" t="s">
        <v>398</v>
      </c>
      <c r="G141" t="s">
        <v>399</v>
      </c>
      <c r="H141" t="s">
        <v>400</v>
      </c>
      <c r="I141" t="s">
        <v>401</v>
      </c>
      <c r="J141" t="s">
        <v>402</v>
      </c>
      <c r="K141" t="s">
        <v>73</v>
      </c>
      <c r="L141" t="s">
        <v>403</v>
      </c>
      <c r="M141" t="s">
        <v>35</v>
      </c>
      <c r="N141">
        <v>7799071166</v>
      </c>
      <c r="O141" t="s">
        <v>404</v>
      </c>
      <c r="P141" t="s">
        <v>95</v>
      </c>
      <c r="R141" t="s">
        <v>414</v>
      </c>
      <c r="S141" t="s">
        <v>415</v>
      </c>
      <c r="T141" t="s">
        <v>416</v>
      </c>
      <c r="U141" t="s">
        <v>82</v>
      </c>
      <c r="V141" s="1">
        <v>42809</v>
      </c>
      <c r="W141">
        <v>0</v>
      </c>
      <c r="X141">
        <v>0</v>
      </c>
      <c r="Y141" t="s">
        <v>59</v>
      </c>
      <c r="Z141" t="s">
        <v>407</v>
      </c>
      <c r="AA141" t="s">
        <v>42</v>
      </c>
      <c r="AB141" t="s">
        <v>43</v>
      </c>
      <c r="AC141" t="s">
        <v>42</v>
      </c>
      <c r="AD141" t="s">
        <v>408</v>
      </c>
    </row>
    <row r="142" spans="1:31" hidden="1" x14ac:dyDescent="0.4">
      <c r="A142" t="s">
        <v>27</v>
      </c>
      <c r="B142">
        <v>195</v>
      </c>
      <c r="C142" t="s">
        <v>95</v>
      </c>
      <c r="E142" t="s">
        <v>195</v>
      </c>
      <c r="F142" t="s">
        <v>398</v>
      </c>
      <c r="G142" t="s">
        <v>399</v>
      </c>
      <c r="H142" t="s">
        <v>400</v>
      </c>
      <c r="I142" t="s">
        <v>401</v>
      </c>
      <c r="J142" t="s">
        <v>402</v>
      </c>
      <c r="K142" t="s">
        <v>73</v>
      </c>
      <c r="L142" t="s">
        <v>403</v>
      </c>
      <c r="M142" t="s">
        <v>35</v>
      </c>
      <c r="N142">
        <v>7799071166</v>
      </c>
      <c r="O142" t="s">
        <v>404</v>
      </c>
      <c r="P142" t="s">
        <v>95</v>
      </c>
      <c r="R142" t="s">
        <v>405</v>
      </c>
      <c r="S142" t="s">
        <v>406</v>
      </c>
      <c r="T142" t="s">
        <v>94</v>
      </c>
      <c r="U142" t="s">
        <v>40</v>
      </c>
      <c r="V142" s="1">
        <v>41884</v>
      </c>
      <c r="W142">
        <v>0</v>
      </c>
      <c r="X142">
        <v>0</v>
      </c>
      <c r="Y142" t="s">
        <v>59</v>
      </c>
      <c r="Z142" t="s">
        <v>407</v>
      </c>
      <c r="AA142" t="s">
        <v>42</v>
      </c>
      <c r="AB142" t="s">
        <v>43</v>
      </c>
      <c r="AC142" t="s">
        <v>42</v>
      </c>
      <c r="AD142" t="s">
        <v>408</v>
      </c>
    </row>
    <row r="143" spans="1:31" x14ac:dyDescent="0.4">
      <c r="A143" t="s">
        <v>27</v>
      </c>
      <c r="B143">
        <v>4494</v>
      </c>
      <c r="C143" t="s">
        <v>2918</v>
      </c>
      <c r="D143">
        <v>46</v>
      </c>
      <c r="E143" t="s">
        <v>195</v>
      </c>
      <c r="F143" t="s">
        <v>421</v>
      </c>
      <c r="G143" t="s">
        <v>422</v>
      </c>
      <c r="H143" t="s">
        <v>423</v>
      </c>
      <c r="I143" t="s">
        <v>424</v>
      </c>
      <c r="J143" t="s">
        <v>425</v>
      </c>
      <c r="K143" t="s">
        <v>426</v>
      </c>
      <c r="L143" t="s">
        <v>427</v>
      </c>
      <c r="M143" t="s">
        <v>35</v>
      </c>
      <c r="N143" t="s">
        <v>428</v>
      </c>
      <c r="O143" t="s">
        <v>429</v>
      </c>
      <c r="P143" t="s">
        <v>3071</v>
      </c>
      <c r="R143" t="s">
        <v>431</v>
      </c>
      <c r="S143" t="s">
        <v>432</v>
      </c>
      <c r="T143" t="s">
        <v>58</v>
      </c>
      <c r="U143" t="s">
        <v>40</v>
      </c>
      <c r="V143" s="1">
        <v>43668</v>
      </c>
      <c r="W143">
        <v>0</v>
      </c>
      <c r="X143">
        <v>7</v>
      </c>
      <c r="AA143" t="s">
        <v>42</v>
      </c>
      <c r="AB143" t="s">
        <v>43</v>
      </c>
      <c r="AC143" t="s">
        <v>43</v>
      </c>
    </row>
    <row r="144" spans="1:31" hidden="1" x14ac:dyDescent="0.4">
      <c r="A144" t="s">
        <v>27</v>
      </c>
      <c r="B144">
        <v>4494</v>
      </c>
      <c r="C144" t="s">
        <v>2918</v>
      </c>
      <c r="E144" t="s">
        <v>195</v>
      </c>
      <c r="F144" t="s">
        <v>421</v>
      </c>
      <c r="G144" t="s">
        <v>422</v>
      </c>
      <c r="H144" t="s">
        <v>423</v>
      </c>
      <c r="I144" t="s">
        <v>424</v>
      </c>
      <c r="J144" t="s">
        <v>425</v>
      </c>
      <c r="K144" t="s">
        <v>426</v>
      </c>
      <c r="L144" t="s">
        <v>427</v>
      </c>
      <c r="M144" t="s">
        <v>35</v>
      </c>
      <c r="N144" t="s">
        <v>428</v>
      </c>
      <c r="O144" t="s">
        <v>429</v>
      </c>
      <c r="P144" t="s">
        <v>430</v>
      </c>
      <c r="R144" t="s">
        <v>433</v>
      </c>
      <c r="S144" t="s">
        <v>434</v>
      </c>
      <c r="T144" t="s">
        <v>58</v>
      </c>
      <c r="U144" t="s">
        <v>40</v>
      </c>
      <c r="V144" s="1">
        <v>42210</v>
      </c>
      <c r="W144">
        <v>0</v>
      </c>
      <c r="X144">
        <v>0</v>
      </c>
      <c r="Y144" t="s">
        <v>59</v>
      </c>
      <c r="AA144" t="s">
        <v>42</v>
      </c>
      <c r="AB144" t="s">
        <v>43</v>
      </c>
      <c r="AC144" t="s">
        <v>43</v>
      </c>
    </row>
    <row r="145" spans="1:29" x14ac:dyDescent="0.4">
      <c r="A145" t="s">
        <v>27</v>
      </c>
      <c r="B145">
        <v>4494</v>
      </c>
      <c r="C145" t="s">
        <v>2918</v>
      </c>
      <c r="D145">
        <v>46</v>
      </c>
      <c r="E145" t="s">
        <v>195</v>
      </c>
      <c r="F145" t="s">
        <v>421</v>
      </c>
      <c r="G145" t="s">
        <v>422</v>
      </c>
      <c r="H145" t="s">
        <v>423</v>
      </c>
      <c r="I145" t="s">
        <v>424</v>
      </c>
      <c r="J145" t="s">
        <v>425</v>
      </c>
      <c r="K145" t="s">
        <v>426</v>
      </c>
      <c r="L145" t="s">
        <v>427</v>
      </c>
      <c r="M145" t="s">
        <v>35</v>
      </c>
      <c r="N145" t="s">
        <v>428</v>
      </c>
      <c r="O145" t="s">
        <v>429</v>
      </c>
      <c r="P145" t="s">
        <v>3071</v>
      </c>
      <c r="R145" t="s">
        <v>431</v>
      </c>
      <c r="S145" t="s">
        <v>432</v>
      </c>
      <c r="T145" t="s">
        <v>58</v>
      </c>
      <c r="U145" t="s">
        <v>40</v>
      </c>
      <c r="V145" s="1">
        <v>43668</v>
      </c>
      <c r="W145">
        <v>0</v>
      </c>
      <c r="X145">
        <v>20</v>
      </c>
      <c r="AA145" t="s">
        <v>42</v>
      </c>
      <c r="AB145" t="s">
        <v>43</v>
      </c>
      <c r="AC145" t="s">
        <v>43</v>
      </c>
    </row>
    <row r="146" spans="1:29" x14ac:dyDescent="0.4">
      <c r="A146" t="s">
        <v>27</v>
      </c>
      <c r="B146">
        <v>2410</v>
      </c>
      <c r="C146" t="s">
        <v>2919</v>
      </c>
      <c r="D146">
        <v>47</v>
      </c>
      <c r="E146" t="s">
        <v>68</v>
      </c>
      <c r="F146" t="s">
        <v>435</v>
      </c>
      <c r="G146" t="s">
        <v>436</v>
      </c>
      <c r="H146" t="s">
        <v>437</v>
      </c>
      <c r="I146" t="s">
        <v>438</v>
      </c>
      <c r="J146" t="s">
        <v>439</v>
      </c>
      <c r="K146" t="s">
        <v>215</v>
      </c>
      <c r="L146" t="s">
        <v>440</v>
      </c>
      <c r="M146" t="s">
        <v>35</v>
      </c>
      <c r="N146" t="s">
        <v>441</v>
      </c>
      <c r="O146" t="s">
        <v>442</v>
      </c>
      <c r="P146" t="s">
        <v>2919</v>
      </c>
      <c r="R146" t="s">
        <v>443</v>
      </c>
      <c r="S146" t="s">
        <v>444</v>
      </c>
      <c r="T146" t="s">
        <v>284</v>
      </c>
      <c r="U146" t="s">
        <v>40</v>
      </c>
      <c r="V146" s="1">
        <v>43532</v>
      </c>
      <c r="W146">
        <v>0</v>
      </c>
      <c r="X146">
        <v>18</v>
      </c>
      <c r="AA146" t="s">
        <v>42</v>
      </c>
      <c r="AB146" t="s">
        <v>43</v>
      </c>
      <c r="AC146" t="s">
        <v>42</v>
      </c>
    </row>
    <row r="147" spans="1:29" x14ac:dyDescent="0.4">
      <c r="A147" t="s">
        <v>27</v>
      </c>
      <c r="B147">
        <v>2941</v>
      </c>
      <c r="C147" t="s">
        <v>2920</v>
      </c>
      <c r="D147">
        <v>48</v>
      </c>
      <c r="E147" t="s">
        <v>68</v>
      </c>
      <c r="F147" t="s">
        <v>445</v>
      </c>
      <c r="G147" t="s">
        <v>446</v>
      </c>
      <c r="H147" t="s">
        <v>447</v>
      </c>
      <c r="I147" t="s">
        <v>448</v>
      </c>
      <c r="J147" t="s">
        <v>449</v>
      </c>
      <c r="K147" t="s">
        <v>226</v>
      </c>
      <c r="L147" t="s">
        <v>450</v>
      </c>
      <c r="M147" t="s">
        <v>35</v>
      </c>
      <c r="N147">
        <v>2083644140</v>
      </c>
      <c r="O147" t="s">
        <v>451</v>
      </c>
      <c r="P147" t="s">
        <v>3072</v>
      </c>
      <c r="R147" t="s">
        <v>453</v>
      </c>
      <c r="S147" t="s">
        <v>454</v>
      </c>
      <c r="T147" t="s">
        <v>169</v>
      </c>
      <c r="U147" t="s">
        <v>40</v>
      </c>
      <c r="V147" s="1">
        <v>43277</v>
      </c>
      <c r="W147">
        <v>0</v>
      </c>
      <c r="X147">
        <v>6</v>
      </c>
      <c r="Y147" t="s">
        <v>83</v>
      </c>
      <c r="AA147" t="s">
        <v>42</v>
      </c>
      <c r="AB147" t="s">
        <v>43</v>
      </c>
      <c r="AC147" t="s">
        <v>43</v>
      </c>
    </row>
    <row r="148" spans="1:29" hidden="1" x14ac:dyDescent="0.4">
      <c r="A148" t="s">
        <v>27</v>
      </c>
      <c r="B148">
        <v>2941</v>
      </c>
      <c r="C148" t="s">
        <v>2920</v>
      </c>
      <c r="E148" t="s">
        <v>68</v>
      </c>
      <c r="F148" t="s">
        <v>445</v>
      </c>
      <c r="G148" t="s">
        <v>446</v>
      </c>
      <c r="H148" t="s">
        <v>447</v>
      </c>
      <c r="I148" t="s">
        <v>448</v>
      </c>
      <c r="J148" t="s">
        <v>449</v>
      </c>
      <c r="K148" t="s">
        <v>226</v>
      </c>
      <c r="L148" t="s">
        <v>450</v>
      </c>
      <c r="M148" t="s">
        <v>35</v>
      </c>
      <c r="N148">
        <v>2083644140</v>
      </c>
      <c r="O148" t="s">
        <v>451</v>
      </c>
      <c r="P148" t="s">
        <v>452</v>
      </c>
      <c r="R148" t="s">
        <v>453</v>
      </c>
      <c r="S148" t="s">
        <v>454</v>
      </c>
      <c r="T148" t="s">
        <v>169</v>
      </c>
      <c r="U148" t="s">
        <v>40</v>
      </c>
      <c r="V148" s="1">
        <v>43277</v>
      </c>
      <c r="W148">
        <v>0</v>
      </c>
      <c r="X148">
        <v>0</v>
      </c>
      <c r="Y148" t="s">
        <v>59</v>
      </c>
      <c r="AA148" t="s">
        <v>42</v>
      </c>
      <c r="AB148" t="s">
        <v>43</v>
      </c>
      <c r="AC148" t="s">
        <v>43</v>
      </c>
    </row>
    <row r="149" spans="1:29" x14ac:dyDescent="0.4">
      <c r="A149" t="s">
        <v>27</v>
      </c>
      <c r="B149">
        <v>2952</v>
      </c>
      <c r="C149" t="s">
        <v>461</v>
      </c>
      <c r="D149">
        <v>49</v>
      </c>
      <c r="E149" t="s">
        <v>68</v>
      </c>
      <c r="F149" t="s">
        <v>211</v>
      </c>
      <c r="G149" t="s">
        <v>455</v>
      </c>
      <c r="H149" t="s">
        <v>456</v>
      </c>
      <c r="I149" t="s">
        <v>457</v>
      </c>
      <c r="J149" t="s">
        <v>458</v>
      </c>
      <c r="K149" t="s">
        <v>73</v>
      </c>
      <c r="L149" t="s">
        <v>459</v>
      </c>
      <c r="M149" t="s">
        <v>35</v>
      </c>
      <c r="N149">
        <v>1737765745</v>
      </c>
      <c r="O149" t="s">
        <v>460</v>
      </c>
      <c r="P149" t="s">
        <v>461</v>
      </c>
      <c r="R149" t="s">
        <v>462</v>
      </c>
      <c r="S149" t="s">
        <v>463</v>
      </c>
      <c r="T149" t="s">
        <v>58</v>
      </c>
      <c r="U149" t="s">
        <v>40</v>
      </c>
      <c r="V149" s="1">
        <v>43843</v>
      </c>
      <c r="W149">
        <v>0</v>
      </c>
      <c r="X149">
        <v>6</v>
      </c>
      <c r="Y149" t="s">
        <v>83</v>
      </c>
      <c r="Z149" t="s">
        <v>464</v>
      </c>
      <c r="AA149" t="s">
        <v>42</v>
      </c>
      <c r="AB149" t="s">
        <v>43</v>
      </c>
      <c r="AC149" t="s">
        <v>42</v>
      </c>
    </row>
    <row r="150" spans="1:29" x14ac:dyDescent="0.4">
      <c r="A150" t="s">
        <v>27</v>
      </c>
      <c r="B150">
        <v>2952</v>
      </c>
      <c r="C150" t="s">
        <v>461</v>
      </c>
      <c r="D150">
        <v>49</v>
      </c>
      <c r="E150" t="s">
        <v>68</v>
      </c>
      <c r="F150" t="s">
        <v>211</v>
      </c>
      <c r="G150" t="s">
        <v>455</v>
      </c>
      <c r="H150" t="s">
        <v>456</v>
      </c>
      <c r="I150" t="s">
        <v>457</v>
      </c>
      <c r="J150" t="s">
        <v>458</v>
      </c>
      <c r="K150" t="s">
        <v>73</v>
      </c>
      <c r="L150" t="s">
        <v>459</v>
      </c>
      <c r="M150" t="s">
        <v>35</v>
      </c>
      <c r="N150">
        <v>1737765745</v>
      </c>
      <c r="O150" t="s">
        <v>460</v>
      </c>
      <c r="P150" t="s">
        <v>461</v>
      </c>
      <c r="R150" t="s">
        <v>462</v>
      </c>
      <c r="S150" t="s">
        <v>463</v>
      </c>
      <c r="T150" t="s">
        <v>58</v>
      </c>
      <c r="U150" t="s">
        <v>40</v>
      </c>
      <c r="V150" s="1">
        <v>43843</v>
      </c>
      <c r="W150">
        <v>0</v>
      </c>
      <c r="X150">
        <v>7</v>
      </c>
      <c r="Z150" t="s">
        <v>464</v>
      </c>
      <c r="AA150" t="s">
        <v>42</v>
      </c>
      <c r="AB150" t="s">
        <v>43</v>
      </c>
      <c r="AC150" t="s">
        <v>42</v>
      </c>
    </row>
    <row r="151" spans="1:29" x14ac:dyDescent="0.4">
      <c r="A151" t="s">
        <v>27</v>
      </c>
      <c r="B151">
        <v>2952</v>
      </c>
      <c r="C151" t="s">
        <v>461</v>
      </c>
      <c r="D151">
        <v>49</v>
      </c>
      <c r="E151" t="s">
        <v>68</v>
      </c>
      <c r="F151" t="s">
        <v>211</v>
      </c>
      <c r="G151" t="s">
        <v>455</v>
      </c>
      <c r="H151" t="s">
        <v>456</v>
      </c>
      <c r="I151" t="s">
        <v>457</v>
      </c>
      <c r="J151" t="s">
        <v>458</v>
      </c>
      <c r="K151" t="s">
        <v>73</v>
      </c>
      <c r="L151" t="s">
        <v>459</v>
      </c>
      <c r="M151" t="s">
        <v>35</v>
      </c>
      <c r="N151">
        <v>1737765745</v>
      </c>
      <c r="O151" t="s">
        <v>460</v>
      </c>
      <c r="P151" t="s">
        <v>461</v>
      </c>
      <c r="R151" t="s">
        <v>462</v>
      </c>
      <c r="S151" t="s">
        <v>463</v>
      </c>
      <c r="T151" t="s">
        <v>58</v>
      </c>
      <c r="U151" t="s">
        <v>40</v>
      </c>
      <c r="V151" s="1">
        <v>43843</v>
      </c>
      <c r="W151">
        <v>0</v>
      </c>
      <c r="X151">
        <v>16</v>
      </c>
      <c r="Z151" t="s">
        <v>464</v>
      </c>
      <c r="AA151" t="s">
        <v>42</v>
      </c>
      <c r="AB151" t="s">
        <v>43</v>
      </c>
      <c r="AC151" t="s">
        <v>42</v>
      </c>
    </row>
    <row r="152" spans="1:29" x14ac:dyDescent="0.4">
      <c r="A152" t="s">
        <v>27</v>
      </c>
      <c r="B152">
        <v>2952</v>
      </c>
      <c r="C152" t="s">
        <v>461</v>
      </c>
      <c r="D152">
        <v>49</v>
      </c>
      <c r="E152" t="s">
        <v>68</v>
      </c>
      <c r="F152" t="s">
        <v>211</v>
      </c>
      <c r="G152" t="s">
        <v>455</v>
      </c>
      <c r="H152" t="s">
        <v>456</v>
      </c>
      <c r="I152" t="s">
        <v>457</v>
      </c>
      <c r="J152" t="s">
        <v>458</v>
      </c>
      <c r="K152" t="s">
        <v>73</v>
      </c>
      <c r="L152" t="s">
        <v>459</v>
      </c>
      <c r="M152" t="s">
        <v>35</v>
      </c>
      <c r="N152">
        <v>1737765745</v>
      </c>
      <c r="O152" t="s">
        <v>460</v>
      </c>
      <c r="P152" t="s">
        <v>461</v>
      </c>
      <c r="R152" t="s">
        <v>462</v>
      </c>
      <c r="S152" t="s">
        <v>463</v>
      </c>
      <c r="T152" t="s">
        <v>58</v>
      </c>
      <c r="U152" t="s">
        <v>40</v>
      </c>
      <c r="V152" s="1">
        <v>43843</v>
      </c>
      <c r="W152">
        <v>0</v>
      </c>
      <c r="X152">
        <v>18</v>
      </c>
      <c r="Z152" t="s">
        <v>464</v>
      </c>
      <c r="AA152" t="s">
        <v>42</v>
      </c>
      <c r="AB152" t="s">
        <v>43</v>
      </c>
      <c r="AC152" t="s">
        <v>42</v>
      </c>
    </row>
    <row r="153" spans="1:29" x14ac:dyDescent="0.4">
      <c r="A153" t="s">
        <v>27</v>
      </c>
      <c r="B153">
        <v>5543</v>
      </c>
      <c r="C153" t="s">
        <v>2921</v>
      </c>
      <c r="D153">
        <v>50</v>
      </c>
      <c r="E153" t="s">
        <v>68</v>
      </c>
      <c r="F153" t="s">
        <v>465</v>
      </c>
      <c r="G153" t="s">
        <v>466</v>
      </c>
      <c r="H153" t="s">
        <v>467</v>
      </c>
      <c r="I153" t="s">
        <v>468</v>
      </c>
      <c r="J153" t="s">
        <v>50</v>
      </c>
      <c r="K153" t="s">
        <v>51</v>
      </c>
      <c r="L153" t="s">
        <v>469</v>
      </c>
      <c r="M153" t="s">
        <v>35</v>
      </c>
      <c r="N153">
        <v>7989308731</v>
      </c>
      <c r="O153" t="s">
        <v>470</v>
      </c>
      <c r="P153" t="s">
        <v>2921</v>
      </c>
      <c r="R153" t="s">
        <v>472</v>
      </c>
      <c r="S153" t="s">
        <v>473</v>
      </c>
      <c r="T153" t="s">
        <v>474</v>
      </c>
      <c r="U153" t="s">
        <v>82</v>
      </c>
      <c r="V153" s="1">
        <v>43792</v>
      </c>
      <c r="W153">
        <v>0</v>
      </c>
      <c r="X153">
        <v>3</v>
      </c>
      <c r="AA153" t="s">
        <v>42</v>
      </c>
      <c r="AB153" t="s">
        <v>43</v>
      </c>
      <c r="AC153" t="s">
        <v>43</v>
      </c>
    </row>
    <row r="154" spans="1:29" x14ac:dyDescent="0.4">
      <c r="A154" t="s">
        <v>27</v>
      </c>
      <c r="B154">
        <v>5543</v>
      </c>
      <c r="C154" t="s">
        <v>2921</v>
      </c>
      <c r="D154">
        <v>50</v>
      </c>
      <c r="E154" t="s">
        <v>68</v>
      </c>
      <c r="F154" t="s">
        <v>465</v>
      </c>
      <c r="G154" t="s">
        <v>466</v>
      </c>
      <c r="H154" t="s">
        <v>467</v>
      </c>
      <c r="I154" t="s">
        <v>468</v>
      </c>
      <c r="J154" t="s">
        <v>50</v>
      </c>
      <c r="K154" t="s">
        <v>51</v>
      </c>
      <c r="L154" t="s">
        <v>469</v>
      </c>
      <c r="M154" t="s">
        <v>35</v>
      </c>
      <c r="N154">
        <v>7989308731</v>
      </c>
      <c r="O154" t="s">
        <v>470</v>
      </c>
      <c r="P154" t="s">
        <v>2921</v>
      </c>
      <c r="R154" t="s">
        <v>472</v>
      </c>
      <c r="S154" t="s">
        <v>473</v>
      </c>
      <c r="T154" t="s">
        <v>474</v>
      </c>
      <c r="U154" t="s">
        <v>82</v>
      </c>
      <c r="V154" s="1">
        <v>43792</v>
      </c>
      <c r="W154">
        <v>0</v>
      </c>
      <c r="X154">
        <v>11</v>
      </c>
      <c r="AA154" t="s">
        <v>42</v>
      </c>
      <c r="AB154" t="s">
        <v>43</v>
      </c>
      <c r="AC154" t="s">
        <v>43</v>
      </c>
    </row>
    <row r="155" spans="1:29" x14ac:dyDescent="0.4">
      <c r="A155" t="s">
        <v>27</v>
      </c>
      <c r="B155">
        <v>5543</v>
      </c>
      <c r="C155" t="s">
        <v>2921</v>
      </c>
      <c r="D155">
        <v>51</v>
      </c>
      <c r="E155" t="s">
        <v>68</v>
      </c>
      <c r="F155" t="s">
        <v>465</v>
      </c>
      <c r="G155" t="s">
        <v>466</v>
      </c>
      <c r="H155" t="s">
        <v>467</v>
      </c>
      <c r="I155" t="s">
        <v>468</v>
      </c>
      <c r="J155" t="s">
        <v>50</v>
      </c>
      <c r="K155" t="s">
        <v>51</v>
      </c>
      <c r="L155" t="s">
        <v>469</v>
      </c>
      <c r="M155" t="s">
        <v>35</v>
      </c>
      <c r="N155">
        <v>7989308731</v>
      </c>
      <c r="O155" t="s">
        <v>470</v>
      </c>
      <c r="P155" t="s">
        <v>2921</v>
      </c>
      <c r="R155" t="s">
        <v>475</v>
      </c>
      <c r="S155" t="s">
        <v>476</v>
      </c>
      <c r="T155" t="s">
        <v>474</v>
      </c>
      <c r="U155" t="s">
        <v>40</v>
      </c>
      <c r="V155" s="1">
        <v>42893</v>
      </c>
      <c r="W155">
        <v>0</v>
      </c>
      <c r="X155">
        <v>3</v>
      </c>
      <c r="AA155" t="s">
        <v>42</v>
      </c>
      <c r="AB155" t="s">
        <v>43</v>
      </c>
      <c r="AC155" t="s">
        <v>43</v>
      </c>
    </row>
    <row r="156" spans="1:29" x14ac:dyDescent="0.4">
      <c r="A156" t="s">
        <v>27</v>
      </c>
      <c r="B156">
        <v>5543</v>
      </c>
      <c r="C156" t="s">
        <v>2921</v>
      </c>
      <c r="D156">
        <v>51</v>
      </c>
      <c r="E156" t="s">
        <v>68</v>
      </c>
      <c r="F156" t="s">
        <v>465</v>
      </c>
      <c r="G156" t="s">
        <v>466</v>
      </c>
      <c r="H156" t="s">
        <v>467</v>
      </c>
      <c r="I156" t="s">
        <v>468</v>
      </c>
      <c r="J156" t="s">
        <v>50</v>
      </c>
      <c r="K156" t="s">
        <v>51</v>
      </c>
      <c r="L156" t="s">
        <v>469</v>
      </c>
      <c r="M156" t="s">
        <v>35</v>
      </c>
      <c r="N156">
        <v>7989308731</v>
      </c>
      <c r="O156" t="s">
        <v>470</v>
      </c>
      <c r="P156" t="s">
        <v>2921</v>
      </c>
      <c r="R156" t="s">
        <v>475</v>
      </c>
      <c r="S156" t="s">
        <v>476</v>
      </c>
      <c r="T156" t="s">
        <v>474</v>
      </c>
      <c r="U156" t="s">
        <v>40</v>
      </c>
      <c r="V156" s="1">
        <v>42893</v>
      </c>
      <c r="W156">
        <v>0</v>
      </c>
      <c r="X156">
        <v>11</v>
      </c>
      <c r="AA156" t="s">
        <v>42</v>
      </c>
      <c r="AB156" t="s">
        <v>43</v>
      </c>
      <c r="AC156" t="s">
        <v>43</v>
      </c>
    </row>
    <row r="157" spans="1:29" hidden="1" x14ac:dyDescent="0.4">
      <c r="A157" t="s">
        <v>27</v>
      </c>
      <c r="B157">
        <v>5543</v>
      </c>
      <c r="C157" t="s">
        <v>2921</v>
      </c>
      <c r="E157" t="s">
        <v>68</v>
      </c>
      <c r="F157" t="s">
        <v>465</v>
      </c>
      <c r="G157" t="s">
        <v>466</v>
      </c>
      <c r="H157" t="s">
        <v>467</v>
      </c>
      <c r="I157" t="s">
        <v>468</v>
      </c>
      <c r="J157" t="s">
        <v>50</v>
      </c>
      <c r="K157" t="s">
        <v>51</v>
      </c>
      <c r="L157" t="s">
        <v>469</v>
      </c>
      <c r="M157" t="s">
        <v>35</v>
      </c>
      <c r="N157">
        <v>7989308731</v>
      </c>
      <c r="O157" t="s">
        <v>470</v>
      </c>
      <c r="P157" t="s">
        <v>471</v>
      </c>
      <c r="R157" t="s">
        <v>477</v>
      </c>
      <c r="S157" t="s">
        <v>478</v>
      </c>
      <c r="T157" t="s">
        <v>474</v>
      </c>
      <c r="U157" t="s">
        <v>40</v>
      </c>
      <c r="V157" s="1">
        <v>43792</v>
      </c>
      <c r="W157">
        <v>0</v>
      </c>
      <c r="X157">
        <v>0</v>
      </c>
      <c r="Y157" t="s">
        <v>59</v>
      </c>
      <c r="AA157" t="s">
        <v>42</v>
      </c>
      <c r="AB157" t="s">
        <v>43</v>
      </c>
      <c r="AC157" t="s">
        <v>43</v>
      </c>
    </row>
    <row r="158" spans="1:29" hidden="1" x14ac:dyDescent="0.4">
      <c r="A158" t="s">
        <v>27</v>
      </c>
      <c r="B158">
        <v>5543</v>
      </c>
      <c r="C158" t="s">
        <v>2921</v>
      </c>
      <c r="E158" t="s">
        <v>68</v>
      </c>
      <c r="F158" t="s">
        <v>465</v>
      </c>
      <c r="G158" t="s">
        <v>466</v>
      </c>
      <c r="H158" t="s">
        <v>467</v>
      </c>
      <c r="I158" t="s">
        <v>468</v>
      </c>
      <c r="J158" t="s">
        <v>50</v>
      </c>
      <c r="K158" t="s">
        <v>51</v>
      </c>
      <c r="L158" t="s">
        <v>469</v>
      </c>
      <c r="M158" t="s">
        <v>35</v>
      </c>
      <c r="N158">
        <v>7989308731</v>
      </c>
      <c r="O158" t="s">
        <v>470</v>
      </c>
      <c r="P158" t="s">
        <v>471</v>
      </c>
      <c r="R158" t="s">
        <v>479</v>
      </c>
      <c r="S158" t="s">
        <v>480</v>
      </c>
      <c r="T158" t="s">
        <v>474</v>
      </c>
      <c r="U158" t="s">
        <v>82</v>
      </c>
      <c r="V158" s="1">
        <v>41510</v>
      </c>
      <c r="W158">
        <v>0</v>
      </c>
      <c r="X158">
        <v>0</v>
      </c>
      <c r="Y158" t="s">
        <v>59</v>
      </c>
      <c r="AA158" t="s">
        <v>42</v>
      </c>
      <c r="AB158" t="s">
        <v>43</v>
      </c>
      <c r="AC158" t="s">
        <v>43</v>
      </c>
    </row>
    <row r="159" spans="1:29" hidden="1" x14ac:dyDescent="0.4">
      <c r="A159" t="s">
        <v>27</v>
      </c>
      <c r="B159">
        <v>5543</v>
      </c>
      <c r="C159" t="s">
        <v>2921</v>
      </c>
      <c r="E159" t="s">
        <v>68</v>
      </c>
      <c r="F159" t="s">
        <v>465</v>
      </c>
      <c r="G159" t="s">
        <v>466</v>
      </c>
      <c r="H159" t="s">
        <v>467</v>
      </c>
      <c r="I159" t="s">
        <v>468</v>
      </c>
      <c r="J159" t="s">
        <v>50</v>
      </c>
      <c r="K159" t="s">
        <v>51</v>
      </c>
      <c r="L159" t="s">
        <v>469</v>
      </c>
      <c r="M159" t="s">
        <v>35</v>
      </c>
      <c r="N159">
        <v>7989308731</v>
      </c>
      <c r="O159" t="s">
        <v>470</v>
      </c>
      <c r="P159" t="s">
        <v>471</v>
      </c>
      <c r="R159" t="s">
        <v>477</v>
      </c>
      <c r="S159" t="s">
        <v>478</v>
      </c>
      <c r="T159" t="s">
        <v>474</v>
      </c>
      <c r="U159" t="s">
        <v>40</v>
      </c>
      <c r="V159" s="1">
        <v>43792</v>
      </c>
      <c r="W159">
        <v>0</v>
      </c>
      <c r="X159">
        <v>0</v>
      </c>
      <c r="Y159" t="s">
        <v>59</v>
      </c>
      <c r="AA159" t="s">
        <v>42</v>
      </c>
      <c r="AB159" t="s">
        <v>43</v>
      </c>
      <c r="AC159" t="s">
        <v>43</v>
      </c>
    </row>
    <row r="160" spans="1:29" hidden="1" x14ac:dyDescent="0.4">
      <c r="A160" t="s">
        <v>27</v>
      </c>
      <c r="B160">
        <v>5543</v>
      </c>
      <c r="C160" t="s">
        <v>2921</v>
      </c>
      <c r="E160" t="s">
        <v>68</v>
      </c>
      <c r="F160" t="s">
        <v>465</v>
      </c>
      <c r="G160" t="s">
        <v>466</v>
      </c>
      <c r="H160" t="s">
        <v>467</v>
      </c>
      <c r="I160" t="s">
        <v>468</v>
      </c>
      <c r="J160" t="s">
        <v>50</v>
      </c>
      <c r="K160" t="s">
        <v>51</v>
      </c>
      <c r="L160" t="s">
        <v>469</v>
      </c>
      <c r="M160" t="s">
        <v>35</v>
      </c>
      <c r="N160">
        <v>7989308731</v>
      </c>
      <c r="O160" t="s">
        <v>470</v>
      </c>
      <c r="P160" t="s">
        <v>471</v>
      </c>
      <c r="R160" t="s">
        <v>479</v>
      </c>
      <c r="S160" t="s">
        <v>480</v>
      </c>
      <c r="T160" t="s">
        <v>474</v>
      </c>
      <c r="U160" t="s">
        <v>82</v>
      </c>
      <c r="V160" s="1">
        <v>41510</v>
      </c>
      <c r="W160">
        <v>0</v>
      </c>
      <c r="X160">
        <v>0</v>
      </c>
      <c r="Y160" t="s">
        <v>59</v>
      </c>
      <c r="AA160" t="s">
        <v>42</v>
      </c>
      <c r="AB160" t="s">
        <v>43</v>
      </c>
      <c r="AC160" t="s">
        <v>43</v>
      </c>
    </row>
    <row r="161" spans="1:30" x14ac:dyDescent="0.4">
      <c r="A161" t="s">
        <v>27</v>
      </c>
      <c r="B161">
        <v>5147</v>
      </c>
      <c r="C161" t="s">
        <v>2851</v>
      </c>
      <c r="D161">
        <v>52</v>
      </c>
      <c r="E161" t="s">
        <v>257</v>
      </c>
      <c r="F161" t="s">
        <v>481</v>
      </c>
      <c r="G161" t="s">
        <v>482</v>
      </c>
      <c r="H161" t="s">
        <v>483</v>
      </c>
      <c r="J161" t="s">
        <v>484</v>
      </c>
      <c r="K161" t="s">
        <v>242</v>
      </c>
      <c r="L161" t="s">
        <v>485</v>
      </c>
      <c r="M161" t="s">
        <v>35</v>
      </c>
      <c r="N161">
        <v>7527058454</v>
      </c>
      <c r="O161" t="s">
        <v>486</v>
      </c>
      <c r="P161" t="s">
        <v>2851</v>
      </c>
      <c r="R161" t="s">
        <v>487</v>
      </c>
      <c r="S161" t="s">
        <v>488</v>
      </c>
      <c r="T161" t="s">
        <v>1305</v>
      </c>
      <c r="U161" t="s">
        <v>82</v>
      </c>
      <c r="V161" s="1">
        <v>44597</v>
      </c>
      <c r="W161">
        <v>0</v>
      </c>
      <c r="X161">
        <v>3</v>
      </c>
      <c r="Z161" t="s">
        <v>407</v>
      </c>
      <c r="AA161" t="s">
        <v>42</v>
      </c>
      <c r="AB161" t="s">
        <v>43</v>
      </c>
      <c r="AC161" t="s">
        <v>42</v>
      </c>
    </row>
    <row r="162" spans="1:30" x14ac:dyDescent="0.4">
      <c r="A162" t="s">
        <v>27</v>
      </c>
      <c r="B162">
        <v>5147</v>
      </c>
      <c r="C162" t="s">
        <v>2851</v>
      </c>
      <c r="D162">
        <v>53</v>
      </c>
      <c r="E162" t="s">
        <v>257</v>
      </c>
      <c r="F162" t="s">
        <v>481</v>
      </c>
      <c r="G162" t="s">
        <v>482</v>
      </c>
      <c r="H162" t="s">
        <v>483</v>
      </c>
      <c r="J162" t="s">
        <v>484</v>
      </c>
      <c r="K162" t="s">
        <v>242</v>
      </c>
      <c r="L162" t="s">
        <v>485</v>
      </c>
      <c r="M162" t="s">
        <v>35</v>
      </c>
      <c r="N162">
        <v>7527058454</v>
      </c>
      <c r="O162" t="s">
        <v>486</v>
      </c>
      <c r="P162" t="s">
        <v>2851</v>
      </c>
      <c r="R162" t="s">
        <v>489</v>
      </c>
      <c r="S162" t="s">
        <v>490</v>
      </c>
      <c r="T162" t="s">
        <v>1498</v>
      </c>
      <c r="U162" t="s">
        <v>82</v>
      </c>
      <c r="V162" s="1">
        <v>43832</v>
      </c>
      <c r="W162">
        <v>0</v>
      </c>
      <c r="X162">
        <v>3</v>
      </c>
      <c r="Z162" t="s">
        <v>407</v>
      </c>
      <c r="AA162" t="s">
        <v>42</v>
      </c>
      <c r="AB162" t="s">
        <v>43</v>
      </c>
      <c r="AC162" t="s">
        <v>42</v>
      </c>
    </row>
    <row r="163" spans="1:30" x14ac:dyDescent="0.4">
      <c r="A163" t="s">
        <v>27</v>
      </c>
      <c r="B163">
        <v>5147</v>
      </c>
      <c r="C163" t="s">
        <v>2851</v>
      </c>
      <c r="D163">
        <v>53</v>
      </c>
      <c r="E163" t="s">
        <v>257</v>
      </c>
      <c r="F163" t="s">
        <v>481</v>
      </c>
      <c r="G163" t="s">
        <v>482</v>
      </c>
      <c r="H163" t="s">
        <v>483</v>
      </c>
      <c r="J163" t="s">
        <v>484</v>
      </c>
      <c r="K163" t="s">
        <v>242</v>
      </c>
      <c r="L163" t="s">
        <v>485</v>
      </c>
      <c r="M163" t="s">
        <v>35</v>
      </c>
      <c r="N163">
        <v>7527058454</v>
      </c>
      <c r="O163" t="s">
        <v>486</v>
      </c>
      <c r="P163" t="s">
        <v>2851</v>
      </c>
      <c r="R163" t="s">
        <v>489</v>
      </c>
      <c r="S163" t="s">
        <v>490</v>
      </c>
      <c r="T163" t="s">
        <v>1498</v>
      </c>
      <c r="U163" t="s">
        <v>82</v>
      </c>
      <c r="V163" s="1">
        <v>43832</v>
      </c>
      <c r="W163">
        <v>0</v>
      </c>
      <c r="X163">
        <v>4</v>
      </c>
      <c r="Y163" t="s">
        <v>65</v>
      </c>
      <c r="Z163" t="s">
        <v>407</v>
      </c>
      <c r="AA163" t="s">
        <v>42</v>
      </c>
      <c r="AB163" t="s">
        <v>43</v>
      </c>
      <c r="AC163" t="s">
        <v>42</v>
      </c>
    </row>
    <row r="164" spans="1:30" x14ac:dyDescent="0.4">
      <c r="A164" t="s">
        <v>27</v>
      </c>
      <c r="B164">
        <v>5147</v>
      </c>
      <c r="C164" t="s">
        <v>2851</v>
      </c>
      <c r="D164">
        <v>52</v>
      </c>
      <c r="E164" t="s">
        <v>257</v>
      </c>
      <c r="F164" t="s">
        <v>481</v>
      </c>
      <c r="G164" t="s">
        <v>482</v>
      </c>
      <c r="H164" t="s">
        <v>483</v>
      </c>
      <c r="J164" t="s">
        <v>484</v>
      </c>
      <c r="K164" t="s">
        <v>242</v>
      </c>
      <c r="L164" t="s">
        <v>485</v>
      </c>
      <c r="M164" t="s">
        <v>35</v>
      </c>
      <c r="N164">
        <v>7527058454</v>
      </c>
      <c r="O164" t="s">
        <v>486</v>
      </c>
      <c r="P164" t="s">
        <v>2851</v>
      </c>
      <c r="R164" t="s">
        <v>487</v>
      </c>
      <c r="S164" t="s">
        <v>488</v>
      </c>
      <c r="T164" t="s">
        <v>1305</v>
      </c>
      <c r="U164" t="s">
        <v>82</v>
      </c>
      <c r="V164" s="1">
        <v>44597</v>
      </c>
      <c r="W164">
        <v>0</v>
      </c>
      <c r="X164">
        <v>11</v>
      </c>
      <c r="Z164" t="s">
        <v>407</v>
      </c>
      <c r="AA164" t="s">
        <v>42</v>
      </c>
      <c r="AB164" t="s">
        <v>43</v>
      </c>
      <c r="AC164" t="s">
        <v>42</v>
      </c>
    </row>
    <row r="165" spans="1:30" x14ac:dyDescent="0.4">
      <c r="A165" t="s">
        <v>27</v>
      </c>
      <c r="B165">
        <v>5147</v>
      </c>
      <c r="C165" t="s">
        <v>2851</v>
      </c>
      <c r="D165">
        <v>53</v>
      </c>
      <c r="E165" t="s">
        <v>257</v>
      </c>
      <c r="F165" t="s">
        <v>481</v>
      </c>
      <c r="G165" t="s">
        <v>482</v>
      </c>
      <c r="H165" t="s">
        <v>483</v>
      </c>
      <c r="J165" t="s">
        <v>484</v>
      </c>
      <c r="K165" t="s">
        <v>242</v>
      </c>
      <c r="L165" t="s">
        <v>485</v>
      </c>
      <c r="M165" t="s">
        <v>35</v>
      </c>
      <c r="N165">
        <v>7527058454</v>
      </c>
      <c r="O165" t="s">
        <v>486</v>
      </c>
      <c r="P165" t="s">
        <v>2851</v>
      </c>
      <c r="R165" t="s">
        <v>489</v>
      </c>
      <c r="S165" t="s">
        <v>490</v>
      </c>
      <c r="T165" t="s">
        <v>1498</v>
      </c>
      <c r="U165" t="s">
        <v>82</v>
      </c>
      <c r="V165" s="1">
        <v>43832</v>
      </c>
      <c r="W165">
        <v>0</v>
      </c>
      <c r="X165">
        <v>11</v>
      </c>
      <c r="Z165" t="s">
        <v>407</v>
      </c>
      <c r="AA165" t="s">
        <v>42</v>
      </c>
      <c r="AB165" t="s">
        <v>43</v>
      </c>
      <c r="AC165" t="s">
        <v>42</v>
      </c>
    </row>
    <row r="166" spans="1:30" x14ac:dyDescent="0.4">
      <c r="A166" t="s">
        <v>27</v>
      </c>
      <c r="B166">
        <v>5147</v>
      </c>
      <c r="C166" t="s">
        <v>2851</v>
      </c>
      <c r="D166">
        <v>52</v>
      </c>
      <c r="E166" t="s">
        <v>257</v>
      </c>
      <c r="F166" t="s">
        <v>481</v>
      </c>
      <c r="G166" t="s">
        <v>482</v>
      </c>
      <c r="H166" t="s">
        <v>483</v>
      </c>
      <c r="J166" t="s">
        <v>484</v>
      </c>
      <c r="K166" t="s">
        <v>242</v>
      </c>
      <c r="L166" t="s">
        <v>485</v>
      </c>
      <c r="M166" t="s">
        <v>35</v>
      </c>
      <c r="N166">
        <v>7527058454</v>
      </c>
      <c r="O166" t="s">
        <v>486</v>
      </c>
      <c r="P166" t="s">
        <v>2851</v>
      </c>
      <c r="R166" t="s">
        <v>487</v>
      </c>
      <c r="S166" t="s">
        <v>488</v>
      </c>
      <c r="T166" t="s">
        <v>1305</v>
      </c>
      <c r="U166" t="s">
        <v>82</v>
      </c>
      <c r="V166" s="1">
        <v>44597</v>
      </c>
      <c r="W166">
        <v>0</v>
      </c>
      <c r="X166">
        <v>13</v>
      </c>
      <c r="Z166" t="s">
        <v>407</v>
      </c>
      <c r="AA166" t="s">
        <v>42</v>
      </c>
      <c r="AB166" t="s">
        <v>43</v>
      </c>
      <c r="AC166" t="s">
        <v>42</v>
      </c>
    </row>
    <row r="167" spans="1:30" x14ac:dyDescent="0.4">
      <c r="A167" t="s">
        <v>27</v>
      </c>
      <c r="B167">
        <v>5147</v>
      </c>
      <c r="C167" t="s">
        <v>2851</v>
      </c>
      <c r="D167">
        <v>52</v>
      </c>
      <c r="E167" t="s">
        <v>257</v>
      </c>
      <c r="F167" t="s">
        <v>481</v>
      </c>
      <c r="G167" t="s">
        <v>482</v>
      </c>
      <c r="H167" t="s">
        <v>483</v>
      </c>
      <c r="J167" t="s">
        <v>484</v>
      </c>
      <c r="K167" t="s">
        <v>242</v>
      </c>
      <c r="L167" t="s">
        <v>485</v>
      </c>
      <c r="M167" t="s">
        <v>35</v>
      </c>
      <c r="N167">
        <v>7527058454</v>
      </c>
      <c r="O167" t="s">
        <v>486</v>
      </c>
      <c r="P167" t="s">
        <v>2851</v>
      </c>
      <c r="R167" t="s">
        <v>487</v>
      </c>
      <c r="S167" t="s">
        <v>488</v>
      </c>
      <c r="T167" t="s">
        <v>1305</v>
      </c>
      <c r="U167" t="s">
        <v>82</v>
      </c>
      <c r="V167" s="1">
        <v>44597</v>
      </c>
      <c r="W167">
        <v>0</v>
      </c>
      <c r="X167">
        <v>4</v>
      </c>
      <c r="Y167" t="s">
        <v>65</v>
      </c>
      <c r="Z167" t="s">
        <v>407</v>
      </c>
      <c r="AA167" t="s">
        <v>42</v>
      </c>
      <c r="AB167" t="s">
        <v>43</v>
      </c>
      <c r="AC167" t="s">
        <v>42</v>
      </c>
    </row>
    <row r="168" spans="1:30" x14ac:dyDescent="0.4">
      <c r="A168" t="s">
        <v>27</v>
      </c>
      <c r="B168">
        <v>5147</v>
      </c>
      <c r="C168" t="s">
        <v>2851</v>
      </c>
      <c r="D168">
        <v>53</v>
      </c>
      <c r="E168" t="s">
        <v>257</v>
      </c>
      <c r="F168" t="s">
        <v>481</v>
      </c>
      <c r="G168" t="s">
        <v>482</v>
      </c>
      <c r="H168" t="s">
        <v>483</v>
      </c>
      <c r="J168" t="s">
        <v>484</v>
      </c>
      <c r="K168" t="s">
        <v>242</v>
      </c>
      <c r="L168" t="s">
        <v>485</v>
      </c>
      <c r="M168" t="s">
        <v>35</v>
      </c>
      <c r="N168">
        <v>7527058454</v>
      </c>
      <c r="O168" t="s">
        <v>486</v>
      </c>
      <c r="P168" t="s">
        <v>2851</v>
      </c>
      <c r="R168" t="s">
        <v>489</v>
      </c>
      <c r="S168" t="s">
        <v>490</v>
      </c>
      <c r="T168" t="s">
        <v>1498</v>
      </c>
      <c r="U168" t="s">
        <v>82</v>
      </c>
      <c r="V168" s="1">
        <v>43832</v>
      </c>
      <c r="W168">
        <v>0</v>
      </c>
      <c r="X168">
        <v>13</v>
      </c>
      <c r="Z168" t="s">
        <v>407</v>
      </c>
      <c r="AA168" t="s">
        <v>42</v>
      </c>
      <c r="AB168" t="s">
        <v>43</v>
      </c>
      <c r="AC168" t="s">
        <v>42</v>
      </c>
    </row>
    <row r="169" spans="1:30" x14ac:dyDescent="0.4">
      <c r="A169" t="s">
        <v>27</v>
      </c>
      <c r="B169">
        <v>213</v>
      </c>
      <c r="C169" t="s">
        <v>2852</v>
      </c>
      <c r="D169">
        <v>55</v>
      </c>
      <c r="E169" t="s">
        <v>68</v>
      </c>
      <c r="F169" t="s">
        <v>491</v>
      </c>
      <c r="G169" t="s">
        <v>492</v>
      </c>
      <c r="H169" t="s">
        <v>493</v>
      </c>
      <c r="J169" t="s">
        <v>494</v>
      </c>
      <c r="K169" t="s">
        <v>495</v>
      </c>
      <c r="L169" t="s">
        <v>496</v>
      </c>
      <c r="M169" t="s">
        <v>35</v>
      </c>
      <c r="N169">
        <v>1273696474</v>
      </c>
      <c r="O169" t="s">
        <v>497</v>
      </c>
      <c r="P169" t="s">
        <v>2852</v>
      </c>
      <c r="R169" t="s">
        <v>498</v>
      </c>
      <c r="S169" t="s">
        <v>499</v>
      </c>
      <c r="T169" t="s">
        <v>58</v>
      </c>
      <c r="U169" t="s">
        <v>40</v>
      </c>
      <c r="V169" s="1">
        <v>44951</v>
      </c>
      <c r="W169">
        <v>0</v>
      </c>
      <c r="X169">
        <v>3</v>
      </c>
      <c r="Z169" t="s">
        <v>135</v>
      </c>
      <c r="AA169" t="s">
        <v>42</v>
      </c>
      <c r="AB169" t="s">
        <v>43</v>
      </c>
      <c r="AC169" t="s">
        <v>43</v>
      </c>
    </row>
    <row r="170" spans="1:30" x14ac:dyDescent="0.4">
      <c r="A170" t="s">
        <v>27</v>
      </c>
      <c r="B170">
        <v>213</v>
      </c>
      <c r="C170" t="s">
        <v>2852</v>
      </c>
      <c r="D170">
        <v>55</v>
      </c>
      <c r="E170" t="s">
        <v>68</v>
      </c>
      <c r="F170" t="s">
        <v>491</v>
      </c>
      <c r="G170" t="s">
        <v>492</v>
      </c>
      <c r="H170" t="s">
        <v>493</v>
      </c>
      <c r="J170" t="s">
        <v>494</v>
      </c>
      <c r="K170" t="s">
        <v>495</v>
      </c>
      <c r="L170" t="s">
        <v>496</v>
      </c>
      <c r="M170" t="s">
        <v>35</v>
      </c>
      <c r="N170">
        <v>1273696474</v>
      </c>
      <c r="O170" t="s">
        <v>497</v>
      </c>
      <c r="P170" t="s">
        <v>2852</v>
      </c>
      <c r="R170" t="s">
        <v>498</v>
      </c>
      <c r="S170" t="s">
        <v>499</v>
      </c>
      <c r="T170" t="s">
        <v>58</v>
      </c>
      <c r="U170" t="s">
        <v>40</v>
      </c>
      <c r="V170" s="1">
        <v>44951</v>
      </c>
      <c r="W170">
        <v>0</v>
      </c>
      <c r="X170">
        <v>4</v>
      </c>
      <c r="Y170" t="s">
        <v>65</v>
      </c>
      <c r="Z170" t="s">
        <v>135</v>
      </c>
      <c r="AA170" t="s">
        <v>42</v>
      </c>
      <c r="AB170" t="s">
        <v>43</v>
      </c>
      <c r="AC170" t="s">
        <v>43</v>
      </c>
    </row>
    <row r="171" spans="1:30" x14ac:dyDescent="0.4">
      <c r="A171" t="s">
        <v>27</v>
      </c>
      <c r="B171">
        <v>213</v>
      </c>
      <c r="C171" t="s">
        <v>2852</v>
      </c>
      <c r="D171">
        <v>55</v>
      </c>
      <c r="E171" t="s">
        <v>68</v>
      </c>
      <c r="F171" t="s">
        <v>491</v>
      </c>
      <c r="G171" t="s">
        <v>492</v>
      </c>
      <c r="H171" t="s">
        <v>493</v>
      </c>
      <c r="J171" t="s">
        <v>494</v>
      </c>
      <c r="K171" t="s">
        <v>495</v>
      </c>
      <c r="L171" t="s">
        <v>496</v>
      </c>
      <c r="M171" t="s">
        <v>35</v>
      </c>
      <c r="N171">
        <v>1273696474</v>
      </c>
      <c r="O171" t="s">
        <v>497</v>
      </c>
      <c r="P171" t="s">
        <v>2852</v>
      </c>
      <c r="R171" t="s">
        <v>498</v>
      </c>
      <c r="S171" t="s">
        <v>499</v>
      </c>
      <c r="T171" t="s">
        <v>58</v>
      </c>
      <c r="U171" t="s">
        <v>40</v>
      </c>
      <c r="V171" s="1">
        <v>44951</v>
      </c>
      <c r="W171">
        <v>0</v>
      </c>
      <c r="X171">
        <v>11</v>
      </c>
      <c r="Z171" t="s">
        <v>135</v>
      </c>
      <c r="AA171" t="s">
        <v>42</v>
      </c>
      <c r="AB171" t="s">
        <v>43</v>
      </c>
      <c r="AC171" t="s">
        <v>43</v>
      </c>
    </row>
    <row r="172" spans="1:30" x14ac:dyDescent="0.4">
      <c r="A172" t="s">
        <v>27</v>
      </c>
      <c r="B172">
        <v>213</v>
      </c>
      <c r="C172" t="s">
        <v>2852</v>
      </c>
      <c r="D172">
        <v>55</v>
      </c>
      <c r="E172" t="s">
        <v>68</v>
      </c>
      <c r="F172" t="s">
        <v>491</v>
      </c>
      <c r="G172" t="s">
        <v>492</v>
      </c>
      <c r="H172" t="s">
        <v>493</v>
      </c>
      <c r="J172" t="s">
        <v>494</v>
      </c>
      <c r="K172" t="s">
        <v>495</v>
      </c>
      <c r="L172" t="s">
        <v>496</v>
      </c>
      <c r="M172" t="s">
        <v>35</v>
      </c>
      <c r="N172">
        <v>1273696474</v>
      </c>
      <c r="O172" t="s">
        <v>497</v>
      </c>
      <c r="P172" t="s">
        <v>2852</v>
      </c>
      <c r="R172" t="s">
        <v>498</v>
      </c>
      <c r="S172" t="s">
        <v>499</v>
      </c>
      <c r="T172" t="s">
        <v>58</v>
      </c>
      <c r="U172" t="s">
        <v>40</v>
      </c>
      <c r="V172" s="1">
        <v>44951</v>
      </c>
      <c r="W172">
        <v>0</v>
      </c>
      <c r="X172">
        <v>12</v>
      </c>
      <c r="Z172" t="s">
        <v>135</v>
      </c>
      <c r="AA172" t="s">
        <v>42</v>
      </c>
      <c r="AB172" t="s">
        <v>43</v>
      </c>
      <c r="AC172" t="s">
        <v>43</v>
      </c>
    </row>
    <row r="173" spans="1:30" ht="64" hidden="1" x14ac:dyDescent="0.4">
      <c r="A173" t="s">
        <v>27</v>
      </c>
      <c r="B173">
        <v>402</v>
      </c>
      <c r="C173" t="s">
        <v>2922</v>
      </c>
      <c r="E173" t="s">
        <v>68</v>
      </c>
      <c r="F173" t="s">
        <v>501</v>
      </c>
      <c r="G173" t="s">
        <v>502</v>
      </c>
      <c r="H173" t="s">
        <v>503</v>
      </c>
      <c r="I173" t="s">
        <v>504</v>
      </c>
      <c r="J173" t="s">
        <v>50</v>
      </c>
      <c r="K173" t="s">
        <v>51</v>
      </c>
      <c r="L173" t="s">
        <v>505</v>
      </c>
      <c r="M173" t="s">
        <v>35</v>
      </c>
      <c r="N173">
        <v>2380471430</v>
      </c>
      <c r="O173" t="s">
        <v>506</v>
      </c>
      <c r="P173" t="s">
        <v>66</v>
      </c>
      <c r="R173" t="s">
        <v>507</v>
      </c>
      <c r="S173" t="s">
        <v>508</v>
      </c>
      <c r="T173" t="s">
        <v>3061</v>
      </c>
      <c r="U173" t="s">
        <v>82</v>
      </c>
      <c r="V173" s="1">
        <v>44112</v>
      </c>
      <c r="W173">
        <v>0</v>
      </c>
      <c r="X173">
        <v>0</v>
      </c>
      <c r="Y173" t="s">
        <v>59</v>
      </c>
      <c r="AA173" t="s">
        <v>42</v>
      </c>
      <c r="AB173" t="s">
        <v>43</v>
      </c>
      <c r="AC173" t="s">
        <v>43</v>
      </c>
      <c r="AD173" s="2" t="s">
        <v>509</v>
      </c>
    </row>
    <row r="174" spans="1:30" ht="64" hidden="1" x14ac:dyDescent="0.4">
      <c r="A174" t="s">
        <v>27</v>
      </c>
      <c r="B174">
        <v>402</v>
      </c>
      <c r="C174" t="s">
        <v>2922</v>
      </c>
      <c r="E174" t="s">
        <v>68</v>
      </c>
      <c r="F174" t="s">
        <v>501</v>
      </c>
      <c r="G174" t="s">
        <v>502</v>
      </c>
      <c r="H174" t="s">
        <v>503</v>
      </c>
      <c r="I174" t="s">
        <v>504</v>
      </c>
      <c r="J174" t="s">
        <v>50</v>
      </c>
      <c r="K174" t="s">
        <v>51</v>
      </c>
      <c r="L174" t="s">
        <v>505</v>
      </c>
      <c r="M174" t="s">
        <v>35</v>
      </c>
      <c r="N174">
        <v>2380471430</v>
      </c>
      <c r="O174" t="s">
        <v>506</v>
      </c>
      <c r="P174" t="s">
        <v>66</v>
      </c>
      <c r="R174" t="s">
        <v>510</v>
      </c>
      <c r="S174" t="s">
        <v>511</v>
      </c>
      <c r="T174" t="s">
        <v>376</v>
      </c>
      <c r="U174" t="s">
        <v>40</v>
      </c>
      <c r="V174" s="1">
        <v>43797</v>
      </c>
      <c r="W174">
        <v>0</v>
      </c>
      <c r="X174">
        <v>0</v>
      </c>
      <c r="Y174" t="s">
        <v>59</v>
      </c>
      <c r="AA174" t="s">
        <v>42</v>
      </c>
      <c r="AB174" t="s">
        <v>43</v>
      </c>
      <c r="AC174" t="s">
        <v>43</v>
      </c>
      <c r="AD174" s="2" t="s">
        <v>509</v>
      </c>
    </row>
    <row r="175" spans="1:30" ht="64" hidden="1" x14ac:dyDescent="0.4">
      <c r="A175" t="s">
        <v>27</v>
      </c>
      <c r="B175">
        <v>402</v>
      </c>
      <c r="C175" t="s">
        <v>2922</v>
      </c>
      <c r="E175" t="s">
        <v>68</v>
      </c>
      <c r="F175" t="s">
        <v>501</v>
      </c>
      <c r="G175" t="s">
        <v>502</v>
      </c>
      <c r="H175" t="s">
        <v>503</v>
      </c>
      <c r="I175" t="s">
        <v>504</v>
      </c>
      <c r="J175" t="s">
        <v>50</v>
      </c>
      <c r="K175" t="s">
        <v>51</v>
      </c>
      <c r="L175" t="s">
        <v>505</v>
      </c>
      <c r="M175" t="s">
        <v>35</v>
      </c>
      <c r="N175">
        <v>2380471430</v>
      </c>
      <c r="O175" t="s">
        <v>506</v>
      </c>
      <c r="P175" t="s">
        <v>66</v>
      </c>
      <c r="R175" t="s">
        <v>512</v>
      </c>
      <c r="S175" t="s">
        <v>513</v>
      </c>
      <c r="T175" t="s">
        <v>376</v>
      </c>
      <c r="U175" t="s">
        <v>82</v>
      </c>
      <c r="V175" s="1">
        <v>42067</v>
      </c>
      <c r="W175">
        <v>0</v>
      </c>
      <c r="X175">
        <v>0</v>
      </c>
      <c r="Y175" t="s">
        <v>59</v>
      </c>
      <c r="AA175" t="s">
        <v>42</v>
      </c>
      <c r="AB175" t="s">
        <v>43</v>
      </c>
      <c r="AC175" t="s">
        <v>43</v>
      </c>
      <c r="AD175" s="2" t="s">
        <v>509</v>
      </c>
    </row>
    <row r="176" spans="1:30" ht="64" hidden="1" x14ac:dyDescent="0.4">
      <c r="A176" t="s">
        <v>27</v>
      </c>
      <c r="B176">
        <v>402</v>
      </c>
      <c r="C176" t="s">
        <v>2922</v>
      </c>
      <c r="E176" t="s">
        <v>68</v>
      </c>
      <c r="F176" t="s">
        <v>501</v>
      </c>
      <c r="G176" t="s">
        <v>502</v>
      </c>
      <c r="H176" t="s">
        <v>503</v>
      </c>
      <c r="I176" t="s">
        <v>504</v>
      </c>
      <c r="J176" t="s">
        <v>50</v>
      </c>
      <c r="K176" t="s">
        <v>51</v>
      </c>
      <c r="L176" t="s">
        <v>505</v>
      </c>
      <c r="M176" t="s">
        <v>35</v>
      </c>
      <c r="N176">
        <v>2380471430</v>
      </c>
      <c r="O176" t="s">
        <v>506</v>
      </c>
      <c r="P176" t="s">
        <v>66</v>
      </c>
      <c r="R176" t="s">
        <v>512</v>
      </c>
      <c r="S176" t="s">
        <v>513</v>
      </c>
      <c r="T176" t="s">
        <v>376</v>
      </c>
      <c r="U176" t="s">
        <v>82</v>
      </c>
      <c r="V176" s="1">
        <v>42067</v>
      </c>
      <c r="W176">
        <v>0</v>
      </c>
      <c r="X176">
        <v>0</v>
      </c>
      <c r="Y176" t="s">
        <v>59</v>
      </c>
      <c r="AA176" t="s">
        <v>42</v>
      </c>
      <c r="AB176" t="s">
        <v>43</v>
      </c>
      <c r="AC176" t="s">
        <v>43</v>
      </c>
      <c r="AD176" s="2" t="s">
        <v>509</v>
      </c>
    </row>
    <row r="177" spans="1:31" ht="192" x14ac:dyDescent="0.4">
      <c r="A177" t="s">
        <v>27</v>
      </c>
      <c r="B177">
        <v>402</v>
      </c>
      <c r="C177" t="s">
        <v>2922</v>
      </c>
      <c r="D177">
        <v>56</v>
      </c>
      <c r="E177" t="s">
        <v>68</v>
      </c>
      <c r="F177" t="s">
        <v>501</v>
      </c>
      <c r="G177" t="s">
        <v>502</v>
      </c>
      <c r="H177" t="s">
        <v>503</v>
      </c>
      <c r="I177" t="s">
        <v>504</v>
      </c>
      <c r="J177" t="s">
        <v>50</v>
      </c>
      <c r="K177" t="s">
        <v>51</v>
      </c>
      <c r="L177" t="s">
        <v>505</v>
      </c>
      <c r="M177" t="s">
        <v>35</v>
      </c>
      <c r="N177">
        <v>2380471430</v>
      </c>
      <c r="O177" t="s">
        <v>506</v>
      </c>
      <c r="P177" t="s">
        <v>66</v>
      </c>
      <c r="R177" t="s">
        <v>3094</v>
      </c>
      <c r="S177" t="s">
        <v>508</v>
      </c>
      <c r="T177" t="s">
        <v>3061</v>
      </c>
      <c r="U177" t="s">
        <v>82</v>
      </c>
      <c r="V177" s="1">
        <v>44112</v>
      </c>
      <c r="W177">
        <v>0</v>
      </c>
      <c r="X177">
        <v>13</v>
      </c>
      <c r="AA177" t="s">
        <v>42</v>
      </c>
      <c r="AB177" t="s">
        <v>43</v>
      </c>
      <c r="AC177" t="s">
        <v>43</v>
      </c>
      <c r="AE177" s="2" t="s">
        <v>509</v>
      </c>
    </row>
    <row r="178" spans="1:31" ht="192" x14ac:dyDescent="0.4">
      <c r="A178" t="s">
        <v>27</v>
      </c>
      <c r="B178">
        <v>402</v>
      </c>
      <c r="C178" t="s">
        <v>2922</v>
      </c>
      <c r="D178">
        <v>57</v>
      </c>
      <c r="E178" t="s">
        <v>68</v>
      </c>
      <c r="F178" t="s">
        <v>501</v>
      </c>
      <c r="G178" t="s">
        <v>502</v>
      </c>
      <c r="H178" t="s">
        <v>503</v>
      </c>
      <c r="I178" t="s">
        <v>504</v>
      </c>
      <c r="J178" t="s">
        <v>50</v>
      </c>
      <c r="K178" t="s">
        <v>51</v>
      </c>
      <c r="L178" t="s">
        <v>505</v>
      </c>
      <c r="M178" t="s">
        <v>35</v>
      </c>
      <c r="N178">
        <v>2380471430</v>
      </c>
      <c r="O178" t="s">
        <v>506</v>
      </c>
      <c r="P178" t="s">
        <v>66</v>
      </c>
      <c r="R178" t="s">
        <v>3095</v>
      </c>
      <c r="S178" t="s">
        <v>511</v>
      </c>
      <c r="T178" t="s">
        <v>376</v>
      </c>
      <c r="U178" t="s">
        <v>40</v>
      </c>
      <c r="V178" s="1">
        <v>43797</v>
      </c>
      <c r="W178">
        <v>0</v>
      </c>
      <c r="X178">
        <v>12</v>
      </c>
      <c r="AA178" t="s">
        <v>42</v>
      </c>
      <c r="AB178" t="s">
        <v>43</v>
      </c>
      <c r="AC178" t="s">
        <v>43</v>
      </c>
      <c r="AE178" s="2" t="s">
        <v>509</v>
      </c>
    </row>
    <row r="179" spans="1:31" ht="96" hidden="1" x14ac:dyDescent="0.4">
      <c r="A179" t="s">
        <v>27</v>
      </c>
      <c r="B179">
        <v>2646</v>
      </c>
      <c r="C179" t="s">
        <v>2923</v>
      </c>
      <c r="E179" t="s">
        <v>257</v>
      </c>
      <c r="F179" t="s">
        <v>514</v>
      </c>
      <c r="G179" t="s">
        <v>502</v>
      </c>
      <c r="H179" t="s">
        <v>503</v>
      </c>
      <c r="I179" t="s">
        <v>504</v>
      </c>
      <c r="J179" t="s">
        <v>50</v>
      </c>
      <c r="K179" t="s">
        <v>51</v>
      </c>
      <c r="L179" t="s">
        <v>505</v>
      </c>
      <c r="M179" t="s">
        <v>35</v>
      </c>
      <c r="N179" t="s">
        <v>515</v>
      </c>
      <c r="O179" t="s">
        <v>506</v>
      </c>
      <c r="P179" t="s">
        <v>516</v>
      </c>
      <c r="R179" t="s">
        <v>517</v>
      </c>
      <c r="S179" t="s">
        <v>518</v>
      </c>
      <c r="T179" t="s">
        <v>376</v>
      </c>
      <c r="U179" t="s">
        <v>40</v>
      </c>
      <c r="V179" s="1">
        <v>44499</v>
      </c>
      <c r="W179">
        <v>0</v>
      </c>
      <c r="X179">
        <v>0</v>
      </c>
      <c r="Y179" t="s">
        <v>59</v>
      </c>
      <c r="AA179" t="s">
        <v>42</v>
      </c>
      <c r="AB179" t="s">
        <v>43</v>
      </c>
      <c r="AC179" t="s">
        <v>43</v>
      </c>
      <c r="AD179" s="2" t="s">
        <v>519</v>
      </c>
    </row>
    <row r="180" spans="1:31" ht="96" hidden="1" x14ac:dyDescent="0.4">
      <c r="A180" t="s">
        <v>27</v>
      </c>
      <c r="B180">
        <v>2646</v>
      </c>
      <c r="C180" t="s">
        <v>2923</v>
      </c>
      <c r="E180" t="s">
        <v>257</v>
      </c>
      <c r="F180" t="s">
        <v>514</v>
      </c>
      <c r="G180" t="s">
        <v>502</v>
      </c>
      <c r="H180" t="s">
        <v>503</v>
      </c>
      <c r="I180" t="s">
        <v>504</v>
      </c>
      <c r="J180" t="s">
        <v>50</v>
      </c>
      <c r="K180" t="s">
        <v>51</v>
      </c>
      <c r="L180" t="s">
        <v>505</v>
      </c>
      <c r="M180" t="s">
        <v>35</v>
      </c>
      <c r="N180" t="s">
        <v>515</v>
      </c>
      <c r="O180" t="s">
        <v>506</v>
      </c>
      <c r="P180" t="s">
        <v>516</v>
      </c>
      <c r="R180" t="s">
        <v>517</v>
      </c>
      <c r="S180" t="s">
        <v>518</v>
      </c>
      <c r="T180" t="s">
        <v>376</v>
      </c>
      <c r="U180" t="s">
        <v>40</v>
      </c>
      <c r="V180" s="1">
        <v>44499</v>
      </c>
      <c r="W180">
        <v>0</v>
      </c>
      <c r="X180">
        <v>0</v>
      </c>
      <c r="Y180" t="s">
        <v>59</v>
      </c>
      <c r="AA180" t="s">
        <v>42</v>
      </c>
      <c r="AB180" t="s">
        <v>43</v>
      </c>
      <c r="AC180" t="s">
        <v>43</v>
      </c>
      <c r="AD180" s="2" t="s">
        <v>519</v>
      </c>
    </row>
    <row r="181" spans="1:31" ht="96" hidden="1" x14ac:dyDescent="0.4">
      <c r="A181" t="s">
        <v>27</v>
      </c>
      <c r="B181">
        <v>2646</v>
      </c>
      <c r="C181" t="s">
        <v>2923</v>
      </c>
      <c r="E181" t="s">
        <v>257</v>
      </c>
      <c r="F181" t="s">
        <v>514</v>
      </c>
      <c r="G181" t="s">
        <v>502</v>
      </c>
      <c r="H181" t="s">
        <v>503</v>
      </c>
      <c r="I181" t="s">
        <v>504</v>
      </c>
      <c r="J181" t="s">
        <v>50</v>
      </c>
      <c r="K181" t="s">
        <v>51</v>
      </c>
      <c r="L181" t="s">
        <v>505</v>
      </c>
      <c r="M181" t="s">
        <v>35</v>
      </c>
      <c r="N181" t="s">
        <v>515</v>
      </c>
      <c r="O181" t="s">
        <v>506</v>
      </c>
      <c r="P181" t="s">
        <v>516</v>
      </c>
      <c r="R181" t="s">
        <v>520</v>
      </c>
      <c r="S181" t="s">
        <v>521</v>
      </c>
      <c r="T181" t="s">
        <v>376</v>
      </c>
      <c r="U181" t="s">
        <v>40</v>
      </c>
      <c r="V181" s="1">
        <v>45536</v>
      </c>
      <c r="W181">
        <v>0</v>
      </c>
      <c r="X181">
        <v>0</v>
      </c>
      <c r="Y181" t="s">
        <v>59</v>
      </c>
      <c r="AA181" t="s">
        <v>42</v>
      </c>
      <c r="AB181" t="s">
        <v>43</v>
      </c>
      <c r="AC181" t="s">
        <v>43</v>
      </c>
      <c r="AD181" s="2" t="s">
        <v>519</v>
      </c>
    </row>
    <row r="182" spans="1:31" ht="96" hidden="1" x14ac:dyDescent="0.4">
      <c r="A182" t="s">
        <v>27</v>
      </c>
      <c r="B182">
        <v>2646</v>
      </c>
      <c r="C182" t="s">
        <v>2923</v>
      </c>
      <c r="E182" t="s">
        <v>257</v>
      </c>
      <c r="F182" t="s">
        <v>514</v>
      </c>
      <c r="G182" t="s">
        <v>502</v>
      </c>
      <c r="H182" t="s">
        <v>503</v>
      </c>
      <c r="I182" t="s">
        <v>504</v>
      </c>
      <c r="J182" t="s">
        <v>50</v>
      </c>
      <c r="K182" t="s">
        <v>51</v>
      </c>
      <c r="L182" t="s">
        <v>505</v>
      </c>
      <c r="M182" t="s">
        <v>35</v>
      </c>
      <c r="N182" t="s">
        <v>515</v>
      </c>
      <c r="O182" t="s">
        <v>506</v>
      </c>
      <c r="P182" t="s">
        <v>516</v>
      </c>
      <c r="R182" t="s">
        <v>520</v>
      </c>
      <c r="S182" t="s">
        <v>521</v>
      </c>
      <c r="T182" t="s">
        <v>376</v>
      </c>
      <c r="U182" t="s">
        <v>40</v>
      </c>
      <c r="V182" s="1">
        <v>45536</v>
      </c>
      <c r="W182">
        <v>0</v>
      </c>
      <c r="X182">
        <v>0</v>
      </c>
      <c r="Y182" t="s">
        <v>59</v>
      </c>
      <c r="AA182" t="s">
        <v>42</v>
      </c>
      <c r="AB182" t="s">
        <v>43</v>
      </c>
      <c r="AC182" t="s">
        <v>43</v>
      </c>
      <c r="AD182" s="2" t="s">
        <v>519</v>
      </c>
    </row>
    <row r="183" spans="1:31" ht="96" x14ac:dyDescent="0.4">
      <c r="A183" t="s">
        <v>27</v>
      </c>
      <c r="B183">
        <v>2646</v>
      </c>
      <c r="C183" t="s">
        <v>2923</v>
      </c>
      <c r="D183">
        <v>58</v>
      </c>
      <c r="E183" t="s">
        <v>257</v>
      </c>
      <c r="F183" t="s">
        <v>514</v>
      </c>
      <c r="G183" t="s">
        <v>502</v>
      </c>
      <c r="H183" t="s">
        <v>503</v>
      </c>
      <c r="I183" t="s">
        <v>504</v>
      </c>
      <c r="J183" t="s">
        <v>50</v>
      </c>
      <c r="K183" t="s">
        <v>51</v>
      </c>
      <c r="L183" t="s">
        <v>505</v>
      </c>
      <c r="M183" t="s">
        <v>35</v>
      </c>
      <c r="N183" t="s">
        <v>515</v>
      </c>
      <c r="O183" t="s">
        <v>506</v>
      </c>
      <c r="P183" t="s">
        <v>3064</v>
      </c>
      <c r="R183" t="s">
        <v>3096</v>
      </c>
      <c r="S183" t="s">
        <v>523</v>
      </c>
      <c r="T183" t="s">
        <v>376</v>
      </c>
      <c r="U183" t="s">
        <v>40</v>
      </c>
      <c r="V183" s="1">
        <v>42503</v>
      </c>
      <c r="W183">
        <v>0</v>
      </c>
      <c r="X183">
        <v>5</v>
      </c>
      <c r="Y183" t="s">
        <v>66</v>
      </c>
      <c r="AA183" t="s">
        <v>42</v>
      </c>
      <c r="AB183" t="s">
        <v>43</v>
      </c>
      <c r="AC183" t="s">
        <v>43</v>
      </c>
      <c r="AD183" s="2" t="s">
        <v>519</v>
      </c>
    </row>
    <row r="184" spans="1:31" ht="96" x14ac:dyDescent="0.4">
      <c r="A184" t="s">
        <v>27</v>
      </c>
      <c r="B184">
        <v>2646</v>
      </c>
      <c r="C184" t="s">
        <v>2923</v>
      </c>
      <c r="D184">
        <v>58</v>
      </c>
      <c r="E184" t="s">
        <v>257</v>
      </c>
      <c r="F184" t="s">
        <v>514</v>
      </c>
      <c r="G184" t="s">
        <v>502</v>
      </c>
      <c r="H184" t="s">
        <v>503</v>
      </c>
      <c r="I184" t="s">
        <v>504</v>
      </c>
      <c r="J184" t="s">
        <v>50</v>
      </c>
      <c r="K184" t="s">
        <v>51</v>
      </c>
      <c r="L184" t="s">
        <v>505</v>
      </c>
      <c r="M184" t="s">
        <v>35</v>
      </c>
      <c r="N184" t="s">
        <v>515</v>
      </c>
      <c r="O184" t="s">
        <v>506</v>
      </c>
      <c r="P184" t="s">
        <v>3064</v>
      </c>
      <c r="R184" t="s">
        <v>3096</v>
      </c>
      <c r="S184" t="s">
        <v>523</v>
      </c>
      <c r="T184" t="s">
        <v>376</v>
      </c>
      <c r="U184" t="s">
        <v>40</v>
      </c>
      <c r="V184" s="1">
        <v>42503</v>
      </c>
      <c r="W184">
        <v>0</v>
      </c>
      <c r="X184">
        <v>6</v>
      </c>
      <c r="Y184" t="s">
        <v>83</v>
      </c>
      <c r="AA184" t="s">
        <v>42</v>
      </c>
      <c r="AB184" t="s">
        <v>43</v>
      </c>
      <c r="AC184" t="s">
        <v>43</v>
      </c>
      <c r="AD184" s="2" t="s">
        <v>519</v>
      </c>
    </row>
    <row r="185" spans="1:31" ht="96" x14ac:dyDescent="0.4">
      <c r="A185" t="s">
        <v>27</v>
      </c>
      <c r="B185">
        <v>2646</v>
      </c>
      <c r="C185" t="s">
        <v>2923</v>
      </c>
      <c r="D185">
        <v>58</v>
      </c>
      <c r="E185" t="s">
        <v>257</v>
      </c>
      <c r="F185" t="s">
        <v>514</v>
      </c>
      <c r="G185" t="s">
        <v>502</v>
      </c>
      <c r="H185" t="s">
        <v>503</v>
      </c>
      <c r="I185" t="s">
        <v>504</v>
      </c>
      <c r="J185" t="s">
        <v>50</v>
      </c>
      <c r="K185" t="s">
        <v>51</v>
      </c>
      <c r="L185" t="s">
        <v>505</v>
      </c>
      <c r="M185" t="s">
        <v>35</v>
      </c>
      <c r="N185" t="s">
        <v>515</v>
      </c>
      <c r="O185" t="s">
        <v>506</v>
      </c>
      <c r="P185" t="s">
        <v>3064</v>
      </c>
      <c r="R185" t="s">
        <v>3096</v>
      </c>
      <c r="S185" t="s">
        <v>523</v>
      </c>
      <c r="T185" t="s">
        <v>376</v>
      </c>
      <c r="U185" t="s">
        <v>40</v>
      </c>
      <c r="V185" s="1">
        <v>42503</v>
      </c>
      <c r="W185">
        <v>0</v>
      </c>
      <c r="X185">
        <v>14</v>
      </c>
      <c r="AA185" t="s">
        <v>42</v>
      </c>
      <c r="AB185" t="s">
        <v>43</v>
      </c>
      <c r="AC185" t="s">
        <v>43</v>
      </c>
      <c r="AD185" s="2" t="s">
        <v>519</v>
      </c>
    </row>
    <row r="186" spans="1:31" ht="96" x14ac:dyDescent="0.4">
      <c r="A186" t="s">
        <v>27</v>
      </c>
      <c r="B186">
        <v>2646</v>
      </c>
      <c r="C186" t="s">
        <v>2923</v>
      </c>
      <c r="D186">
        <v>58</v>
      </c>
      <c r="E186" t="s">
        <v>257</v>
      </c>
      <c r="F186" t="s">
        <v>514</v>
      </c>
      <c r="G186" t="s">
        <v>502</v>
      </c>
      <c r="H186" t="s">
        <v>503</v>
      </c>
      <c r="I186" t="s">
        <v>504</v>
      </c>
      <c r="J186" t="s">
        <v>50</v>
      </c>
      <c r="K186" t="s">
        <v>51</v>
      </c>
      <c r="L186" t="s">
        <v>505</v>
      </c>
      <c r="M186" t="s">
        <v>35</v>
      </c>
      <c r="N186" t="s">
        <v>515</v>
      </c>
      <c r="O186" t="s">
        <v>506</v>
      </c>
      <c r="P186" t="s">
        <v>3064</v>
      </c>
      <c r="R186" t="s">
        <v>3096</v>
      </c>
      <c r="S186" t="s">
        <v>523</v>
      </c>
      <c r="T186" t="s">
        <v>376</v>
      </c>
      <c r="U186" t="s">
        <v>40</v>
      </c>
      <c r="V186" s="1">
        <v>42503</v>
      </c>
      <c r="W186">
        <v>0</v>
      </c>
      <c r="X186">
        <v>16</v>
      </c>
      <c r="AA186" t="s">
        <v>42</v>
      </c>
      <c r="AB186" t="s">
        <v>43</v>
      </c>
      <c r="AC186" t="s">
        <v>43</v>
      </c>
      <c r="AD186" s="2" t="s">
        <v>519</v>
      </c>
    </row>
    <row r="187" spans="1:31" x14ac:dyDescent="0.4">
      <c r="A187" t="s">
        <v>27</v>
      </c>
      <c r="B187">
        <v>5161</v>
      </c>
      <c r="C187" t="s">
        <v>2924</v>
      </c>
      <c r="D187">
        <v>59</v>
      </c>
      <c r="E187" t="s">
        <v>28</v>
      </c>
      <c r="F187" t="s">
        <v>524</v>
      </c>
      <c r="G187" t="s">
        <v>525</v>
      </c>
      <c r="H187" t="s">
        <v>526</v>
      </c>
      <c r="J187" t="s">
        <v>527</v>
      </c>
      <c r="K187" t="s">
        <v>528</v>
      </c>
      <c r="L187" t="s">
        <v>529</v>
      </c>
      <c r="M187" t="s">
        <v>35</v>
      </c>
      <c r="N187">
        <v>7857544054</v>
      </c>
      <c r="O187" t="s">
        <v>530</v>
      </c>
      <c r="P187" t="s">
        <v>531</v>
      </c>
      <c r="R187" t="s">
        <v>532</v>
      </c>
      <c r="S187" t="s">
        <v>533</v>
      </c>
      <c r="T187" t="s">
        <v>534</v>
      </c>
      <c r="U187" t="s">
        <v>82</v>
      </c>
      <c r="V187" s="1">
        <v>43194</v>
      </c>
      <c r="W187">
        <v>0</v>
      </c>
      <c r="X187">
        <v>10</v>
      </c>
      <c r="AA187" t="s">
        <v>42</v>
      </c>
      <c r="AB187" t="s">
        <v>43</v>
      </c>
      <c r="AC187" t="s">
        <v>43</v>
      </c>
    </row>
    <row r="188" spans="1:31" x14ac:dyDescent="0.4">
      <c r="A188" t="s">
        <v>27</v>
      </c>
      <c r="B188">
        <v>5161</v>
      </c>
      <c r="C188" t="s">
        <v>2924</v>
      </c>
      <c r="D188">
        <v>59</v>
      </c>
      <c r="E188" t="s">
        <v>28</v>
      </c>
      <c r="F188" t="s">
        <v>524</v>
      </c>
      <c r="G188" t="s">
        <v>525</v>
      </c>
      <c r="H188" t="s">
        <v>526</v>
      </c>
      <c r="J188" t="s">
        <v>527</v>
      </c>
      <c r="K188" t="s">
        <v>528</v>
      </c>
      <c r="L188" t="s">
        <v>529</v>
      </c>
      <c r="M188" t="s">
        <v>35</v>
      </c>
      <c r="N188">
        <v>7857544054</v>
      </c>
      <c r="O188" t="s">
        <v>530</v>
      </c>
      <c r="P188" t="s">
        <v>531</v>
      </c>
      <c r="R188" t="s">
        <v>532</v>
      </c>
      <c r="S188" t="s">
        <v>533</v>
      </c>
      <c r="T188" t="s">
        <v>534</v>
      </c>
      <c r="U188" t="s">
        <v>82</v>
      </c>
      <c r="V188" s="1">
        <v>43194</v>
      </c>
      <c r="W188">
        <v>0</v>
      </c>
      <c r="X188">
        <v>11</v>
      </c>
      <c r="AA188" t="s">
        <v>42</v>
      </c>
      <c r="AB188" t="s">
        <v>43</v>
      </c>
      <c r="AC188" t="s">
        <v>43</v>
      </c>
    </row>
    <row r="189" spans="1:31" x14ac:dyDescent="0.4">
      <c r="A189" t="s">
        <v>27</v>
      </c>
      <c r="B189">
        <v>323</v>
      </c>
      <c r="C189" t="s">
        <v>2925</v>
      </c>
      <c r="D189">
        <v>60</v>
      </c>
      <c r="E189" t="s">
        <v>68</v>
      </c>
      <c r="F189" t="s">
        <v>535</v>
      </c>
      <c r="G189" t="s">
        <v>536</v>
      </c>
      <c r="H189">
        <v>22</v>
      </c>
      <c r="I189" t="s">
        <v>537</v>
      </c>
      <c r="J189" t="s">
        <v>538</v>
      </c>
      <c r="K189" t="s">
        <v>73</v>
      </c>
      <c r="L189" t="s">
        <v>539</v>
      </c>
      <c r="M189" t="s">
        <v>35</v>
      </c>
      <c r="N189">
        <v>127664196</v>
      </c>
      <c r="O189" t="s">
        <v>540</v>
      </c>
      <c r="P189" t="s">
        <v>2925</v>
      </c>
      <c r="R189" t="s">
        <v>541</v>
      </c>
      <c r="S189" t="s">
        <v>542</v>
      </c>
      <c r="T189" t="s">
        <v>58</v>
      </c>
      <c r="U189" t="s">
        <v>40</v>
      </c>
      <c r="V189" s="1">
        <v>43790</v>
      </c>
      <c r="W189">
        <v>0</v>
      </c>
      <c r="X189">
        <v>4</v>
      </c>
      <c r="Y189" t="s">
        <v>65</v>
      </c>
      <c r="AA189" t="s">
        <v>42</v>
      </c>
      <c r="AB189" t="s">
        <v>43</v>
      </c>
      <c r="AC189" t="s">
        <v>43</v>
      </c>
    </row>
    <row r="190" spans="1:31" x14ac:dyDescent="0.4">
      <c r="A190" t="s">
        <v>27</v>
      </c>
      <c r="B190">
        <v>323</v>
      </c>
      <c r="C190" t="s">
        <v>2925</v>
      </c>
      <c r="D190">
        <v>61</v>
      </c>
      <c r="E190" t="s">
        <v>68</v>
      </c>
      <c r="F190" t="s">
        <v>535</v>
      </c>
      <c r="G190" t="s">
        <v>536</v>
      </c>
      <c r="H190">
        <v>22</v>
      </c>
      <c r="I190" t="s">
        <v>537</v>
      </c>
      <c r="J190" t="s">
        <v>538</v>
      </c>
      <c r="K190" t="s">
        <v>73</v>
      </c>
      <c r="L190" t="s">
        <v>539</v>
      </c>
      <c r="M190" t="s">
        <v>35</v>
      </c>
      <c r="N190">
        <v>127664196</v>
      </c>
      <c r="O190" t="s">
        <v>540</v>
      </c>
      <c r="P190" t="s">
        <v>2925</v>
      </c>
      <c r="R190" t="s">
        <v>3097</v>
      </c>
      <c r="S190" t="s">
        <v>544</v>
      </c>
      <c r="T190" t="s">
        <v>58</v>
      </c>
      <c r="U190" t="s">
        <v>40</v>
      </c>
      <c r="V190" s="1">
        <v>44951</v>
      </c>
      <c r="W190">
        <v>0</v>
      </c>
      <c r="X190">
        <v>4</v>
      </c>
      <c r="Y190" t="s">
        <v>65</v>
      </c>
      <c r="AA190" t="s">
        <v>42</v>
      </c>
      <c r="AB190" t="s">
        <v>43</v>
      </c>
      <c r="AC190" t="s">
        <v>43</v>
      </c>
    </row>
    <row r="191" spans="1:31" x14ac:dyDescent="0.4">
      <c r="A191" t="s">
        <v>27</v>
      </c>
      <c r="B191">
        <v>323</v>
      </c>
      <c r="C191" t="s">
        <v>2925</v>
      </c>
      <c r="D191">
        <v>61</v>
      </c>
      <c r="E191" t="s">
        <v>68</v>
      </c>
      <c r="F191" t="s">
        <v>535</v>
      </c>
      <c r="G191" t="s">
        <v>536</v>
      </c>
      <c r="H191">
        <v>22</v>
      </c>
      <c r="I191" t="s">
        <v>537</v>
      </c>
      <c r="J191" t="s">
        <v>538</v>
      </c>
      <c r="K191" t="s">
        <v>73</v>
      </c>
      <c r="L191" t="s">
        <v>539</v>
      </c>
      <c r="M191" t="s">
        <v>35</v>
      </c>
      <c r="N191">
        <v>127664196</v>
      </c>
      <c r="O191" t="s">
        <v>540</v>
      </c>
      <c r="P191" t="s">
        <v>2925</v>
      </c>
      <c r="R191" t="s">
        <v>3097</v>
      </c>
      <c r="S191" t="s">
        <v>544</v>
      </c>
      <c r="T191" t="s">
        <v>58</v>
      </c>
      <c r="U191" t="s">
        <v>40</v>
      </c>
      <c r="V191" s="1">
        <v>44951</v>
      </c>
      <c r="W191">
        <v>0</v>
      </c>
      <c r="X191">
        <v>5</v>
      </c>
      <c r="Y191" t="s">
        <v>66</v>
      </c>
      <c r="AA191" t="s">
        <v>42</v>
      </c>
      <c r="AB191" t="s">
        <v>43</v>
      </c>
      <c r="AC191" t="s">
        <v>43</v>
      </c>
    </row>
    <row r="192" spans="1:31" x14ac:dyDescent="0.4">
      <c r="A192" t="s">
        <v>27</v>
      </c>
      <c r="B192">
        <v>323</v>
      </c>
      <c r="C192" t="s">
        <v>2925</v>
      </c>
      <c r="D192">
        <v>60</v>
      </c>
      <c r="E192" t="s">
        <v>68</v>
      </c>
      <c r="F192" t="s">
        <v>535</v>
      </c>
      <c r="G192" t="s">
        <v>536</v>
      </c>
      <c r="H192">
        <v>22</v>
      </c>
      <c r="I192" t="s">
        <v>537</v>
      </c>
      <c r="J192" t="s">
        <v>538</v>
      </c>
      <c r="K192" t="s">
        <v>73</v>
      </c>
      <c r="L192" t="s">
        <v>539</v>
      </c>
      <c r="M192" t="s">
        <v>35</v>
      </c>
      <c r="N192">
        <v>127664196</v>
      </c>
      <c r="O192" t="s">
        <v>540</v>
      </c>
      <c r="P192" t="s">
        <v>2925</v>
      </c>
      <c r="R192" t="s">
        <v>541</v>
      </c>
      <c r="S192" t="s">
        <v>542</v>
      </c>
      <c r="T192" t="s">
        <v>58</v>
      </c>
      <c r="U192" t="s">
        <v>40</v>
      </c>
      <c r="V192" s="1">
        <v>43790</v>
      </c>
      <c r="W192">
        <v>0</v>
      </c>
      <c r="X192">
        <v>6</v>
      </c>
      <c r="Y192" t="s">
        <v>83</v>
      </c>
      <c r="AA192" t="s">
        <v>42</v>
      </c>
      <c r="AB192" t="s">
        <v>43</v>
      </c>
      <c r="AC192" t="s">
        <v>43</v>
      </c>
    </row>
    <row r="193" spans="1:31" x14ac:dyDescent="0.4">
      <c r="A193" t="s">
        <v>27</v>
      </c>
      <c r="B193">
        <v>323</v>
      </c>
      <c r="C193" t="s">
        <v>2925</v>
      </c>
      <c r="D193">
        <v>60</v>
      </c>
      <c r="E193" t="s">
        <v>68</v>
      </c>
      <c r="F193" t="s">
        <v>535</v>
      </c>
      <c r="G193" t="s">
        <v>536</v>
      </c>
      <c r="H193">
        <v>22</v>
      </c>
      <c r="I193" t="s">
        <v>537</v>
      </c>
      <c r="J193" t="s">
        <v>538</v>
      </c>
      <c r="K193" t="s">
        <v>73</v>
      </c>
      <c r="L193" t="s">
        <v>539</v>
      </c>
      <c r="M193" t="s">
        <v>35</v>
      </c>
      <c r="N193">
        <v>127664196</v>
      </c>
      <c r="O193" t="s">
        <v>540</v>
      </c>
      <c r="P193" t="s">
        <v>2925</v>
      </c>
      <c r="R193" t="s">
        <v>541</v>
      </c>
      <c r="S193" t="s">
        <v>542</v>
      </c>
      <c r="T193" t="s">
        <v>58</v>
      </c>
      <c r="U193" t="s">
        <v>40</v>
      </c>
      <c r="V193" s="1">
        <v>43790</v>
      </c>
      <c r="W193">
        <v>0</v>
      </c>
      <c r="X193">
        <v>12</v>
      </c>
      <c r="AA193" t="s">
        <v>42</v>
      </c>
      <c r="AB193" t="s">
        <v>43</v>
      </c>
      <c r="AC193" t="s">
        <v>43</v>
      </c>
    </row>
    <row r="194" spans="1:31" x14ac:dyDescent="0.4">
      <c r="A194" t="s">
        <v>27</v>
      </c>
      <c r="B194">
        <v>323</v>
      </c>
      <c r="C194" t="s">
        <v>2925</v>
      </c>
      <c r="D194">
        <v>60</v>
      </c>
      <c r="E194" t="s">
        <v>68</v>
      </c>
      <c r="F194" t="s">
        <v>535</v>
      </c>
      <c r="G194" t="s">
        <v>536</v>
      </c>
      <c r="H194">
        <v>22</v>
      </c>
      <c r="I194" t="s">
        <v>537</v>
      </c>
      <c r="J194" t="s">
        <v>538</v>
      </c>
      <c r="K194" t="s">
        <v>73</v>
      </c>
      <c r="L194" t="s">
        <v>539</v>
      </c>
      <c r="M194" t="s">
        <v>35</v>
      </c>
      <c r="N194">
        <v>127664196</v>
      </c>
      <c r="O194" t="s">
        <v>540</v>
      </c>
      <c r="P194" t="s">
        <v>2925</v>
      </c>
      <c r="R194" t="s">
        <v>541</v>
      </c>
      <c r="S194" t="s">
        <v>542</v>
      </c>
      <c r="T194" t="s">
        <v>58</v>
      </c>
      <c r="U194" t="s">
        <v>40</v>
      </c>
      <c r="V194" s="1">
        <v>43790</v>
      </c>
      <c r="W194">
        <v>0</v>
      </c>
      <c r="X194">
        <v>16</v>
      </c>
      <c r="AA194" t="s">
        <v>42</v>
      </c>
      <c r="AB194" t="s">
        <v>43</v>
      </c>
      <c r="AC194" t="s">
        <v>43</v>
      </c>
    </row>
    <row r="195" spans="1:31" x14ac:dyDescent="0.4">
      <c r="A195" t="s">
        <v>27</v>
      </c>
      <c r="B195">
        <v>5415</v>
      </c>
      <c r="C195" t="s">
        <v>552</v>
      </c>
      <c r="D195">
        <v>63</v>
      </c>
      <c r="E195" t="s">
        <v>68</v>
      </c>
      <c r="F195" t="s">
        <v>545</v>
      </c>
      <c r="G195" t="s">
        <v>546</v>
      </c>
      <c r="H195" t="s">
        <v>547</v>
      </c>
      <c r="I195" t="s">
        <v>548</v>
      </c>
      <c r="J195" t="s">
        <v>549</v>
      </c>
      <c r="K195" t="s">
        <v>528</v>
      </c>
      <c r="L195" t="s">
        <v>550</v>
      </c>
      <c r="M195" t="s">
        <v>35</v>
      </c>
      <c r="N195">
        <v>1243266606</v>
      </c>
      <c r="O195" t="s">
        <v>551</v>
      </c>
      <c r="P195" t="s">
        <v>552</v>
      </c>
      <c r="R195" t="s">
        <v>553</v>
      </c>
      <c r="S195" t="s">
        <v>554</v>
      </c>
      <c r="T195" t="s">
        <v>555</v>
      </c>
      <c r="U195" t="s">
        <v>82</v>
      </c>
      <c r="V195" s="1">
        <v>43774</v>
      </c>
      <c r="W195">
        <v>0</v>
      </c>
      <c r="X195">
        <v>11</v>
      </c>
      <c r="AA195" t="s">
        <v>42</v>
      </c>
      <c r="AB195" t="s">
        <v>43</v>
      </c>
      <c r="AC195" t="s">
        <v>43</v>
      </c>
      <c r="AE195" t="s">
        <v>556</v>
      </c>
    </row>
    <row r="196" spans="1:31" x14ac:dyDescent="0.4">
      <c r="A196" t="s">
        <v>27</v>
      </c>
      <c r="B196">
        <v>5415</v>
      </c>
      <c r="C196" t="s">
        <v>552</v>
      </c>
      <c r="D196">
        <v>63</v>
      </c>
      <c r="E196" t="s">
        <v>68</v>
      </c>
      <c r="F196" t="s">
        <v>545</v>
      </c>
      <c r="G196" t="s">
        <v>546</v>
      </c>
      <c r="H196" t="s">
        <v>547</v>
      </c>
      <c r="I196" t="s">
        <v>548</v>
      </c>
      <c r="J196" t="s">
        <v>549</v>
      </c>
      <c r="K196" t="s">
        <v>528</v>
      </c>
      <c r="L196" t="s">
        <v>550</v>
      </c>
      <c r="M196" t="s">
        <v>35</v>
      </c>
      <c r="N196">
        <v>1243266606</v>
      </c>
      <c r="O196" t="s">
        <v>551</v>
      </c>
      <c r="P196" t="s">
        <v>552</v>
      </c>
      <c r="R196" t="s">
        <v>553</v>
      </c>
      <c r="S196" t="s">
        <v>554</v>
      </c>
      <c r="T196" t="s">
        <v>555</v>
      </c>
      <c r="U196" t="s">
        <v>82</v>
      </c>
      <c r="V196" s="1">
        <v>43774</v>
      </c>
      <c r="W196">
        <v>0</v>
      </c>
      <c r="X196">
        <v>13</v>
      </c>
      <c r="AA196" t="s">
        <v>42</v>
      </c>
      <c r="AB196" t="s">
        <v>43</v>
      </c>
      <c r="AC196" t="s">
        <v>43</v>
      </c>
      <c r="AE196" t="s">
        <v>556</v>
      </c>
    </row>
    <row r="197" spans="1:31" x14ac:dyDescent="0.4">
      <c r="A197" t="s">
        <v>27</v>
      </c>
      <c r="B197">
        <v>5415</v>
      </c>
      <c r="C197" t="s">
        <v>552</v>
      </c>
      <c r="D197">
        <v>63</v>
      </c>
      <c r="E197" t="s">
        <v>68</v>
      </c>
      <c r="F197" t="s">
        <v>545</v>
      </c>
      <c r="G197" t="s">
        <v>546</v>
      </c>
      <c r="H197" t="s">
        <v>547</v>
      </c>
      <c r="I197" t="s">
        <v>548</v>
      </c>
      <c r="J197" t="s">
        <v>549</v>
      </c>
      <c r="K197" t="s">
        <v>528</v>
      </c>
      <c r="L197" t="s">
        <v>550</v>
      </c>
      <c r="M197" t="s">
        <v>35</v>
      </c>
      <c r="N197">
        <v>1243266606</v>
      </c>
      <c r="O197" t="s">
        <v>551</v>
      </c>
      <c r="P197" t="s">
        <v>552</v>
      </c>
      <c r="R197" t="s">
        <v>553</v>
      </c>
      <c r="S197" t="s">
        <v>554</v>
      </c>
      <c r="T197" t="s">
        <v>555</v>
      </c>
      <c r="U197" t="s">
        <v>82</v>
      </c>
      <c r="V197" s="1">
        <v>43774</v>
      </c>
      <c r="W197">
        <v>0</v>
      </c>
      <c r="X197">
        <v>15</v>
      </c>
      <c r="AA197" t="s">
        <v>42</v>
      </c>
      <c r="AB197" t="s">
        <v>43</v>
      </c>
      <c r="AC197" t="s">
        <v>43</v>
      </c>
      <c r="AE197" t="s">
        <v>556</v>
      </c>
    </row>
    <row r="198" spans="1:31" x14ac:dyDescent="0.4">
      <c r="A198" t="s">
        <v>27</v>
      </c>
      <c r="B198">
        <v>5103</v>
      </c>
      <c r="C198" t="s">
        <v>562</v>
      </c>
      <c r="D198">
        <v>62</v>
      </c>
      <c r="E198" t="s">
        <v>257</v>
      </c>
      <c r="F198" t="s">
        <v>557</v>
      </c>
      <c r="G198" t="s">
        <v>546</v>
      </c>
      <c r="H198" t="s">
        <v>558</v>
      </c>
      <c r="J198" t="s">
        <v>559</v>
      </c>
      <c r="K198" t="s">
        <v>51</v>
      </c>
      <c r="L198" t="s">
        <v>560</v>
      </c>
      <c r="M198" t="s">
        <v>35</v>
      </c>
      <c r="N198">
        <v>7542127442</v>
      </c>
      <c r="O198" t="s">
        <v>561</v>
      </c>
      <c r="P198" t="s">
        <v>562</v>
      </c>
      <c r="R198" t="s">
        <v>563</v>
      </c>
      <c r="S198" t="s">
        <v>564</v>
      </c>
      <c r="T198" t="s">
        <v>284</v>
      </c>
      <c r="U198" t="s">
        <v>82</v>
      </c>
      <c r="V198" s="1">
        <v>44386</v>
      </c>
      <c r="W198">
        <v>0</v>
      </c>
      <c r="X198">
        <v>2</v>
      </c>
      <c r="AA198" t="s">
        <v>42</v>
      </c>
      <c r="AB198" t="s">
        <v>43</v>
      </c>
      <c r="AC198" t="s">
        <v>43</v>
      </c>
    </row>
    <row r="199" spans="1:31" x14ac:dyDescent="0.4">
      <c r="A199" t="s">
        <v>27</v>
      </c>
      <c r="B199">
        <v>5103</v>
      </c>
      <c r="C199" t="s">
        <v>562</v>
      </c>
      <c r="D199">
        <v>62</v>
      </c>
      <c r="E199" t="s">
        <v>257</v>
      </c>
      <c r="F199" t="s">
        <v>557</v>
      </c>
      <c r="G199" t="s">
        <v>546</v>
      </c>
      <c r="H199" t="s">
        <v>558</v>
      </c>
      <c r="J199" t="s">
        <v>559</v>
      </c>
      <c r="K199" t="s">
        <v>51</v>
      </c>
      <c r="L199" t="s">
        <v>560</v>
      </c>
      <c r="M199" t="s">
        <v>35</v>
      </c>
      <c r="N199">
        <v>7542127442</v>
      </c>
      <c r="O199" t="s">
        <v>561</v>
      </c>
      <c r="P199" t="s">
        <v>562</v>
      </c>
      <c r="R199" t="s">
        <v>563</v>
      </c>
      <c r="S199" t="s">
        <v>564</v>
      </c>
      <c r="T199" t="s">
        <v>284</v>
      </c>
      <c r="U199" t="s">
        <v>82</v>
      </c>
      <c r="V199" s="1">
        <v>44386</v>
      </c>
      <c r="W199">
        <v>0</v>
      </c>
      <c r="X199">
        <v>10</v>
      </c>
      <c r="AA199" t="s">
        <v>42</v>
      </c>
      <c r="AB199" t="s">
        <v>43</v>
      </c>
      <c r="AC199" t="s">
        <v>43</v>
      </c>
    </row>
    <row r="200" spans="1:31" hidden="1" x14ac:dyDescent="0.4">
      <c r="A200" t="s">
        <v>27</v>
      </c>
      <c r="B200">
        <v>5103</v>
      </c>
      <c r="C200" t="s">
        <v>562</v>
      </c>
      <c r="E200" t="s">
        <v>257</v>
      </c>
      <c r="F200" t="s">
        <v>557</v>
      </c>
      <c r="G200" t="s">
        <v>546</v>
      </c>
      <c r="H200" t="s">
        <v>558</v>
      </c>
      <c r="J200" t="s">
        <v>559</v>
      </c>
      <c r="K200" t="s">
        <v>51</v>
      </c>
      <c r="L200" t="s">
        <v>560</v>
      </c>
      <c r="M200" t="s">
        <v>35</v>
      </c>
      <c r="N200">
        <v>7542127442</v>
      </c>
      <c r="O200" t="s">
        <v>561</v>
      </c>
      <c r="P200" t="s">
        <v>562</v>
      </c>
      <c r="R200" t="s">
        <v>565</v>
      </c>
      <c r="S200" t="s">
        <v>566</v>
      </c>
      <c r="T200" t="s">
        <v>567</v>
      </c>
      <c r="U200" t="s">
        <v>40</v>
      </c>
      <c r="V200" s="1">
        <v>42134</v>
      </c>
      <c r="W200">
        <v>0</v>
      </c>
      <c r="X200">
        <v>0</v>
      </c>
      <c r="Y200" t="s">
        <v>59</v>
      </c>
      <c r="AA200" t="s">
        <v>42</v>
      </c>
      <c r="AB200" t="s">
        <v>43</v>
      </c>
      <c r="AC200" t="s">
        <v>43</v>
      </c>
    </row>
    <row r="201" spans="1:31" hidden="1" x14ac:dyDescent="0.4">
      <c r="A201" t="s">
        <v>27</v>
      </c>
      <c r="B201">
        <v>5768</v>
      </c>
      <c r="C201" t="s">
        <v>2926</v>
      </c>
      <c r="E201" t="s">
        <v>68</v>
      </c>
      <c r="F201" t="s">
        <v>568</v>
      </c>
      <c r="G201" t="s">
        <v>546</v>
      </c>
      <c r="H201" t="s">
        <v>558</v>
      </c>
      <c r="J201" t="s">
        <v>559</v>
      </c>
      <c r="K201" t="s">
        <v>51</v>
      </c>
      <c r="L201" t="s">
        <v>560</v>
      </c>
      <c r="M201" t="s">
        <v>35</v>
      </c>
      <c r="N201">
        <v>7867672902</v>
      </c>
      <c r="O201" t="s">
        <v>569</v>
      </c>
      <c r="P201" t="s">
        <v>565</v>
      </c>
      <c r="R201" t="s">
        <v>565</v>
      </c>
      <c r="S201" t="s">
        <v>566</v>
      </c>
      <c r="T201" t="s">
        <v>567</v>
      </c>
      <c r="U201" t="s">
        <v>40</v>
      </c>
      <c r="V201" s="1">
        <v>42134</v>
      </c>
      <c r="W201">
        <v>0</v>
      </c>
      <c r="X201">
        <v>0</v>
      </c>
      <c r="Y201" t="s">
        <v>59</v>
      </c>
      <c r="AA201" t="s">
        <v>42</v>
      </c>
      <c r="AB201" t="s">
        <v>43</v>
      </c>
      <c r="AC201" t="s">
        <v>43</v>
      </c>
    </row>
    <row r="202" spans="1:31" x14ac:dyDescent="0.4">
      <c r="A202" t="s">
        <v>27</v>
      </c>
      <c r="B202">
        <v>1457</v>
      </c>
      <c r="C202" t="s">
        <v>577</v>
      </c>
      <c r="D202">
        <v>64</v>
      </c>
      <c r="E202" t="s">
        <v>68</v>
      </c>
      <c r="F202" t="s">
        <v>570</v>
      </c>
      <c r="G202" t="s">
        <v>571</v>
      </c>
      <c r="H202" t="s">
        <v>572</v>
      </c>
      <c r="I202" t="s">
        <v>573</v>
      </c>
      <c r="J202" t="s">
        <v>574</v>
      </c>
      <c r="K202" t="s">
        <v>73</v>
      </c>
      <c r="L202" t="s">
        <v>575</v>
      </c>
      <c r="M202" t="s">
        <v>35</v>
      </c>
      <c r="N202">
        <v>1293771809</v>
      </c>
      <c r="O202" t="s">
        <v>576</v>
      </c>
      <c r="P202" t="s">
        <v>577</v>
      </c>
      <c r="R202" t="s">
        <v>3098</v>
      </c>
      <c r="S202" t="s">
        <v>579</v>
      </c>
      <c r="T202" t="s">
        <v>284</v>
      </c>
      <c r="U202" t="s">
        <v>82</v>
      </c>
      <c r="V202" s="1">
        <v>43734</v>
      </c>
      <c r="W202">
        <v>0</v>
      </c>
      <c r="X202">
        <v>7</v>
      </c>
      <c r="AA202" t="s">
        <v>42</v>
      </c>
      <c r="AB202" t="s">
        <v>43</v>
      </c>
      <c r="AC202" t="s">
        <v>43</v>
      </c>
    </row>
    <row r="203" spans="1:31" x14ac:dyDescent="0.4">
      <c r="A203" t="s">
        <v>27</v>
      </c>
      <c r="B203">
        <v>1457</v>
      </c>
      <c r="C203" t="s">
        <v>577</v>
      </c>
      <c r="D203">
        <v>64</v>
      </c>
      <c r="E203" t="s">
        <v>68</v>
      </c>
      <c r="F203" t="s">
        <v>570</v>
      </c>
      <c r="G203" t="s">
        <v>571</v>
      </c>
      <c r="H203" t="s">
        <v>572</v>
      </c>
      <c r="I203" t="s">
        <v>573</v>
      </c>
      <c r="J203" t="s">
        <v>574</v>
      </c>
      <c r="K203" t="s">
        <v>73</v>
      </c>
      <c r="L203" t="s">
        <v>575</v>
      </c>
      <c r="M203" t="s">
        <v>35</v>
      </c>
      <c r="N203">
        <v>1293771809</v>
      </c>
      <c r="O203" t="s">
        <v>576</v>
      </c>
      <c r="P203" t="s">
        <v>577</v>
      </c>
      <c r="R203" t="s">
        <v>3098</v>
      </c>
      <c r="S203" t="s">
        <v>579</v>
      </c>
      <c r="T203" t="s">
        <v>284</v>
      </c>
      <c r="U203" t="s">
        <v>82</v>
      </c>
      <c r="V203" s="1">
        <v>43734</v>
      </c>
      <c r="W203">
        <v>0</v>
      </c>
      <c r="X203">
        <v>19</v>
      </c>
      <c r="AA203" t="s">
        <v>42</v>
      </c>
      <c r="AB203" t="s">
        <v>43</v>
      </c>
      <c r="AC203" t="s">
        <v>43</v>
      </c>
    </row>
    <row r="204" spans="1:31" x14ac:dyDescent="0.4">
      <c r="A204" t="s">
        <v>27</v>
      </c>
      <c r="B204">
        <v>288</v>
      </c>
      <c r="C204" t="s">
        <v>587</v>
      </c>
      <c r="D204">
        <v>66</v>
      </c>
      <c r="E204" t="s">
        <v>257</v>
      </c>
      <c r="F204" t="s">
        <v>581</v>
      </c>
      <c r="G204" t="s">
        <v>582</v>
      </c>
      <c r="H204" t="s">
        <v>583</v>
      </c>
      <c r="J204" t="s">
        <v>584</v>
      </c>
      <c r="K204" t="s">
        <v>242</v>
      </c>
      <c r="L204" t="s">
        <v>585</v>
      </c>
      <c r="M204" t="s">
        <v>35</v>
      </c>
      <c r="N204">
        <v>7808949599</v>
      </c>
      <c r="O204" t="s">
        <v>586</v>
      </c>
      <c r="P204" t="s">
        <v>587</v>
      </c>
      <c r="R204" t="s">
        <v>3047</v>
      </c>
      <c r="S204" t="s">
        <v>589</v>
      </c>
      <c r="T204" t="s">
        <v>590</v>
      </c>
      <c r="U204" t="s">
        <v>82</v>
      </c>
      <c r="V204" s="1">
        <v>43768</v>
      </c>
      <c r="W204">
        <v>0</v>
      </c>
      <c r="X204">
        <v>4</v>
      </c>
      <c r="Y204" t="s">
        <v>65</v>
      </c>
      <c r="AA204" t="s">
        <v>42</v>
      </c>
      <c r="AB204" t="s">
        <v>43</v>
      </c>
      <c r="AC204" t="s">
        <v>43</v>
      </c>
      <c r="AD204" t="s">
        <v>591</v>
      </c>
    </row>
    <row r="205" spans="1:31" x14ac:dyDescent="0.4">
      <c r="A205" t="s">
        <v>27</v>
      </c>
      <c r="B205">
        <v>288</v>
      </c>
      <c r="C205" t="s">
        <v>587</v>
      </c>
      <c r="D205">
        <v>65</v>
      </c>
      <c r="E205" t="s">
        <v>257</v>
      </c>
      <c r="F205" t="s">
        <v>581</v>
      </c>
      <c r="G205" t="s">
        <v>582</v>
      </c>
      <c r="H205" t="s">
        <v>583</v>
      </c>
      <c r="J205" t="s">
        <v>584</v>
      </c>
      <c r="K205" t="s">
        <v>242</v>
      </c>
      <c r="L205" t="s">
        <v>585</v>
      </c>
      <c r="M205" t="s">
        <v>35</v>
      </c>
      <c r="N205">
        <v>7808949599</v>
      </c>
      <c r="O205" t="s">
        <v>586</v>
      </c>
      <c r="P205" t="s">
        <v>587</v>
      </c>
      <c r="R205" t="s">
        <v>592</v>
      </c>
      <c r="S205" t="s">
        <v>593</v>
      </c>
      <c r="T205" t="s">
        <v>232</v>
      </c>
      <c r="U205" t="s">
        <v>40</v>
      </c>
      <c r="V205" s="1">
        <v>45191</v>
      </c>
      <c r="W205">
        <v>0</v>
      </c>
      <c r="X205">
        <v>4</v>
      </c>
      <c r="Y205" t="s">
        <v>65</v>
      </c>
      <c r="AA205" t="s">
        <v>42</v>
      </c>
      <c r="AB205" t="s">
        <v>43</v>
      </c>
      <c r="AC205" t="s">
        <v>43</v>
      </c>
      <c r="AD205" t="s">
        <v>591</v>
      </c>
    </row>
    <row r="206" spans="1:31" x14ac:dyDescent="0.4">
      <c r="A206" t="s">
        <v>27</v>
      </c>
      <c r="B206">
        <v>288</v>
      </c>
      <c r="C206" t="s">
        <v>587</v>
      </c>
      <c r="D206">
        <v>66</v>
      </c>
      <c r="E206" t="s">
        <v>257</v>
      </c>
      <c r="F206" t="s">
        <v>581</v>
      </c>
      <c r="G206" t="s">
        <v>582</v>
      </c>
      <c r="H206" t="s">
        <v>583</v>
      </c>
      <c r="J206" t="s">
        <v>584</v>
      </c>
      <c r="K206" t="s">
        <v>242</v>
      </c>
      <c r="L206" t="s">
        <v>585</v>
      </c>
      <c r="M206" t="s">
        <v>35</v>
      </c>
      <c r="N206">
        <v>7808949599</v>
      </c>
      <c r="O206" t="s">
        <v>586</v>
      </c>
      <c r="P206" t="s">
        <v>587</v>
      </c>
      <c r="R206" t="s">
        <v>3047</v>
      </c>
      <c r="S206" t="s">
        <v>589</v>
      </c>
      <c r="T206" t="s">
        <v>590</v>
      </c>
      <c r="U206" t="s">
        <v>82</v>
      </c>
      <c r="V206" s="1">
        <v>43768</v>
      </c>
      <c r="W206">
        <v>0</v>
      </c>
      <c r="X206">
        <v>5</v>
      </c>
      <c r="Y206" t="s">
        <v>66</v>
      </c>
      <c r="AA206" t="s">
        <v>42</v>
      </c>
      <c r="AB206" t="s">
        <v>43</v>
      </c>
      <c r="AC206" t="s">
        <v>43</v>
      </c>
      <c r="AD206" t="s">
        <v>591</v>
      </c>
    </row>
    <row r="207" spans="1:31" x14ac:dyDescent="0.4">
      <c r="A207" t="s">
        <v>27</v>
      </c>
      <c r="B207">
        <v>288</v>
      </c>
      <c r="C207" t="s">
        <v>587</v>
      </c>
      <c r="D207">
        <v>66</v>
      </c>
      <c r="E207" t="s">
        <v>257</v>
      </c>
      <c r="F207" t="s">
        <v>581</v>
      </c>
      <c r="G207" t="s">
        <v>582</v>
      </c>
      <c r="H207" t="s">
        <v>583</v>
      </c>
      <c r="J207" t="s">
        <v>584</v>
      </c>
      <c r="K207" t="s">
        <v>242</v>
      </c>
      <c r="L207" t="s">
        <v>585</v>
      </c>
      <c r="M207" t="s">
        <v>35</v>
      </c>
      <c r="N207">
        <v>7808949599</v>
      </c>
      <c r="O207" t="s">
        <v>586</v>
      </c>
      <c r="P207" t="s">
        <v>587</v>
      </c>
      <c r="R207" t="s">
        <v>3047</v>
      </c>
      <c r="S207" t="s">
        <v>589</v>
      </c>
      <c r="T207" t="s">
        <v>590</v>
      </c>
      <c r="U207" t="s">
        <v>82</v>
      </c>
      <c r="V207" s="1">
        <v>43768</v>
      </c>
      <c r="W207">
        <v>0</v>
      </c>
      <c r="X207">
        <v>13</v>
      </c>
      <c r="AA207" t="s">
        <v>42</v>
      </c>
      <c r="AB207" t="s">
        <v>43</v>
      </c>
      <c r="AC207" t="s">
        <v>43</v>
      </c>
      <c r="AD207" t="s">
        <v>591</v>
      </c>
    </row>
    <row r="208" spans="1:31" x14ac:dyDescent="0.4">
      <c r="A208" t="s">
        <v>27</v>
      </c>
      <c r="B208">
        <v>288</v>
      </c>
      <c r="C208" t="s">
        <v>587</v>
      </c>
      <c r="D208">
        <v>65</v>
      </c>
      <c r="E208" t="s">
        <v>257</v>
      </c>
      <c r="F208" t="s">
        <v>581</v>
      </c>
      <c r="G208" t="s">
        <v>582</v>
      </c>
      <c r="H208" t="s">
        <v>583</v>
      </c>
      <c r="J208" t="s">
        <v>584</v>
      </c>
      <c r="K208" t="s">
        <v>242</v>
      </c>
      <c r="L208" t="s">
        <v>585</v>
      </c>
      <c r="M208" t="s">
        <v>35</v>
      </c>
      <c r="N208">
        <v>7808949599</v>
      </c>
      <c r="O208" t="s">
        <v>586</v>
      </c>
      <c r="P208" t="s">
        <v>587</v>
      </c>
      <c r="R208" t="s">
        <v>592</v>
      </c>
      <c r="S208" t="s">
        <v>593</v>
      </c>
      <c r="T208" t="s">
        <v>232</v>
      </c>
      <c r="U208" t="s">
        <v>40</v>
      </c>
      <c r="V208" s="1">
        <v>45191</v>
      </c>
      <c r="W208">
        <v>0</v>
      </c>
      <c r="X208">
        <v>12</v>
      </c>
      <c r="AA208" t="s">
        <v>42</v>
      </c>
      <c r="AB208" t="s">
        <v>43</v>
      </c>
      <c r="AC208" t="s">
        <v>43</v>
      </c>
      <c r="AD208" t="s">
        <v>591</v>
      </c>
    </row>
    <row r="209" spans="1:30" x14ac:dyDescent="0.4">
      <c r="A209" t="s">
        <v>27</v>
      </c>
      <c r="B209">
        <v>288</v>
      </c>
      <c r="C209" t="s">
        <v>587</v>
      </c>
      <c r="D209">
        <v>66</v>
      </c>
      <c r="E209" t="s">
        <v>257</v>
      </c>
      <c r="F209" t="s">
        <v>581</v>
      </c>
      <c r="G209" t="s">
        <v>582</v>
      </c>
      <c r="H209" t="s">
        <v>583</v>
      </c>
      <c r="J209" t="s">
        <v>584</v>
      </c>
      <c r="K209" t="s">
        <v>242</v>
      </c>
      <c r="L209" t="s">
        <v>585</v>
      </c>
      <c r="M209" t="s">
        <v>35</v>
      </c>
      <c r="N209">
        <v>7808949599</v>
      </c>
      <c r="O209" t="s">
        <v>586</v>
      </c>
      <c r="P209" t="s">
        <v>587</v>
      </c>
      <c r="R209" t="s">
        <v>3047</v>
      </c>
      <c r="S209" t="s">
        <v>589</v>
      </c>
      <c r="T209" t="s">
        <v>590</v>
      </c>
      <c r="U209" t="s">
        <v>82</v>
      </c>
      <c r="V209" s="1">
        <v>43768</v>
      </c>
      <c r="W209">
        <v>0</v>
      </c>
      <c r="X209">
        <v>15</v>
      </c>
      <c r="AA209" t="s">
        <v>42</v>
      </c>
      <c r="AB209" t="s">
        <v>43</v>
      </c>
      <c r="AC209" t="s">
        <v>43</v>
      </c>
      <c r="AD209" t="s">
        <v>591</v>
      </c>
    </row>
    <row r="210" spans="1:30" x14ac:dyDescent="0.4">
      <c r="A210" t="s">
        <v>27</v>
      </c>
      <c r="B210">
        <v>406</v>
      </c>
      <c r="C210" t="s">
        <v>2853</v>
      </c>
      <c r="D210">
        <v>67</v>
      </c>
      <c r="E210" t="s">
        <v>68</v>
      </c>
      <c r="F210" t="s">
        <v>594</v>
      </c>
      <c r="G210" t="s">
        <v>595</v>
      </c>
      <c r="H210" t="s">
        <v>596</v>
      </c>
      <c r="J210" t="s">
        <v>597</v>
      </c>
      <c r="K210" t="s">
        <v>598</v>
      </c>
      <c r="L210" t="s">
        <v>599</v>
      </c>
      <c r="M210" t="s">
        <v>35</v>
      </c>
      <c r="N210">
        <v>1993844805</v>
      </c>
      <c r="O210" t="s">
        <v>600</v>
      </c>
      <c r="P210" t="s">
        <v>2853</v>
      </c>
      <c r="R210" t="s">
        <v>601</v>
      </c>
      <c r="S210" t="s">
        <v>602</v>
      </c>
      <c r="T210" t="s">
        <v>376</v>
      </c>
      <c r="U210" t="s">
        <v>40</v>
      </c>
      <c r="V210" s="1">
        <v>43203</v>
      </c>
      <c r="W210">
        <v>0</v>
      </c>
      <c r="X210">
        <v>7</v>
      </c>
      <c r="Z210" t="s">
        <v>392</v>
      </c>
      <c r="AA210" t="s">
        <v>42</v>
      </c>
      <c r="AB210" t="s">
        <v>43</v>
      </c>
      <c r="AC210" t="s">
        <v>42</v>
      </c>
    </row>
    <row r="211" spans="1:30" x14ac:dyDescent="0.4">
      <c r="A211" t="s">
        <v>27</v>
      </c>
      <c r="B211">
        <v>6278</v>
      </c>
      <c r="C211" t="s">
        <v>2927</v>
      </c>
      <c r="D211">
        <v>68</v>
      </c>
      <c r="E211" t="s">
        <v>68</v>
      </c>
      <c r="F211" t="s">
        <v>603</v>
      </c>
      <c r="G211" t="s">
        <v>604</v>
      </c>
      <c r="H211" t="s">
        <v>605</v>
      </c>
      <c r="J211" t="s">
        <v>606</v>
      </c>
      <c r="K211" t="s">
        <v>33</v>
      </c>
      <c r="L211" t="s">
        <v>607</v>
      </c>
      <c r="M211" t="s">
        <v>35</v>
      </c>
      <c r="N211">
        <v>7780861098</v>
      </c>
      <c r="O211" t="s">
        <v>608</v>
      </c>
      <c r="P211" t="s">
        <v>2927</v>
      </c>
      <c r="R211" t="s">
        <v>609</v>
      </c>
      <c r="S211" t="s">
        <v>610</v>
      </c>
      <c r="T211" t="s">
        <v>534</v>
      </c>
      <c r="U211" t="s">
        <v>82</v>
      </c>
      <c r="V211" s="1">
        <v>43631</v>
      </c>
      <c r="W211">
        <v>0</v>
      </c>
      <c r="X211">
        <v>9</v>
      </c>
      <c r="AA211" t="s">
        <v>42</v>
      </c>
      <c r="AB211" t="s">
        <v>43</v>
      </c>
      <c r="AC211" t="s">
        <v>43</v>
      </c>
    </row>
    <row r="212" spans="1:30" x14ac:dyDescent="0.4">
      <c r="A212" t="s">
        <v>27</v>
      </c>
      <c r="B212">
        <v>6278</v>
      </c>
      <c r="C212" t="s">
        <v>2927</v>
      </c>
      <c r="D212">
        <v>68</v>
      </c>
      <c r="E212" t="s">
        <v>68</v>
      </c>
      <c r="F212" t="s">
        <v>603</v>
      </c>
      <c r="G212" t="s">
        <v>604</v>
      </c>
      <c r="H212" t="s">
        <v>605</v>
      </c>
      <c r="J212" t="s">
        <v>606</v>
      </c>
      <c r="K212" t="s">
        <v>33</v>
      </c>
      <c r="L212" t="s">
        <v>607</v>
      </c>
      <c r="M212" t="s">
        <v>35</v>
      </c>
      <c r="N212">
        <v>7780861098</v>
      </c>
      <c r="O212" t="s">
        <v>608</v>
      </c>
      <c r="P212" t="s">
        <v>2927</v>
      </c>
      <c r="R212" t="s">
        <v>609</v>
      </c>
      <c r="S212" t="s">
        <v>610</v>
      </c>
      <c r="T212" t="s">
        <v>534</v>
      </c>
      <c r="U212" t="s">
        <v>82</v>
      </c>
      <c r="V212" s="1">
        <v>43631</v>
      </c>
      <c r="W212">
        <v>0</v>
      </c>
      <c r="X212">
        <v>10</v>
      </c>
      <c r="AA212" t="s">
        <v>42</v>
      </c>
      <c r="AB212" t="s">
        <v>43</v>
      </c>
      <c r="AC212" t="s">
        <v>43</v>
      </c>
    </row>
    <row r="213" spans="1:30" x14ac:dyDescent="0.4">
      <c r="A213" t="s">
        <v>27</v>
      </c>
      <c r="B213">
        <v>705</v>
      </c>
      <c r="C213" t="s">
        <v>2928</v>
      </c>
      <c r="D213">
        <v>69</v>
      </c>
      <c r="E213" t="s">
        <v>68</v>
      </c>
      <c r="F213" t="s">
        <v>611</v>
      </c>
      <c r="G213" t="s">
        <v>612</v>
      </c>
      <c r="H213" t="s">
        <v>613</v>
      </c>
      <c r="J213" t="s">
        <v>614</v>
      </c>
      <c r="K213" t="s">
        <v>426</v>
      </c>
      <c r="L213" t="s">
        <v>615</v>
      </c>
      <c r="M213" t="s">
        <v>35</v>
      </c>
      <c r="N213" t="s">
        <v>616</v>
      </c>
      <c r="O213" t="s">
        <v>617</v>
      </c>
      <c r="P213" t="s">
        <v>2928</v>
      </c>
      <c r="R213" t="s">
        <v>618</v>
      </c>
      <c r="S213" t="s">
        <v>619</v>
      </c>
      <c r="T213" t="s">
        <v>376</v>
      </c>
      <c r="U213" t="s">
        <v>82</v>
      </c>
      <c r="V213" s="1">
        <v>45220</v>
      </c>
      <c r="W213">
        <v>0</v>
      </c>
      <c r="X213">
        <v>4</v>
      </c>
      <c r="Y213" t="s">
        <v>65</v>
      </c>
      <c r="AA213" t="s">
        <v>42</v>
      </c>
      <c r="AB213" t="s">
        <v>43</v>
      </c>
      <c r="AC213" t="s">
        <v>42</v>
      </c>
    </row>
    <row r="214" spans="1:30" x14ac:dyDescent="0.4">
      <c r="A214" t="s">
        <v>27</v>
      </c>
      <c r="B214">
        <v>705</v>
      </c>
      <c r="C214" t="s">
        <v>2928</v>
      </c>
      <c r="D214">
        <v>69</v>
      </c>
      <c r="E214" t="s">
        <v>68</v>
      </c>
      <c r="F214" t="s">
        <v>611</v>
      </c>
      <c r="G214" t="s">
        <v>612</v>
      </c>
      <c r="H214" t="s">
        <v>613</v>
      </c>
      <c r="J214" t="s">
        <v>614</v>
      </c>
      <c r="K214" t="s">
        <v>426</v>
      </c>
      <c r="L214" t="s">
        <v>615</v>
      </c>
      <c r="M214" t="s">
        <v>35</v>
      </c>
      <c r="N214" t="s">
        <v>616</v>
      </c>
      <c r="O214" t="s">
        <v>617</v>
      </c>
      <c r="P214" t="s">
        <v>2928</v>
      </c>
      <c r="R214" t="s">
        <v>618</v>
      </c>
      <c r="S214" t="s">
        <v>619</v>
      </c>
      <c r="T214" t="s">
        <v>376</v>
      </c>
      <c r="U214" t="s">
        <v>82</v>
      </c>
      <c r="V214" s="1">
        <v>45220</v>
      </c>
      <c r="W214">
        <v>0</v>
      </c>
      <c r="X214">
        <v>5</v>
      </c>
      <c r="Y214" t="s">
        <v>66</v>
      </c>
      <c r="AA214" t="s">
        <v>42</v>
      </c>
      <c r="AB214" t="s">
        <v>43</v>
      </c>
      <c r="AC214" t="s">
        <v>42</v>
      </c>
    </row>
    <row r="215" spans="1:30" x14ac:dyDescent="0.4">
      <c r="A215" t="s">
        <v>27</v>
      </c>
      <c r="B215">
        <v>705</v>
      </c>
      <c r="C215" t="s">
        <v>2928</v>
      </c>
      <c r="D215">
        <v>69</v>
      </c>
      <c r="E215" t="s">
        <v>68</v>
      </c>
      <c r="F215" t="s">
        <v>611</v>
      </c>
      <c r="G215" t="s">
        <v>612</v>
      </c>
      <c r="H215" t="s">
        <v>613</v>
      </c>
      <c r="J215" t="s">
        <v>614</v>
      </c>
      <c r="K215" t="s">
        <v>426</v>
      </c>
      <c r="L215" t="s">
        <v>615</v>
      </c>
      <c r="M215" t="s">
        <v>35</v>
      </c>
      <c r="N215" t="s">
        <v>616</v>
      </c>
      <c r="O215" t="s">
        <v>617</v>
      </c>
      <c r="P215" t="s">
        <v>2928</v>
      </c>
      <c r="R215" t="s">
        <v>618</v>
      </c>
      <c r="S215" t="s">
        <v>619</v>
      </c>
      <c r="T215" t="s">
        <v>376</v>
      </c>
      <c r="U215" t="s">
        <v>82</v>
      </c>
      <c r="V215" s="1">
        <v>45220</v>
      </c>
      <c r="W215">
        <v>0</v>
      </c>
      <c r="X215">
        <v>13</v>
      </c>
      <c r="AA215" t="s">
        <v>42</v>
      </c>
      <c r="AB215" t="s">
        <v>43</v>
      </c>
      <c r="AC215" t="s">
        <v>42</v>
      </c>
    </row>
    <row r="216" spans="1:30" x14ac:dyDescent="0.4">
      <c r="A216" t="s">
        <v>27</v>
      </c>
      <c r="B216">
        <v>705</v>
      </c>
      <c r="C216" t="s">
        <v>2928</v>
      </c>
      <c r="D216">
        <v>69</v>
      </c>
      <c r="E216" t="s">
        <v>68</v>
      </c>
      <c r="F216" t="s">
        <v>611</v>
      </c>
      <c r="G216" t="s">
        <v>612</v>
      </c>
      <c r="H216" t="s">
        <v>613</v>
      </c>
      <c r="J216" t="s">
        <v>614</v>
      </c>
      <c r="K216" t="s">
        <v>426</v>
      </c>
      <c r="L216" t="s">
        <v>615</v>
      </c>
      <c r="M216" t="s">
        <v>35</v>
      </c>
      <c r="N216" t="s">
        <v>616</v>
      </c>
      <c r="O216" t="s">
        <v>617</v>
      </c>
      <c r="P216" t="s">
        <v>2928</v>
      </c>
      <c r="R216" t="s">
        <v>618</v>
      </c>
      <c r="S216" t="s">
        <v>619</v>
      </c>
      <c r="T216" t="s">
        <v>376</v>
      </c>
      <c r="U216" t="s">
        <v>82</v>
      </c>
      <c r="V216" s="1">
        <v>45220</v>
      </c>
      <c r="W216">
        <v>0</v>
      </c>
      <c r="X216">
        <v>15</v>
      </c>
      <c r="AA216" t="s">
        <v>42</v>
      </c>
      <c r="AB216" t="s">
        <v>43</v>
      </c>
      <c r="AC216" t="s">
        <v>42</v>
      </c>
    </row>
    <row r="217" spans="1:30" hidden="1" x14ac:dyDescent="0.4">
      <c r="A217" t="s">
        <v>27</v>
      </c>
      <c r="B217">
        <v>6428</v>
      </c>
      <c r="C217" t="s">
        <v>626</v>
      </c>
      <c r="E217" t="s">
        <v>28</v>
      </c>
      <c r="F217" t="s">
        <v>620</v>
      </c>
      <c r="G217" t="s">
        <v>621</v>
      </c>
      <c r="H217" t="s">
        <v>622</v>
      </c>
      <c r="J217" t="s">
        <v>623</v>
      </c>
      <c r="K217" t="s">
        <v>33</v>
      </c>
      <c r="L217" t="s">
        <v>624</v>
      </c>
      <c r="M217" t="s">
        <v>35</v>
      </c>
      <c r="N217">
        <v>7763625614</v>
      </c>
      <c r="O217" t="s">
        <v>625</v>
      </c>
      <c r="P217" t="s">
        <v>626</v>
      </c>
      <c r="R217" t="s">
        <v>627</v>
      </c>
      <c r="S217" t="s">
        <v>628</v>
      </c>
      <c r="T217" t="s">
        <v>58</v>
      </c>
      <c r="U217" t="s">
        <v>40</v>
      </c>
      <c r="V217" s="1">
        <v>45422</v>
      </c>
      <c r="W217">
        <v>0</v>
      </c>
      <c r="X217">
        <v>0</v>
      </c>
      <c r="Y217" t="s">
        <v>59</v>
      </c>
      <c r="AA217" t="s">
        <v>42</v>
      </c>
      <c r="AB217" t="s">
        <v>43</v>
      </c>
      <c r="AC217" t="s">
        <v>43</v>
      </c>
    </row>
    <row r="218" spans="1:30" x14ac:dyDescent="0.4">
      <c r="A218" t="s">
        <v>27</v>
      </c>
      <c r="B218">
        <v>24</v>
      </c>
      <c r="C218" t="s">
        <v>638</v>
      </c>
      <c r="D218">
        <v>70</v>
      </c>
      <c r="E218" t="s">
        <v>28</v>
      </c>
      <c r="F218" t="s">
        <v>629</v>
      </c>
      <c r="G218" t="s">
        <v>630</v>
      </c>
      <c r="H218" t="s">
        <v>631</v>
      </c>
      <c r="I218" t="s">
        <v>632</v>
      </c>
      <c r="J218" t="s">
        <v>633</v>
      </c>
      <c r="K218" t="s">
        <v>634</v>
      </c>
      <c r="L218" t="s">
        <v>635</v>
      </c>
      <c r="M218" t="s">
        <v>35</v>
      </c>
      <c r="N218" t="s">
        <v>636</v>
      </c>
      <c r="O218" t="s">
        <v>637</v>
      </c>
      <c r="P218" t="s">
        <v>638</v>
      </c>
      <c r="R218" t="s">
        <v>639</v>
      </c>
      <c r="S218" t="s">
        <v>640</v>
      </c>
      <c r="T218" t="s">
        <v>376</v>
      </c>
      <c r="U218" t="s">
        <v>82</v>
      </c>
      <c r="V218" s="1">
        <v>43271</v>
      </c>
      <c r="W218">
        <v>0</v>
      </c>
      <c r="X218">
        <v>7</v>
      </c>
      <c r="Z218" t="s">
        <v>392</v>
      </c>
      <c r="AA218" t="s">
        <v>42</v>
      </c>
      <c r="AB218" t="s">
        <v>43</v>
      </c>
      <c r="AC218" t="s">
        <v>43</v>
      </c>
    </row>
    <row r="219" spans="1:30" x14ac:dyDescent="0.4">
      <c r="A219" t="s">
        <v>27</v>
      </c>
      <c r="B219">
        <v>24</v>
      </c>
      <c r="C219" t="s">
        <v>638</v>
      </c>
      <c r="D219">
        <v>70</v>
      </c>
      <c r="E219" t="s">
        <v>28</v>
      </c>
      <c r="F219" t="s">
        <v>629</v>
      </c>
      <c r="G219" t="s">
        <v>630</v>
      </c>
      <c r="H219" t="s">
        <v>631</v>
      </c>
      <c r="I219" t="s">
        <v>632</v>
      </c>
      <c r="J219" t="s">
        <v>633</v>
      </c>
      <c r="K219" t="s">
        <v>634</v>
      </c>
      <c r="L219" t="s">
        <v>635</v>
      </c>
      <c r="M219" t="s">
        <v>35</v>
      </c>
      <c r="N219" t="s">
        <v>636</v>
      </c>
      <c r="O219" t="s">
        <v>637</v>
      </c>
      <c r="P219" t="s">
        <v>638</v>
      </c>
      <c r="R219" t="s">
        <v>639</v>
      </c>
      <c r="S219" t="s">
        <v>640</v>
      </c>
      <c r="T219" t="s">
        <v>376</v>
      </c>
      <c r="U219" t="s">
        <v>82</v>
      </c>
      <c r="V219" s="1">
        <v>43271</v>
      </c>
      <c r="W219">
        <v>0</v>
      </c>
      <c r="X219">
        <v>19</v>
      </c>
      <c r="Z219" t="s">
        <v>392</v>
      </c>
      <c r="AA219" t="s">
        <v>42</v>
      </c>
      <c r="AB219" t="s">
        <v>43</v>
      </c>
      <c r="AC219" t="s">
        <v>43</v>
      </c>
    </row>
    <row r="220" spans="1:30" hidden="1" x14ac:dyDescent="0.4">
      <c r="A220" t="s">
        <v>27</v>
      </c>
      <c r="B220">
        <v>24</v>
      </c>
      <c r="C220" t="s">
        <v>638</v>
      </c>
      <c r="E220" t="s">
        <v>28</v>
      </c>
      <c r="F220" t="s">
        <v>629</v>
      </c>
      <c r="G220" t="s">
        <v>630</v>
      </c>
      <c r="H220" t="s">
        <v>631</v>
      </c>
      <c r="I220" t="s">
        <v>632</v>
      </c>
      <c r="J220" t="s">
        <v>633</v>
      </c>
      <c r="K220" t="s">
        <v>634</v>
      </c>
      <c r="L220" t="s">
        <v>635</v>
      </c>
      <c r="M220" t="s">
        <v>35</v>
      </c>
      <c r="N220" t="s">
        <v>636</v>
      </c>
      <c r="O220" t="s">
        <v>637</v>
      </c>
      <c r="P220" t="s">
        <v>638</v>
      </c>
      <c r="R220" t="s">
        <v>641</v>
      </c>
      <c r="S220" t="s">
        <v>642</v>
      </c>
      <c r="T220" t="s">
        <v>359</v>
      </c>
      <c r="U220" t="s">
        <v>82</v>
      </c>
      <c r="V220" s="1">
        <v>41160</v>
      </c>
      <c r="W220">
        <v>0</v>
      </c>
      <c r="X220">
        <v>0</v>
      </c>
      <c r="Y220" t="s">
        <v>59</v>
      </c>
      <c r="Z220" t="s">
        <v>392</v>
      </c>
      <c r="AA220" t="s">
        <v>42</v>
      </c>
      <c r="AB220" t="s">
        <v>43</v>
      </c>
      <c r="AC220" t="s">
        <v>43</v>
      </c>
    </row>
    <row r="221" spans="1:30" hidden="1" x14ac:dyDescent="0.4">
      <c r="A221" t="s">
        <v>27</v>
      </c>
      <c r="B221">
        <v>24</v>
      </c>
      <c r="C221" t="s">
        <v>638</v>
      </c>
      <c r="E221" t="s">
        <v>28</v>
      </c>
      <c r="F221" t="s">
        <v>629</v>
      </c>
      <c r="G221" t="s">
        <v>630</v>
      </c>
      <c r="H221" t="s">
        <v>631</v>
      </c>
      <c r="I221" t="s">
        <v>632</v>
      </c>
      <c r="J221" t="s">
        <v>633</v>
      </c>
      <c r="K221" t="s">
        <v>634</v>
      </c>
      <c r="L221" t="s">
        <v>635</v>
      </c>
      <c r="M221" t="s">
        <v>35</v>
      </c>
      <c r="N221" t="s">
        <v>636</v>
      </c>
      <c r="O221" t="s">
        <v>637</v>
      </c>
      <c r="P221" t="s">
        <v>638</v>
      </c>
      <c r="R221" t="s">
        <v>641</v>
      </c>
      <c r="S221" t="s">
        <v>642</v>
      </c>
      <c r="T221" t="s">
        <v>359</v>
      </c>
      <c r="U221" t="s">
        <v>82</v>
      </c>
      <c r="V221" s="1">
        <v>41160</v>
      </c>
      <c r="W221">
        <v>0</v>
      </c>
      <c r="X221">
        <v>0</v>
      </c>
      <c r="Y221" t="s">
        <v>59</v>
      </c>
      <c r="Z221" t="s">
        <v>392</v>
      </c>
      <c r="AA221" t="s">
        <v>42</v>
      </c>
      <c r="AB221" t="s">
        <v>43</v>
      </c>
      <c r="AC221" t="s">
        <v>43</v>
      </c>
    </row>
    <row r="222" spans="1:30" hidden="1" x14ac:dyDescent="0.4">
      <c r="A222" t="s">
        <v>27</v>
      </c>
      <c r="B222">
        <v>1609</v>
      </c>
      <c r="C222" t="s">
        <v>2929</v>
      </c>
      <c r="E222" t="s">
        <v>68</v>
      </c>
      <c r="F222" t="s">
        <v>643</v>
      </c>
      <c r="G222" t="s">
        <v>644</v>
      </c>
      <c r="H222" t="s">
        <v>645</v>
      </c>
      <c r="J222" t="s">
        <v>559</v>
      </c>
      <c r="K222" t="s">
        <v>51</v>
      </c>
      <c r="L222" t="s">
        <v>646</v>
      </c>
      <c r="M222" t="s">
        <v>35</v>
      </c>
      <c r="N222" t="s">
        <v>647</v>
      </c>
      <c r="O222" t="s">
        <v>648</v>
      </c>
      <c r="P222" t="s">
        <v>649</v>
      </c>
      <c r="R222" t="s">
        <v>650</v>
      </c>
      <c r="S222" t="s">
        <v>651</v>
      </c>
      <c r="T222" t="s">
        <v>58</v>
      </c>
      <c r="U222" t="s">
        <v>82</v>
      </c>
      <c r="V222" s="1">
        <v>45630</v>
      </c>
      <c r="W222">
        <v>0</v>
      </c>
      <c r="X222">
        <v>0</v>
      </c>
      <c r="Y222" t="s">
        <v>59</v>
      </c>
      <c r="AA222" t="s">
        <v>42</v>
      </c>
      <c r="AB222" t="s">
        <v>43</v>
      </c>
      <c r="AC222" t="s">
        <v>43</v>
      </c>
    </row>
    <row r="223" spans="1:30" hidden="1" x14ac:dyDescent="0.4">
      <c r="A223" t="s">
        <v>27</v>
      </c>
      <c r="B223">
        <v>1609</v>
      </c>
      <c r="C223" t="s">
        <v>2929</v>
      </c>
      <c r="E223" t="s">
        <v>68</v>
      </c>
      <c r="F223" t="s">
        <v>643</v>
      </c>
      <c r="G223" t="s">
        <v>644</v>
      </c>
      <c r="H223" t="s">
        <v>645</v>
      </c>
      <c r="J223" t="s">
        <v>559</v>
      </c>
      <c r="K223" t="s">
        <v>51</v>
      </c>
      <c r="L223" t="s">
        <v>646</v>
      </c>
      <c r="M223" t="s">
        <v>35</v>
      </c>
      <c r="N223" t="s">
        <v>647</v>
      </c>
      <c r="O223" t="s">
        <v>648</v>
      </c>
      <c r="P223" t="s">
        <v>649</v>
      </c>
      <c r="R223" t="s">
        <v>650</v>
      </c>
      <c r="S223" t="s">
        <v>651</v>
      </c>
      <c r="T223" t="s">
        <v>58</v>
      </c>
      <c r="U223" t="s">
        <v>82</v>
      </c>
      <c r="V223" s="1">
        <v>45630</v>
      </c>
      <c r="W223">
        <v>0</v>
      </c>
      <c r="X223">
        <v>0</v>
      </c>
      <c r="Y223" t="s">
        <v>59</v>
      </c>
      <c r="AA223" t="s">
        <v>42</v>
      </c>
      <c r="AB223" t="s">
        <v>43</v>
      </c>
      <c r="AC223" t="s">
        <v>43</v>
      </c>
    </row>
    <row r="224" spans="1:30" x14ac:dyDescent="0.4">
      <c r="A224" t="s">
        <v>27</v>
      </c>
      <c r="B224">
        <v>1609</v>
      </c>
      <c r="C224" t="s">
        <v>2929</v>
      </c>
      <c r="D224">
        <v>71</v>
      </c>
      <c r="E224" t="s">
        <v>68</v>
      </c>
      <c r="F224" t="s">
        <v>643</v>
      </c>
      <c r="G224" t="s">
        <v>644</v>
      </c>
      <c r="H224" t="s">
        <v>645</v>
      </c>
      <c r="J224" t="s">
        <v>559</v>
      </c>
      <c r="K224" t="s">
        <v>51</v>
      </c>
      <c r="L224" t="s">
        <v>646</v>
      </c>
      <c r="M224" t="s">
        <v>35</v>
      </c>
      <c r="N224" t="s">
        <v>647</v>
      </c>
      <c r="O224" t="s">
        <v>648</v>
      </c>
      <c r="P224" t="s">
        <v>2929</v>
      </c>
      <c r="R224" t="s">
        <v>652</v>
      </c>
      <c r="S224" t="s">
        <v>653</v>
      </c>
      <c r="T224" t="s">
        <v>58</v>
      </c>
      <c r="U224" t="s">
        <v>82</v>
      </c>
      <c r="V224" s="1">
        <v>42805</v>
      </c>
      <c r="W224">
        <v>0</v>
      </c>
      <c r="X224">
        <v>7</v>
      </c>
      <c r="AA224" t="s">
        <v>42</v>
      </c>
      <c r="AB224" t="s">
        <v>43</v>
      </c>
      <c r="AC224" t="s">
        <v>43</v>
      </c>
    </row>
    <row r="225" spans="1:30" x14ac:dyDescent="0.4">
      <c r="A225" t="s">
        <v>27</v>
      </c>
      <c r="B225">
        <v>1609</v>
      </c>
      <c r="C225" t="s">
        <v>2929</v>
      </c>
      <c r="D225">
        <v>72</v>
      </c>
      <c r="E225" t="s">
        <v>68</v>
      </c>
      <c r="F225" t="s">
        <v>643</v>
      </c>
      <c r="G225" t="s">
        <v>644</v>
      </c>
      <c r="H225" t="s">
        <v>645</v>
      </c>
      <c r="J225" t="s">
        <v>559</v>
      </c>
      <c r="K225" t="s">
        <v>51</v>
      </c>
      <c r="L225" t="s">
        <v>646</v>
      </c>
      <c r="M225" t="s">
        <v>35</v>
      </c>
      <c r="N225" t="s">
        <v>647</v>
      </c>
      <c r="O225" t="s">
        <v>648</v>
      </c>
      <c r="P225" t="s">
        <v>2929</v>
      </c>
      <c r="R225" t="s">
        <v>654</v>
      </c>
      <c r="S225" t="s">
        <v>655</v>
      </c>
      <c r="T225" t="s">
        <v>58</v>
      </c>
      <c r="U225" t="s">
        <v>40</v>
      </c>
      <c r="V225" s="1">
        <v>43954</v>
      </c>
      <c r="W225">
        <v>0</v>
      </c>
      <c r="X225">
        <v>7</v>
      </c>
      <c r="AA225" t="s">
        <v>42</v>
      </c>
      <c r="AB225" t="s">
        <v>43</v>
      </c>
      <c r="AC225" t="s">
        <v>43</v>
      </c>
    </row>
    <row r="226" spans="1:30" x14ac:dyDescent="0.4">
      <c r="A226" t="s">
        <v>27</v>
      </c>
      <c r="B226">
        <v>1609</v>
      </c>
      <c r="C226" t="s">
        <v>2929</v>
      </c>
      <c r="D226">
        <v>72</v>
      </c>
      <c r="E226" t="s">
        <v>68</v>
      </c>
      <c r="F226" t="s">
        <v>643</v>
      </c>
      <c r="G226" t="s">
        <v>644</v>
      </c>
      <c r="H226" t="s">
        <v>645</v>
      </c>
      <c r="J226" t="s">
        <v>559</v>
      </c>
      <c r="K226" t="s">
        <v>51</v>
      </c>
      <c r="L226" t="s">
        <v>646</v>
      </c>
      <c r="M226" t="s">
        <v>35</v>
      </c>
      <c r="N226" t="s">
        <v>647</v>
      </c>
      <c r="O226" t="s">
        <v>648</v>
      </c>
      <c r="P226" t="s">
        <v>2929</v>
      </c>
      <c r="R226" t="s">
        <v>654</v>
      </c>
      <c r="S226" t="s">
        <v>655</v>
      </c>
      <c r="T226" t="s">
        <v>58</v>
      </c>
      <c r="U226" t="s">
        <v>40</v>
      </c>
      <c r="V226" s="1">
        <v>43954</v>
      </c>
      <c r="W226">
        <v>0</v>
      </c>
      <c r="X226">
        <v>18</v>
      </c>
      <c r="AA226" t="s">
        <v>42</v>
      </c>
      <c r="AB226" t="s">
        <v>43</v>
      </c>
      <c r="AC226" t="s">
        <v>43</v>
      </c>
    </row>
    <row r="227" spans="1:30" x14ac:dyDescent="0.4">
      <c r="A227" t="s">
        <v>27</v>
      </c>
      <c r="B227">
        <v>1609</v>
      </c>
      <c r="C227" t="s">
        <v>2929</v>
      </c>
      <c r="D227">
        <v>71</v>
      </c>
      <c r="E227" t="s">
        <v>68</v>
      </c>
      <c r="F227" t="s">
        <v>643</v>
      </c>
      <c r="G227" t="s">
        <v>644</v>
      </c>
      <c r="H227" t="s">
        <v>645</v>
      </c>
      <c r="J227" t="s">
        <v>559</v>
      </c>
      <c r="K227" t="s">
        <v>51</v>
      </c>
      <c r="L227" t="s">
        <v>646</v>
      </c>
      <c r="M227" t="s">
        <v>35</v>
      </c>
      <c r="N227" t="s">
        <v>647</v>
      </c>
      <c r="O227" t="s">
        <v>648</v>
      </c>
      <c r="P227" t="s">
        <v>2929</v>
      </c>
      <c r="R227" t="s">
        <v>652</v>
      </c>
      <c r="S227" t="s">
        <v>653</v>
      </c>
      <c r="T227" t="s">
        <v>58</v>
      </c>
      <c r="U227" t="s">
        <v>82</v>
      </c>
      <c r="V227" s="1">
        <v>42805</v>
      </c>
      <c r="W227">
        <v>0</v>
      </c>
      <c r="X227">
        <v>19</v>
      </c>
      <c r="AA227" t="s">
        <v>42</v>
      </c>
      <c r="AB227" t="s">
        <v>43</v>
      </c>
      <c r="AC227" t="s">
        <v>43</v>
      </c>
    </row>
    <row r="228" spans="1:30" x14ac:dyDescent="0.4">
      <c r="A228" t="s">
        <v>27</v>
      </c>
      <c r="B228">
        <v>1609</v>
      </c>
      <c r="C228" t="s">
        <v>2929</v>
      </c>
      <c r="D228">
        <v>71</v>
      </c>
      <c r="E228" t="s">
        <v>68</v>
      </c>
      <c r="F228" t="s">
        <v>643</v>
      </c>
      <c r="G228" t="s">
        <v>644</v>
      </c>
      <c r="H228" t="s">
        <v>645</v>
      </c>
      <c r="J228" t="s">
        <v>559</v>
      </c>
      <c r="K228" t="s">
        <v>51</v>
      </c>
      <c r="L228" t="s">
        <v>646</v>
      </c>
      <c r="M228" t="s">
        <v>35</v>
      </c>
      <c r="N228" t="s">
        <v>647</v>
      </c>
      <c r="O228" t="s">
        <v>648</v>
      </c>
      <c r="P228" t="s">
        <v>2929</v>
      </c>
      <c r="R228" t="s">
        <v>652</v>
      </c>
      <c r="S228" t="s">
        <v>653</v>
      </c>
      <c r="T228" t="s">
        <v>58</v>
      </c>
      <c r="U228" t="s">
        <v>82</v>
      </c>
      <c r="V228" s="1">
        <v>42805</v>
      </c>
      <c r="W228">
        <v>0</v>
      </c>
      <c r="X228">
        <v>21</v>
      </c>
      <c r="AA228" t="s">
        <v>42</v>
      </c>
      <c r="AB228" t="s">
        <v>43</v>
      </c>
      <c r="AC228" t="s">
        <v>43</v>
      </c>
    </row>
    <row r="229" spans="1:30" x14ac:dyDescent="0.4">
      <c r="A229" t="s">
        <v>27</v>
      </c>
      <c r="B229">
        <v>773</v>
      </c>
      <c r="C229" t="s">
        <v>2854</v>
      </c>
      <c r="D229">
        <v>73</v>
      </c>
      <c r="E229" t="s">
        <v>68</v>
      </c>
      <c r="F229" t="s">
        <v>656</v>
      </c>
      <c r="G229" t="s">
        <v>657</v>
      </c>
      <c r="H229" t="s">
        <v>658</v>
      </c>
      <c r="I229" t="s">
        <v>659</v>
      </c>
      <c r="J229" t="s">
        <v>660</v>
      </c>
      <c r="K229" t="s">
        <v>33</v>
      </c>
      <c r="L229" t="s">
        <v>661</v>
      </c>
      <c r="M229" t="s">
        <v>35</v>
      </c>
      <c r="N229" t="s">
        <v>662</v>
      </c>
      <c r="O229" t="s">
        <v>663</v>
      </c>
      <c r="P229" t="s">
        <v>2854</v>
      </c>
      <c r="R229" t="s">
        <v>664</v>
      </c>
      <c r="S229" t="s">
        <v>665</v>
      </c>
      <c r="T229" t="s">
        <v>58</v>
      </c>
      <c r="U229" t="s">
        <v>40</v>
      </c>
      <c r="V229" s="1">
        <v>42420</v>
      </c>
      <c r="W229">
        <v>0</v>
      </c>
      <c r="X229">
        <v>7</v>
      </c>
      <c r="Z229" t="s">
        <v>392</v>
      </c>
      <c r="AA229" t="s">
        <v>42</v>
      </c>
      <c r="AB229" t="s">
        <v>43</v>
      </c>
      <c r="AC229" t="s">
        <v>43</v>
      </c>
    </row>
    <row r="230" spans="1:30" x14ac:dyDescent="0.4">
      <c r="A230" t="s">
        <v>27</v>
      </c>
      <c r="B230">
        <v>773</v>
      </c>
      <c r="C230" t="s">
        <v>2854</v>
      </c>
      <c r="D230">
        <v>74</v>
      </c>
      <c r="E230" t="s">
        <v>68</v>
      </c>
      <c r="F230" t="s">
        <v>656</v>
      </c>
      <c r="G230" t="s">
        <v>657</v>
      </c>
      <c r="H230" t="s">
        <v>658</v>
      </c>
      <c r="I230" t="s">
        <v>659</v>
      </c>
      <c r="J230" t="s">
        <v>660</v>
      </c>
      <c r="K230" t="s">
        <v>33</v>
      </c>
      <c r="L230" t="s">
        <v>661</v>
      </c>
      <c r="M230" t="s">
        <v>35</v>
      </c>
      <c r="N230" t="s">
        <v>662</v>
      </c>
      <c r="O230" t="s">
        <v>663</v>
      </c>
      <c r="P230" t="s">
        <v>2854</v>
      </c>
      <c r="R230" t="s">
        <v>666</v>
      </c>
      <c r="S230" t="s">
        <v>667</v>
      </c>
      <c r="T230" t="s">
        <v>232</v>
      </c>
      <c r="U230" t="s">
        <v>82</v>
      </c>
      <c r="V230" s="1">
        <v>44570</v>
      </c>
      <c r="W230">
        <v>0</v>
      </c>
      <c r="X230">
        <v>6</v>
      </c>
      <c r="Y230" t="s">
        <v>83</v>
      </c>
      <c r="Z230" t="s">
        <v>392</v>
      </c>
      <c r="AA230" t="s">
        <v>42</v>
      </c>
      <c r="AB230" t="s">
        <v>43</v>
      </c>
      <c r="AC230" t="s">
        <v>43</v>
      </c>
    </row>
    <row r="231" spans="1:30" x14ac:dyDescent="0.4">
      <c r="A231" t="s">
        <v>27</v>
      </c>
      <c r="B231">
        <v>773</v>
      </c>
      <c r="C231" t="s">
        <v>2854</v>
      </c>
      <c r="D231">
        <v>74</v>
      </c>
      <c r="E231" t="s">
        <v>68</v>
      </c>
      <c r="F231" t="s">
        <v>656</v>
      </c>
      <c r="G231" t="s">
        <v>657</v>
      </c>
      <c r="H231" t="s">
        <v>658</v>
      </c>
      <c r="I231" t="s">
        <v>659</v>
      </c>
      <c r="J231" t="s">
        <v>660</v>
      </c>
      <c r="K231" t="s">
        <v>33</v>
      </c>
      <c r="L231" t="s">
        <v>661</v>
      </c>
      <c r="M231" t="s">
        <v>35</v>
      </c>
      <c r="N231" t="s">
        <v>662</v>
      </c>
      <c r="O231" t="s">
        <v>663</v>
      </c>
      <c r="P231" t="s">
        <v>2854</v>
      </c>
      <c r="R231" t="s">
        <v>666</v>
      </c>
      <c r="S231" t="s">
        <v>667</v>
      </c>
      <c r="T231" t="s">
        <v>232</v>
      </c>
      <c r="U231" t="s">
        <v>82</v>
      </c>
      <c r="V231" s="1">
        <v>44570</v>
      </c>
      <c r="W231">
        <v>0</v>
      </c>
      <c r="X231">
        <v>17</v>
      </c>
      <c r="Z231" t="s">
        <v>392</v>
      </c>
      <c r="AA231" t="s">
        <v>42</v>
      </c>
      <c r="AB231" t="s">
        <v>43</v>
      </c>
      <c r="AC231" t="s">
        <v>43</v>
      </c>
    </row>
    <row r="232" spans="1:30" x14ac:dyDescent="0.4">
      <c r="A232" t="s">
        <v>27</v>
      </c>
      <c r="B232">
        <v>773</v>
      </c>
      <c r="C232" t="s">
        <v>2854</v>
      </c>
      <c r="D232">
        <v>73</v>
      </c>
      <c r="E232" t="s">
        <v>68</v>
      </c>
      <c r="F232" t="s">
        <v>656</v>
      </c>
      <c r="G232" t="s">
        <v>657</v>
      </c>
      <c r="H232" t="s">
        <v>658</v>
      </c>
      <c r="I232" t="s">
        <v>659</v>
      </c>
      <c r="J232" t="s">
        <v>660</v>
      </c>
      <c r="K232" t="s">
        <v>33</v>
      </c>
      <c r="L232" t="s">
        <v>661</v>
      </c>
      <c r="M232" t="s">
        <v>35</v>
      </c>
      <c r="N232" t="s">
        <v>662</v>
      </c>
      <c r="O232" t="s">
        <v>663</v>
      </c>
      <c r="P232" t="s">
        <v>2854</v>
      </c>
      <c r="R232" t="s">
        <v>664</v>
      </c>
      <c r="S232" t="s">
        <v>665</v>
      </c>
      <c r="T232" t="s">
        <v>58</v>
      </c>
      <c r="U232" t="s">
        <v>40</v>
      </c>
      <c r="V232" s="1">
        <v>42420</v>
      </c>
      <c r="W232">
        <v>0</v>
      </c>
      <c r="X232">
        <v>18</v>
      </c>
      <c r="Z232" t="s">
        <v>392</v>
      </c>
      <c r="AA232" t="s">
        <v>42</v>
      </c>
      <c r="AB232" t="s">
        <v>43</v>
      </c>
      <c r="AC232" t="s">
        <v>43</v>
      </c>
    </row>
    <row r="233" spans="1:30" x14ac:dyDescent="0.4">
      <c r="A233" t="s">
        <v>27</v>
      </c>
      <c r="B233">
        <v>2633</v>
      </c>
      <c r="C233" t="s">
        <v>674</v>
      </c>
      <c r="D233">
        <v>77</v>
      </c>
      <c r="E233" t="s">
        <v>68</v>
      </c>
      <c r="F233" t="s">
        <v>668</v>
      </c>
      <c r="G233" t="s">
        <v>669</v>
      </c>
      <c r="H233" t="s">
        <v>670</v>
      </c>
      <c r="J233" t="s">
        <v>671</v>
      </c>
      <c r="K233" t="s">
        <v>189</v>
      </c>
      <c r="L233" t="s">
        <v>672</v>
      </c>
      <c r="M233" t="s">
        <v>35</v>
      </c>
      <c r="N233">
        <v>7972401245</v>
      </c>
      <c r="O233" t="s">
        <v>673</v>
      </c>
      <c r="P233" t="s">
        <v>674</v>
      </c>
      <c r="R233" t="s">
        <v>675</v>
      </c>
      <c r="S233" t="s">
        <v>676</v>
      </c>
      <c r="T233" t="s">
        <v>94</v>
      </c>
      <c r="U233" t="s">
        <v>82</v>
      </c>
      <c r="V233" s="1">
        <v>44164</v>
      </c>
      <c r="W233">
        <v>0</v>
      </c>
      <c r="X233">
        <v>19</v>
      </c>
      <c r="AA233" t="s">
        <v>42</v>
      </c>
      <c r="AB233" t="s">
        <v>43</v>
      </c>
      <c r="AC233" t="s">
        <v>43</v>
      </c>
    </row>
    <row r="234" spans="1:30" x14ac:dyDescent="0.4">
      <c r="A234" t="s">
        <v>27</v>
      </c>
      <c r="B234">
        <v>2633</v>
      </c>
      <c r="C234" t="s">
        <v>674</v>
      </c>
      <c r="D234">
        <v>77</v>
      </c>
      <c r="E234" t="s">
        <v>68</v>
      </c>
      <c r="F234" t="s">
        <v>668</v>
      </c>
      <c r="G234" t="s">
        <v>669</v>
      </c>
      <c r="H234" t="s">
        <v>670</v>
      </c>
      <c r="J234" t="s">
        <v>671</v>
      </c>
      <c r="K234" t="s">
        <v>189</v>
      </c>
      <c r="L234" t="s">
        <v>672</v>
      </c>
      <c r="M234" t="s">
        <v>35</v>
      </c>
      <c r="N234">
        <v>7972401245</v>
      </c>
      <c r="O234" t="s">
        <v>673</v>
      </c>
      <c r="P234" t="s">
        <v>674</v>
      </c>
      <c r="R234" t="s">
        <v>675</v>
      </c>
      <c r="S234" t="s">
        <v>676</v>
      </c>
      <c r="T234" t="s">
        <v>94</v>
      </c>
      <c r="U234" t="s">
        <v>82</v>
      </c>
      <c r="V234" s="1">
        <v>44164</v>
      </c>
      <c r="W234">
        <v>0</v>
      </c>
      <c r="X234">
        <v>21</v>
      </c>
      <c r="AA234" t="s">
        <v>42</v>
      </c>
      <c r="AB234" t="s">
        <v>43</v>
      </c>
      <c r="AC234" t="s">
        <v>43</v>
      </c>
    </row>
    <row r="235" spans="1:30" x14ac:dyDescent="0.4">
      <c r="A235" t="s">
        <v>27</v>
      </c>
      <c r="B235">
        <v>5301</v>
      </c>
      <c r="C235" t="s">
        <v>682</v>
      </c>
      <c r="D235">
        <v>75</v>
      </c>
      <c r="E235" t="s">
        <v>257</v>
      </c>
      <c r="F235" t="s">
        <v>677</v>
      </c>
      <c r="G235" t="s">
        <v>669</v>
      </c>
      <c r="H235" t="s">
        <v>678</v>
      </c>
      <c r="J235" t="s">
        <v>679</v>
      </c>
      <c r="K235" t="s">
        <v>201</v>
      </c>
      <c r="L235" t="s">
        <v>680</v>
      </c>
      <c r="M235" t="s">
        <v>35</v>
      </c>
      <c r="N235">
        <v>447805958571</v>
      </c>
      <c r="O235" t="s">
        <v>681</v>
      </c>
      <c r="P235" t="s">
        <v>682</v>
      </c>
      <c r="R235" t="s">
        <v>3035</v>
      </c>
      <c r="S235" t="s">
        <v>684</v>
      </c>
      <c r="T235" t="s">
        <v>376</v>
      </c>
      <c r="U235" t="s">
        <v>40</v>
      </c>
      <c r="V235" s="1">
        <v>44355</v>
      </c>
      <c r="W235">
        <v>0</v>
      </c>
      <c r="X235">
        <v>3</v>
      </c>
      <c r="AA235" t="s">
        <v>42</v>
      </c>
      <c r="AB235" t="s">
        <v>43</v>
      </c>
      <c r="AC235" t="s">
        <v>43</v>
      </c>
    </row>
    <row r="236" spans="1:30" x14ac:dyDescent="0.4">
      <c r="A236" t="s">
        <v>27</v>
      </c>
      <c r="B236">
        <v>5301</v>
      </c>
      <c r="C236" t="s">
        <v>682</v>
      </c>
      <c r="D236">
        <v>75</v>
      </c>
      <c r="E236" t="s">
        <v>257</v>
      </c>
      <c r="F236" t="s">
        <v>677</v>
      </c>
      <c r="G236" t="s">
        <v>669</v>
      </c>
      <c r="H236" t="s">
        <v>678</v>
      </c>
      <c r="J236" t="s">
        <v>679</v>
      </c>
      <c r="K236" t="s">
        <v>201</v>
      </c>
      <c r="L236" t="s">
        <v>680</v>
      </c>
      <c r="M236" t="s">
        <v>35</v>
      </c>
      <c r="N236">
        <v>447805958571</v>
      </c>
      <c r="O236" t="s">
        <v>681</v>
      </c>
      <c r="P236" t="s">
        <v>682</v>
      </c>
      <c r="R236" t="s">
        <v>3035</v>
      </c>
      <c r="S236" t="s">
        <v>684</v>
      </c>
      <c r="T236" t="s">
        <v>376</v>
      </c>
      <c r="U236" t="s">
        <v>40</v>
      </c>
      <c r="V236" s="1">
        <v>44355</v>
      </c>
      <c r="W236">
        <v>0</v>
      </c>
      <c r="X236">
        <v>4</v>
      </c>
      <c r="Y236" t="s">
        <v>65</v>
      </c>
      <c r="AA236" t="s">
        <v>42</v>
      </c>
      <c r="AB236" t="s">
        <v>43</v>
      </c>
      <c r="AC236" t="s">
        <v>43</v>
      </c>
    </row>
    <row r="237" spans="1:30" x14ac:dyDescent="0.4">
      <c r="A237" t="s">
        <v>27</v>
      </c>
      <c r="B237">
        <v>5301</v>
      </c>
      <c r="C237" t="s">
        <v>682</v>
      </c>
      <c r="D237">
        <v>76</v>
      </c>
      <c r="E237" t="s">
        <v>257</v>
      </c>
      <c r="F237" t="s">
        <v>677</v>
      </c>
      <c r="G237" t="s">
        <v>669</v>
      </c>
      <c r="H237" t="s">
        <v>678</v>
      </c>
      <c r="J237" t="s">
        <v>679</v>
      </c>
      <c r="K237" t="s">
        <v>201</v>
      </c>
      <c r="L237" t="s">
        <v>680</v>
      </c>
      <c r="M237" t="s">
        <v>35</v>
      </c>
      <c r="N237">
        <v>447805958571</v>
      </c>
      <c r="O237" t="s">
        <v>681</v>
      </c>
      <c r="P237" t="s">
        <v>682</v>
      </c>
      <c r="R237" t="s">
        <v>3048</v>
      </c>
      <c r="S237" t="s">
        <v>686</v>
      </c>
      <c r="T237" t="s">
        <v>94</v>
      </c>
      <c r="U237" t="s">
        <v>40</v>
      </c>
      <c r="V237" s="1">
        <v>44220</v>
      </c>
      <c r="W237">
        <v>0</v>
      </c>
      <c r="X237">
        <v>4</v>
      </c>
      <c r="Y237" t="s">
        <v>65</v>
      </c>
      <c r="AA237" t="s">
        <v>42</v>
      </c>
      <c r="AB237" t="s">
        <v>43</v>
      </c>
      <c r="AC237" t="s">
        <v>43</v>
      </c>
    </row>
    <row r="238" spans="1:30" x14ac:dyDescent="0.4">
      <c r="A238" t="s">
        <v>27</v>
      </c>
      <c r="B238">
        <v>5301</v>
      </c>
      <c r="C238" t="s">
        <v>682</v>
      </c>
      <c r="D238">
        <v>76</v>
      </c>
      <c r="E238" t="s">
        <v>257</v>
      </c>
      <c r="F238" t="s">
        <v>677</v>
      </c>
      <c r="G238" t="s">
        <v>669</v>
      </c>
      <c r="H238" t="s">
        <v>678</v>
      </c>
      <c r="J238" t="s">
        <v>679</v>
      </c>
      <c r="K238" t="s">
        <v>201</v>
      </c>
      <c r="L238" t="s">
        <v>680</v>
      </c>
      <c r="M238" t="s">
        <v>35</v>
      </c>
      <c r="N238">
        <v>447805958571</v>
      </c>
      <c r="O238" t="s">
        <v>681</v>
      </c>
      <c r="P238" t="s">
        <v>682</v>
      </c>
      <c r="R238" t="s">
        <v>3048</v>
      </c>
      <c r="S238" t="s">
        <v>686</v>
      </c>
      <c r="T238" t="s">
        <v>94</v>
      </c>
      <c r="U238" t="s">
        <v>40</v>
      </c>
      <c r="V238" s="1">
        <v>44220</v>
      </c>
      <c r="W238">
        <v>0</v>
      </c>
      <c r="X238">
        <v>5</v>
      </c>
      <c r="Y238" t="s">
        <v>66</v>
      </c>
      <c r="AA238" t="s">
        <v>42</v>
      </c>
      <c r="AB238" t="s">
        <v>43</v>
      </c>
      <c r="AC238" t="s">
        <v>43</v>
      </c>
    </row>
    <row r="239" spans="1:30" x14ac:dyDescent="0.4">
      <c r="A239" t="s">
        <v>27</v>
      </c>
      <c r="B239">
        <v>224</v>
      </c>
      <c r="C239" t="s">
        <v>2930</v>
      </c>
      <c r="D239">
        <v>79</v>
      </c>
      <c r="E239" t="s">
        <v>68</v>
      </c>
      <c r="F239" t="s">
        <v>687</v>
      </c>
      <c r="G239" t="s">
        <v>688</v>
      </c>
      <c r="H239" t="s">
        <v>689</v>
      </c>
      <c r="I239" t="s">
        <v>690</v>
      </c>
      <c r="J239" t="s">
        <v>691</v>
      </c>
      <c r="K239" t="s">
        <v>242</v>
      </c>
      <c r="L239" t="s">
        <v>692</v>
      </c>
      <c r="M239" t="s">
        <v>35</v>
      </c>
      <c r="N239">
        <v>1264782070</v>
      </c>
      <c r="O239" t="s">
        <v>693</v>
      </c>
      <c r="P239" t="s">
        <v>2930</v>
      </c>
      <c r="R239" t="s">
        <v>694</v>
      </c>
      <c r="S239" t="s">
        <v>695</v>
      </c>
      <c r="T239" t="s">
        <v>58</v>
      </c>
      <c r="U239" t="s">
        <v>40</v>
      </c>
      <c r="V239" s="1">
        <v>43194</v>
      </c>
      <c r="W239">
        <v>0</v>
      </c>
      <c r="X239">
        <v>4</v>
      </c>
      <c r="Y239" t="s">
        <v>65</v>
      </c>
      <c r="AA239" t="s">
        <v>42</v>
      </c>
      <c r="AB239" t="s">
        <v>43</v>
      </c>
      <c r="AC239" t="s">
        <v>43</v>
      </c>
      <c r="AD239" t="s">
        <v>696</v>
      </c>
    </row>
    <row r="240" spans="1:30" x14ac:dyDescent="0.4">
      <c r="A240" t="s">
        <v>27</v>
      </c>
      <c r="B240">
        <v>224</v>
      </c>
      <c r="C240" t="s">
        <v>2930</v>
      </c>
      <c r="D240">
        <v>78</v>
      </c>
      <c r="E240" t="s">
        <v>68</v>
      </c>
      <c r="F240" t="s">
        <v>687</v>
      </c>
      <c r="G240" t="s">
        <v>688</v>
      </c>
      <c r="H240" t="s">
        <v>689</v>
      </c>
      <c r="I240" t="s">
        <v>690</v>
      </c>
      <c r="J240" t="s">
        <v>691</v>
      </c>
      <c r="K240" t="s">
        <v>242</v>
      </c>
      <c r="L240" t="s">
        <v>692</v>
      </c>
      <c r="M240" t="s">
        <v>35</v>
      </c>
      <c r="N240">
        <v>1264782070</v>
      </c>
      <c r="O240" t="s">
        <v>693</v>
      </c>
      <c r="P240" t="s">
        <v>2930</v>
      </c>
      <c r="R240" t="s">
        <v>697</v>
      </c>
      <c r="S240" t="s">
        <v>698</v>
      </c>
      <c r="T240" t="s">
        <v>58</v>
      </c>
      <c r="U240" t="s">
        <v>40</v>
      </c>
      <c r="V240" s="1">
        <v>44434</v>
      </c>
      <c r="W240">
        <v>0</v>
      </c>
      <c r="X240">
        <v>5</v>
      </c>
      <c r="Y240" t="s">
        <v>66</v>
      </c>
      <c r="AA240" t="s">
        <v>42</v>
      </c>
      <c r="AB240" t="s">
        <v>43</v>
      </c>
      <c r="AC240" t="s">
        <v>43</v>
      </c>
      <c r="AD240" t="s">
        <v>696</v>
      </c>
    </row>
    <row r="241" spans="1:31" x14ac:dyDescent="0.4">
      <c r="A241" t="s">
        <v>27</v>
      </c>
      <c r="B241">
        <v>224</v>
      </c>
      <c r="C241" t="s">
        <v>2930</v>
      </c>
      <c r="D241">
        <v>79</v>
      </c>
      <c r="E241" t="s">
        <v>68</v>
      </c>
      <c r="F241" t="s">
        <v>687</v>
      </c>
      <c r="G241" t="s">
        <v>688</v>
      </c>
      <c r="H241" t="s">
        <v>689</v>
      </c>
      <c r="I241" t="s">
        <v>690</v>
      </c>
      <c r="J241" t="s">
        <v>691</v>
      </c>
      <c r="K241" t="s">
        <v>242</v>
      </c>
      <c r="L241" t="s">
        <v>692</v>
      </c>
      <c r="M241" t="s">
        <v>35</v>
      </c>
      <c r="N241">
        <v>1264782070</v>
      </c>
      <c r="O241" t="s">
        <v>693</v>
      </c>
      <c r="P241" t="s">
        <v>2930</v>
      </c>
      <c r="R241" t="s">
        <v>694</v>
      </c>
      <c r="S241" t="s">
        <v>695</v>
      </c>
      <c r="T241" t="s">
        <v>58</v>
      </c>
      <c r="U241" t="s">
        <v>40</v>
      </c>
      <c r="V241" s="1">
        <v>43194</v>
      </c>
      <c r="W241">
        <v>0</v>
      </c>
      <c r="X241">
        <v>5</v>
      </c>
      <c r="Y241" t="s">
        <v>66</v>
      </c>
      <c r="AA241" t="s">
        <v>42</v>
      </c>
      <c r="AB241" t="s">
        <v>43</v>
      </c>
      <c r="AC241" t="s">
        <v>43</v>
      </c>
      <c r="AD241" t="s">
        <v>696</v>
      </c>
    </row>
    <row r="242" spans="1:31" x14ac:dyDescent="0.4">
      <c r="A242" t="s">
        <v>27</v>
      </c>
      <c r="B242">
        <v>224</v>
      </c>
      <c r="C242" t="s">
        <v>2930</v>
      </c>
      <c r="D242">
        <v>78</v>
      </c>
      <c r="E242" t="s">
        <v>68</v>
      </c>
      <c r="F242" t="s">
        <v>687</v>
      </c>
      <c r="G242" t="s">
        <v>688</v>
      </c>
      <c r="H242" t="s">
        <v>689</v>
      </c>
      <c r="I242" t="s">
        <v>690</v>
      </c>
      <c r="J242" t="s">
        <v>691</v>
      </c>
      <c r="K242" t="s">
        <v>242</v>
      </c>
      <c r="L242" t="s">
        <v>692</v>
      </c>
      <c r="M242" t="s">
        <v>35</v>
      </c>
      <c r="N242">
        <v>1264782070</v>
      </c>
      <c r="O242" t="s">
        <v>693</v>
      </c>
      <c r="P242" t="s">
        <v>2930</v>
      </c>
      <c r="R242" t="s">
        <v>697</v>
      </c>
      <c r="S242" t="s">
        <v>698</v>
      </c>
      <c r="T242" t="s">
        <v>58</v>
      </c>
      <c r="U242" t="s">
        <v>40</v>
      </c>
      <c r="V242" s="1">
        <v>44434</v>
      </c>
      <c r="W242">
        <v>0</v>
      </c>
      <c r="X242">
        <v>6</v>
      </c>
      <c r="Y242" t="s">
        <v>83</v>
      </c>
      <c r="AA242" t="s">
        <v>42</v>
      </c>
      <c r="AB242" t="s">
        <v>43</v>
      </c>
      <c r="AC242" t="s">
        <v>43</v>
      </c>
      <c r="AD242" t="s">
        <v>696</v>
      </c>
    </row>
    <row r="243" spans="1:31" x14ac:dyDescent="0.4">
      <c r="A243" t="s">
        <v>27</v>
      </c>
      <c r="B243">
        <v>224</v>
      </c>
      <c r="C243" t="s">
        <v>2930</v>
      </c>
      <c r="D243">
        <v>79</v>
      </c>
      <c r="E243" t="s">
        <v>68</v>
      </c>
      <c r="F243" t="s">
        <v>687</v>
      </c>
      <c r="G243" t="s">
        <v>688</v>
      </c>
      <c r="H243" t="s">
        <v>689</v>
      </c>
      <c r="I243" t="s">
        <v>690</v>
      </c>
      <c r="J243" t="s">
        <v>691</v>
      </c>
      <c r="K243" t="s">
        <v>242</v>
      </c>
      <c r="L243" t="s">
        <v>692</v>
      </c>
      <c r="M243" t="s">
        <v>35</v>
      </c>
      <c r="N243">
        <v>1264782070</v>
      </c>
      <c r="O243" t="s">
        <v>693</v>
      </c>
      <c r="P243" t="s">
        <v>2930</v>
      </c>
      <c r="R243" t="s">
        <v>694</v>
      </c>
      <c r="S243" t="s">
        <v>695</v>
      </c>
      <c r="T243" t="s">
        <v>58</v>
      </c>
      <c r="U243" t="s">
        <v>40</v>
      </c>
      <c r="V243" s="1">
        <v>43194</v>
      </c>
      <c r="W243">
        <v>0</v>
      </c>
      <c r="X243">
        <v>12</v>
      </c>
      <c r="AA243" t="s">
        <v>42</v>
      </c>
      <c r="AB243" t="s">
        <v>43</v>
      </c>
      <c r="AC243" t="s">
        <v>43</v>
      </c>
      <c r="AD243" t="s">
        <v>696</v>
      </c>
    </row>
    <row r="244" spans="1:31" x14ac:dyDescent="0.4">
      <c r="A244" t="s">
        <v>27</v>
      </c>
      <c r="B244">
        <v>224</v>
      </c>
      <c r="C244" t="s">
        <v>2930</v>
      </c>
      <c r="D244">
        <v>78</v>
      </c>
      <c r="E244" t="s">
        <v>68</v>
      </c>
      <c r="F244" t="s">
        <v>687</v>
      </c>
      <c r="G244" t="s">
        <v>688</v>
      </c>
      <c r="H244" t="s">
        <v>689</v>
      </c>
      <c r="I244" t="s">
        <v>690</v>
      </c>
      <c r="J244" t="s">
        <v>691</v>
      </c>
      <c r="K244" t="s">
        <v>242</v>
      </c>
      <c r="L244" t="s">
        <v>692</v>
      </c>
      <c r="M244" t="s">
        <v>35</v>
      </c>
      <c r="N244">
        <v>1264782070</v>
      </c>
      <c r="O244" t="s">
        <v>693</v>
      </c>
      <c r="P244" t="s">
        <v>2930</v>
      </c>
      <c r="R244" t="s">
        <v>697</v>
      </c>
      <c r="S244" t="s">
        <v>698</v>
      </c>
      <c r="T244" t="s">
        <v>58</v>
      </c>
      <c r="U244" t="s">
        <v>40</v>
      </c>
      <c r="V244" s="1">
        <v>44434</v>
      </c>
      <c r="W244">
        <v>0</v>
      </c>
      <c r="X244">
        <v>14</v>
      </c>
      <c r="AA244" t="s">
        <v>42</v>
      </c>
      <c r="AB244" t="s">
        <v>43</v>
      </c>
      <c r="AC244" t="s">
        <v>43</v>
      </c>
      <c r="AD244" t="s">
        <v>696</v>
      </c>
    </row>
    <row r="245" spans="1:31" x14ac:dyDescent="0.4">
      <c r="A245" t="s">
        <v>27</v>
      </c>
      <c r="B245">
        <v>224</v>
      </c>
      <c r="C245" t="s">
        <v>2930</v>
      </c>
      <c r="D245">
        <v>79</v>
      </c>
      <c r="E245" t="s">
        <v>68</v>
      </c>
      <c r="F245" t="s">
        <v>687</v>
      </c>
      <c r="G245" t="s">
        <v>688</v>
      </c>
      <c r="H245" t="s">
        <v>689</v>
      </c>
      <c r="I245" t="s">
        <v>690</v>
      </c>
      <c r="J245" t="s">
        <v>691</v>
      </c>
      <c r="K245" t="s">
        <v>242</v>
      </c>
      <c r="L245" t="s">
        <v>692</v>
      </c>
      <c r="M245" t="s">
        <v>35</v>
      </c>
      <c r="N245">
        <v>1264782070</v>
      </c>
      <c r="O245" t="s">
        <v>693</v>
      </c>
      <c r="P245" t="s">
        <v>2930</v>
      </c>
      <c r="R245" t="s">
        <v>694</v>
      </c>
      <c r="S245" t="s">
        <v>695</v>
      </c>
      <c r="T245" t="s">
        <v>58</v>
      </c>
      <c r="U245" t="s">
        <v>40</v>
      </c>
      <c r="V245" s="1">
        <v>43194</v>
      </c>
      <c r="W245">
        <v>0</v>
      </c>
      <c r="X245">
        <v>14</v>
      </c>
      <c r="AA245" t="s">
        <v>42</v>
      </c>
      <c r="AB245" t="s">
        <v>43</v>
      </c>
      <c r="AC245" t="s">
        <v>43</v>
      </c>
      <c r="AD245" t="s">
        <v>696</v>
      </c>
    </row>
    <row r="246" spans="1:31" x14ac:dyDescent="0.4">
      <c r="A246" t="s">
        <v>27</v>
      </c>
      <c r="B246">
        <v>224</v>
      </c>
      <c r="C246" t="s">
        <v>2930</v>
      </c>
      <c r="D246">
        <v>78</v>
      </c>
      <c r="E246" t="s">
        <v>68</v>
      </c>
      <c r="F246" t="s">
        <v>687</v>
      </c>
      <c r="G246" t="s">
        <v>688</v>
      </c>
      <c r="H246" t="s">
        <v>689</v>
      </c>
      <c r="I246" t="s">
        <v>690</v>
      </c>
      <c r="J246" t="s">
        <v>691</v>
      </c>
      <c r="K246" t="s">
        <v>242</v>
      </c>
      <c r="L246" t="s">
        <v>692</v>
      </c>
      <c r="M246" t="s">
        <v>35</v>
      </c>
      <c r="N246">
        <v>1264782070</v>
      </c>
      <c r="O246" t="s">
        <v>693</v>
      </c>
      <c r="P246" t="s">
        <v>2930</v>
      </c>
      <c r="R246" t="s">
        <v>697</v>
      </c>
      <c r="S246" t="s">
        <v>698</v>
      </c>
      <c r="T246" t="s">
        <v>58</v>
      </c>
      <c r="U246" t="s">
        <v>40</v>
      </c>
      <c r="V246" s="1">
        <v>44434</v>
      </c>
      <c r="W246">
        <v>0</v>
      </c>
      <c r="X246">
        <v>16</v>
      </c>
      <c r="AA246" t="s">
        <v>42</v>
      </c>
      <c r="AB246" t="s">
        <v>43</v>
      </c>
      <c r="AC246" t="s">
        <v>43</v>
      </c>
      <c r="AD246" t="s">
        <v>696</v>
      </c>
    </row>
    <row r="247" spans="1:31" x14ac:dyDescent="0.4">
      <c r="A247" t="s">
        <v>27</v>
      </c>
      <c r="B247">
        <v>3589</v>
      </c>
      <c r="C247" t="s">
        <v>2931</v>
      </c>
      <c r="D247">
        <v>81</v>
      </c>
      <c r="E247" t="s">
        <v>68</v>
      </c>
      <c r="F247" t="s">
        <v>699</v>
      </c>
      <c r="G247" t="s">
        <v>700</v>
      </c>
      <c r="H247" t="s">
        <v>701</v>
      </c>
      <c r="J247" t="s">
        <v>702</v>
      </c>
      <c r="K247" t="s">
        <v>495</v>
      </c>
      <c r="L247" t="s">
        <v>703</v>
      </c>
      <c r="M247" t="s">
        <v>35</v>
      </c>
      <c r="N247" t="s">
        <v>704</v>
      </c>
      <c r="O247" t="s">
        <v>705</v>
      </c>
      <c r="P247" t="s">
        <v>3034</v>
      </c>
      <c r="R247" t="s">
        <v>707</v>
      </c>
      <c r="S247" t="s">
        <v>708</v>
      </c>
      <c r="T247" t="s">
        <v>376</v>
      </c>
      <c r="U247" t="s">
        <v>82</v>
      </c>
      <c r="V247" s="1">
        <v>42512</v>
      </c>
      <c r="W247">
        <v>0</v>
      </c>
      <c r="X247">
        <v>2</v>
      </c>
      <c r="AA247" t="s">
        <v>42</v>
      </c>
      <c r="AB247" t="s">
        <v>43</v>
      </c>
      <c r="AC247" t="s">
        <v>43</v>
      </c>
      <c r="AE247" t="s">
        <v>709</v>
      </c>
    </row>
    <row r="248" spans="1:31" x14ac:dyDescent="0.4">
      <c r="A248" t="s">
        <v>27</v>
      </c>
      <c r="B248">
        <v>3589</v>
      </c>
      <c r="C248" t="s">
        <v>2931</v>
      </c>
      <c r="D248">
        <v>81</v>
      </c>
      <c r="E248" t="s">
        <v>68</v>
      </c>
      <c r="F248" t="s">
        <v>699</v>
      </c>
      <c r="G248" t="s">
        <v>700</v>
      </c>
      <c r="H248" t="s">
        <v>701</v>
      </c>
      <c r="J248" t="s">
        <v>702</v>
      </c>
      <c r="K248" t="s">
        <v>495</v>
      </c>
      <c r="L248" t="s">
        <v>703</v>
      </c>
      <c r="M248" t="s">
        <v>35</v>
      </c>
      <c r="N248" t="s">
        <v>704</v>
      </c>
      <c r="O248" t="s">
        <v>705</v>
      </c>
      <c r="P248" t="s">
        <v>3034</v>
      </c>
      <c r="R248" t="s">
        <v>707</v>
      </c>
      <c r="S248" t="s">
        <v>708</v>
      </c>
      <c r="T248" t="s">
        <v>376</v>
      </c>
      <c r="U248" t="s">
        <v>82</v>
      </c>
      <c r="V248" s="1">
        <v>42512</v>
      </c>
      <c r="W248">
        <v>0</v>
      </c>
      <c r="X248">
        <v>3</v>
      </c>
      <c r="AA248" t="s">
        <v>42</v>
      </c>
      <c r="AB248" t="s">
        <v>43</v>
      </c>
      <c r="AC248" t="s">
        <v>43</v>
      </c>
      <c r="AE248" t="s">
        <v>709</v>
      </c>
    </row>
    <row r="249" spans="1:31" x14ac:dyDescent="0.4">
      <c r="A249" t="s">
        <v>27</v>
      </c>
      <c r="B249">
        <v>3589</v>
      </c>
      <c r="C249" t="s">
        <v>2931</v>
      </c>
      <c r="D249">
        <v>80</v>
      </c>
      <c r="E249" t="s">
        <v>68</v>
      </c>
      <c r="F249" t="s">
        <v>699</v>
      </c>
      <c r="G249" t="s">
        <v>700</v>
      </c>
      <c r="H249" t="s">
        <v>701</v>
      </c>
      <c r="J249" t="s">
        <v>702</v>
      </c>
      <c r="K249" t="s">
        <v>495</v>
      </c>
      <c r="L249" t="s">
        <v>703</v>
      </c>
      <c r="M249" t="s">
        <v>35</v>
      </c>
      <c r="N249" t="s">
        <v>704</v>
      </c>
      <c r="O249" t="s">
        <v>705</v>
      </c>
      <c r="P249" t="s">
        <v>2931</v>
      </c>
      <c r="R249" t="s">
        <v>710</v>
      </c>
      <c r="S249" t="s">
        <v>711</v>
      </c>
      <c r="T249" t="s">
        <v>376</v>
      </c>
      <c r="U249" t="s">
        <v>40</v>
      </c>
      <c r="V249" s="1">
        <v>44318</v>
      </c>
      <c r="W249">
        <v>0</v>
      </c>
      <c r="X249">
        <v>4</v>
      </c>
      <c r="Y249" t="s">
        <v>65</v>
      </c>
      <c r="AA249" t="s">
        <v>42</v>
      </c>
      <c r="AB249" t="s">
        <v>43</v>
      </c>
      <c r="AC249" t="s">
        <v>43</v>
      </c>
      <c r="AE249" t="s">
        <v>709</v>
      </c>
    </row>
    <row r="250" spans="1:31" x14ac:dyDescent="0.4">
      <c r="A250" t="s">
        <v>27</v>
      </c>
      <c r="B250">
        <v>3589</v>
      </c>
      <c r="C250" t="s">
        <v>2931</v>
      </c>
      <c r="D250">
        <v>80</v>
      </c>
      <c r="E250" t="s">
        <v>68</v>
      </c>
      <c r="F250" t="s">
        <v>699</v>
      </c>
      <c r="G250" t="s">
        <v>700</v>
      </c>
      <c r="H250" t="s">
        <v>701</v>
      </c>
      <c r="J250" t="s">
        <v>702</v>
      </c>
      <c r="K250" t="s">
        <v>495</v>
      </c>
      <c r="L250" t="s">
        <v>703</v>
      </c>
      <c r="M250" t="s">
        <v>35</v>
      </c>
      <c r="N250" t="s">
        <v>704</v>
      </c>
      <c r="O250" t="s">
        <v>705</v>
      </c>
      <c r="P250" t="s">
        <v>2931</v>
      </c>
      <c r="R250" t="s">
        <v>710</v>
      </c>
      <c r="S250" t="s">
        <v>711</v>
      </c>
      <c r="T250" t="s">
        <v>376</v>
      </c>
      <c r="U250" t="s">
        <v>40</v>
      </c>
      <c r="V250" s="1">
        <v>44318</v>
      </c>
      <c r="W250">
        <v>0</v>
      </c>
      <c r="X250">
        <v>5</v>
      </c>
      <c r="Y250" t="s">
        <v>66</v>
      </c>
      <c r="AA250" t="s">
        <v>42</v>
      </c>
      <c r="AB250" t="s">
        <v>43</v>
      </c>
      <c r="AC250" t="s">
        <v>43</v>
      </c>
      <c r="AE250" t="s">
        <v>709</v>
      </c>
    </row>
    <row r="251" spans="1:31" hidden="1" x14ac:dyDescent="0.4">
      <c r="A251" t="s">
        <v>27</v>
      </c>
      <c r="B251">
        <v>3589</v>
      </c>
      <c r="C251" t="s">
        <v>2931</v>
      </c>
      <c r="E251" t="s">
        <v>68</v>
      </c>
      <c r="F251" t="s">
        <v>699</v>
      </c>
      <c r="G251" t="s">
        <v>700</v>
      </c>
      <c r="H251" t="s">
        <v>701</v>
      </c>
      <c r="J251" t="s">
        <v>702</v>
      </c>
      <c r="K251" t="s">
        <v>495</v>
      </c>
      <c r="L251" t="s">
        <v>703</v>
      </c>
      <c r="M251" t="s">
        <v>35</v>
      </c>
      <c r="N251" t="s">
        <v>704</v>
      </c>
      <c r="O251" t="s">
        <v>705</v>
      </c>
      <c r="P251" t="s">
        <v>706</v>
      </c>
      <c r="R251" t="s">
        <v>712</v>
      </c>
      <c r="S251" t="s">
        <v>713</v>
      </c>
      <c r="T251" t="s">
        <v>58</v>
      </c>
      <c r="U251" t="s">
        <v>82</v>
      </c>
      <c r="V251" s="1">
        <v>45630</v>
      </c>
      <c r="W251">
        <v>0</v>
      </c>
      <c r="X251">
        <v>0</v>
      </c>
      <c r="Y251" t="s">
        <v>59</v>
      </c>
      <c r="AA251" t="s">
        <v>42</v>
      </c>
      <c r="AB251" t="s">
        <v>43</v>
      </c>
      <c r="AC251" t="s">
        <v>43</v>
      </c>
      <c r="AD251" t="s">
        <v>709</v>
      </c>
    </row>
    <row r="252" spans="1:31" hidden="1" x14ac:dyDescent="0.4">
      <c r="A252" t="s">
        <v>27</v>
      </c>
      <c r="B252">
        <v>429</v>
      </c>
      <c r="C252" t="s">
        <v>2855</v>
      </c>
      <c r="E252" t="s">
        <v>28</v>
      </c>
      <c r="F252" t="s">
        <v>714</v>
      </c>
      <c r="G252" t="s">
        <v>715</v>
      </c>
      <c r="H252">
        <v>17</v>
      </c>
      <c r="I252" t="s">
        <v>716</v>
      </c>
      <c r="J252" t="s">
        <v>50</v>
      </c>
      <c r="K252" t="s">
        <v>51</v>
      </c>
      <c r="L252" t="s">
        <v>717</v>
      </c>
      <c r="M252" t="s">
        <v>35</v>
      </c>
      <c r="N252" t="s">
        <v>718</v>
      </c>
      <c r="O252" t="s">
        <v>719</v>
      </c>
      <c r="P252" t="s">
        <v>720</v>
      </c>
      <c r="R252" t="s">
        <v>721</v>
      </c>
      <c r="S252" t="s">
        <v>722</v>
      </c>
      <c r="T252" t="s">
        <v>94</v>
      </c>
      <c r="U252" t="s">
        <v>82</v>
      </c>
      <c r="V252" s="1">
        <v>42721</v>
      </c>
      <c r="W252">
        <v>0</v>
      </c>
      <c r="X252">
        <v>0</v>
      </c>
      <c r="Y252" t="s">
        <v>59</v>
      </c>
      <c r="Z252" t="s">
        <v>135</v>
      </c>
      <c r="AA252" t="s">
        <v>42</v>
      </c>
      <c r="AB252" t="s">
        <v>43</v>
      </c>
      <c r="AC252" t="s">
        <v>43</v>
      </c>
      <c r="AD252" t="s">
        <v>723</v>
      </c>
    </row>
    <row r="253" spans="1:31" x14ac:dyDescent="0.4">
      <c r="A253" t="s">
        <v>27</v>
      </c>
      <c r="B253">
        <v>429</v>
      </c>
      <c r="C253" t="s">
        <v>2855</v>
      </c>
      <c r="D253">
        <v>82</v>
      </c>
      <c r="E253" t="s">
        <v>28</v>
      </c>
      <c r="F253" t="s">
        <v>714</v>
      </c>
      <c r="G253" t="s">
        <v>715</v>
      </c>
      <c r="H253">
        <v>17</v>
      </c>
      <c r="I253" t="s">
        <v>716</v>
      </c>
      <c r="J253" t="s">
        <v>50</v>
      </c>
      <c r="K253" t="s">
        <v>51</v>
      </c>
      <c r="L253" t="s">
        <v>717</v>
      </c>
      <c r="M253" t="s">
        <v>35</v>
      </c>
      <c r="N253" t="s">
        <v>718</v>
      </c>
      <c r="O253" t="s">
        <v>719</v>
      </c>
      <c r="P253" t="s">
        <v>2855</v>
      </c>
      <c r="R253" t="s">
        <v>724</v>
      </c>
      <c r="S253" t="s">
        <v>725</v>
      </c>
      <c r="T253" t="s">
        <v>94</v>
      </c>
      <c r="U253" t="s">
        <v>82</v>
      </c>
      <c r="V253" s="1">
        <v>44250</v>
      </c>
      <c r="W253">
        <v>0</v>
      </c>
      <c r="X253">
        <v>5</v>
      </c>
      <c r="Y253" t="s">
        <v>66</v>
      </c>
      <c r="Z253" t="s">
        <v>135</v>
      </c>
      <c r="AA253" t="s">
        <v>42</v>
      </c>
      <c r="AB253" t="s">
        <v>43</v>
      </c>
      <c r="AC253" t="s">
        <v>43</v>
      </c>
      <c r="AD253" t="s">
        <v>723</v>
      </c>
    </row>
    <row r="254" spans="1:31" x14ac:dyDescent="0.4">
      <c r="A254" t="s">
        <v>27</v>
      </c>
      <c r="B254">
        <v>429</v>
      </c>
      <c r="C254" t="s">
        <v>2855</v>
      </c>
      <c r="D254">
        <v>82</v>
      </c>
      <c r="E254" t="s">
        <v>28</v>
      </c>
      <c r="F254" t="s">
        <v>714</v>
      </c>
      <c r="G254" t="s">
        <v>715</v>
      </c>
      <c r="H254">
        <v>17</v>
      </c>
      <c r="I254" t="s">
        <v>716</v>
      </c>
      <c r="J254" t="s">
        <v>50</v>
      </c>
      <c r="K254" t="s">
        <v>51</v>
      </c>
      <c r="L254" t="s">
        <v>717</v>
      </c>
      <c r="M254" t="s">
        <v>35</v>
      </c>
      <c r="N254" t="s">
        <v>718</v>
      </c>
      <c r="O254" t="s">
        <v>719</v>
      </c>
      <c r="P254" t="s">
        <v>2855</v>
      </c>
      <c r="R254" t="s">
        <v>724</v>
      </c>
      <c r="S254" t="s">
        <v>725</v>
      </c>
      <c r="T254" t="s">
        <v>94</v>
      </c>
      <c r="U254" t="s">
        <v>82</v>
      </c>
      <c r="V254" s="1">
        <v>44250</v>
      </c>
      <c r="W254">
        <v>0</v>
      </c>
      <c r="X254">
        <v>6</v>
      </c>
      <c r="Y254" t="s">
        <v>83</v>
      </c>
      <c r="Z254" t="s">
        <v>135</v>
      </c>
      <c r="AA254" t="s">
        <v>42</v>
      </c>
      <c r="AB254" t="s">
        <v>43</v>
      </c>
      <c r="AC254" t="s">
        <v>43</v>
      </c>
      <c r="AD254" t="s">
        <v>723</v>
      </c>
    </row>
    <row r="255" spans="1:31" hidden="1" x14ac:dyDescent="0.4">
      <c r="A255" t="s">
        <v>27</v>
      </c>
      <c r="B255">
        <v>429</v>
      </c>
      <c r="C255" t="s">
        <v>2855</v>
      </c>
      <c r="E255" t="s">
        <v>28</v>
      </c>
      <c r="F255" t="s">
        <v>714</v>
      </c>
      <c r="G255" t="s">
        <v>715</v>
      </c>
      <c r="H255">
        <v>17</v>
      </c>
      <c r="I255" t="s">
        <v>716</v>
      </c>
      <c r="J255" t="s">
        <v>50</v>
      </c>
      <c r="K255" t="s">
        <v>51</v>
      </c>
      <c r="L255" t="s">
        <v>717</v>
      </c>
      <c r="M255" t="s">
        <v>35</v>
      </c>
      <c r="N255" t="s">
        <v>718</v>
      </c>
      <c r="O255" t="s">
        <v>719</v>
      </c>
      <c r="P255" t="s">
        <v>720</v>
      </c>
      <c r="R255" t="s">
        <v>721</v>
      </c>
      <c r="S255" t="s">
        <v>722</v>
      </c>
      <c r="T255" t="s">
        <v>94</v>
      </c>
      <c r="U255" t="s">
        <v>82</v>
      </c>
      <c r="V255" s="1">
        <v>42721</v>
      </c>
      <c r="W255">
        <v>0</v>
      </c>
      <c r="X255">
        <v>0</v>
      </c>
      <c r="Y255" t="s">
        <v>59</v>
      </c>
      <c r="Z255" t="s">
        <v>135</v>
      </c>
      <c r="AA255" t="s">
        <v>42</v>
      </c>
      <c r="AB255" t="s">
        <v>43</v>
      </c>
      <c r="AC255" t="s">
        <v>43</v>
      </c>
      <c r="AD255" t="s">
        <v>723</v>
      </c>
    </row>
    <row r="256" spans="1:31" x14ac:dyDescent="0.4">
      <c r="A256" t="s">
        <v>27</v>
      </c>
      <c r="B256">
        <v>429</v>
      </c>
      <c r="C256" t="s">
        <v>2855</v>
      </c>
      <c r="D256">
        <v>82</v>
      </c>
      <c r="E256" t="s">
        <v>28</v>
      </c>
      <c r="F256" t="s">
        <v>714</v>
      </c>
      <c r="G256" t="s">
        <v>715</v>
      </c>
      <c r="H256">
        <v>17</v>
      </c>
      <c r="I256" t="s">
        <v>716</v>
      </c>
      <c r="J256" t="s">
        <v>50</v>
      </c>
      <c r="K256" t="s">
        <v>51</v>
      </c>
      <c r="L256" t="s">
        <v>717</v>
      </c>
      <c r="M256" t="s">
        <v>35</v>
      </c>
      <c r="N256" t="s">
        <v>718</v>
      </c>
      <c r="O256" t="s">
        <v>719</v>
      </c>
      <c r="P256" t="s">
        <v>2855</v>
      </c>
      <c r="R256" t="s">
        <v>724</v>
      </c>
      <c r="S256" t="s">
        <v>725</v>
      </c>
      <c r="T256" t="s">
        <v>94</v>
      </c>
      <c r="U256" t="s">
        <v>82</v>
      </c>
      <c r="V256" s="1">
        <v>44250</v>
      </c>
      <c r="W256">
        <v>0</v>
      </c>
      <c r="X256">
        <v>15</v>
      </c>
      <c r="Z256" t="s">
        <v>135</v>
      </c>
      <c r="AA256" t="s">
        <v>42</v>
      </c>
      <c r="AB256" t="s">
        <v>43</v>
      </c>
      <c r="AC256" t="s">
        <v>43</v>
      </c>
      <c r="AD256" t="s">
        <v>723</v>
      </c>
    </row>
    <row r="257" spans="1:30" x14ac:dyDescent="0.4">
      <c r="A257" t="s">
        <v>27</v>
      </c>
      <c r="B257">
        <v>429</v>
      </c>
      <c r="C257" t="s">
        <v>2855</v>
      </c>
      <c r="D257">
        <v>82</v>
      </c>
      <c r="E257" t="s">
        <v>28</v>
      </c>
      <c r="F257" t="s">
        <v>714</v>
      </c>
      <c r="G257" t="s">
        <v>715</v>
      </c>
      <c r="H257">
        <v>17</v>
      </c>
      <c r="I257" t="s">
        <v>716</v>
      </c>
      <c r="J257" t="s">
        <v>50</v>
      </c>
      <c r="K257" t="s">
        <v>51</v>
      </c>
      <c r="L257" t="s">
        <v>717</v>
      </c>
      <c r="M257" t="s">
        <v>35</v>
      </c>
      <c r="N257" t="s">
        <v>718</v>
      </c>
      <c r="O257" t="s">
        <v>719</v>
      </c>
      <c r="P257" t="s">
        <v>2855</v>
      </c>
      <c r="R257" t="s">
        <v>724</v>
      </c>
      <c r="S257" t="s">
        <v>725</v>
      </c>
      <c r="T257" t="s">
        <v>94</v>
      </c>
      <c r="U257" t="s">
        <v>82</v>
      </c>
      <c r="V257" s="1">
        <v>44250</v>
      </c>
      <c r="W257">
        <v>0</v>
      </c>
      <c r="X257">
        <v>17</v>
      </c>
      <c r="Z257" t="s">
        <v>135</v>
      </c>
      <c r="AA257" t="s">
        <v>42</v>
      </c>
      <c r="AB257" t="s">
        <v>43</v>
      </c>
      <c r="AC257" t="s">
        <v>43</v>
      </c>
      <c r="AD257" t="s">
        <v>723</v>
      </c>
    </row>
    <row r="258" spans="1:30" x14ac:dyDescent="0.4">
      <c r="A258" t="s">
        <v>27</v>
      </c>
      <c r="B258">
        <v>2572</v>
      </c>
      <c r="C258" t="s">
        <v>734</v>
      </c>
      <c r="D258">
        <v>84</v>
      </c>
      <c r="E258" t="s">
        <v>68</v>
      </c>
      <c r="F258" t="s">
        <v>726</v>
      </c>
      <c r="G258" t="s">
        <v>727</v>
      </c>
      <c r="H258" t="s">
        <v>728</v>
      </c>
      <c r="I258" t="s">
        <v>729</v>
      </c>
      <c r="J258" t="s">
        <v>730</v>
      </c>
      <c r="K258" t="s">
        <v>731</v>
      </c>
      <c r="L258" t="s">
        <v>732</v>
      </c>
      <c r="M258" t="s">
        <v>35</v>
      </c>
      <c r="N258">
        <v>7979120188</v>
      </c>
      <c r="O258" t="s">
        <v>733</v>
      </c>
      <c r="P258" t="s">
        <v>734</v>
      </c>
      <c r="R258" t="s">
        <v>3099</v>
      </c>
      <c r="S258" t="s">
        <v>736</v>
      </c>
      <c r="T258" t="s">
        <v>737</v>
      </c>
      <c r="U258" t="s">
        <v>82</v>
      </c>
      <c r="V258" s="1">
        <v>43759</v>
      </c>
      <c r="W258">
        <v>0</v>
      </c>
      <c r="X258">
        <v>4</v>
      </c>
      <c r="Y258" t="s">
        <v>65</v>
      </c>
      <c r="Z258" t="s">
        <v>135</v>
      </c>
      <c r="AA258" t="s">
        <v>42</v>
      </c>
      <c r="AB258" t="s">
        <v>43</v>
      </c>
      <c r="AC258" t="s">
        <v>43</v>
      </c>
    </row>
    <row r="259" spans="1:30" x14ac:dyDescent="0.4">
      <c r="A259" t="s">
        <v>27</v>
      </c>
      <c r="B259">
        <v>2572</v>
      </c>
      <c r="C259" t="s">
        <v>734</v>
      </c>
      <c r="D259">
        <v>84</v>
      </c>
      <c r="E259" t="s">
        <v>68</v>
      </c>
      <c r="F259" t="s">
        <v>726</v>
      </c>
      <c r="G259" t="s">
        <v>727</v>
      </c>
      <c r="H259" t="s">
        <v>728</v>
      </c>
      <c r="I259" t="s">
        <v>729</v>
      </c>
      <c r="J259" t="s">
        <v>730</v>
      </c>
      <c r="K259" t="s">
        <v>731</v>
      </c>
      <c r="L259" t="s">
        <v>732</v>
      </c>
      <c r="M259" t="s">
        <v>35</v>
      </c>
      <c r="N259">
        <v>7979120188</v>
      </c>
      <c r="O259" t="s">
        <v>733</v>
      </c>
      <c r="P259" t="s">
        <v>734</v>
      </c>
      <c r="R259" t="s">
        <v>3099</v>
      </c>
      <c r="S259" t="s">
        <v>736</v>
      </c>
      <c r="T259" t="s">
        <v>737</v>
      </c>
      <c r="U259" t="s">
        <v>82</v>
      </c>
      <c r="V259" s="1">
        <v>43759</v>
      </c>
      <c r="W259">
        <v>0</v>
      </c>
      <c r="X259">
        <v>6</v>
      </c>
      <c r="Y259" t="s">
        <v>83</v>
      </c>
      <c r="Z259" t="s">
        <v>135</v>
      </c>
      <c r="AA259" t="s">
        <v>42</v>
      </c>
      <c r="AB259" t="s">
        <v>43</v>
      </c>
      <c r="AC259" t="s">
        <v>43</v>
      </c>
    </row>
    <row r="260" spans="1:30" x14ac:dyDescent="0.4">
      <c r="A260" t="s">
        <v>27</v>
      </c>
      <c r="B260">
        <v>2572</v>
      </c>
      <c r="C260" t="s">
        <v>734</v>
      </c>
      <c r="D260">
        <v>84</v>
      </c>
      <c r="E260" t="s">
        <v>68</v>
      </c>
      <c r="F260" t="s">
        <v>726</v>
      </c>
      <c r="G260" t="s">
        <v>727</v>
      </c>
      <c r="H260" t="s">
        <v>728</v>
      </c>
      <c r="I260" t="s">
        <v>729</v>
      </c>
      <c r="J260" t="s">
        <v>730</v>
      </c>
      <c r="K260" t="s">
        <v>731</v>
      </c>
      <c r="L260" t="s">
        <v>732</v>
      </c>
      <c r="M260" t="s">
        <v>35</v>
      </c>
      <c r="N260">
        <v>7979120188</v>
      </c>
      <c r="O260" t="s">
        <v>733</v>
      </c>
      <c r="P260" t="s">
        <v>734</v>
      </c>
      <c r="R260" t="s">
        <v>3099</v>
      </c>
      <c r="S260" t="s">
        <v>736</v>
      </c>
      <c r="T260" t="s">
        <v>737</v>
      </c>
      <c r="U260" t="s">
        <v>82</v>
      </c>
      <c r="V260" s="1">
        <v>43759</v>
      </c>
      <c r="W260">
        <v>0</v>
      </c>
      <c r="X260">
        <v>13</v>
      </c>
      <c r="Z260" t="s">
        <v>135</v>
      </c>
      <c r="AA260" t="s">
        <v>42</v>
      </c>
      <c r="AB260" t="s">
        <v>43</v>
      </c>
      <c r="AC260" t="s">
        <v>43</v>
      </c>
    </row>
    <row r="261" spans="1:30" x14ac:dyDescent="0.4">
      <c r="A261" t="s">
        <v>27</v>
      </c>
      <c r="B261">
        <v>2572</v>
      </c>
      <c r="C261" t="s">
        <v>734</v>
      </c>
      <c r="D261">
        <v>83</v>
      </c>
      <c r="E261" t="s">
        <v>68</v>
      </c>
      <c r="F261" t="s">
        <v>726</v>
      </c>
      <c r="G261" t="s">
        <v>727</v>
      </c>
      <c r="H261" t="s">
        <v>728</v>
      </c>
      <c r="I261" t="s">
        <v>729</v>
      </c>
      <c r="J261" t="s">
        <v>730</v>
      </c>
      <c r="K261" t="s">
        <v>731</v>
      </c>
      <c r="L261" t="s">
        <v>732</v>
      </c>
      <c r="M261" t="s">
        <v>35</v>
      </c>
      <c r="N261">
        <v>7979120188</v>
      </c>
      <c r="O261" t="s">
        <v>733</v>
      </c>
      <c r="P261" t="s">
        <v>734</v>
      </c>
      <c r="R261" t="s">
        <v>738</v>
      </c>
      <c r="S261" t="s">
        <v>739</v>
      </c>
      <c r="T261" t="s">
        <v>737</v>
      </c>
      <c r="U261" t="s">
        <v>82</v>
      </c>
      <c r="V261" s="1">
        <v>45192</v>
      </c>
      <c r="W261">
        <v>0</v>
      </c>
      <c r="X261">
        <v>4</v>
      </c>
      <c r="Y261" t="s">
        <v>65</v>
      </c>
      <c r="Z261" t="s">
        <v>135</v>
      </c>
      <c r="AA261" t="s">
        <v>42</v>
      </c>
      <c r="AB261" t="s">
        <v>43</v>
      </c>
      <c r="AC261" t="s">
        <v>43</v>
      </c>
    </row>
    <row r="262" spans="1:30" x14ac:dyDescent="0.4">
      <c r="A262" t="s">
        <v>27</v>
      </c>
      <c r="B262">
        <v>4328</v>
      </c>
      <c r="C262" t="s">
        <v>746</v>
      </c>
      <c r="D262">
        <v>85</v>
      </c>
      <c r="E262" t="s">
        <v>195</v>
      </c>
      <c r="F262" t="s">
        <v>740</v>
      </c>
      <c r="G262" t="s">
        <v>741</v>
      </c>
      <c r="H262" t="s">
        <v>742</v>
      </c>
      <c r="I262" t="s">
        <v>504</v>
      </c>
      <c r="J262" t="s">
        <v>743</v>
      </c>
      <c r="K262" t="s">
        <v>73</v>
      </c>
      <c r="L262" t="s">
        <v>744</v>
      </c>
      <c r="M262" t="s">
        <v>35</v>
      </c>
      <c r="N262">
        <v>7794601661</v>
      </c>
      <c r="O262" t="s">
        <v>745</v>
      </c>
      <c r="P262" t="s">
        <v>746</v>
      </c>
      <c r="R262" t="s">
        <v>747</v>
      </c>
      <c r="S262" t="s">
        <v>748</v>
      </c>
      <c r="T262" t="s">
        <v>58</v>
      </c>
      <c r="U262" t="s">
        <v>82</v>
      </c>
      <c r="V262" s="1">
        <v>43474</v>
      </c>
      <c r="W262">
        <v>0</v>
      </c>
      <c r="X262">
        <v>5</v>
      </c>
      <c r="Y262" t="s">
        <v>66</v>
      </c>
      <c r="AA262" t="s">
        <v>42</v>
      </c>
      <c r="AB262" t="s">
        <v>43</v>
      </c>
      <c r="AC262" t="s">
        <v>43</v>
      </c>
    </row>
    <row r="263" spans="1:30" x14ac:dyDescent="0.4">
      <c r="A263" t="s">
        <v>27</v>
      </c>
      <c r="B263">
        <v>4328</v>
      </c>
      <c r="C263" t="s">
        <v>746</v>
      </c>
      <c r="D263">
        <v>85</v>
      </c>
      <c r="E263" t="s">
        <v>195</v>
      </c>
      <c r="F263" t="s">
        <v>740</v>
      </c>
      <c r="G263" t="s">
        <v>741</v>
      </c>
      <c r="H263" t="s">
        <v>742</v>
      </c>
      <c r="I263" t="s">
        <v>504</v>
      </c>
      <c r="J263" t="s">
        <v>743</v>
      </c>
      <c r="K263" t="s">
        <v>73</v>
      </c>
      <c r="L263" t="s">
        <v>744</v>
      </c>
      <c r="M263" t="s">
        <v>35</v>
      </c>
      <c r="N263">
        <v>7794601661</v>
      </c>
      <c r="O263" t="s">
        <v>745</v>
      </c>
      <c r="P263" t="s">
        <v>746</v>
      </c>
      <c r="R263" t="s">
        <v>747</v>
      </c>
      <c r="S263" t="s">
        <v>748</v>
      </c>
      <c r="T263" t="s">
        <v>58</v>
      </c>
      <c r="U263" t="s">
        <v>82</v>
      </c>
      <c r="V263" s="1">
        <v>43474</v>
      </c>
      <c r="W263">
        <v>0</v>
      </c>
      <c r="X263">
        <v>6</v>
      </c>
      <c r="Y263" t="s">
        <v>83</v>
      </c>
      <c r="AA263" t="s">
        <v>42</v>
      </c>
      <c r="AB263" t="s">
        <v>43</v>
      </c>
      <c r="AC263" t="s">
        <v>43</v>
      </c>
    </row>
    <row r="264" spans="1:30" x14ac:dyDescent="0.4">
      <c r="A264" t="s">
        <v>27</v>
      </c>
      <c r="B264">
        <v>4328</v>
      </c>
      <c r="C264" t="s">
        <v>746</v>
      </c>
      <c r="D264">
        <v>85</v>
      </c>
      <c r="E264" t="s">
        <v>195</v>
      </c>
      <c r="F264" t="s">
        <v>740</v>
      </c>
      <c r="G264" t="s">
        <v>741</v>
      </c>
      <c r="H264" t="s">
        <v>742</v>
      </c>
      <c r="I264" t="s">
        <v>504</v>
      </c>
      <c r="J264" t="s">
        <v>743</v>
      </c>
      <c r="K264" t="s">
        <v>73</v>
      </c>
      <c r="L264" t="s">
        <v>744</v>
      </c>
      <c r="M264" t="s">
        <v>35</v>
      </c>
      <c r="N264">
        <v>7794601661</v>
      </c>
      <c r="O264" t="s">
        <v>745</v>
      </c>
      <c r="P264" t="s">
        <v>746</v>
      </c>
      <c r="R264" t="s">
        <v>747</v>
      </c>
      <c r="S264" t="s">
        <v>748</v>
      </c>
      <c r="T264" t="s">
        <v>58</v>
      </c>
      <c r="U264" t="s">
        <v>82</v>
      </c>
      <c r="V264" s="1">
        <v>43474</v>
      </c>
      <c r="W264">
        <v>0</v>
      </c>
      <c r="X264">
        <v>15</v>
      </c>
      <c r="AA264" t="s">
        <v>42</v>
      </c>
      <c r="AB264" t="s">
        <v>43</v>
      </c>
      <c r="AC264" t="s">
        <v>43</v>
      </c>
    </row>
    <row r="265" spans="1:30" x14ac:dyDescent="0.4">
      <c r="A265" t="s">
        <v>27</v>
      </c>
      <c r="B265">
        <v>4328</v>
      </c>
      <c r="C265" t="s">
        <v>746</v>
      </c>
      <c r="D265">
        <v>85</v>
      </c>
      <c r="E265" t="s">
        <v>195</v>
      </c>
      <c r="F265" t="s">
        <v>740</v>
      </c>
      <c r="G265" t="s">
        <v>741</v>
      </c>
      <c r="H265" t="s">
        <v>742</v>
      </c>
      <c r="I265" t="s">
        <v>504</v>
      </c>
      <c r="J265" t="s">
        <v>743</v>
      </c>
      <c r="K265" t="s">
        <v>73</v>
      </c>
      <c r="L265" t="s">
        <v>744</v>
      </c>
      <c r="M265" t="s">
        <v>35</v>
      </c>
      <c r="N265">
        <v>7794601661</v>
      </c>
      <c r="O265" t="s">
        <v>745</v>
      </c>
      <c r="P265" t="s">
        <v>746</v>
      </c>
      <c r="R265" t="s">
        <v>747</v>
      </c>
      <c r="S265" t="s">
        <v>748</v>
      </c>
      <c r="T265" t="s">
        <v>58</v>
      </c>
      <c r="U265" t="s">
        <v>82</v>
      </c>
      <c r="V265" s="1">
        <v>43474</v>
      </c>
      <c r="W265">
        <v>0</v>
      </c>
      <c r="X265">
        <v>17</v>
      </c>
      <c r="AA265" t="s">
        <v>42</v>
      </c>
      <c r="AB265" t="s">
        <v>43</v>
      </c>
      <c r="AC265" t="s">
        <v>43</v>
      </c>
    </row>
    <row r="266" spans="1:30" x14ac:dyDescent="0.4">
      <c r="A266" t="s">
        <v>27</v>
      </c>
      <c r="B266">
        <v>373</v>
      </c>
      <c r="C266" t="s">
        <v>2856</v>
      </c>
      <c r="D266">
        <v>86</v>
      </c>
      <c r="E266" t="s">
        <v>195</v>
      </c>
      <c r="F266" t="s">
        <v>69</v>
      </c>
      <c r="G266" t="s">
        <v>749</v>
      </c>
      <c r="H266" t="s">
        <v>750</v>
      </c>
      <c r="I266" t="s">
        <v>751</v>
      </c>
      <c r="J266" t="s">
        <v>752</v>
      </c>
      <c r="K266" t="s">
        <v>634</v>
      </c>
      <c r="L266" t="s">
        <v>753</v>
      </c>
      <c r="M266" t="s">
        <v>35</v>
      </c>
      <c r="N266">
        <v>1628664403</v>
      </c>
      <c r="O266" t="s">
        <v>754</v>
      </c>
      <c r="P266" t="s">
        <v>2856</v>
      </c>
      <c r="R266" t="s">
        <v>755</v>
      </c>
      <c r="S266" t="s">
        <v>756</v>
      </c>
      <c r="T266" t="s">
        <v>94</v>
      </c>
      <c r="U266" t="s">
        <v>40</v>
      </c>
      <c r="V266" s="1">
        <v>44224</v>
      </c>
      <c r="W266">
        <v>0</v>
      </c>
      <c r="X266">
        <v>5</v>
      </c>
      <c r="Y266" t="s">
        <v>66</v>
      </c>
      <c r="Z266" t="s">
        <v>392</v>
      </c>
      <c r="AA266" t="s">
        <v>42</v>
      </c>
      <c r="AB266" t="s">
        <v>43</v>
      </c>
      <c r="AC266" t="s">
        <v>43</v>
      </c>
    </row>
    <row r="267" spans="1:30" x14ac:dyDescent="0.4">
      <c r="A267" t="s">
        <v>27</v>
      </c>
      <c r="B267">
        <v>373</v>
      </c>
      <c r="C267" t="s">
        <v>2856</v>
      </c>
      <c r="D267">
        <v>86</v>
      </c>
      <c r="E267" t="s">
        <v>195</v>
      </c>
      <c r="F267" t="s">
        <v>69</v>
      </c>
      <c r="G267" t="s">
        <v>749</v>
      </c>
      <c r="H267" t="s">
        <v>750</v>
      </c>
      <c r="I267" t="s">
        <v>751</v>
      </c>
      <c r="J267" t="s">
        <v>752</v>
      </c>
      <c r="K267" t="s">
        <v>634</v>
      </c>
      <c r="L267" t="s">
        <v>753</v>
      </c>
      <c r="M267" t="s">
        <v>35</v>
      </c>
      <c r="N267">
        <v>1628664403</v>
      </c>
      <c r="O267" t="s">
        <v>754</v>
      </c>
      <c r="P267" t="s">
        <v>2856</v>
      </c>
      <c r="R267" t="s">
        <v>755</v>
      </c>
      <c r="S267" t="s">
        <v>756</v>
      </c>
      <c r="T267" t="s">
        <v>94</v>
      </c>
      <c r="U267" t="s">
        <v>40</v>
      </c>
      <c r="V267" s="1">
        <v>44224</v>
      </c>
      <c r="W267">
        <v>0</v>
      </c>
      <c r="X267">
        <v>6</v>
      </c>
      <c r="Y267" t="s">
        <v>83</v>
      </c>
      <c r="Z267" t="s">
        <v>392</v>
      </c>
      <c r="AA267" t="s">
        <v>42</v>
      </c>
      <c r="AB267" t="s">
        <v>43</v>
      </c>
      <c r="AC267" t="s">
        <v>43</v>
      </c>
    </row>
    <row r="268" spans="1:30" x14ac:dyDescent="0.4">
      <c r="A268" t="s">
        <v>27</v>
      </c>
      <c r="B268">
        <v>373</v>
      </c>
      <c r="C268" t="s">
        <v>2856</v>
      </c>
      <c r="D268">
        <v>86</v>
      </c>
      <c r="E268" t="s">
        <v>195</v>
      </c>
      <c r="F268" t="s">
        <v>69</v>
      </c>
      <c r="G268" t="s">
        <v>749</v>
      </c>
      <c r="H268" t="s">
        <v>750</v>
      </c>
      <c r="I268" t="s">
        <v>751</v>
      </c>
      <c r="J268" t="s">
        <v>752</v>
      </c>
      <c r="K268" t="s">
        <v>634</v>
      </c>
      <c r="L268" t="s">
        <v>753</v>
      </c>
      <c r="M268" t="s">
        <v>35</v>
      </c>
      <c r="N268">
        <v>1628664403</v>
      </c>
      <c r="O268" t="s">
        <v>754</v>
      </c>
      <c r="P268" t="s">
        <v>2856</v>
      </c>
      <c r="R268" t="s">
        <v>755</v>
      </c>
      <c r="S268" t="s">
        <v>756</v>
      </c>
      <c r="T268" t="s">
        <v>94</v>
      </c>
      <c r="U268" t="s">
        <v>40</v>
      </c>
      <c r="V268" s="1">
        <v>44224</v>
      </c>
      <c r="W268">
        <v>0</v>
      </c>
      <c r="X268">
        <v>14</v>
      </c>
      <c r="Z268" t="s">
        <v>392</v>
      </c>
      <c r="AA268" t="s">
        <v>42</v>
      </c>
      <c r="AB268" t="s">
        <v>43</v>
      </c>
      <c r="AC268" t="s">
        <v>43</v>
      </c>
    </row>
    <row r="269" spans="1:30" x14ac:dyDescent="0.4">
      <c r="A269" t="s">
        <v>27</v>
      </c>
      <c r="B269">
        <v>373</v>
      </c>
      <c r="C269" t="s">
        <v>2856</v>
      </c>
      <c r="D269">
        <v>86</v>
      </c>
      <c r="E269" t="s">
        <v>195</v>
      </c>
      <c r="F269" t="s">
        <v>69</v>
      </c>
      <c r="G269" t="s">
        <v>749</v>
      </c>
      <c r="H269" t="s">
        <v>750</v>
      </c>
      <c r="I269" t="s">
        <v>751</v>
      </c>
      <c r="J269" t="s">
        <v>752</v>
      </c>
      <c r="K269" t="s">
        <v>634</v>
      </c>
      <c r="L269" t="s">
        <v>753</v>
      </c>
      <c r="M269" t="s">
        <v>35</v>
      </c>
      <c r="N269">
        <v>1628664403</v>
      </c>
      <c r="O269" t="s">
        <v>754</v>
      </c>
      <c r="P269" t="s">
        <v>2856</v>
      </c>
      <c r="R269" t="s">
        <v>755</v>
      </c>
      <c r="S269" t="s">
        <v>756</v>
      </c>
      <c r="T269" t="s">
        <v>94</v>
      </c>
      <c r="U269" t="s">
        <v>40</v>
      </c>
      <c r="V269" s="1">
        <v>44224</v>
      </c>
      <c r="W269">
        <v>0</v>
      </c>
      <c r="X269">
        <v>16</v>
      </c>
      <c r="Z269" t="s">
        <v>392</v>
      </c>
      <c r="AA269" t="s">
        <v>42</v>
      </c>
      <c r="AB269" t="s">
        <v>43</v>
      </c>
      <c r="AC269" t="s">
        <v>43</v>
      </c>
    </row>
    <row r="270" spans="1:30" hidden="1" x14ac:dyDescent="0.4">
      <c r="A270" t="s">
        <v>27</v>
      </c>
      <c r="B270">
        <v>10</v>
      </c>
      <c r="C270" t="s">
        <v>2932</v>
      </c>
      <c r="E270" t="s">
        <v>68</v>
      </c>
      <c r="F270" t="s">
        <v>757</v>
      </c>
      <c r="G270" t="s">
        <v>758</v>
      </c>
      <c r="H270" t="s">
        <v>759</v>
      </c>
      <c r="I270" t="s">
        <v>760</v>
      </c>
      <c r="J270" t="s">
        <v>761</v>
      </c>
      <c r="K270" t="s">
        <v>215</v>
      </c>
      <c r="L270" t="s">
        <v>762</v>
      </c>
      <c r="M270" t="s">
        <v>35</v>
      </c>
      <c r="N270" t="s">
        <v>763</v>
      </c>
      <c r="O270" t="s">
        <v>764</v>
      </c>
      <c r="P270" t="s">
        <v>765</v>
      </c>
      <c r="R270" t="s">
        <v>766</v>
      </c>
      <c r="S270" t="s">
        <v>767</v>
      </c>
      <c r="T270" t="s">
        <v>58</v>
      </c>
      <c r="U270" t="s">
        <v>40</v>
      </c>
      <c r="V270" s="1">
        <v>41059</v>
      </c>
      <c r="W270">
        <v>0</v>
      </c>
      <c r="X270">
        <v>0</v>
      </c>
      <c r="Y270" t="s">
        <v>59</v>
      </c>
      <c r="AA270" t="s">
        <v>42</v>
      </c>
      <c r="AB270" t="s">
        <v>43</v>
      </c>
      <c r="AC270" t="s">
        <v>43</v>
      </c>
    </row>
    <row r="271" spans="1:30" hidden="1" x14ac:dyDescent="0.4">
      <c r="A271" t="s">
        <v>27</v>
      </c>
      <c r="B271">
        <v>10</v>
      </c>
      <c r="C271" t="s">
        <v>2932</v>
      </c>
      <c r="E271" t="s">
        <v>68</v>
      </c>
      <c r="F271" t="s">
        <v>757</v>
      </c>
      <c r="G271" t="s">
        <v>758</v>
      </c>
      <c r="H271" t="s">
        <v>759</v>
      </c>
      <c r="I271" t="s">
        <v>760</v>
      </c>
      <c r="J271" t="s">
        <v>761</v>
      </c>
      <c r="K271" t="s">
        <v>215</v>
      </c>
      <c r="L271" t="s">
        <v>762</v>
      </c>
      <c r="M271" t="s">
        <v>35</v>
      </c>
      <c r="N271" t="s">
        <v>763</v>
      </c>
      <c r="O271" t="s">
        <v>764</v>
      </c>
      <c r="P271" t="s">
        <v>765</v>
      </c>
      <c r="R271" t="s">
        <v>768</v>
      </c>
      <c r="S271" t="s">
        <v>769</v>
      </c>
      <c r="T271" t="s">
        <v>94</v>
      </c>
      <c r="U271" t="s">
        <v>40</v>
      </c>
      <c r="V271" s="1">
        <v>45163</v>
      </c>
      <c r="W271">
        <v>0</v>
      </c>
      <c r="X271">
        <v>0</v>
      </c>
      <c r="Y271" t="s">
        <v>59</v>
      </c>
      <c r="AA271" t="s">
        <v>42</v>
      </c>
      <c r="AB271" t="s">
        <v>43</v>
      </c>
      <c r="AC271" t="s">
        <v>43</v>
      </c>
    </row>
    <row r="272" spans="1:30" x14ac:dyDescent="0.4">
      <c r="A272" t="s">
        <v>27</v>
      </c>
      <c r="B272">
        <v>10</v>
      </c>
      <c r="C272" t="s">
        <v>2932</v>
      </c>
      <c r="D272">
        <v>87</v>
      </c>
      <c r="E272" t="s">
        <v>68</v>
      </c>
      <c r="F272" t="s">
        <v>757</v>
      </c>
      <c r="G272" t="s">
        <v>758</v>
      </c>
      <c r="H272" t="s">
        <v>759</v>
      </c>
      <c r="I272" t="s">
        <v>760</v>
      </c>
      <c r="J272" t="s">
        <v>761</v>
      </c>
      <c r="K272" t="s">
        <v>215</v>
      </c>
      <c r="L272" t="s">
        <v>762</v>
      </c>
      <c r="M272" t="s">
        <v>35</v>
      </c>
      <c r="N272" t="s">
        <v>763</v>
      </c>
      <c r="O272" t="s">
        <v>764</v>
      </c>
      <c r="P272" t="s">
        <v>2932</v>
      </c>
      <c r="R272" t="s">
        <v>770</v>
      </c>
      <c r="S272" t="s">
        <v>771</v>
      </c>
      <c r="T272" t="s">
        <v>58</v>
      </c>
      <c r="U272" t="s">
        <v>40</v>
      </c>
      <c r="V272" s="1">
        <v>43302</v>
      </c>
      <c r="W272">
        <v>0</v>
      </c>
      <c r="X272">
        <v>14</v>
      </c>
      <c r="AA272" t="s">
        <v>42</v>
      </c>
      <c r="AB272" t="s">
        <v>43</v>
      </c>
      <c r="AC272" t="s">
        <v>43</v>
      </c>
    </row>
    <row r="273" spans="1:30" hidden="1" x14ac:dyDescent="0.4">
      <c r="A273" t="s">
        <v>27</v>
      </c>
      <c r="B273">
        <v>1797</v>
      </c>
      <c r="C273" t="s">
        <v>2933</v>
      </c>
      <c r="E273" t="s">
        <v>195</v>
      </c>
      <c r="F273" t="s">
        <v>772</v>
      </c>
      <c r="G273" t="s">
        <v>773</v>
      </c>
      <c r="H273" t="s">
        <v>774</v>
      </c>
      <c r="J273" t="s">
        <v>775</v>
      </c>
      <c r="K273" t="s">
        <v>51</v>
      </c>
      <c r="L273" t="s">
        <v>776</v>
      </c>
      <c r="M273" t="s">
        <v>35</v>
      </c>
      <c r="N273" t="s">
        <v>777</v>
      </c>
      <c r="O273" t="s">
        <v>778</v>
      </c>
      <c r="P273" t="s">
        <v>779</v>
      </c>
      <c r="R273" t="s">
        <v>780</v>
      </c>
      <c r="S273" t="s">
        <v>781</v>
      </c>
      <c r="T273" t="s">
        <v>782</v>
      </c>
      <c r="U273" t="s">
        <v>40</v>
      </c>
      <c r="V273" s="1">
        <v>43691</v>
      </c>
      <c r="W273">
        <v>0</v>
      </c>
      <c r="X273">
        <v>0</v>
      </c>
      <c r="Y273" t="s">
        <v>59</v>
      </c>
      <c r="AA273" t="s">
        <v>42</v>
      </c>
      <c r="AB273" t="s">
        <v>43</v>
      </c>
      <c r="AC273" t="s">
        <v>43</v>
      </c>
    </row>
    <row r="274" spans="1:30" hidden="1" x14ac:dyDescent="0.4">
      <c r="A274" t="s">
        <v>27</v>
      </c>
      <c r="B274">
        <v>1797</v>
      </c>
      <c r="C274" t="s">
        <v>2933</v>
      </c>
      <c r="E274" t="s">
        <v>195</v>
      </c>
      <c r="F274" t="s">
        <v>772</v>
      </c>
      <c r="G274" t="s">
        <v>773</v>
      </c>
      <c r="H274" t="s">
        <v>774</v>
      </c>
      <c r="J274" t="s">
        <v>775</v>
      </c>
      <c r="K274" t="s">
        <v>51</v>
      </c>
      <c r="L274" t="s">
        <v>776</v>
      </c>
      <c r="M274" t="s">
        <v>35</v>
      </c>
      <c r="N274" t="s">
        <v>777</v>
      </c>
      <c r="O274" t="s">
        <v>778</v>
      </c>
      <c r="P274" t="s">
        <v>779</v>
      </c>
      <c r="R274" t="s">
        <v>783</v>
      </c>
      <c r="S274" t="s">
        <v>784</v>
      </c>
      <c r="T274" t="s">
        <v>58</v>
      </c>
      <c r="U274" t="s">
        <v>40</v>
      </c>
      <c r="V274" s="1">
        <v>41132</v>
      </c>
      <c r="W274">
        <v>0</v>
      </c>
      <c r="X274">
        <v>0</v>
      </c>
      <c r="Y274" t="s">
        <v>59</v>
      </c>
      <c r="AA274" t="s">
        <v>42</v>
      </c>
      <c r="AB274" t="s">
        <v>43</v>
      </c>
      <c r="AC274" t="s">
        <v>43</v>
      </c>
    </row>
    <row r="275" spans="1:30" hidden="1" x14ac:dyDescent="0.4">
      <c r="A275" t="s">
        <v>27</v>
      </c>
      <c r="B275">
        <v>1797</v>
      </c>
      <c r="C275" t="s">
        <v>2933</v>
      </c>
      <c r="E275" t="s">
        <v>195</v>
      </c>
      <c r="F275" t="s">
        <v>772</v>
      </c>
      <c r="G275" t="s">
        <v>773</v>
      </c>
      <c r="H275" t="s">
        <v>774</v>
      </c>
      <c r="J275" t="s">
        <v>775</v>
      </c>
      <c r="K275" t="s">
        <v>51</v>
      </c>
      <c r="L275" t="s">
        <v>776</v>
      </c>
      <c r="M275" t="s">
        <v>35</v>
      </c>
      <c r="N275" t="s">
        <v>777</v>
      </c>
      <c r="O275" t="s">
        <v>778</v>
      </c>
      <c r="P275" t="s">
        <v>779</v>
      </c>
      <c r="R275" t="s">
        <v>780</v>
      </c>
      <c r="S275" t="s">
        <v>781</v>
      </c>
      <c r="T275" t="s">
        <v>782</v>
      </c>
      <c r="U275" t="s">
        <v>40</v>
      </c>
      <c r="V275" s="1">
        <v>43691</v>
      </c>
      <c r="W275">
        <v>0</v>
      </c>
      <c r="X275">
        <v>0</v>
      </c>
      <c r="Y275" t="s">
        <v>59</v>
      </c>
      <c r="AA275" t="s">
        <v>42</v>
      </c>
      <c r="AB275" t="s">
        <v>43</v>
      </c>
      <c r="AC275" t="s">
        <v>43</v>
      </c>
    </row>
    <row r="276" spans="1:30" hidden="1" x14ac:dyDescent="0.4">
      <c r="A276" t="s">
        <v>27</v>
      </c>
      <c r="B276">
        <v>1797</v>
      </c>
      <c r="C276" t="s">
        <v>2933</v>
      </c>
      <c r="E276" t="s">
        <v>195</v>
      </c>
      <c r="F276" t="s">
        <v>772</v>
      </c>
      <c r="G276" t="s">
        <v>773</v>
      </c>
      <c r="H276" t="s">
        <v>774</v>
      </c>
      <c r="J276" t="s">
        <v>775</v>
      </c>
      <c r="K276" t="s">
        <v>51</v>
      </c>
      <c r="L276" t="s">
        <v>776</v>
      </c>
      <c r="M276" t="s">
        <v>35</v>
      </c>
      <c r="N276" t="s">
        <v>777</v>
      </c>
      <c r="O276" t="s">
        <v>778</v>
      </c>
      <c r="P276" t="s">
        <v>779</v>
      </c>
      <c r="R276" t="s">
        <v>783</v>
      </c>
      <c r="S276" t="s">
        <v>784</v>
      </c>
      <c r="T276" t="s">
        <v>58</v>
      </c>
      <c r="U276" t="s">
        <v>40</v>
      </c>
      <c r="V276" s="1">
        <v>41132</v>
      </c>
      <c r="W276">
        <v>0</v>
      </c>
      <c r="X276">
        <v>0</v>
      </c>
      <c r="Y276" t="s">
        <v>59</v>
      </c>
      <c r="AA276" t="s">
        <v>42</v>
      </c>
      <c r="AB276" t="s">
        <v>43</v>
      </c>
      <c r="AC276" t="s">
        <v>43</v>
      </c>
    </row>
    <row r="277" spans="1:30" x14ac:dyDescent="0.4">
      <c r="A277" t="s">
        <v>27</v>
      </c>
      <c r="B277">
        <v>1797</v>
      </c>
      <c r="C277" t="s">
        <v>2933</v>
      </c>
      <c r="D277">
        <v>88</v>
      </c>
      <c r="E277" t="s">
        <v>195</v>
      </c>
      <c r="F277" t="s">
        <v>772</v>
      </c>
      <c r="G277" t="s">
        <v>773</v>
      </c>
      <c r="H277" t="s">
        <v>774</v>
      </c>
      <c r="J277" t="s">
        <v>775</v>
      </c>
      <c r="K277" t="s">
        <v>51</v>
      </c>
      <c r="L277" t="s">
        <v>776</v>
      </c>
      <c r="M277" t="s">
        <v>35</v>
      </c>
      <c r="N277" t="s">
        <v>777</v>
      </c>
      <c r="O277" t="s">
        <v>778</v>
      </c>
      <c r="P277" t="s">
        <v>2933</v>
      </c>
      <c r="R277" t="s">
        <v>3100</v>
      </c>
      <c r="S277" t="s">
        <v>786</v>
      </c>
      <c r="T277" t="s">
        <v>58</v>
      </c>
      <c r="U277" t="s">
        <v>40</v>
      </c>
      <c r="V277" s="1">
        <v>44485</v>
      </c>
      <c r="W277">
        <v>0</v>
      </c>
      <c r="X277">
        <v>5</v>
      </c>
      <c r="Y277" t="s">
        <v>66</v>
      </c>
      <c r="AA277" t="s">
        <v>42</v>
      </c>
      <c r="AB277" t="s">
        <v>43</v>
      </c>
      <c r="AC277" t="s">
        <v>43</v>
      </c>
    </row>
    <row r="278" spans="1:30" x14ac:dyDescent="0.4">
      <c r="A278" t="s">
        <v>27</v>
      </c>
      <c r="B278">
        <v>1797</v>
      </c>
      <c r="C278" t="s">
        <v>2933</v>
      </c>
      <c r="D278">
        <v>88</v>
      </c>
      <c r="E278" t="s">
        <v>195</v>
      </c>
      <c r="F278" t="s">
        <v>772</v>
      </c>
      <c r="G278" t="s">
        <v>773</v>
      </c>
      <c r="H278" t="s">
        <v>774</v>
      </c>
      <c r="J278" t="s">
        <v>775</v>
      </c>
      <c r="K278" t="s">
        <v>51</v>
      </c>
      <c r="L278" t="s">
        <v>776</v>
      </c>
      <c r="M278" t="s">
        <v>35</v>
      </c>
      <c r="N278" t="s">
        <v>777</v>
      </c>
      <c r="O278" t="s">
        <v>778</v>
      </c>
      <c r="P278" t="s">
        <v>2933</v>
      </c>
      <c r="R278" t="s">
        <v>3100</v>
      </c>
      <c r="S278" t="s">
        <v>786</v>
      </c>
      <c r="T278" t="s">
        <v>58</v>
      </c>
      <c r="U278" t="s">
        <v>40</v>
      </c>
      <c r="V278" s="1">
        <v>44485</v>
      </c>
      <c r="W278">
        <v>0</v>
      </c>
      <c r="X278">
        <v>6</v>
      </c>
      <c r="Y278" t="s">
        <v>83</v>
      </c>
      <c r="AA278" t="s">
        <v>42</v>
      </c>
      <c r="AB278" t="s">
        <v>43</v>
      </c>
      <c r="AC278" t="s">
        <v>43</v>
      </c>
    </row>
    <row r="279" spans="1:30" x14ac:dyDescent="0.4">
      <c r="A279" t="s">
        <v>27</v>
      </c>
      <c r="B279">
        <v>1797</v>
      </c>
      <c r="C279" t="s">
        <v>2933</v>
      </c>
      <c r="D279">
        <v>88</v>
      </c>
      <c r="E279" t="s">
        <v>195</v>
      </c>
      <c r="F279" t="s">
        <v>772</v>
      </c>
      <c r="G279" t="s">
        <v>773</v>
      </c>
      <c r="H279" t="s">
        <v>774</v>
      </c>
      <c r="J279" t="s">
        <v>775</v>
      </c>
      <c r="K279" t="s">
        <v>51</v>
      </c>
      <c r="L279" t="s">
        <v>776</v>
      </c>
      <c r="M279" t="s">
        <v>35</v>
      </c>
      <c r="N279" t="s">
        <v>777</v>
      </c>
      <c r="O279" t="s">
        <v>778</v>
      </c>
      <c r="P279" t="s">
        <v>2933</v>
      </c>
      <c r="R279" t="s">
        <v>3100</v>
      </c>
      <c r="S279" t="s">
        <v>786</v>
      </c>
      <c r="T279" t="s">
        <v>58</v>
      </c>
      <c r="U279" t="s">
        <v>40</v>
      </c>
      <c r="V279" s="1">
        <v>44485</v>
      </c>
      <c r="W279">
        <v>0</v>
      </c>
      <c r="X279">
        <v>14</v>
      </c>
      <c r="AA279" t="s">
        <v>42</v>
      </c>
      <c r="AB279" t="s">
        <v>43</v>
      </c>
      <c r="AC279" t="s">
        <v>43</v>
      </c>
    </row>
    <row r="280" spans="1:30" x14ac:dyDescent="0.4">
      <c r="A280" t="s">
        <v>27</v>
      </c>
      <c r="B280">
        <v>1797</v>
      </c>
      <c r="C280" t="s">
        <v>2933</v>
      </c>
      <c r="D280">
        <v>88</v>
      </c>
      <c r="E280" t="s">
        <v>195</v>
      </c>
      <c r="F280" t="s">
        <v>772</v>
      </c>
      <c r="G280" t="s">
        <v>773</v>
      </c>
      <c r="H280" t="s">
        <v>774</v>
      </c>
      <c r="J280" t="s">
        <v>775</v>
      </c>
      <c r="K280" t="s">
        <v>51</v>
      </c>
      <c r="L280" t="s">
        <v>776</v>
      </c>
      <c r="M280" t="s">
        <v>35</v>
      </c>
      <c r="N280" t="s">
        <v>777</v>
      </c>
      <c r="O280" t="s">
        <v>778</v>
      </c>
      <c r="P280" t="s">
        <v>2933</v>
      </c>
      <c r="R280" t="s">
        <v>3100</v>
      </c>
      <c r="S280" t="s">
        <v>786</v>
      </c>
      <c r="T280" t="s">
        <v>58</v>
      </c>
      <c r="U280" t="s">
        <v>40</v>
      </c>
      <c r="V280" s="1">
        <v>44485</v>
      </c>
      <c r="W280">
        <v>0</v>
      </c>
      <c r="X280">
        <v>16</v>
      </c>
      <c r="AA280" t="s">
        <v>42</v>
      </c>
      <c r="AB280" t="s">
        <v>43</v>
      </c>
      <c r="AC280" t="s">
        <v>43</v>
      </c>
    </row>
    <row r="281" spans="1:30" x14ac:dyDescent="0.4">
      <c r="A281" t="s">
        <v>27</v>
      </c>
      <c r="B281">
        <v>253</v>
      </c>
      <c r="C281" t="s">
        <v>2934</v>
      </c>
      <c r="D281">
        <v>89</v>
      </c>
      <c r="E281" t="s">
        <v>28</v>
      </c>
      <c r="F281" t="s">
        <v>787</v>
      </c>
      <c r="G281" t="s">
        <v>788</v>
      </c>
      <c r="H281" t="s">
        <v>789</v>
      </c>
      <c r="I281" t="s">
        <v>790</v>
      </c>
      <c r="J281" t="s">
        <v>791</v>
      </c>
      <c r="K281" t="s">
        <v>370</v>
      </c>
      <c r="L281" t="s">
        <v>792</v>
      </c>
      <c r="M281" t="s">
        <v>35</v>
      </c>
      <c r="N281" t="s">
        <v>793</v>
      </c>
      <c r="O281" t="s">
        <v>794</v>
      </c>
      <c r="P281" t="s">
        <v>2934</v>
      </c>
      <c r="R281" t="s">
        <v>795</v>
      </c>
      <c r="S281" t="s">
        <v>796</v>
      </c>
      <c r="T281" t="s">
        <v>94</v>
      </c>
      <c r="U281" t="s">
        <v>40</v>
      </c>
      <c r="V281" s="1">
        <v>43477</v>
      </c>
      <c r="W281">
        <v>0</v>
      </c>
      <c r="X281">
        <v>12</v>
      </c>
      <c r="AA281" t="s">
        <v>42</v>
      </c>
      <c r="AB281" t="s">
        <v>43</v>
      </c>
      <c r="AC281" t="s">
        <v>43</v>
      </c>
    </row>
    <row r="282" spans="1:30" x14ac:dyDescent="0.4">
      <c r="A282" t="s">
        <v>27</v>
      </c>
      <c r="B282">
        <v>253</v>
      </c>
      <c r="C282" t="s">
        <v>2934</v>
      </c>
      <c r="D282">
        <v>90</v>
      </c>
      <c r="E282" t="s">
        <v>28</v>
      </c>
      <c r="F282" t="s">
        <v>787</v>
      </c>
      <c r="G282" t="s">
        <v>788</v>
      </c>
      <c r="H282" t="s">
        <v>789</v>
      </c>
      <c r="I282" t="s">
        <v>790</v>
      </c>
      <c r="J282" t="s">
        <v>791</v>
      </c>
      <c r="K282" t="s">
        <v>370</v>
      </c>
      <c r="L282" t="s">
        <v>792</v>
      </c>
      <c r="M282" t="s">
        <v>35</v>
      </c>
      <c r="N282" t="s">
        <v>793</v>
      </c>
      <c r="O282" t="s">
        <v>794</v>
      </c>
      <c r="P282" t="s">
        <v>2934</v>
      </c>
      <c r="R282" t="s">
        <v>797</v>
      </c>
      <c r="S282" t="s">
        <v>798</v>
      </c>
      <c r="T282" t="s">
        <v>58</v>
      </c>
      <c r="U282" t="s">
        <v>82</v>
      </c>
      <c r="V282" s="1">
        <v>44577</v>
      </c>
      <c r="W282">
        <v>0</v>
      </c>
      <c r="X282">
        <v>13</v>
      </c>
      <c r="AA282" t="s">
        <v>42</v>
      </c>
      <c r="AB282" t="s">
        <v>43</v>
      </c>
      <c r="AC282" t="s">
        <v>43</v>
      </c>
    </row>
    <row r="283" spans="1:30" x14ac:dyDescent="0.4">
      <c r="A283" t="s">
        <v>27</v>
      </c>
      <c r="B283">
        <v>253</v>
      </c>
      <c r="C283" t="s">
        <v>2934</v>
      </c>
      <c r="D283">
        <v>90</v>
      </c>
      <c r="E283" t="s">
        <v>28</v>
      </c>
      <c r="F283" t="s">
        <v>787</v>
      </c>
      <c r="G283" t="s">
        <v>788</v>
      </c>
      <c r="H283" t="s">
        <v>789</v>
      </c>
      <c r="I283" t="s">
        <v>790</v>
      </c>
      <c r="J283" t="s">
        <v>791</v>
      </c>
      <c r="K283" t="s">
        <v>370</v>
      </c>
      <c r="L283" t="s">
        <v>792</v>
      </c>
      <c r="M283" t="s">
        <v>35</v>
      </c>
      <c r="N283" t="s">
        <v>793</v>
      </c>
      <c r="O283" t="s">
        <v>794</v>
      </c>
      <c r="P283" t="s">
        <v>2934</v>
      </c>
      <c r="R283" t="s">
        <v>797</v>
      </c>
      <c r="S283" t="s">
        <v>798</v>
      </c>
      <c r="T283" t="s">
        <v>58</v>
      </c>
      <c r="U283" t="s">
        <v>82</v>
      </c>
      <c r="V283" s="1">
        <v>44577</v>
      </c>
      <c r="W283">
        <v>0</v>
      </c>
      <c r="X283">
        <v>17</v>
      </c>
      <c r="AA283" t="s">
        <v>42</v>
      </c>
      <c r="AB283" t="s">
        <v>43</v>
      </c>
      <c r="AC283" t="s">
        <v>43</v>
      </c>
    </row>
    <row r="284" spans="1:30" x14ac:dyDescent="0.4">
      <c r="A284" t="s">
        <v>27</v>
      </c>
      <c r="B284">
        <v>6044</v>
      </c>
      <c r="C284" t="s">
        <v>2935</v>
      </c>
      <c r="D284">
        <v>91</v>
      </c>
      <c r="E284" t="s">
        <v>68</v>
      </c>
      <c r="F284" t="s">
        <v>699</v>
      </c>
      <c r="G284" t="s">
        <v>799</v>
      </c>
      <c r="H284" t="s">
        <v>800</v>
      </c>
      <c r="I284" t="s">
        <v>801</v>
      </c>
      <c r="J284" t="s">
        <v>802</v>
      </c>
      <c r="K284" t="s">
        <v>691</v>
      </c>
      <c r="L284" t="s">
        <v>803</v>
      </c>
      <c r="M284" t="s">
        <v>35</v>
      </c>
      <c r="N284">
        <v>1725513560</v>
      </c>
      <c r="O284" t="s">
        <v>804</v>
      </c>
      <c r="P284" t="s">
        <v>2935</v>
      </c>
      <c r="R284" t="s">
        <v>3101</v>
      </c>
      <c r="S284" t="s">
        <v>806</v>
      </c>
      <c r="T284" t="s">
        <v>376</v>
      </c>
      <c r="U284" t="s">
        <v>82</v>
      </c>
      <c r="V284" s="1">
        <v>44058</v>
      </c>
      <c r="W284">
        <v>0</v>
      </c>
      <c r="X284">
        <v>8</v>
      </c>
      <c r="AA284" t="s">
        <v>42</v>
      </c>
      <c r="AB284" t="s">
        <v>43</v>
      </c>
      <c r="AC284" t="s">
        <v>43</v>
      </c>
      <c r="AD284" t="s">
        <v>807</v>
      </c>
    </row>
    <row r="285" spans="1:30" x14ac:dyDescent="0.4">
      <c r="A285" t="s">
        <v>27</v>
      </c>
      <c r="B285">
        <v>6044</v>
      </c>
      <c r="C285" t="s">
        <v>2935</v>
      </c>
      <c r="D285">
        <v>91</v>
      </c>
      <c r="E285" t="s">
        <v>68</v>
      </c>
      <c r="F285" t="s">
        <v>699</v>
      </c>
      <c r="G285" t="s">
        <v>799</v>
      </c>
      <c r="H285" t="s">
        <v>800</v>
      </c>
      <c r="I285" t="s">
        <v>801</v>
      </c>
      <c r="J285" t="s">
        <v>802</v>
      </c>
      <c r="K285" t="s">
        <v>691</v>
      </c>
      <c r="L285" t="s">
        <v>803</v>
      </c>
      <c r="M285" t="s">
        <v>35</v>
      </c>
      <c r="N285">
        <v>1725513560</v>
      </c>
      <c r="O285" t="s">
        <v>804</v>
      </c>
      <c r="P285" t="s">
        <v>2935</v>
      </c>
      <c r="R285" t="s">
        <v>3101</v>
      </c>
      <c r="S285" t="s">
        <v>806</v>
      </c>
      <c r="T285" t="s">
        <v>376</v>
      </c>
      <c r="U285" t="s">
        <v>82</v>
      </c>
      <c r="V285" s="1">
        <v>44058</v>
      </c>
      <c r="W285">
        <v>0</v>
      </c>
      <c r="X285">
        <v>10</v>
      </c>
      <c r="AA285" t="s">
        <v>42</v>
      </c>
      <c r="AB285" t="s">
        <v>43</v>
      </c>
      <c r="AC285" t="s">
        <v>43</v>
      </c>
      <c r="AD285" t="s">
        <v>807</v>
      </c>
    </row>
    <row r="286" spans="1:30" x14ac:dyDescent="0.4">
      <c r="A286" t="s">
        <v>27</v>
      </c>
      <c r="B286">
        <v>991</v>
      </c>
      <c r="C286" t="s">
        <v>2857</v>
      </c>
      <c r="D286">
        <v>92</v>
      </c>
      <c r="E286" t="s">
        <v>68</v>
      </c>
      <c r="F286" t="s">
        <v>808</v>
      </c>
      <c r="G286" t="s">
        <v>809</v>
      </c>
      <c r="H286" t="s">
        <v>810</v>
      </c>
      <c r="I286" t="s">
        <v>811</v>
      </c>
      <c r="J286" t="s">
        <v>812</v>
      </c>
      <c r="K286" t="s">
        <v>813</v>
      </c>
      <c r="L286" t="s">
        <v>814</v>
      </c>
      <c r="M286" t="s">
        <v>35</v>
      </c>
      <c r="N286" t="s">
        <v>815</v>
      </c>
      <c r="O286" t="s">
        <v>816</v>
      </c>
      <c r="P286" t="s">
        <v>2857</v>
      </c>
      <c r="R286" t="s">
        <v>817</v>
      </c>
      <c r="S286" t="s">
        <v>818</v>
      </c>
      <c r="T286" t="s">
        <v>737</v>
      </c>
      <c r="U286" t="s">
        <v>40</v>
      </c>
      <c r="V286" s="1">
        <v>43773</v>
      </c>
      <c r="W286">
        <v>0</v>
      </c>
      <c r="X286">
        <v>5</v>
      </c>
      <c r="Y286" t="s">
        <v>66</v>
      </c>
      <c r="Z286" t="s">
        <v>135</v>
      </c>
      <c r="AA286" t="s">
        <v>42</v>
      </c>
      <c r="AB286" t="s">
        <v>43</v>
      </c>
      <c r="AC286" t="s">
        <v>42</v>
      </c>
    </row>
    <row r="287" spans="1:30" x14ac:dyDescent="0.4">
      <c r="A287" t="s">
        <v>27</v>
      </c>
      <c r="B287">
        <v>991</v>
      </c>
      <c r="C287" t="s">
        <v>2857</v>
      </c>
      <c r="D287">
        <v>92</v>
      </c>
      <c r="E287" t="s">
        <v>68</v>
      </c>
      <c r="F287" t="s">
        <v>808</v>
      </c>
      <c r="G287" t="s">
        <v>809</v>
      </c>
      <c r="H287" t="s">
        <v>810</v>
      </c>
      <c r="I287" t="s">
        <v>811</v>
      </c>
      <c r="J287" t="s">
        <v>812</v>
      </c>
      <c r="K287" t="s">
        <v>813</v>
      </c>
      <c r="L287" t="s">
        <v>814</v>
      </c>
      <c r="M287" t="s">
        <v>35</v>
      </c>
      <c r="N287" t="s">
        <v>815</v>
      </c>
      <c r="O287" t="s">
        <v>816</v>
      </c>
      <c r="P287" t="s">
        <v>2857</v>
      </c>
      <c r="R287" t="s">
        <v>817</v>
      </c>
      <c r="S287" t="s">
        <v>818</v>
      </c>
      <c r="T287" t="s">
        <v>737</v>
      </c>
      <c r="U287" t="s">
        <v>40</v>
      </c>
      <c r="V287" s="1">
        <v>43773</v>
      </c>
      <c r="W287">
        <v>0</v>
      </c>
      <c r="X287">
        <v>6</v>
      </c>
      <c r="Y287" t="s">
        <v>83</v>
      </c>
      <c r="Z287" t="s">
        <v>135</v>
      </c>
      <c r="AA287" t="s">
        <v>42</v>
      </c>
      <c r="AB287" t="s">
        <v>43</v>
      </c>
      <c r="AC287" t="s">
        <v>42</v>
      </c>
    </row>
    <row r="288" spans="1:30" x14ac:dyDescent="0.4">
      <c r="A288" t="s">
        <v>27</v>
      </c>
      <c r="B288">
        <v>991</v>
      </c>
      <c r="C288" t="s">
        <v>2857</v>
      </c>
      <c r="D288">
        <v>92</v>
      </c>
      <c r="E288" t="s">
        <v>68</v>
      </c>
      <c r="F288" t="s">
        <v>808</v>
      </c>
      <c r="G288" t="s">
        <v>809</v>
      </c>
      <c r="H288" t="s">
        <v>810</v>
      </c>
      <c r="I288" t="s">
        <v>811</v>
      </c>
      <c r="J288" t="s">
        <v>812</v>
      </c>
      <c r="K288" t="s">
        <v>813</v>
      </c>
      <c r="L288" t="s">
        <v>814</v>
      </c>
      <c r="M288" t="s">
        <v>35</v>
      </c>
      <c r="N288" t="s">
        <v>815</v>
      </c>
      <c r="O288" t="s">
        <v>816</v>
      </c>
      <c r="P288" t="s">
        <v>2857</v>
      </c>
      <c r="R288" t="s">
        <v>817</v>
      </c>
      <c r="S288" t="s">
        <v>818</v>
      </c>
      <c r="T288" t="s">
        <v>737</v>
      </c>
      <c r="U288" t="s">
        <v>40</v>
      </c>
      <c r="V288" s="1">
        <v>43773</v>
      </c>
      <c r="W288">
        <v>0</v>
      </c>
      <c r="X288">
        <v>14</v>
      </c>
      <c r="Z288" t="s">
        <v>135</v>
      </c>
      <c r="AA288" t="s">
        <v>42</v>
      </c>
      <c r="AB288" t="s">
        <v>43</v>
      </c>
      <c r="AC288" t="s">
        <v>42</v>
      </c>
    </row>
    <row r="289" spans="1:31" x14ac:dyDescent="0.4">
      <c r="A289" t="s">
        <v>27</v>
      </c>
      <c r="B289">
        <v>6162</v>
      </c>
      <c r="C289" t="s">
        <v>825</v>
      </c>
      <c r="D289">
        <v>93</v>
      </c>
      <c r="E289" t="s">
        <v>28</v>
      </c>
      <c r="F289" t="s">
        <v>160</v>
      </c>
      <c r="G289" t="s">
        <v>819</v>
      </c>
      <c r="H289" t="s">
        <v>820</v>
      </c>
      <c r="J289" t="s">
        <v>821</v>
      </c>
      <c r="K289" t="s">
        <v>822</v>
      </c>
      <c r="L289" t="s">
        <v>823</v>
      </c>
      <c r="M289" t="s">
        <v>35</v>
      </c>
      <c r="N289">
        <v>1403257942</v>
      </c>
      <c r="O289" t="s">
        <v>824</v>
      </c>
      <c r="P289" t="s">
        <v>825</v>
      </c>
      <c r="R289" t="s">
        <v>826</v>
      </c>
      <c r="S289" t="s">
        <v>827</v>
      </c>
      <c r="T289" t="s">
        <v>474</v>
      </c>
      <c r="U289" t="s">
        <v>82</v>
      </c>
      <c r="V289" s="1">
        <v>45002</v>
      </c>
      <c r="W289">
        <v>0</v>
      </c>
      <c r="X289">
        <v>8</v>
      </c>
      <c r="AA289" t="s">
        <v>42</v>
      </c>
      <c r="AB289" t="s">
        <v>43</v>
      </c>
      <c r="AC289" t="s">
        <v>43</v>
      </c>
    </row>
    <row r="290" spans="1:31" x14ac:dyDescent="0.4">
      <c r="A290" t="s">
        <v>27</v>
      </c>
      <c r="B290">
        <v>6162</v>
      </c>
      <c r="C290" t="s">
        <v>825</v>
      </c>
      <c r="D290">
        <v>93</v>
      </c>
      <c r="E290" t="s">
        <v>28</v>
      </c>
      <c r="F290" t="s">
        <v>160</v>
      </c>
      <c r="G290" t="s">
        <v>819</v>
      </c>
      <c r="H290" t="s">
        <v>820</v>
      </c>
      <c r="J290" t="s">
        <v>821</v>
      </c>
      <c r="K290" t="s">
        <v>822</v>
      </c>
      <c r="L290" t="s">
        <v>823</v>
      </c>
      <c r="M290" t="s">
        <v>35</v>
      </c>
      <c r="N290">
        <v>1403257942</v>
      </c>
      <c r="O290" t="s">
        <v>824</v>
      </c>
      <c r="P290" t="s">
        <v>825</v>
      </c>
      <c r="R290" t="s">
        <v>826</v>
      </c>
      <c r="S290" t="s">
        <v>827</v>
      </c>
      <c r="T290" t="s">
        <v>474</v>
      </c>
      <c r="U290" t="s">
        <v>82</v>
      </c>
      <c r="V290" s="1">
        <v>45002</v>
      </c>
      <c r="W290">
        <v>0</v>
      </c>
      <c r="X290">
        <v>9</v>
      </c>
      <c r="AA290" t="s">
        <v>42</v>
      </c>
      <c r="AB290" t="s">
        <v>43</v>
      </c>
      <c r="AC290" t="s">
        <v>43</v>
      </c>
    </row>
    <row r="291" spans="1:31" hidden="1" x14ac:dyDescent="0.4">
      <c r="A291" t="s">
        <v>27</v>
      </c>
      <c r="B291">
        <v>6162</v>
      </c>
      <c r="C291" t="s">
        <v>825</v>
      </c>
      <c r="E291" t="s">
        <v>28</v>
      </c>
      <c r="F291" t="s">
        <v>160</v>
      </c>
      <c r="G291" t="s">
        <v>819</v>
      </c>
      <c r="H291" t="s">
        <v>820</v>
      </c>
      <c r="J291" t="s">
        <v>821</v>
      </c>
      <c r="K291" t="s">
        <v>822</v>
      </c>
      <c r="L291" t="s">
        <v>823</v>
      </c>
      <c r="M291" t="s">
        <v>35</v>
      </c>
      <c r="N291">
        <v>1403257942</v>
      </c>
      <c r="O291" t="s">
        <v>824</v>
      </c>
      <c r="P291" t="s">
        <v>825</v>
      </c>
      <c r="R291" t="s">
        <v>828</v>
      </c>
      <c r="S291" t="s">
        <v>829</v>
      </c>
      <c r="T291" t="s">
        <v>474</v>
      </c>
      <c r="U291" t="s">
        <v>82</v>
      </c>
      <c r="V291" s="1">
        <v>43198</v>
      </c>
      <c r="W291">
        <v>0</v>
      </c>
      <c r="X291">
        <v>0</v>
      </c>
      <c r="Y291" t="s">
        <v>59</v>
      </c>
      <c r="AA291" t="s">
        <v>42</v>
      </c>
      <c r="AB291" t="s">
        <v>43</v>
      </c>
      <c r="AC291" t="s">
        <v>43</v>
      </c>
    </row>
    <row r="292" spans="1:31" hidden="1" x14ac:dyDescent="0.4">
      <c r="A292" t="s">
        <v>27</v>
      </c>
      <c r="B292">
        <v>6162</v>
      </c>
      <c r="C292" t="s">
        <v>825</v>
      </c>
      <c r="E292" t="s">
        <v>28</v>
      </c>
      <c r="F292" t="s">
        <v>160</v>
      </c>
      <c r="G292" t="s">
        <v>819</v>
      </c>
      <c r="H292" t="s">
        <v>820</v>
      </c>
      <c r="J292" t="s">
        <v>821</v>
      </c>
      <c r="K292" t="s">
        <v>822</v>
      </c>
      <c r="L292" t="s">
        <v>823</v>
      </c>
      <c r="M292" t="s">
        <v>35</v>
      </c>
      <c r="N292">
        <v>1403257942</v>
      </c>
      <c r="O292" t="s">
        <v>824</v>
      </c>
      <c r="P292" t="s">
        <v>825</v>
      </c>
      <c r="R292" t="s">
        <v>830</v>
      </c>
      <c r="S292" t="s">
        <v>831</v>
      </c>
      <c r="T292" t="s">
        <v>832</v>
      </c>
      <c r="U292" t="s">
        <v>82</v>
      </c>
      <c r="V292" s="1">
        <v>41208</v>
      </c>
      <c r="W292">
        <v>0</v>
      </c>
      <c r="X292">
        <v>0</v>
      </c>
      <c r="Y292" t="s">
        <v>59</v>
      </c>
      <c r="AA292" t="s">
        <v>42</v>
      </c>
      <c r="AB292" t="s">
        <v>43</v>
      </c>
      <c r="AC292" t="s">
        <v>43</v>
      </c>
    </row>
    <row r="293" spans="1:31" hidden="1" x14ac:dyDescent="0.4">
      <c r="A293" t="s">
        <v>27</v>
      </c>
      <c r="B293">
        <v>6162</v>
      </c>
      <c r="C293" t="s">
        <v>825</v>
      </c>
      <c r="E293" t="s">
        <v>28</v>
      </c>
      <c r="F293" t="s">
        <v>160</v>
      </c>
      <c r="G293" t="s">
        <v>819</v>
      </c>
      <c r="H293" t="s">
        <v>820</v>
      </c>
      <c r="J293" t="s">
        <v>821</v>
      </c>
      <c r="K293" t="s">
        <v>822</v>
      </c>
      <c r="L293" t="s">
        <v>823</v>
      </c>
      <c r="M293" t="s">
        <v>35</v>
      </c>
      <c r="N293">
        <v>1403257942</v>
      </c>
      <c r="O293" t="s">
        <v>824</v>
      </c>
      <c r="P293" t="s">
        <v>825</v>
      </c>
      <c r="R293" t="s">
        <v>833</v>
      </c>
      <c r="S293" t="s">
        <v>834</v>
      </c>
      <c r="T293" t="s">
        <v>835</v>
      </c>
      <c r="U293" t="s">
        <v>82</v>
      </c>
      <c r="V293" s="1">
        <v>39880</v>
      </c>
      <c r="W293">
        <v>0</v>
      </c>
      <c r="X293">
        <v>0</v>
      </c>
      <c r="Y293" t="s">
        <v>59</v>
      </c>
      <c r="AA293" t="s">
        <v>42</v>
      </c>
      <c r="AB293" t="s">
        <v>43</v>
      </c>
      <c r="AC293" t="s">
        <v>43</v>
      </c>
    </row>
    <row r="294" spans="1:31" hidden="1" x14ac:dyDescent="0.4">
      <c r="A294" t="s">
        <v>27</v>
      </c>
      <c r="B294">
        <v>82</v>
      </c>
      <c r="C294" t="s">
        <v>2858</v>
      </c>
      <c r="E294" t="s">
        <v>28</v>
      </c>
      <c r="F294" t="s">
        <v>836</v>
      </c>
      <c r="G294" t="s">
        <v>837</v>
      </c>
      <c r="H294" t="s">
        <v>838</v>
      </c>
      <c r="J294" t="s">
        <v>839</v>
      </c>
      <c r="K294" t="s">
        <v>73</v>
      </c>
      <c r="L294" t="s">
        <v>840</v>
      </c>
      <c r="M294" t="s">
        <v>35</v>
      </c>
      <c r="N294">
        <v>1483824780</v>
      </c>
      <c r="O294" t="s">
        <v>841</v>
      </c>
      <c r="P294" t="s">
        <v>842</v>
      </c>
      <c r="R294" t="s">
        <v>843</v>
      </c>
      <c r="S294" t="s">
        <v>844</v>
      </c>
      <c r="T294" t="s">
        <v>58</v>
      </c>
      <c r="U294" t="s">
        <v>40</v>
      </c>
      <c r="V294" s="1">
        <v>45030</v>
      </c>
      <c r="W294">
        <v>0</v>
      </c>
      <c r="X294">
        <v>0</v>
      </c>
      <c r="Y294" t="s">
        <v>59</v>
      </c>
      <c r="Z294" t="s">
        <v>407</v>
      </c>
      <c r="AA294" t="s">
        <v>42</v>
      </c>
      <c r="AB294" t="s">
        <v>43</v>
      </c>
      <c r="AC294" t="s">
        <v>43</v>
      </c>
      <c r="AD294" t="s">
        <v>845</v>
      </c>
    </row>
    <row r="295" spans="1:31" hidden="1" x14ac:dyDescent="0.4">
      <c r="A295" t="s">
        <v>27</v>
      </c>
      <c r="B295">
        <v>82</v>
      </c>
      <c r="C295" t="s">
        <v>2858</v>
      </c>
      <c r="E295" t="s">
        <v>28</v>
      </c>
      <c r="F295" t="s">
        <v>836</v>
      </c>
      <c r="G295" t="s">
        <v>837</v>
      </c>
      <c r="H295" t="s">
        <v>838</v>
      </c>
      <c r="J295" t="s">
        <v>839</v>
      </c>
      <c r="K295" t="s">
        <v>73</v>
      </c>
      <c r="L295" t="s">
        <v>840</v>
      </c>
      <c r="M295" t="s">
        <v>35</v>
      </c>
      <c r="N295">
        <v>1483824780</v>
      </c>
      <c r="O295" t="s">
        <v>841</v>
      </c>
      <c r="P295" t="s">
        <v>842</v>
      </c>
      <c r="R295" t="s">
        <v>843</v>
      </c>
      <c r="S295" t="s">
        <v>844</v>
      </c>
      <c r="T295" t="s">
        <v>58</v>
      </c>
      <c r="U295" t="s">
        <v>40</v>
      </c>
      <c r="V295" s="1">
        <v>45030</v>
      </c>
      <c r="W295">
        <v>0</v>
      </c>
      <c r="X295">
        <v>0</v>
      </c>
      <c r="Y295" t="s">
        <v>59</v>
      </c>
      <c r="Z295" t="s">
        <v>407</v>
      </c>
      <c r="AA295" t="s">
        <v>42</v>
      </c>
      <c r="AB295" t="s">
        <v>43</v>
      </c>
      <c r="AC295" t="s">
        <v>43</v>
      </c>
      <c r="AD295" t="s">
        <v>845</v>
      </c>
    </row>
    <row r="296" spans="1:31" hidden="1" x14ac:dyDescent="0.4">
      <c r="A296" t="s">
        <v>27</v>
      </c>
      <c r="B296">
        <v>82</v>
      </c>
      <c r="C296" t="s">
        <v>2858</v>
      </c>
      <c r="E296" t="s">
        <v>28</v>
      </c>
      <c r="F296" t="s">
        <v>836</v>
      </c>
      <c r="G296" t="s">
        <v>837</v>
      </c>
      <c r="H296" t="s">
        <v>838</v>
      </c>
      <c r="J296" t="s">
        <v>839</v>
      </c>
      <c r="K296" t="s">
        <v>73</v>
      </c>
      <c r="L296" t="s">
        <v>840</v>
      </c>
      <c r="M296" t="s">
        <v>35</v>
      </c>
      <c r="N296">
        <v>1483824780</v>
      </c>
      <c r="O296" t="s">
        <v>841</v>
      </c>
      <c r="P296" t="s">
        <v>842</v>
      </c>
      <c r="R296" t="s">
        <v>846</v>
      </c>
      <c r="S296" t="s">
        <v>847</v>
      </c>
      <c r="T296" t="s">
        <v>94</v>
      </c>
      <c r="U296" t="s">
        <v>40</v>
      </c>
      <c r="V296" s="1">
        <v>44472</v>
      </c>
      <c r="W296">
        <v>0</v>
      </c>
      <c r="X296">
        <v>0</v>
      </c>
      <c r="Y296" t="s">
        <v>59</v>
      </c>
      <c r="Z296" t="s">
        <v>407</v>
      </c>
      <c r="AA296" t="s">
        <v>42</v>
      </c>
      <c r="AB296" t="s">
        <v>43</v>
      </c>
      <c r="AC296" t="s">
        <v>43</v>
      </c>
      <c r="AD296" t="s">
        <v>845</v>
      </c>
    </row>
    <row r="297" spans="1:31" x14ac:dyDescent="0.4">
      <c r="A297" t="s">
        <v>27</v>
      </c>
      <c r="B297">
        <v>82</v>
      </c>
      <c r="C297" t="s">
        <v>2858</v>
      </c>
      <c r="D297">
        <v>94</v>
      </c>
      <c r="E297" t="s">
        <v>28</v>
      </c>
      <c r="F297" t="s">
        <v>836</v>
      </c>
      <c r="G297" t="s">
        <v>837</v>
      </c>
      <c r="H297" t="s">
        <v>838</v>
      </c>
      <c r="J297" t="s">
        <v>839</v>
      </c>
      <c r="K297" t="s">
        <v>73</v>
      </c>
      <c r="L297" t="s">
        <v>840</v>
      </c>
      <c r="M297" t="s">
        <v>35</v>
      </c>
      <c r="N297">
        <v>1483824780</v>
      </c>
      <c r="O297" t="s">
        <v>841</v>
      </c>
      <c r="P297" t="s">
        <v>2858</v>
      </c>
      <c r="R297" t="s">
        <v>846</v>
      </c>
      <c r="S297" t="s">
        <v>847</v>
      </c>
      <c r="T297" t="s">
        <v>94</v>
      </c>
      <c r="U297" t="s">
        <v>40</v>
      </c>
      <c r="V297" s="1">
        <v>44472</v>
      </c>
      <c r="W297">
        <v>0</v>
      </c>
      <c r="X297">
        <v>3</v>
      </c>
      <c r="Z297" t="s">
        <v>407</v>
      </c>
      <c r="AA297" t="s">
        <v>42</v>
      </c>
      <c r="AB297" t="s">
        <v>43</v>
      </c>
      <c r="AC297" t="s">
        <v>43</v>
      </c>
      <c r="AE297" t="s">
        <v>845</v>
      </c>
    </row>
    <row r="298" spans="1:31" x14ac:dyDescent="0.4">
      <c r="A298" t="s">
        <v>27</v>
      </c>
      <c r="B298">
        <v>82</v>
      </c>
      <c r="C298" t="s">
        <v>2858</v>
      </c>
      <c r="D298">
        <v>94</v>
      </c>
      <c r="E298" t="s">
        <v>28</v>
      </c>
      <c r="F298" t="s">
        <v>836</v>
      </c>
      <c r="G298" t="s">
        <v>837</v>
      </c>
      <c r="H298" t="s">
        <v>838</v>
      </c>
      <c r="J298" t="s">
        <v>839</v>
      </c>
      <c r="K298" t="s">
        <v>73</v>
      </c>
      <c r="L298" t="s">
        <v>840</v>
      </c>
      <c r="M298" t="s">
        <v>35</v>
      </c>
      <c r="N298">
        <v>1483824780</v>
      </c>
      <c r="O298" t="s">
        <v>841</v>
      </c>
      <c r="P298" t="s">
        <v>2858</v>
      </c>
      <c r="R298" t="s">
        <v>846</v>
      </c>
      <c r="S298" t="s">
        <v>847</v>
      </c>
      <c r="T298" t="s">
        <v>94</v>
      </c>
      <c r="U298" t="s">
        <v>40</v>
      </c>
      <c r="V298" s="1">
        <v>44472</v>
      </c>
      <c r="W298">
        <v>0</v>
      </c>
      <c r="X298">
        <v>4</v>
      </c>
      <c r="Y298" t="s">
        <v>65</v>
      </c>
      <c r="Z298" t="s">
        <v>407</v>
      </c>
      <c r="AA298" t="s">
        <v>42</v>
      </c>
      <c r="AB298" t="s">
        <v>43</v>
      </c>
      <c r="AC298" t="s">
        <v>43</v>
      </c>
      <c r="AE298" t="s">
        <v>845</v>
      </c>
    </row>
    <row r="299" spans="1:31" x14ac:dyDescent="0.4">
      <c r="A299" t="s">
        <v>27</v>
      </c>
      <c r="B299">
        <v>666</v>
      </c>
      <c r="C299" t="s">
        <v>2936</v>
      </c>
      <c r="D299">
        <v>95</v>
      </c>
      <c r="E299" t="s">
        <v>68</v>
      </c>
      <c r="F299" t="s">
        <v>398</v>
      </c>
      <c r="G299" t="s">
        <v>848</v>
      </c>
      <c r="H299" t="s">
        <v>849</v>
      </c>
      <c r="I299" t="s">
        <v>850</v>
      </c>
      <c r="J299" t="s">
        <v>559</v>
      </c>
      <c r="K299" t="s">
        <v>51</v>
      </c>
      <c r="L299" t="s">
        <v>851</v>
      </c>
      <c r="M299" t="s">
        <v>35</v>
      </c>
      <c r="N299" t="s">
        <v>852</v>
      </c>
      <c r="O299" t="s">
        <v>853</v>
      </c>
      <c r="P299" t="s">
        <v>2936</v>
      </c>
      <c r="R299" t="s">
        <v>854</v>
      </c>
      <c r="S299" t="s">
        <v>855</v>
      </c>
      <c r="T299" t="s">
        <v>284</v>
      </c>
      <c r="U299" t="s">
        <v>82</v>
      </c>
      <c r="V299" s="1">
        <v>45013</v>
      </c>
      <c r="W299">
        <v>0</v>
      </c>
      <c r="X299">
        <v>13</v>
      </c>
      <c r="AA299" t="s">
        <v>42</v>
      </c>
      <c r="AB299" t="s">
        <v>43</v>
      </c>
      <c r="AC299" t="s">
        <v>43</v>
      </c>
    </row>
    <row r="300" spans="1:31" x14ac:dyDescent="0.4">
      <c r="A300" t="s">
        <v>27</v>
      </c>
      <c r="B300">
        <v>666</v>
      </c>
      <c r="C300" t="s">
        <v>2936</v>
      </c>
      <c r="D300">
        <v>96</v>
      </c>
      <c r="E300" t="s">
        <v>68</v>
      </c>
      <c r="F300" t="s">
        <v>398</v>
      </c>
      <c r="G300" t="s">
        <v>848</v>
      </c>
      <c r="H300" t="s">
        <v>849</v>
      </c>
      <c r="I300" t="s">
        <v>850</v>
      </c>
      <c r="J300" t="s">
        <v>559</v>
      </c>
      <c r="K300" t="s">
        <v>51</v>
      </c>
      <c r="L300" t="s">
        <v>851</v>
      </c>
      <c r="M300" t="s">
        <v>35</v>
      </c>
      <c r="N300" t="s">
        <v>852</v>
      </c>
      <c r="O300" t="s">
        <v>853</v>
      </c>
      <c r="P300" t="s">
        <v>2936</v>
      </c>
      <c r="R300" t="s">
        <v>856</v>
      </c>
      <c r="S300" t="s">
        <v>857</v>
      </c>
      <c r="T300" t="s">
        <v>284</v>
      </c>
      <c r="U300" t="s">
        <v>40</v>
      </c>
      <c r="V300" s="1">
        <v>43532</v>
      </c>
      <c r="W300">
        <v>0</v>
      </c>
      <c r="X300">
        <v>14</v>
      </c>
      <c r="AA300" t="s">
        <v>42</v>
      </c>
      <c r="AB300" t="s">
        <v>43</v>
      </c>
      <c r="AC300" t="s">
        <v>43</v>
      </c>
    </row>
    <row r="301" spans="1:31" x14ac:dyDescent="0.4">
      <c r="A301" t="s">
        <v>27</v>
      </c>
      <c r="B301">
        <v>666</v>
      </c>
      <c r="C301" t="s">
        <v>2936</v>
      </c>
      <c r="D301">
        <v>96</v>
      </c>
      <c r="E301" t="s">
        <v>68</v>
      </c>
      <c r="F301" t="s">
        <v>398</v>
      </c>
      <c r="G301" t="s">
        <v>848</v>
      </c>
      <c r="H301" t="s">
        <v>849</v>
      </c>
      <c r="I301" t="s">
        <v>850</v>
      </c>
      <c r="J301" t="s">
        <v>559</v>
      </c>
      <c r="K301" t="s">
        <v>51</v>
      </c>
      <c r="L301" t="s">
        <v>851</v>
      </c>
      <c r="M301" t="s">
        <v>35</v>
      </c>
      <c r="N301" t="s">
        <v>852</v>
      </c>
      <c r="O301" t="s">
        <v>853</v>
      </c>
      <c r="P301" t="s">
        <v>2936</v>
      </c>
      <c r="R301" t="s">
        <v>856</v>
      </c>
      <c r="S301" t="s">
        <v>857</v>
      </c>
      <c r="T301" t="s">
        <v>284</v>
      </c>
      <c r="U301" t="s">
        <v>40</v>
      </c>
      <c r="V301" s="1">
        <v>43532</v>
      </c>
      <c r="W301">
        <v>0</v>
      </c>
      <c r="X301">
        <v>16</v>
      </c>
      <c r="AA301" t="s">
        <v>42</v>
      </c>
      <c r="AB301" t="s">
        <v>43</v>
      </c>
      <c r="AC301" t="s">
        <v>43</v>
      </c>
    </row>
    <row r="302" spans="1:31" x14ac:dyDescent="0.4">
      <c r="A302" t="s">
        <v>27</v>
      </c>
      <c r="B302">
        <v>4680</v>
      </c>
      <c r="C302" t="s">
        <v>865</v>
      </c>
      <c r="D302">
        <v>97</v>
      </c>
      <c r="E302" t="s">
        <v>68</v>
      </c>
      <c r="F302" t="s">
        <v>858</v>
      </c>
      <c r="G302" t="s">
        <v>859</v>
      </c>
      <c r="H302" t="s">
        <v>860</v>
      </c>
      <c r="J302" t="s">
        <v>861</v>
      </c>
      <c r="K302" t="s">
        <v>598</v>
      </c>
      <c r="L302" t="s">
        <v>862</v>
      </c>
      <c r="M302" t="s">
        <v>35</v>
      </c>
      <c r="N302" t="s">
        <v>863</v>
      </c>
      <c r="O302" t="s">
        <v>864</v>
      </c>
      <c r="P302" t="s">
        <v>3060</v>
      </c>
      <c r="R302" t="s">
        <v>866</v>
      </c>
      <c r="S302" t="s">
        <v>867</v>
      </c>
      <c r="T302" t="s">
        <v>3059</v>
      </c>
      <c r="U302" t="s">
        <v>82</v>
      </c>
      <c r="V302" s="1">
        <v>44185</v>
      </c>
      <c r="W302">
        <v>0</v>
      </c>
      <c r="X302">
        <v>4</v>
      </c>
      <c r="Y302" t="s">
        <v>65</v>
      </c>
      <c r="AA302" t="s">
        <v>42</v>
      </c>
      <c r="AB302" t="s">
        <v>43</v>
      </c>
      <c r="AC302" t="s">
        <v>43</v>
      </c>
      <c r="AE302" t="s">
        <v>868</v>
      </c>
    </row>
    <row r="303" spans="1:31" x14ac:dyDescent="0.4">
      <c r="A303" t="s">
        <v>27</v>
      </c>
      <c r="B303">
        <v>4680</v>
      </c>
      <c r="C303" t="s">
        <v>865</v>
      </c>
      <c r="D303">
        <v>97</v>
      </c>
      <c r="E303" t="s">
        <v>68</v>
      </c>
      <c r="F303" t="s">
        <v>858</v>
      </c>
      <c r="G303" t="s">
        <v>859</v>
      </c>
      <c r="H303" t="s">
        <v>860</v>
      </c>
      <c r="J303" t="s">
        <v>861</v>
      </c>
      <c r="K303" t="s">
        <v>598</v>
      </c>
      <c r="L303" t="s">
        <v>862</v>
      </c>
      <c r="M303" t="s">
        <v>35</v>
      </c>
      <c r="N303" t="s">
        <v>863</v>
      </c>
      <c r="O303" t="s">
        <v>864</v>
      </c>
      <c r="P303" t="s">
        <v>3060</v>
      </c>
      <c r="R303" t="s">
        <v>866</v>
      </c>
      <c r="S303" t="s">
        <v>867</v>
      </c>
      <c r="T303" t="s">
        <v>3059</v>
      </c>
      <c r="U303" t="s">
        <v>82</v>
      </c>
      <c r="V303" s="1">
        <v>44185</v>
      </c>
      <c r="W303">
        <v>0</v>
      </c>
      <c r="X303">
        <v>5</v>
      </c>
      <c r="Y303" t="s">
        <v>66</v>
      </c>
      <c r="AA303" t="s">
        <v>42</v>
      </c>
      <c r="AB303" t="s">
        <v>43</v>
      </c>
      <c r="AC303" t="s">
        <v>43</v>
      </c>
      <c r="AE303" t="s">
        <v>868</v>
      </c>
    </row>
    <row r="304" spans="1:31" x14ac:dyDescent="0.4">
      <c r="A304" t="s">
        <v>27</v>
      </c>
      <c r="B304">
        <v>4680</v>
      </c>
      <c r="C304" t="s">
        <v>865</v>
      </c>
      <c r="D304">
        <v>97</v>
      </c>
      <c r="E304" t="s">
        <v>68</v>
      </c>
      <c r="F304" t="s">
        <v>858</v>
      </c>
      <c r="G304" t="s">
        <v>859</v>
      </c>
      <c r="H304" t="s">
        <v>860</v>
      </c>
      <c r="J304" t="s">
        <v>861</v>
      </c>
      <c r="K304" t="s">
        <v>598</v>
      </c>
      <c r="L304" t="s">
        <v>862</v>
      </c>
      <c r="M304" t="s">
        <v>35</v>
      </c>
      <c r="N304" t="s">
        <v>863</v>
      </c>
      <c r="O304" t="s">
        <v>864</v>
      </c>
      <c r="P304" t="s">
        <v>3060</v>
      </c>
      <c r="R304" t="s">
        <v>866</v>
      </c>
      <c r="S304" t="s">
        <v>867</v>
      </c>
      <c r="T304" t="s">
        <v>3059</v>
      </c>
      <c r="U304" t="s">
        <v>82</v>
      </c>
      <c r="V304" s="1">
        <v>44185</v>
      </c>
      <c r="W304">
        <v>0</v>
      </c>
      <c r="X304">
        <v>13</v>
      </c>
      <c r="AA304" t="s">
        <v>42</v>
      </c>
      <c r="AB304" t="s">
        <v>43</v>
      </c>
      <c r="AC304" t="s">
        <v>43</v>
      </c>
      <c r="AE304" t="s">
        <v>869</v>
      </c>
    </row>
    <row r="305" spans="1:31" x14ac:dyDescent="0.4">
      <c r="A305" t="s">
        <v>27</v>
      </c>
      <c r="B305">
        <v>4680</v>
      </c>
      <c r="C305" t="s">
        <v>865</v>
      </c>
      <c r="D305">
        <v>97</v>
      </c>
      <c r="E305" t="s">
        <v>68</v>
      </c>
      <c r="F305" t="s">
        <v>858</v>
      </c>
      <c r="G305" t="s">
        <v>859</v>
      </c>
      <c r="H305" t="s">
        <v>860</v>
      </c>
      <c r="J305" t="s">
        <v>861</v>
      </c>
      <c r="K305" t="s">
        <v>598</v>
      </c>
      <c r="L305" t="s">
        <v>862</v>
      </c>
      <c r="M305" t="s">
        <v>35</v>
      </c>
      <c r="N305" t="s">
        <v>863</v>
      </c>
      <c r="O305" t="s">
        <v>864</v>
      </c>
      <c r="P305" t="s">
        <v>3060</v>
      </c>
      <c r="R305" t="s">
        <v>866</v>
      </c>
      <c r="S305" t="s">
        <v>867</v>
      </c>
      <c r="T305" t="s">
        <v>3059</v>
      </c>
      <c r="U305" t="s">
        <v>82</v>
      </c>
      <c r="V305" s="1">
        <v>44185</v>
      </c>
      <c r="W305">
        <v>0</v>
      </c>
      <c r="X305">
        <v>15</v>
      </c>
      <c r="AA305" t="s">
        <v>42</v>
      </c>
      <c r="AB305" t="s">
        <v>43</v>
      </c>
      <c r="AC305" t="s">
        <v>43</v>
      </c>
      <c r="AE305" t="s">
        <v>869</v>
      </c>
    </row>
    <row r="306" spans="1:31" hidden="1" x14ac:dyDescent="0.4">
      <c r="A306" t="s">
        <v>27</v>
      </c>
      <c r="B306">
        <v>6146</v>
      </c>
      <c r="C306" t="s">
        <v>2937</v>
      </c>
      <c r="E306" t="s">
        <v>68</v>
      </c>
      <c r="F306" t="s">
        <v>568</v>
      </c>
      <c r="G306" t="s">
        <v>870</v>
      </c>
      <c r="H306" t="s">
        <v>871</v>
      </c>
      <c r="I306" t="s">
        <v>872</v>
      </c>
      <c r="J306" t="s">
        <v>873</v>
      </c>
      <c r="K306" t="s">
        <v>330</v>
      </c>
      <c r="L306" t="s">
        <v>874</v>
      </c>
      <c r="M306" t="s">
        <v>35</v>
      </c>
      <c r="N306">
        <v>7785740539</v>
      </c>
      <c r="O306" t="s">
        <v>875</v>
      </c>
      <c r="P306" t="s">
        <v>876</v>
      </c>
      <c r="R306" t="s">
        <v>877</v>
      </c>
      <c r="S306" t="s">
        <v>878</v>
      </c>
      <c r="T306" t="s">
        <v>474</v>
      </c>
      <c r="U306" t="s">
        <v>82</v>
      </c>
      <c r="V306" s="1">
        <v>40905</v>
      </c>
      <c r="W306">
        <v>0</v>
      </c>
      <c r="X306">
        <v>0</v>
      </c>
      <c r="Y306" t="s">
        <v>59</v>
      </c>
      <c r="AA306" t="s">
        <v>42</v>
      </c>
      <c r="AB306" t="s">
        <v>43</v>
      </c>
      <c r="AC306" t="s">
        <v>43</v>
      </c>
    </row>
    <row r="307" spans="1:31" x14ac:dyDescent="0.4">
      <c r="A307" t="s">
        <v>27</v>
      </c>
      <c r="B307">
        <v>6146</v>
      </c>
      <c r="C307" t="s">
        <v>2937</v>
      </c>
      <c r="D307">
        <v>98</v>
      </c>
      <c r="E307" t="s">
        <v>68</v>
      </c>
      <c r="F307" t="s">
        <v>568</v>
      </c>
      <c r="G307" t="s">
        <v>870</v>
      </c>
      <c r="H307" t="s">
        <v>871</v>
      </c>
      <c r="I307" t="s">
        <v>872</v>
      </c>
      <c r="J307" t="s">
        <v>873</v>
      </c>
      <c r="K307" t="s">
        <v>330</v>
      </c>
      <c r="L307" t="s">
        <v>874</v>
      </c>
      <c r="M307" t="s">
        <v>35</v>
      </c>
      <c r="N307">
        <v>7785740539</v>
      </c>
      <c r="O307" t="s">
        <v>875</v>
      </c>
      <c r="P307" t="s">
        <v>2937</v>
      </c>
      <c r="R307" t="s">
        <v>879</v>
      </c>
      <c r="S307" t="s">
        <v>880</v>
      </c>
      <c r="T307" t="s">
        <v>474</v>
      </c>
      <c r="U307" t="s">
        <v>82</v>
      </c>
      <c r="V307" s="1">
        <v>44263</v>
      </c>
      <c r="W307">
        <v>0</v>
      </c>
      <c r="X307">
        <v>13</v>
      </c>
      <c r="AA307" t="s">
        <v>42</v>
      </c>
      <c r="AB307" t="s">
        <v>43</v>
      </c>
      <c r="AC307" t="s">
        <v>43</v>
      </c>
    </row>
    <row r="308" spans="1:31" x14ac:dyDescent="0.4">
      <c r="A308" t="s">
        <v>27</v>
      </c>
      <c r="B308">
        <v>6146</v>
      </c>
      <c r="C308" t="s">
        <v>2937</v>
      </c>
      <c r="D308">
        <v>99</v>
      </c>
      <c r="E308" t="s">
        <v>68</v>
      </c>
      <c r="F308" t="s">
        <v>568</v>
      </c>
      <c r="G308" t="s">
        <v>870</v>
      </c>
      <c r="H308" t="s">
        <v>871</v>
      </c>
      <c r="I308" t="s">
        <v>872</v>
      </c>
      <c r="J308" t="s">
        <v>873</v>
      </c>
      <c r="K308" t="s">
        <v>330</v>
      </c>
      <c r="L308" t="s">
        <v>874</v>
      </c>
      <c r="M308" t="s">
        <v>35</v>
      </c>
      <c r="N308">
        <v>7785740539</v>
      </c>
      <c r="O308" t="s">
        <v>875</v>
      </c>
      <c r="P308" t="s">
        <v>2937</v>
      </c>
      <c r="R308" t="s">
        <v>881</v>
      </c>
      <c r="S308" t="s">
        <v>882</v>
      </c>
      <c r="T308" t="s">
        <v>474</v>
      </c>
      <c r="U308" t="s">
        <v>82</v>
      </c>
      <c r="V308" s="1">
        <v>41981</v>
      </c>
      <c r="W308">
        <v>0</v>
      </c>
      <c r="X308">
        <v>13</v>
      </c>
      <c r="AA308" t="s">
        <v>42</v>
      </c>
      <c r="AB308" t="s">
        <v>43</v>
      </c>
      <c r="AC308" t="s">
        <v>43</v>
      </c>
    </row>
    <row r="309" spans="1:31" x14ac:dyDescent="0.4">
      <c r="A309" t="s">
        <v>27</v>
      </c>
      <c r="B309">
        <v>977</v>
      </c>
      <c r="C309" t="s">
        <v>890</v>
      </c>
      <c r="D309">
        <v>100</v>
      </c>
      <c r="E309" t="s">
        <v>195</v>
      </c>
      <c r="F309" t="s">
        <v>883</v>
      </c>
      <c r="G309" t="s">
        <v>884</v>
      </c>
      <c r="H309" t="s">
        <v>885</v>
      </c>
      <c r="J309" t="s">
        <v>886</v>
      </c>
      <c r="K309" t="s">
        <v>51</v>
      </c>
      <c r="L309" t="s">
        <v>887</v>
      </c>
      <c r="M309" t="s">
        <v>35</v>
      </c>
      <c r="N309" t="s">
        <v>888</v>
      </c>
      <c r="O309" t="s">
        <v>889</v>
      </c>
      <c r="P309" t="s">
        <v>890</v>
      </c>
      <c r="R309" t="s">
        <v>891</v>
      </c>
      <c r="S309" t="s">
        <v>892</v>
      </c>
      <c r="T309" t="s">
        <v>58</v>
      </c>
      <c r="U309" t="s">
        <v>40</v>
      </c>
      <c r="V309" s="1">
        <v>44290</v>
      </c>
      <c r="W309">
        <v>0</v>
      </c>
      <c r="X309">
        <v>16</v>
      </c>
      <c r="AA309" t="s">
        <v>42</v>
      </c>
      <c r="AB309" t="s">
        <v>43</v>
      </c>
      <c r="AC309" t="s">
        <v>43</v>
      </c>
    </row>
    <row r="310" spans="1:31" x14ac:dyDescent="0.4">
      <c r="A310" t="s">
        <v>27</v>
      </c>
      <c r="B310">
        <v>977</v>
      </c>
      <c r="C310" t="s">
        <v>890</v>
      </c>
      <c r="D310">
        <v>100</v>
      </c>
      <c r="E310" t="s">
        <v>195</v>
      </c>
      <c r="F310" t="s">
        <v>883</v>
      </c>
      <c r="G310" t="s">
        <v>884</v>
      </c>
      <c r="H310" t="s">
        <v>885</v>
      </c>
      <c r="J310" t="s">
        <v>886</v>
      </c>
      <c r="K310" t="s">
        <v>51</v>
      </c>
      <c r="L310" t="s">
        <v>887</v>
      </c>
      <c r="M310" t="s">
        <v>35</v>
      </c>
      <c r="N310" t="s">
        <v>888</v>
      </c>
      <c r="O310" t="s">
        <v>889</v>
      </c>
      <c r="P310" t="s">
        <v>890</v>
      </c>
      <c r="R310" t="s">
        <v>891</v>
      </c>
      <c r="S310" t="s">
        <v>892</v>
      </c>
      <c r="T310" t="s">
        <v>58</v>
      </c>
      <c r="U310" t="s">
        <v>40</v>
      </c>
      <c r="V310" s="1">
        <v>44290</v>
      </c>
      <c r="W310">
        <v>0</v>
      </c>
      <c r="X310">
        <v>18</v>
      </c>
      <c r="AA310" t="s">
        <v>42</v>
      </c>
      <c r="AB310" t="s">
        <v>43</v>
      </c>
      <c r="AC310" t="s">
        <v>43</v>
      </c>
    </row>
    <row r="311" spans="1:31" hidden="1" x14ac:dyDescent="0.4">
      <c r="A311" t="s">
        <v>27</v>
      </c>
      <c r="B311">
        <v>977</v>
      </c>
      <c r="C311" t="s">
        <v>890</v>
      </c>
      <c r="E311" t="s">
        <v>195</v>
      </c>
      <c r="F311" t="s">
        <v>883</v>
      </c>
      <c r="G311" t="s">
        <v>884</v>
      </c>
      <c r="H311" t="s">
        <v>885</v>
      </c>
      <c r="J311" t="s">
        <v>886</v>
      </c>
      <c r="K311" t="s">
        <v>51</v>
      </c>
      <c r="L311" t="s">
        <v>887</v>
      </c>
      <c r="M311" t="s">
        <v>35</v>
      </c>
      <c r="N311" t="s">
        <v>888</v>
      </c>
      <c r="O311" t="s">
        <v>889</v>
      </c>
      <c r="P311" t="s">
        <v>890</v>
      </c>
      <c r="R311" t="s">
        <v>893</v>
      </c>
      <c r="S311" t="s">
        <v>894</v>
      </c>
      <c r="T311" t="s">
        <v>895</v>
      </c>
      <c r="U311" t="s">
        <v>40</v>
      </c>
      <c r="V311" s="1">
        <v>41544</v>
      </c>
      <c r="W311">
        <v>0</v>
      </c>
      <c r="X311">
        <v>0</v>
      </c>
      <c r="Y311" t="s">
        <v>59</v>
      </c>
      <c r="AA311" t="s">
        <v>42</v>
      </c>
      <c r="AB311" t="s">
        <v>43</v>
      </c>
      <c r="AC311" t="s">
        <v>43</v>
      </c>
    </row>
    <row r="312" spans="1:31" x14ac:dyDescent="0.4">
      <c r="A312" t="s">
        <v>27</v>
      </c>
      <c r="B312">
        <v>1285</v>
      </c>
      <c r="C312" t="s">
        <v>2938</v>
      </c>
      <c r="D312">
        <v>101</v>
      </c>
      <c r="E312" t="s">
        <v>195</v>
      </c>
      <c r="F312" t="s">
        <v>896</v>
      </c>
      <c r="G312" t="s">
        <v>897</v>
      </c>
      <c r="H312" t="s">
        <v>898</v>
      </c>
      <c r="I312" t="s">
        <v>899</v>
      </c>
      <c r="J312" t="s">
        <v>900</v>
      </c>
      <c r="K312" t="s">
        <v>901</v>
      </c>
      <c r="L312" t="s">
        <v>902</v>
      </c>
      <c r="M312" t="s">
        <v>35</v>
      </c>
      <c r="N312" t="s">
        <v>903</v>
      </c>
      <c r="O312" t="s">
        <v>904</v>
      </c>
      <c r="P312" t="s">
        <v>2938</v>
      </c>
      <c r="R312" t="s">
        <v>906</v>
      </c>
      <c r="S312" t="s">
        <v>907</v>
      </c>
      <c r="T312" t="s">
        <v>58</v>
      </c>
      <c r="U312" t="s">
        <v>40</v>
      </c>
      <c r="V312" s="1">
        <v>45251</v>
      </c>
      <c r="W312">
        <v>0</v>
      </c>
      <c r="X312">
        <v>4</v>
      </c>
      <c r="Y312" t="s">
        <v>65</v>
      </c>
      <c r="AA312" t="s">
        <v>42</v>
      </c>
      <c r="AB312" t="s">
        <v>43</v>
      </c>
      <c r="AC312" t="s">
        <v>43</v>
      </c>
    </row>
    <row r="313" spans="1:31" hidden="1" x14ac:dyDescent="0.4">
      <c r="A313" t="s">
        <v>27</v>
      </c>
      <c r="B313">
        <v>1285</v>
      </c>
      <c r="C313" t="s">
        <v>2938</v>
      </c>
      <c r="E313" t="s">
        <v>195</v>
      </c>
      <c r="F313" t="s">
        <v>896</v>
      </c>
      <c r="G313" t="s">
        <v>897</v>
      </c>
      <c r="H313" t="s">
        <v>898</v>
      </c>
      <c r="I313" t="s">
        <v>899</v>
      </c>
      <c r="J313" t="s">
        <v>900</v>
      </c>
      <c r="K313" t="s">
        <v>901</v>
      </c>
      <c r="L313" t="s">
        <v>902</v>
      </c>
      <c r="M313" t="s">
        <v>35</v>
      </c>
      <c r="N313" t="s">
        <v>903</v>
      </c>
      <c r="O313" t="s">
        <v>904</v>
      </c>
      <c r="P313" t="s">
        <v>905</v>
      </c>
      <c r="R313" t="s">
        <v>908</v>
      </c>
      <c r="S313" t="s">
        <v>909</v>
      </c>
      <c r="T313" t="s">
        <v>58</v>
      </c>
      <c r="U313" t="s">
        <v>40</v>
      </c>
      <c r="V313" s="1">
        <v>42146</v>
      </c>
      <c r="W313">
        <v>0</v>
      </c>
      <c r="X313">
        <v>0</v>
      </c>
      <c r="Y313" t="s">
        <v>59</v>
      </c>
      <c r="AA313" t="s">
        <v>42</v>
      </c>
      <c r="AB313" t="s">
        <v>43</v>
      </c>
      <c r="AC313" t="s">
        <v>43</v>
      </c>
    </row>
    <row r="314" spans="1:31" x14ac:dyDescent="0.4">
      <c r="A314" t="s">
        <v>27</v>
      </c>
      <c r="B314">
        <v>1285</v>
      </c>
      <c r="C314" t="s">
        <v>2938</v>
      </c>
      <c r="D314">
        <v>101</v>
      </c>
      <c r="E314" t="s">
        <v>195</v>
      </c>
      <c r="F314" t="s">
        <v>896</v>
      </c>
      <c r="G314" t="s">
        <v>897</v>
      </c>
      <c r="H314" t="s">
        <v>898</v>
      </c>
      <c r="I314" t="s">
        <v>899</v>
      </c>
      <c r="J314" t="s">
        <v>900</v>
      </c>
      <c r="K314" t="s">
        <v>901</v>
      </c>
      <c r="L314" t="s">
        <v>902</v>
      </c>
      <c r="M314" t="s">
        <v>35</v>
      </c>
      <c r="N314" t="s">
        <v>903</v>
      </c>
      <c r="O314" t="s">
        <v>904</v>
      </c>
      <c r="P314" t="s">
        <v>2938</v>
      </c>
      <c r="R314" t="s">
        <v>906</v>
      </c>
      <c r="S314" t="s">
        <v>907</v>
      </c>
      <c r="T314" t="s">
        <v>58</v>
      </c>
      <c r="U314" t="s">
        <v>40</v>
      </c>
      <c r="V314" s="1">
        <v>45251</v>
      </c>
      <c r="W314">
        <v>0</v>
      </c>
      <c r="X314">
        <v>12</v>
      </c>
      <c r="AA314" t="s">
        <v>42</v>
      </c>
      <c r="AB314" t="s">
        <v>43</v>
      </c>
      <c r="AC314" t="s">
        <v>43</v>
      </c>
    </row>
    <row r="315" spans="1:31" hidden="1" x14ac:dyDescent="0.4">
      <c r="A315" t="s">
        <v>27</v>
      </c>
      <c r="B315">
        <v>1285</v>
      </c>
      <c r="C315" t="s">
        <v>2938</v>
      </c>
      <c r="E315" t="s">
        <v>195</v>
      </c>
      <c r="F315" t="s">
        <v>896</v>
      </c>
      <c r="G315" t="s">
        <v>897</v>
      </c>
      <c r="H315" t="s">
        <v>898</v>
      </c>
      <c r="I315" t="s">
        <v>899</v>
      </c>
      <c r="J315" t="s">
        <v>900</v>
      </c>
      <c r="K315" t="s">
        <v>901</v>
      </c>
      <c r="L315" t="s">
        <v>902</v>
      </c>
      <c r="M315" t="s">
        <v>35</v>
      </c>
      <c r="N315" t="s">
        <v>903</v>
      </c>
      <c r="O315" t="s">
        <v>904</v>
      </c>
      <c r="P315" t="s">
        <v>905</v>
      </c>
      <c r="R315" t="s">
        <v>908</v>
      </c>
      <c r="S315" t="s">
        <v>909</v>
      </c>
      <c r="T315" t="s">
        <v>58</v>
      </c>
      <c r="U315" t="s">
        <v>40</v>
      </c>
      <c r="V315" s="1">
        <v>42146</v>
      </c>
      <c r="W315">
        <v>0</v>
      </c>
      <c r="X315">
        <v>0</v>
      </c>
      <c r="Y315" t="s">
        <v>59</v>
      </c>
      <c r="AA315" t="s">
        <v>42</v>
      </c>
      <c r="AB315" t="s">
        <v>43</v>
      </c>
      <c r="AC315" t="s">
        <v>43</v>
      </c>
    </row>
    <row r="316" spans="1:31" x14ac:dyDescent="0.4">
      <c r="A316" t="s">
        <v>27</v>
      </c>
      <c r="B316">
        <v>2058</v>
      </c>
      <c r="C316" t="s">
        <v>2939</v>
      </c>
      <c r="D316">
        <v>102</v>
      </c>
      <c r="E316" t="s">
        <v>68</v>
      </c>
      <c r="F316" t="s">
        <v>910</v>
      </c>
      <c r="G316" t="s">
        <v>911</v>
      </c>
      <c r="H316" t="s">
        <v>912</v>
      </c>
      <c r="I316" t="s">
        <v>913</v>
      </c>
      <c r="J316" t="s">
        <v>914</v>
      </c>
      <c r="K316" t="s">
        <v>215</v>
      </c>
      <c r="L316" t="s">
        <v>915</v>
      </c>
      <c r="M316" t="s">
        <v>35</v>
      </c>
      <c r="N316">
        <v>1442833321</v>
      </c>
      <c r="O316" t="s">
        <v>916</v>
      </c>
      <c r="P316" t="s">
        <v>3073</v>
      </c>
      <c r="R316" t="s">
        <v>917</v>
      </c>
      <c r="S316" t="s">
        <v>918</v>
      </c>
      <c r="T316" t="s">
        <v>94</v>
      </c>
      <c r="U316" t="s">
        <v>40</v>
      </c>
      <c r="V316" s="1">
        <v>43570</v>
      </c>
      <c r="W316">
        <v>0</v>
      </c>
      <c r="X316">
        <v>14</v>
      </c>
      <c r="AA316" t="s">
        <v>42</v>
      </c>
      <c r="AB316" t="s">
        <v>43</v>
      </c>
      <c r="AC316" t="s">
        <v>43</v>
      </c>
    </row>
    <row r="317" spans="1:31" x14ac:dyDescent="0.4">
      <c r="A317" t="s">
        <v>27</v>
      </c>
      <c r="B317">
        <v>2058</v>
      </c>
      <c r="C317" t="s">
        <v>2939</v>
      </c>
      <c r="D317">
        <v>102</v>
      </c>
      <c r="E317" t="s">
        <v>68</v>
      </c>
      <c r="F317" t="s">
        <v>910</v>
      </c>
      <c r="G317" t="s">
        <v>911</v>
      </c>
      <c r="H317" t="s">
        <v>912</v>
      </c>
      <c r="I317" t="s">
        <v>913</v>
      </c>
      <c r="J317" t="s">
        <v>914</v>
      </c>
      <c r="K317" t="s">
        <v>215</v>
      </c>
      <c r="L317" t="s">
        <v>915</v>
      </c>
      <c r="M317" t="s">
        <v>35</v>
      </c>
      <c r="N317">
        <v>1442833321</v>
      </c>
      <c r="O317" t="s">
        <v>916</v>
      </c>
      <c r="P317" t="s">
        <v>3073</v>
      </c>
      <c r="R317" t="s">
        <v>917</v>
      </c>
      <c r="S317" t="s">
        <v>918</v>
      </c>
      <c r="T317" t="s">
        <v>94</v>
      </c>
      <c r="U317" t="s">
        <v>40</v>
      </c>
      <c r="V317" s="1">
        <v>43570</v>
      </c>
      <c r="W317">
        <v>0</v>
      </c>
      <c r="X317">
        <v>16</v>
      </c>
      <c r="AA317" t="s">
        <v>42</v>
      </c>
      <c r="AB317" t="s">
        <v>43</v>
      </c>
      <c r="AC317" t="s">
        <v>43</v>
      </c>
    </row>
    <row r="318" spans="1:31" hidden="1" x14ac:dyDescent="0.4">
      <c r="A318" t="s">
        <v>27</v>
      </c>
      <c r="B318">
        <v>737</v>
      </c>
      <c r="C318" t="s">
        <v>927</v>
      </c>
      <c r="E318" t="s">
        <v>28</v>
      </c>
      <c r="F318" t="s">
        <v>919</v>
      </c>
      <c r="G318" t="s">
        <v>920</v>
      </c>
      <c r="H318" t="s">
        <v>921</v>
      </c>
      <c r="I318" t="s">
        <v>922</v>
      </c>
      <c r="J318" t="s">
        <v>923</v>
      </c>
      <c r="K318" t="s">
        <v>924</v>
      </c>
      <c r="L318" t="s">
        <v>925</v>
      </c>
      <c r="M318" t="s">
        <v>35</v>
      </c>
      <c r="N318">
        <v>2392368482</v>
      </c>
      <c r="O318" t="s">
        <v>926</v>
      </c>
      <c r="P318" t="s">
        <v>927</v>
      </c>
      <c r="R318" t="s">
        <v>928</v>
      </c>
      <c r="S318" t="s">
        <v>929</v>
      </c>
      <c r="T318" t="s">
        <v>58</v>
      </c>
      <c r="U318" t="s">
        <v>40</v>
      </c>
      <c r="V318" s="1">
        <v>41871</v>
      </c>
      <c r="W318">
        <v>0</v>
      </c>
      <c r="X318">
        <v>0</v>
      </c>
      <c r="Y318" t="s">
        <v>59</v>
      </c>
      <c r="AA318" t="s">
        <v>42</v>
      </c>
      <c r="AB318" t="s">
        <v>43</v>
      </c>
      <c r="AC318" t="s">
        <v>43</v>
      </c>
    </row>
    <row r="319" spans="1:31" x14ac:dyDescent="0.4">
      <c r="A319" t="s">
        <v>27</v>
      </c>
      <c r="B319">
        <v>737</v>
      </c>
      <c r="C319" t="s">
        <v>927</v>
      </c>
      <c r="D319">
        <v>103</v>
      </c>
      <c r="E319" t="s">
        <v>28</v>
      </c>
      <c r="F319" t="s">
        <v>919</v>
      </c>
      <c r="G319" t="s">
        <v>920</v>
      </c>
      <c r="H319" t="s">
        <v>921</v>
      </c>
      <c r="I319" t="s">
        <v>922</v>
      </c>
      <c r="J319" t="s">
        <v>923</v>
      </c>
      <c r="K319" t="s">
        <v>924</v>
      </c>
      <c r="L319" t="s">
        <v>925</v>
      </c>
      <c r="M319" t="s">
        <v>35</v>
      </c>
      <c r="N319">
        <v>2392368482</v>
      </c>
      <c r="O319" t="s">
        <v>926</v>
      </c>
      <c r="P319" t="s">
        <v>3074</v>
      </c>
      <c r="R319" t="s">
        <v>930</v>
      </c>
      <c r="S319" t="s">
        <v>931</v>
      </c>
      <c r="T319" t="s">
        <v>94</v>
      </c>
      <c r="U319" t="s">
        <v>40</v>
      </c>
      <c r="V319" s="1">
        <v>43337</v>
      </c>
      <c r="W319">
        <v>0</v>
      </c>
      <c r="X319">
        <v>6</v>
      </c>
      <c r="Y319" t="s">
        <v>83</v>
      </c>
      <c r="AA319" t="s">
        <v>42</v>
      </c>
      <c r="AB319" t="s">
        <v>43</v>
      </c>
      <c r="AC319" t="s">
        <v>43</v>
      </c>
    </row>
    <row r="320" spans="1:31" x14ac:dyDescent="0.4">
      <c r="A320" t="s">
        <v>27</v>
      </c>
      <c r="B320">
        <v>737</v>
      </c>
      <c r="C320" t="s">
        <v>927</v>
      </c>
      <c r="D320">
        <v>103</v>
      </c>
      <c r="E320" t="s">
        <v>28</v>
      </c>
      <c r="F320" t="s">
        <v>919</v>
      </c>
      <c r="G320" t="s">
        <v>920</v>
      </c>
      <c r="H320" t="s">
        <v>921</v>
      </c>
      <c r="I320" t="s">
        <v>922</v>
      </c>
      <c r="J320" t="s">
        <v>923</v>
      </c>
      <c r="K320" t="s">
        <v>924</v>
      </c>
      <c r="L320" t="s">
        <v>925</v>
      </c>
      <c r="M320" t="s">
        <v>35</v>
      </c>
      <c r="N320">
        <v>2392368482</v>
      </c>
      <c r="O320" t="s">
        <v>926</v>
      </c>
      <c r="P320" t="s">
        <v>3074</v>
      </c>
      <c r="R320" t="s">
        <v>930</v>
      </c>
      <c r="S320" t="s">
        <v>931</v>
      </c>
      <c r="T320" t="s">
        <v>94</v>
      </c>
      <c r="U320" t="s">
        <v>40</v>
      </c>
      <c r="V320" s="1">
        <v>43337</v>
      </c>
      <c r="W320">
        <v>0</v>
      </c>
      <c r="X320">
        <v>7</v>
      </c>
      <c r="AA320" t="s">
        <v>42</v>
      </c>
      <c r="AB320" t="s">
        <v>43</v>
      </c>
      <c r="AC320" t="s">
        <v>43</v>
      </c>
    </row>
    <row r="321" spans="1:29" x14ac:dyDescent="0.4">
      <c r="A321" t="s">
        <v>27</v>
      </c>
      <c r="B321">
        <v>860</v>
      </c>
      <c r="C321" t="s">
        <v>2940</v>
      </c>
      <c r="D321">
        <v>104</v>
      </c>
      <c r="E321" t="s">
        <v>257</v>
      </c>
      <c r="F321" t="s">
        <v>932</v>
      </c>
      <c r="G321" t="s">
        <v>933</v>
      </c>
      <c r="H321" t="s">
        <v>934</v>
      </c>
      <c r="J321" t="s">
        <v>935</v>
      </c>
      <c r="K321" t="s">
        <v>426</v>
      </c>
      <c r="L321" t="s">
        <v>936</v>
      </c>
      <c r="M321" t="s">
        <v>35</v>
      </c>
      <c r="N321">
        <v>7771913768</v>
      </c>
      <c r="O321" t="s">
        <v>937</v>
      </c>
      <c r="P321" t="s">
        <v>2940</v>
      </c>
      <c r="R321" t="s">
        <v>3102</v>
      </c>
      <c r="S321" t="s">
        <v>939</v>
      </c>
      <c r="T321" t="s">
        <v>58</v>
      </c>
      <c r="U321" t="s">
        <v>40</v>
      </c>
      <c r="V321" s="1">
        <v>43402</v>
      </c>
      <c r="W321">
        <v>0</v>
      </c>
      <c r="X321">
        <v>6</v>
      </c>
      <c r="Y321" t="s">
        <v>83</v>
      </c>
      <c r="AA321" t="s">
        <v>42</v>
      </c>
      <c r="AB321" t="s">
        <v>43</v>
      </c>
      <c r="AC321" t="s">
        <v>43</v>
      </c>
    </row>
    <row r="322" spans="1:29" x14ac:dyDescent="0.4">
      <c r="A322" t="s">
        <v>27</v>
      </c>
      <c r="B322">
        <v>860</v>
      </c>
      <c r="C322" t="s">
        <v>2940</v>
      </c>
      <c r="D322">
        <v>104</v>
      </c>
      <c r="E322" t="s">
        <v>257</v>
      </c>
      <c r="F322" t="s">
        <v>932</v>
      </c>
      <c r="G322" t="s">
        <v>933</v>
      </c>
      <c r="H322" t="s">
        <v>934</v>
      </c>
      <c r="J322" t="s">
        <v>935</v>
      </c>
      <c r="K322" t="s">
        <v>426</v>
      </c>
      <c r="L322" t="s">
        <v>936</v>
      </c>
      <c r="M322" t="s">
        <v>35</v>
      </c>
      <c r="N322">
        <v>7771913768</v>
      </c>
      <c r="O322" t="s">
        <v>937</v>
      </c>
      <c r="P322" t="s">
        <v>2940</v>
      </c>
      <c r="R322" t="s">
        <v>3102</v>
      </c>
      <c r="S322" t="s">
        <v>939</v>
      </c>
      <c r="T322" t="s">
        <v>58</v>
      </c>
      <c r="U322" t="s">
        <v>40</v>
      </c>
      <c r="V322" s="1">
        <v>43402</v>
      </c>
      <c r="W322">
        <v>0</v>
      </c>
      <c r="X322">
        <v>7</v>
      </c>
      <c r="AA322" t="s">
        <v>42</v>
      </c>
      <c r="AB322" t="s">
        <v>43</v>
      </c>
      <c r="AC322" t="s">
        <v>43</v>
      </c>
    </row>
    <row r="323" spans="1:29" x14ac:dyDescent="0.4">
      <c r="A323" t="s">
        <v>27</v>
      </c>
      <c r="B323">
        <v>860</v>
      </c>
      <c r="C323" t="s">
        <v>2940</v>
      </c>
      <c r="D323">
        <v>104</v>
      </c>
      <c r="E323" t="s">
        <v>257</v>
      </c>
      <c r="F323" t="s">
        <v>932</v>
      </c>
      <c r="G323" t="s">
        <v>933</v>
      </c>
      <c r="H323" t="s">
        <v>934</v>
      </c>
      <c r="J323" t="s">
        <v>935</v>
      </c>
      <c r="K323" t="s">
        <v>426</v>
      </c>
      <c r="L323" t="s">
        <v>936</v>
      </c>
      <c r="M323" t="s">
        <v>35</v>
      </c>
      <c r="N323">
        <v>7771913768</v>
      </c>
      <c r="O323" t="s">
        <v>937</v>
      </c>
      <c r="P323" t="s">
        <v>2940</v>
      </c>
      <c r="R323" t="s">
        <v>3102</v>
      </c>
      <c r="S323" t="s">
        <v>939</v>
      </c>
      <c r="T323" t="s">
        <v>58</v>
      </c>
      <c r="U323" t="s">
        <v>40</v>
      </c>
      <c r="V323" s="1">
        <v>43402</v>
      </c>
      <c r="W323">
        <v>0</v>
      </c>
      <c r="X323">
        <v>16</v>
      </c>
      <c r="AA323" t="s">
        <v>42</v>
      </c>
      <c r="AB323" t="s">
        <v>43</v>
      </c>
      <c r="AC323" t="s">
        <v>43</v>
      </c>
    </row>
    <row r="324" spans="1:29" x14ac:dyDescent="0.4">
      <c r="A324" t="s">
        <v>27</v>
      </c>
      <c r="B324">
        <v>860</v>
      </c>
      <c r="C324" t="s">
        <v>2940</v>
      </c>
      <c r="D324">
        <v>104</v>
      </c>
      <c r="E324" t="s">
        <v>257</v>
      </c>
      <c r="F324" t="s">
        <v>932</v>
      </c>
      <c r="G324" t="s">
        <v>933</v>
      </c>
      <c r="H324" t="s">
        <v>934</v>
      </c>
      <c r="J324" t="s">
        <v>935</v>
      </c>
      <c r="K324" t="s">
        <v>426</v>
      </c>
      <c r="L324" t="s">
        <v>936</v>
      </c>
      <c r="M324" t="s">
        <v>35</v>
      </c>
      <c r="N324">
        <v>7771913768</v>
      </c>
      <c r="O324" t="s">
        <v>937</v>
      </c>
      <c r="P324" t="s">
        <v>2940</v>
      </c>
      <c r="R324" t="s">
        <v>3102</v>
      </c>
      <c r="S324" t="s">
        <v>939</v>
      </c>
      <c r="T324" t="s">
        <v>58</v>
      </c>
      <c r="U324" t="s">
        <v>40</v>
      </c>
      <c r="V324" s="1">
        <v>43402</v>
      </c>
      <c r="W324">
        <v>0</v>
      </c>
      <c r="X324">
        <v>18</v>
      </c>
      <c r="AA324" t="s">
        <v>42</v>
      </c>
      <c r="AB324" t="s">
        <v>43</v>
      </c>
      <c r="AC324" t="s">
        <v>43</v>
      </c>
    </row>
    <row r="325" spans="1:29" x14ac:dyDescent="0.4">
      <c r="A325" t="s">
        <v>27</v>
      </c>
      <c r="B325">
        <v>278</v>
      </c>
      <c r="C325" t="s">
        <v>2859</v>
      </c>
      <c r="D325">
        <v>106</v>
      </c>
      <c r="E325" t="s">
        <v>68</v>
      </c>
      <c r="F325" t="s">
        <v>940</v>
      </c>
      <c r="G325" t="s">
        <v>941</v>
      </c>
      <c r="H325" t="s">
        <v>942</v>
      </c>
      <c r="I325" t="s">
        <v>943</v>
      </c>
      <c r="J325" t="s">
        <v>900</v>
      </c>
      <c r="K325" t="s">
        <v>598</v>
      </c>
      <c r="L325" t="s">
        <v>944</v>
      </c>
      <c r="M325" t="s">
        <v>35</v>
      </c>
      <c r="N325">
        <v>1235831578</v>
      </c>
      <c r="O325" t="s">
        <v>945</v>
      </c>
      <c r="P325" t="s">
        <v>2859</v>
      </c>
      <c r="R325" t="s">
        <v>946</v>
      </c>
      <c r="S325" t="s">
        <v>947</v>
      </c>
      <c r="T325" t="s">
        <v>58</v>
      </c>
      <c r="U325" t="s">
        <v>82</v>
      </c>
      <c r="V325" s="1">
        <v>43954</v>
      </c>
      <c r="W325">
        <v>0</v>
      </c>
      <c r="X325">
        <v>4</v>
      </c>
      <c r="Y325" t="s">
        <v>65</v>
      </c>
      <c r="Z325" t="s">
        <v>392</v>
      </c>
      <c r="AA325" t="s">
        <v>42</v>
      </c>
      <c r="AB325" t="s">
        <v>43</v>
      </c>
      <c r="AC325" t="s">
        <v>43</v>
      </c>
    </row>
    <row r="326" spans="1:29" x14ac:dyDescent="0.4">
      <c r="A326" t="s">
        <v>27</v>
      </c>
      <c r="B326">
        <v>278</v>
      </c>
      <c r="C326" t="s">
        <v>2859</v>
      </c>
      <c r="D326">
        <v>105</v>
      </c>
      <c r="E326" t="s">
        <v>68</v>
      </c>
      <c r="F326" t="s">
        <v>940</v>
      </c>
      <c r="G326" t="s">
        <v>941</v>
      </c>
      <c r="H326" t="s">
        <v>942</v>
      </c>
      <c r="I326" t="s">
        <v>943</v>
      </c>
      <c r="J326" t="s">
        <v>900</v>
      </c>
      <c r="K326" t="s">
        <v>598</v>
      </c>
      <c r="L326" t="s">
        <v>944</v>
      </c>
      <c r="M326" t="s">
        <v>35</v>
      </c>
      <c r="N326">
        <v>1235831578</v>
      </c>
      <c r="O326" t="s">
        <v>945</v>
      </c>
      <c r="P326" t="s">
        <v>2859</v>
      </c>
      <c r="R326" t="s">
        <v>948</v>
      </c>
      <c r="S326" t="s">
        <v>949</v>
      </c>
      <c r="T326" t="s">
        <v>58</v>
      </c>
      <c r="U326" t="s">
        <v>82</v>
      </c>
      <c r="V326" s="1">
        <v>41820</v>
      </c>
      <c r="W326">
        <v>0</v>
      </c>
      <c r="X326">
        <v>5</v>
      </c>
      <c r="Y326" t="s">
        <v>66</v>
      </c>
      <c r="Z326" t="s">
        <v>392</v>
      </c>
      <c r="AA326" t="s">
        <v>42</v>
      </c>
      <c r="AB326" t="s">
        <v>43</v>
      </c>
      <c r="AC326" t="s">
        <v>43</v>
      </c>
    </row>
    <row r="327" spans="1:29" x14ac:dyDescent="0.4">
      <c r="A327" t="s">
        <v>27</v>
      </c>
      <c r="B327">
        <v>278</v>
      </c>
      <c r="C327" t="s">
        <v>2859</v>
      </c>
      <c r="D327">
        <v>106</v>
      </c>
      <c r="E327" t="s">
        <v>68</v>
      </c>
      <c r="F327" t="s">
        <v>940</v>
      </c>
      <c r="G327" t="s">
        <v>941</v>
      </c>
      <c r="H327" t="s">
        <v>942</v>
      </c>
      <c r="I327" t="s">
        <v>943</v>
      </c>
      <c r="J327" t="s">
        <v>900</v>
      </c>
      <c r="K327" t="s">
        <v>598</v>
      </c>
      <c r="L327" t="s">
        <v>944</v>
      </c>
      <c r="M327" t="s">
        <v>35</v>
      </c>
      <c r="N327">
        <v>1235831578</v>
      </c>
      <c r="O327" t="s">
        <v>945</v>
      </c>
      <c r="P327" t="s">
        <v>2859</v>
      </c>
      <c r="R327" t="s">
        <v>946</v>
      </c>
      <c r="S327" t="s">
        <v>947</v>
      </c>
      <c r="T327" t="s">
        <v>58</v>
      </c>
      <c r="U327" t="s">
        <v>82</v>
      </c>
      <c r="V327" s="1">
        <v>43954</v>
      </c>
      <c r="W327">
        <v>0</v>
      </c>
      <c r="X327">
        <v>13</v>
      </c>
      <c r="Z327" t="s">
        <v>392</v>
      </c>
      <c r="AA327" t="s">
        <v>42</v>
      </c>
      <c r="AB327" t="s">
        <v>43</v>
      </c>
      <c r="AC327" t="s">
        <v>43</v>
      </c>
    </row>
    <row r="328" spans="1:29" x14ac:dyDescent="0.4">
      <c r="A328" t="s">
        <v>27</v>
      </c>
      <c r="B328">
        <v>278</v>
      </c>
      <c r="C328" t="s">
        <v>2859</v>
      </c>
      <c r="D328">
        <v>105</v>
      </c>
      <c r="E328" t="s">
        <v>68</v>
      </c>
      <c r="F328" t="s">
        <v>940</v>
      </c>
      <c r="G328" t="s">
        <v>941</v>
      </c>
      <c r="H328" t="s">
        <v>942</v>
      </c>
      <c r="I328" t="s">
        <v>943</v>
      </c>
      <c r="J328" t="s">
        <v>900</v>
      </c>
      <c r="K328" t="s">
        <v>598</v>
      </c>
      <c r="L328" t="s">
        <v>944</v>
      </c>
      <c r="M328" t="s">
        <v>35</v>
      </c>
      <c r="N328">
        <v>1235831578</v>
      </c>
      <c r="O328" t="s">
        <v>945</v>
      </c>
      <c r="P328" t="s">
        <v>2859</v>
      </c>
      <c r="R328" t="s">
        <v>948</v>
      </c>
      <c r="S328" t="s">
        <v>949</v>
      </c>
      <c r="T328" t="s">
        <v>58</v>
      </c>
      <c r="U328" t="s">
        <v>82</v>
      </c>
      <c r="V328" s="1">
        <v>41820</v>
      </c>
      <c r="W328">
        <v>0</v>
      </c>
      <c r="X328">
        <v>15</v>
      </c>
      <c r="Z328" t="s">
        <v>392</v>
      </c>
      <c r="AA328" t="s">
        <v>42</v>
      </c>
      <c r="AB328" t="s">
        <v>43</v>
      </c>
      <c r="AC328" t="s">
        <v>43</v>
      </c>
    </row>
    <row r="329" spans="1:29" x14ac:dyDescent="0.4">
      <c r="A329" t="s">
        <v>27</v>
      </c>
      <c r="B329">
        <v>762</v>
      </c>
      <c r="C329" t="s">
        <v>2941</v>
      </c>
      <c r="D329">
        <v>107</v>
      </c>
      <c r="E329" t="s">
        <v>28</v>
      </c>
      <c r="F329" t="s">
        <v>950</v>
      </c>
      <c r="G329" t="s">
        <v>951</v>
      </c>
      <c r="H329" t="s">
        <v>952</v>
      </c>
      <c r="J329" t="s">
        <v>953</v>
      </c>
      <c r="K329" t="s">
        <v>495</v>
      </c>
      <c r="L329" t="s">
        <v>954</v>
      </c>
      <c r="M329" t="s">
        <v>35</v>
      </c>
      <c r="N329" t="s">
        <v>955</v>
      </c>
      <c r="O329" t="s">
        <v>956</v>
      </c>
      <c r="P329" t="s">
        <v>2941</v>
      </c>
      <c r="R329" t="s">
        <v>958</v>
      </c>
      <c r="S329" t="s">
        <v>959</v>
      </c>
      <c r="T329" t="s">
        <v>960</v>
      </c>
      <c r="U329" t="s">
        <v>40</v>
      </c>
      <c r="V329" s="1">
        <v>43578</v>
      </c>
      <c r="W329">
        <v>0</v>
      </c>
      <c r="X329">
        <v>20</v>
      </c>
      <c r="AA329" t="s">
        <v>42</v>
      </c>
      <c r="AB329" t="s">
        <v>43</v>
      </c>
      <c r="AC329" t="s">
        <v>43</v>
      </c>
    </row>
    <row r="330" spans="1:29" hidden="1" x14ac:dyDescent="0.4">
      <c r="A330" t="s">
        <v>27</v>
      </c>
      <c r="B330">
        <v>762</v>
      </c>
      <c r="C330" t="s">
        <v>2941</v>
      </c>
      <c r="E330" t="s">
        <v>28</v>
      </c>
      <c r="F330" t="s">
        <v>950</v>
      </c>
      <c r="G330" t="s">
        <v>951</v>
      </c>
      <c r="H330" t="s">
        <v>952</v>
      </c>
      <c r="J330" t="s">
        <v>953</v>
      </c>
      <c r="K330" t="s">
        <v>495</v>
      </c>
      <c r="L330" t="s">
        <v>954</v>
      </c>
      <c r="M330" t="s">
        <v>35</v>
      </c>
      <c r="N330" t="s">
        <v>955</v>
      </c>
      <c r="O330" t="s">
        <v>956</v>
      </c>
      <c r="P330" t="s">
        <v>957</v>
      </c>
      <c r="R330" t="s">
        <v>961</v>
      </c>
      <c r="S330" t="s">
        <v>962</v>
      </c>
      <c r="T330" t="s">
        <v>960</v>
      </c>
      <c r="U330" t="s">
        <v>82</v>
      </c>
      <c r="V330" s="1">
        <v>42134</v>
      </c>
      <c r="W330">
        <v>0</v>
      </c>
      <c r="X330">
        <v>0</v>
      </c>
      <c r="Y330" t="s">
        <v>59</v>
      </c>
      <c r="AA330" t="s">
        <v>42</v>
      </c>
      <c r="AB330" t="s">
        <v>43</v>
      </c>
      <c r="AC330" t="s">
        <v>43</v>
      </c>
    </row>
    <row r="331" spans="1:29" hidden="1" x14ac:dyDescent="0.4">
      <c r="A331" t="s">
        <v>27</v>
      </c>
      <c r="B331">
        <v>762</v>
      </c>
      <c r="C331" t="s">
        <v>2941</v>
      </c>
      <c r="E331" t="s">
        <v>28</v>
      </c>
      <c r="F331" t="s">
        <v>950</v>
      </c>
      <c r="G331" t="s">
        <v>951</v>
      </c>
      <c r="H331" t="s">
        <v>952</v>
      </c>
      <c r="J331" t="s">
        <v>953</v>
      </c>
      <c r="K331" t="s">
        <v>495</v>
      </c>
      <c r="L331" t="s">
        <v>954</v>
      </c>
      <c r="M331" t="s">
        <v>35</v>
      </c>
      <c r="N331" t="s">
        <v>955</v>
      </c>
      <c r="O331" t="s">
        <v>956</v>
      </c>
      <c r="P331" t="s">
        <v>957</v>
      </c>
      <c r="R331" t="s">
        <v>963</v>
      </c>
      <c r="S331" t="s">
        <v>964</v>
      </c>
      <c r="T331" t="s">
        <v>567</v>
      </c>
      <c r="U331" t="s">
        <v>82</v>
      </c>
      <c r="V331" s="1">
        <v>40801</v>
      </c>
      <c r="W331">
        <v>0</v>
      </c>
      <c r="X331">
        <v>0</v>
      </c>
      <c r="Y331" t="s">
        <v>59</v>
      </c>
      <c r="AA331" t="s">
        <v>42</v>
      </c>
      <c r="AB331" t="s">
        <v>43</v>
      </c>
      <c r="AC331" t="s">
        <v>43</v>
      </c>
    </row>
    <row r="332" spans="1:29" hidden="1" x14ac:dyDescent="0.4">
      <c r="A332" t="s">
        <v>27</v>
      </c>
      <c r="B332">
        <v>762</v>
      </c>
      <c r="C332" t="s">
        <v>2941</v>
      </c>
      <c r="E332" t="s">
        <v>28</v>
      </c>
      <c r="F332" t="s">
        <v>950</v>
      </c>
      <c r="G332" t="s">
        <v>951</v>
      </c>
      <c r="H332" t="s">
        <v>952</v>
      </c>
      <c r="J332" t="s">
        <v>953</v>
      </c>
      <c r="K332" t="s">
        <v>495</v>
      </c>
      <c r="L332" t="s">
        <v>954</v>
      </c>
      <c r="M332" t="s">
        <v>35</v>
      </c>
      <c r="N332" t="s">
        <v>955</v>
      </c>
      <c r="O332" t="s">
        <v>956</v>
      </c>
      <c r="P332" t="s">
        <v>957</v>
      </c>
      <c r="R332" t="s">
        <v>965</v>
      </c>
      <c r="S332" t="s">
        <v>966</v>
      </c>
      <c r="T332" t="s">
        <v>967</v>
      </c>
      <c r="U332" t="s">
        <v>40</v>
      </c>
      <c r="V332" s="1">
        <v>45469</v>
      </c>
      <c r="W332">
        <v>0</v>
      </c>
      <c r="X332">
        <v>0</v>
      </c>
      <c r="AA332" t="s">
        <v>42</v>
      </c>
      <c r="AB332" t="s">
        <v>43</v>
      </c>
      <c r="AC332" t="s">
        <v>43</v>
      </c>
    </row>
    <row r="333" spans="1:29" x14ac:dyDescent="0.4">
      <c r="A333" t="s">
        <v>27</v>
      </c>
      <c r="B333">
        <v>1162</v>
      </c>
      <c r="C333" t="s">
        <v>976</v>
      </c>
      <c r="D333">
        <v>108</v>
      </c>
      <c r="E333" t="s">
        <v>195</v>
      </c>
      <c r="F333" t="s">
        <v>968</v>
      </c>
      <c r="G333" t="s">
        <v>969</v>
      </c>
      <c r="H333" t="s">
        <v>970</v>
      </c>
      <c r="J333" t="s">
        <v>971</v>
      </c>
      <c r="K333" t="s">
        <v>972</v>
      </c>
      <c r="L333" t="s">
        <v>973</v>
      </c>
      <c r="M333" t="s">
        <v>35</v>
      </c>
      <c r="N333" t="s">
        <v>974</v>
      </c>
      <c r="O333" t="s">
        <v>975</v>
      </c>
      <c r="P333" t="s">
        <v>976</v>
      </c>
      <c r="R333" t="s">
        <v>977</v>
      </c>
      <c r="S333" t="s">
        <v>978</v>
      </c>
      <c r="T333" t="s">
        <v>232</v>
      </c>
      <c r="U333" t="s">
        <v>82</v>
      </c>
      <c r="V333" s="1">
        <v>43203</v>
      </c>
      <c r="W333">
        <v>0</v>
      </c>
      <c r="X333">
        <v>21</v>
      </c>
      <c r="AA333" t="s">
        <v>42</v>
      </c>
      <c r="AB333" t="s">
        <v>43</v>
      </c>
      <c r="AC333" t="s">
        <v>43</v>
      </c>
    </row>
    <row r="334" spans="1:29" x14ac:dyDescent="0.4">
      <c r="A334" t="s">
        <v>27</v>
      </c>
      <c r="B334">
        <v>1162</v>
      </c>
      <c r="C334" t="s">
        <v>976</v>
      </c>
      <c r="D334">
        <v>108</v>
      </c>
      <c r="E334" t="s">
        <v>195</v>
      </c>
      <c r="F334" t="s">
        <v>968</v>
      </c>
      <c r="G334" t="s">
        <v>969</v>
      </c>
      <c r="H334" t="s">
        <v>970</v>
      </c>
      <c r="J334" t="s">
        <v>971</v>
      </c>
      <c r="K334" t="s">
        <v>972</v>
      </c>
      <c r="L334" t="s">
        <v>973</v>
      </c>
      <c r="M334" t="s">
        <v>35</v>
      </c>
      <c r="N334" t="s">
        <v>974</v>
      </c>
      <c r="O334" t="s">
        <v>975</v>
      </c>
      <c r="P334" t="s">
        <v>976</v>
      </c>
      <c r="R334" t="s">
        <v>977</v>
      </c>
      <c r="S334" t="s">
        <v>978</v>
      </c>
      <c r="T334" t="s">
        <v>232</v>
      </c>
      <c r="U334" t="s">
        <v>82</v>
      </c>
      <c r="V334" s="1">
        <v>43203</v>
      </c>
      <c r="W334">
        <v>0</v>
      </c>
      <c r="X334">
        <v>19</v>
      </c>
      <c r="AA334" t="s">
        <v>42</v>
      </c>
      <c r="AB334" t="s">
        <v>43</v>
      </c>
      <c r="AC334" t="s">
        <v>43</v>
      </c>
    </row>
    <row r="335" spans="1:29" x14ac:dyDescent="0.4">
      <c r="A335" t="s">
        <v>27</v>
      </c>
      <c r="B335">
        <v>521</v>
      </c>
      <c r="C335" t="s">
        <v>2942</v>
      </c>
      <c r="D335">
        <v>110</v>
      </c>
      <c r="E335" t="s">
        <v>68</v>
      </c>
      <c r="F335" t="s">
        <v>979</v>
      </c>
      <c r="G335" t="s">
        <v>980</v>
      </c>
      <c r="H335" t="s">
        <v>981</v>
      </c>
      <c r="J335" t="s">
        <v>982</v>
      </c>
      <c r="K335" t="s">
        <v>73</v>
      </c>
      <c r="L335" t="s">
        <v>983</v>
      </c>
      <c r="M335" t="s">
        <v>35</v>
      </c>
      <c r="N335">
        <v>2082249156</v>
      </c>
      <c r="O335" t="s">
        <v>984</v>
      </c>
      <c r="P335" t="s">
        <v>2942</v>
      </c>
      <c r="R335" t="s">
        <v>3049</v>
      </c>
      <c r="S335" t="s">
        <v>987</v>
      </c>
      <c r="T335" t="s">
        <v>58</v>
      </c>
      <c r="U335" t="s">
        <v>82</v>
      </c>
      <c r="V335" s="1">
        <v>44854</v>
      </c>
      <c r="W335">
        <v>0</v>
      </c>
      <c r="X335">
        <v>4</v>
      </c>
      <c r="Y335" t="s">
        <v>65</v>
      </c>
      <c r="AA335" t="s">
        <v>42</v>
      </c>
      <c r="AB335" t="s">
        <v>43</v>
      </c>
      <c r="AC335" t="s">
        <v>43</v>
      </c>
    </row>
    <row r="336" spans="1:29" x14ac:dyDescent="0.4">
      <c r="A336" t="s">
        <v>27</v>
      </c>
      <c r="B336">
        <v>521</v>
      </c>
      <c r="C336" t="s">
        <v>2942</v>
      </c>
      <c r="D336">
        <v>109</v>
      </c>
      <c r="E336" t="s">
        <v>68</v>
      </c>
      <c r="F336" t="s">
        <v>979</v>
      </c>
      <c r="G336" t="s">
        <v>980</v>
      </c>
      <c r="H336" t="s">
        <v>981</v>
      </c>
      <c r="J336" t="s">
        <v>982</v>
      </c>
      <c r="K336" t="s">
        <v>73</v>
      </c>
      <c r="L336" t="s">
        <v>983</v>
      </c>
      <c r="M336" t="s">
        <v>35</v>
      </c>
      <c r="N336">
        <v>2082249156</v>
      </c>
      <c r="O336" t="s">
        <v>984</v>
      </c>
      <c r="P336" t="s">
        <v>2942</v>
      </c>
      <c r="R336" t="s">
        <v>3103</v>
      </c>
      <c r="S336" t="s">
        <v>989</v>
      </c>
      <c r="T336" t="s">
        <v>960</v>
      </c>
      <c r="U336" t="s">
        <v>82</v>
      </c>
      <c r="V336" s="1">
        <v>42329</v>
      </c>
      <c r="W336">
        <v>0</v>
      </c>
      <c r="X336">
        <v>6</v>
      </c>
      <c r="Y336" t="s">
        <v>83</v>
      </c>
      <c r="AA336" t="s">
        <v>42</v>
      </c>
      <c r="AB336" t="s">
        <v>43</v>
      </c>
      <c r="AC336" t="s">
        <v>43</v>
      </c>
    </row>
    <row r="337" spans="1:29" x14ac:dyDescent="0.4">
      <c r="A337" t="s">
        <v>27</v>
      </c>
      <c r="B337">
        <v>521</v>
      </c>
      <c r="C337" t="s">
        <v>2942</v>
      </c>
      <c r="D337">
        <v>110</v>
      </c>
      <c r="E337" t="s">
        <v>68</v>
      </c>
      <c r="F337" t="s">
        <v>979</v>
      </c>
      <c r="G337" t="s">
        <v>980</v>
      </c>
      <c r="H337" t="s">
        <v>981</v>
      </c>
      <c r="J337" t="s">
        <v>982</v>
      </c>
      <c r="K337" t="s">
        <v>73</v>
      </c>
      <c r="L337" t="s">
        <v>983</v>
      </c>
      <c r="M337" t="s">
        <v>35</v>
      </c>
      <c r="N337">
        <v>2082249156</v>
      </c>
      <c r="O337" t="s">
        <v>984</v>
      </c>
      <c r="P337" t="s">
        <v>2942</v>
      </c>
      <c r="R337" t="s">
        <v>3049</v>
      </c>
      <c r="S337" t="s">
        <v>987</v>
      </c>
      <c r="T337" t="s">
        <v>58</v>
      </c>
      <c r="U337" t="s">
        <v>82</v>
      </c>
      <c r="V337" s="1">
        <v>44854</v>
      </c>
      <c r="W337">
        <v>0</v>
      </c>
      <c r="X337">
        <v>13</v>
      </c>
      <c r="AA337" t="s">
        <v>42</v>
      </c>
      <c r="AB337" t="s">
        <v>43</v>
      </c>
      <c r="AC337" t="s">
        <v>43</v>
      </c>
    </row>
    <row r="338" spans="1:29" x14ac:dyDescent="0.4">
      <c r="A338" t="s">
        <v>27</v>
      </c>
      <c r="B338">
        <v>521</v>
      </c>
      <c r="C338" t="s">
        <v>2942</v>
      </c>
      <c r="D338">
        <v>109</v>
      </c>
      <c r="E338" t="s">
        <v>68</v>
      </c>
      <c r="F338" t="s">
        <v>979</v>
      </c>
      <c r="G338" t="s">
        <v>980</v>
      </c>
      <c r="H338" t="s">
        <v>981</v>
      </c>
      <c r="J338" t="s">
        <v>982</v>
      </c>
      <c r="K338" t="s">
        <v>73</v>
      </c>
      <c r="L338" t="s">
        <v>983</v>
      </c>
      <c r="M338" t="s">
        <v>35</v>
      </c>
      <c r="N338">
        <v>2082249156</v>
      </c>
      <c r="O338" t="s">
        <v>984</v>
      </c>
      <c r="P338" t="s">
        <v>2942</v>
      </c>
      <c r="R338" t="s">
        <v>3103</v>
      </c>
      <c r="S338" t="s">
        <v>989</v>
      </c>
      <c r="T338" t="s">
        <v>960</v>
      </c>
      <c r="U338" t="s">
        <v>82</v>
      </c>
      <c r="V338" s="1">
        <v>42329</v>
      </c>
      <c r="W338">
        <v>0</v>
      </c>
      <c r="X338">
        <v>17</v>
      </c>
      <c r="AA338" t="s">
        <v>42</v>
      </c>
      <c r="AB338" t="s">
        <v>43</v>
      </c>
      <c r="AC338" t="s">
        <v>43</v>
      </c>
    </row>
    <row r="339" spans="1:29" hidden="1" x14ac:dyDescent="0.4">
      <c r="A339" t="s">
        <v>27</v>
      </c>
      <c r="B339">
        <v>521</v>
      </c>
      <c r="C339" t="s">
        <v>2942</v>
      </c>
      <c r="E339" t="s">
        <v>68</v>
      </c>
      <c r="F339" t="s">
        <v>979</v>
      </c>
      <c r="G339" t="s">
        <v>980</v>
      </c>
      <c r="H339" t="s">
        <v>981</v>
      </c>
      <c r="J339" t="s">
        <v>982</v>
      </c>
      <c r="K339" t="s">
        <v>73</v>
      </c>
      <c r="L339" t="s">
        <v>983</v>
      </c>
      <c r="M339" t="s">
        <v>35</v>
      </c>
      <c r="N339">
        <v>2082249156</v>
      </c>
      <c r="O339" t="s">
        <v>984</v>
      </c>
      <c r="P339" t="s">
        <v>985</v>
      </c>
      <c r="R339" t="s">
        <v>990</v>
      </c>
      <c r="S339" t="s">
        <v>991</v>
      </c>
      <c r="T339" t="s">
        <v>992</v>
      </c>
      <c r="U339" t="s">
        <v>82</v>
      </c>
      <c r="V339" s="1">
        <v>40371</v>
      </c>
      <c r="W339">
        <v>0</v>
      </c>
      <c r="X339">
        <v>0</v>
      </c>
      <c r="Y339" t="s">
        <v>59</v>
      </c>
      <c r="AA339" t="s">
        <v>42</v>
      </c>
      <c r="AB339" t="s">
        <v>43</v>
      </c>
      <c r="AC339" t="s">
        <v>43</v>
      </c>
    </row>
    <row r="340" spans="1:29" hidden="1" x14ac:dyDescent="0.4">
      <c r="A340" t="s">
        <v>27</v>
      </c>
      <c r="B340">
        <v>521</v>
      </c>
      <c r="C340" t="s">
        <v>2942</v>
      </c>
      <c r="E340" t="s">
        <v>68</v>
      </c>
      <c r="F340" t="s">
        <v>979</v>
      </c>
      <c r="G340" t="s">
        <v>980</v>
      </c>
      <c r="H340" t="s">
        <v>981</v>
      </c>
      <c r="J340" t="s">
        <v>982</v>
      </c>
      <c r="K340" t="s">
        <v>73</v>
      </c>
      <c r="L340" t="s">
        <v>983</v>
      </c>
      <c r="M340" t="s">
        <v>35</v>
      </c>
      <c r="N340">
        <v>2082249156</v>
      </c>
      <c r="O340" t="s">
        <v>984</v>
      </c>
      <c r="P340" t="s">
        <v>985</v>
      </c>
      <c r="R340" t="s">
        <v>990</v>
      </c>
      <c r="S340" t="s">
        <v>991</v>
      </c>
      <c r="T340" t="s">
        <v>992</v>
      </c>
      <c r="U340" t="s">
        <v>82</v>
      </c>
      <c r="V340" s="1">
        <v>40371</v>
      </c>
      <c r="W340">
        <v>0</v>
      </c>
      <c r="X340">
        <v>0</v>
      </c>
      <c r="Y340" t="s">
        <v>59</v>
      </c>
      <c r="AA340" t="s">
        <v>42</v>
      </c>
      <c r="AB340" t="s">
        <v>43</v>
      </c>
      <c r="AC340" t="s">
        <v>43</v>
      </c>
    </row>
    <row r="341" spans="1:29" x14ac:dyDescent="0.4">
      <c r="A341" t="s">
        <v>27</v>
      </c>
      <c r="B341">
        <v>957</v>
      </c>
      <c r="C341" t="s">
        <v>2943</v>
      </c>
      <c r="D341">
        <v>111</v>
      </c>
      <c r="E341" t="s">
        <v>257</v>
      </c>
      <c r="F341" t="s">
        <v>993</v>
      </c>
      <c r="G341" t="s">
        <v>994</v>
      </c>
      <c r="H341" t="s">
        <v>995</v>
      </c>
      <c r="J341" t="s">
        <v>996</v>
      </c>
      <c r="K341" t="s">
        <v>495</v>
      </c>
      <c r="L341" t="s">
        <v>997</v>
      </c>
      <c r="M341" t="s">
        <v>35</v>
      </c>
      <c r="N341">
        <v>7957358057</v>
      </c>
      <c r="O341" t="s">
        <v>998</v>
      </c>
      <c r="P341" t="s">
        <v>2943</v>
      </c>
      <c r="R341" t="s">
        <v>999</v>
      </c>
      <c r="S341" t="s">
        <v>1000</v>
      </c>
      <c r="U341" t="s">
        <v>82</v>
      </c>
      <c r="V341" s="1">
        <v>43247</v>
      </c>
      <c r="W341">
        <v>0</v>
      </c>
      <c r="X341">
        <v>7</v>
      </c>
      <c r="AA341" t="s">
        <v>42</v>
      </c>
      <c r="AB341" t="s">
        <v>43</v>
      </c>
      <c r="AC341" t="s">
        <v>43</v>
      </c>
    </row>
    <row r="342" spans="1:29" x14ac:dyDescent="0.4">
      <c r="A342" t="s">
        <v>27</v>
      </c>
      <c r="B342">
        <v>957</v>
      </c>
      <c r="C342" t="s">
        <v>2943</v>
      </c>
      <c r="D342">
        <v>111</v>
      </c>
      <c r="E342" t="s">
        <v>257</v>
      </c>
      <c r="F342" t="s">
        <v>993</v>
      </c>
      <c r="G342" t="s">
        <v>994</v>
      </c>
      <c r="H342" t="s">
        <v>995</v>
      </c>
      <c r="J342" t="s">
        <v>996</v>
      </c>
      <c r="K342" t="s">
        <v>495</v>
      </c>
      <c r="L342" t="s">
        <v>997</v>
      </c>
      <c r="M342" t="s">
        <v>35</v>
      </c>
      <c r="N342">
        <v>7957358057</v>
      </c>
      <c r="O342" t="s">
        <v>998</v>
      </c>
      <c r="P342" t="s">
        <v>2943</v>
      </c>
      <c r="R342" t="s">
        <v>999</v>
      </c>
      <c r="S342" t="s">
        <v>1000</v>
      </c>
      <c r="U342" t="s">
        <v>82</v>
      </c>
      <c r="V342" s="1">
        <v>43247</v>
      </c>
      <c r="W342">
        <v>0</v>
      </c>
      <c r="X342">
        <v>19</v>
      </c>
      <c r="AA342" t="s">
        <v>42</v>
      </c>
      <c r="AB342" t="s">
        <v>43</v>
      </c>
      <c r="AC342" t="s">
        <v>43</v>
      </c>
    </row>
    <row r="343" spans="1:29" x14ac:dyDescent="0.4">
      <c r="A343" t="s">
        <v>27</v>
      </c>
      <c r="B343">
        <v>4686</v>
      </c>
      <c r="C343" t="s">
        <v>1007</v>
      </c>
      <c r="D343">
        <v>112</v>
      </c>
      <c r="E343" t="s">
        <v>195</v>
      </c>
      <c r="F343" t="s">
        <v>1001</v>
      </c>
      <c r="G343" t="s">
        <v>1002</v>
      </c>
      <c r="H343" t="s">
        <v>1003</v>
      </c>
      <c r="J343" t="s">
        <v>1004</v>
      </c>
      <c r="K343" t="s">
        <v>495</v>
      </c>
      <c r="L343" t="s">
        <v>1005</v>
      </c>
      <c r="M343" t="s">
        <v>35</v>
      </c>
      <c r="N343">
        <v>7903991528</v>
      </c>
      <c r="O343" t="s">
        <v>1006</v>
      </c>
      <c r="P343" t="s">
        <v>1007</v>
      </c>
      <c r="R343" t="s">
        <v>1008</v>
      </c>
      <c r="S343" t="s">
        <v>1009</v>
      </c>
      <c r="T343" t="s">
        <v>94</v>
      </c>
      <c r="U343" t="s">
        <v>40</v>
      </c>
      <c r="V343" s="1">
        <v>44044</v>
      </c>
      <c r="W343">
        <v>0</v>
      </c>
      <c r="X343">
        <v>3</v>
      </c>
      <c r="AA343" t="s">
        <v>42</v>
      </c>
      <c r="AB343" t="s">
        <v>43</v>
      </c>
      <c r="AC343" t="s">
        <v>43</v>
      </c>
    </row>
    <row r="344" spans="1:29" x14ac:dyDescent="0.4">
      <c r="A344" t="s">
        <v>27</v>
      </c>
      <c r="B344">
        <v>4686</v>
      </c>
      <c r="C344" t="s">
        <v>1007</v>
      </c>
      <c r="D344">
        <v>112</v>
      </c>
      <c r="E344" t="s">
        <v>195</v>
      </c>
      <c r="F344" t="s">
        <v>1001</v>
      </c>
      <c r="G344" t="s">
        <v>1002</v>
      </c>
      <c r="H344" t="s">
        <v>1003</v>
      </c>
      <c r="J344" t="s">
        <v>1004</v>
      </c>
      <c r="K344" t="s">
        <v>495</v>
      </c>
      <c r="L344" t="s">
        <v>1005</v>
      </c>
      <c r="M344" t="s">
        <v>35</v>
      </c>
      <c r="N344">
        <v>7903991528</v>
      </c>
      <c r="O344" t="s">
        <v>1006</v>
      </c>
      <c r="P344" t="s">
        <v>1007</v>
      </c>
      <c r="R344" t="s">
        <v>1008</v>
      </c>
      <c r="S344" t="s">
        <v>1009</v>
      </c>
      <c r="T344" t="s">
        <v>94</v>
      </c>
      <c r="U344" t="s">
        <v>40</v>
      </c>
      <c r="V344" s="1">
        <v>44044</v>
      </c>
      <c r="W344">
        <v>0</v>
      </c>
      <c r="X344">
        <v>4</v>
      </c>
      <c r="Y344" t="s">
        <v>65</v>
      </c>
      <c r="AA344" t="s">
        <v>42</v>
      </c>
      <c r="AB344" t="s">
        <v>43</v>
      </c>
      <c r="AC344" t="s">
        <v>43</v>
      </c>
    </row>
    <row r="345" spans="1:29" x14ac:dyDescent="0.4">
      <c r="A345" t="s">
        <v>27</v>
      </c>
      <c r="B345">
        <v>4686</v>
      </c>
      <c r="C345" t="s">
        <v>1007</v>
      </c>
      <c r="D345">
        <v>112</v>
      </c>
      <c r="E345" t="s">
        <v>195</v>
      </c>
      <c r="F345" t="s">
        <v>1001</v>
      </c>
      <c r="G345" t="s">
        <v>1002</v>
      </c>
      <c r="H345" t="s">
        <v>1003</v>
      </c>
      <c r="J345" t="s">
        <v>1004</v>
      </c>
      <c r="K345" t="s">
        <v>495</v>
      </c>
      <c r="L345" t="s">
        <v>1005</v>
      </c>
      <c r="M345" t="s">
        <v>35</v>
      </c>
      <c r="N345">
        <v>7903991528</v>
      </c>
      <c r="O345" t="s">
        <v>1006</v>
      </c>
      <c r="P345" t="s">
        <v>1007</v>
      </c>
      <c r="R345" t="s">
        <v>1008</v>
      </c>
      <c r="S345" t="s">
        <v>1009</v>
      </c>
      <c r="T345" t="s">
        <v>94</v>
      </c>
      <c r="U345" t="s">
        <v>40</v>
      </c>
      <c r="V345" s="1">
        <v>44044</v>
      </c>
      <c r="W345">
        <v>0</v>
      </c>
      <c r="X345">
        <v>11</v>
      </c>
      <c r="AA345" t="s">
        <v>42</v>
      </c>
      <c r="AB345" t="s">
        <v>43</v>
      </c>
      <c r="AC345" t="s">
        <v>43</v>
      </c>
    </row>
    <row r="346" spans="1:29" x14ac:dyDescent="0.4">
      <c r="A346" t="s">
        <v>27</v>
      </c>
      <c r="B346">
        <v>4686</v>
      </c>
      <c r="C346" t="s">
        <v>1007</v>
      </c>
      <c r="D346">
        <v>112</v>
      </c>
      <c r="E346" t="s">
        <v>195</v>
      </c>
      <c r="F346" t="s">
        <v>1001</v>
      </c>
      <c r="G346" t="s">
        <v>1002</v>
      </c>
      <c r="H346" t="s">
        <v>1003</v>
      </c>
      <c r="J346" t="s">
        <v>1004</v>
      </c>
      <c r="K346" t="s">
        <v>495</v>
      </c>
      <c r="L346" t="s">
        <v>1005</v>
      </c>
      <c r="M346" t="s">
        <v>35</v>
      </c>
      <c r="N346">
        <v>7903991528</v>
      </c>
      <c r="O346" t="s">
        <v>1006</v>
      </c>
      <c r="P346" t="s">
        <v>1007</v>
      </c>
      <c r="R346" t="s">
        <v>1008</v>
      </c>
      <c r="S346" t="s">
        <v>1009</v>
      </c>
      <c r="T346" t="s">
        <v>94</v>
      </c>
      <c r="U346" t="s">
        <v>40</v>
      </c>
      <c r="V346" s="1">
        <v>44044</v>
      </c>
      <c r="W346">
        <v>0</v>
      </c>
      <c r="X346">
        <v>12</v>
      </c>
      <c r="AA346" t="s">
        <v>42</v>
      </c>
      <c r="AB346" t="s">
        <v>43</v>
      </c>
      <c r="AC346" t="s">
        <v>43</v>
      </c>
    </row>
    <row r="347" spans="1:29" hidden="1" x14ac:dyDescent="0.4">
      <c r="A347" t="s">
        <v>27</v>
      </c>
      <c r="B347">
        <v>4686</v>
      </c>
      <c r="C347" t="s">
        <v>1007</v>
      </c>
      <c r="E347" t="s">
        <v>195</v>
      </c>
      <c r="F347" t="s">
        <v>1001</v>
      </c>
      <c r="G347" t="s">
        <v>1002</v>
      </c>
      <c r="H347" t="s">
        <v>1003</v>
      </c>
      <c r="J347" t="s">
        <v>1004</v>
      </c>
      <c r="K347" t="s">
        <v>495</v>
      </c>
      <c r="L347" t="s">
        <v>1005</v>
      </c>
      <c r="M347" t="s">
        <v>35</v>
      </c>
      <c r="N347">
        <v>7903991528</v>
      </c>
      <c r="O347" t="s">
        <v>1006</v>
      </c>
      <c r="P347" t="s">
        <v>1007</v>
      </c>
      <c r="R347" t="s">
        <v>1010</v>
      </c>
      <c r="S347" t="s">
        <v>1011</v>
      </c>
      <c r="T347" t="s">
        <v>376</v>
      </c>
      <c r="U347" t="s">
        <v>82</v>
      </c>
      <c r="V347" s="1">
        <v>45409</v>
      </c>
      <c r="W347">
        <v>0</v>
      </c>
      <c r="X347">
        <v>0</v>
      </c>
      <c r="Y347" t="s">
        <v>59</v>
      </c>
      <c r="AA347" t="s">
        <v>42</v>
      </c>
      <c r="AB347" t="s">
        <v>43</v>
      </c>
      <c r="AC347" t="s">
        <v>43</v>
      </c>
    </row>
    <row r="348" spans="1:29" hidden="1" x14ac:dyDescent="0.4">
      <c r="A348" t="s">
        <v>27</v>
      </c>
      <c r="B348">
        <v>4686</v>
      </c>
      <c r="C348" t="s">
        <v>1007</v>
      </c>
      <c r="E348" t="s">
        <v>195</v>
      </c>
      <c r="F348" t="s">
        <v>1001</v>
      </c>
      <c r="G348" t="s">
        <v>1002</v>
      </c>
      <c r="H348" t="s">
        <v>1003</v>
      </c>
      <c r="J348" t="s">
        <v>1004</v>
      </c>
      <c r="K348" t="s">
        <v>495</v>
      </c>
      <c r="L348" t="s">
        <v>1005</v>
      </c>
      <c r="M348" t="s">
        <v>35</v>
      </c>
      <c r="N348">
        <v>7903991528</v>
      </c>
      <c r="O348" t="s">
        <v>1006</v>
      </c>
      <c r="P348" t="s">
        <v>1007</v>
      </c>
      <c r="R348" t="s">
        <v>1010</v>
      </c>
      <c r="S348" t="s">
        <v>1011</v>
      </c>
      <c r="T348" t="s">
        <v>376</v>
      </c>
      <c r="U348" t="s">
        <v>82</v>
      </c>
      <c r="V348" s="1">
        <v>45409</v>
      </c>
      <c r="W348">
        <v>0</v>
      </c>
      <c r="X348">
        <v>0</v>
      </c>
      <c r="Y348" t="s">
        <v>59</v>
      </c>
      <c r="AA348" t="s">
        <v>42</v>
      </c>
      <c r="AB348" t="s">
        <v>43</v>
      </c>
      <c r="AC348" t="s">
        <v>43</v>
      </c>
    </row>
    <row r="349" spans="1:29" x14ac:dyDescent="0.4">
      <c r="A349" t="s">
        <v>27</v>
      </c>
      <c r="B349">
        <v>4558</v>
      </c>
      <c r="C349" t="s">
        <v>2944</v>
      </c>
      <c r="D349">
        <v>113</v>
      </c>
      <c r="E349" t="s">
        <v>68</v>
      </c>
      <c r="F349" t="s">
        <v>1012</v>
      </c>
      <c r="G349" t="s">
        <v>1013</v>
      </c>
      <c r="H349" t="s">
        <v>1014</v>
      </c>
      <c r="I349" t="s">
        <v>1015</v>
      </c>
      <c r="J349" t="s">
        <v>1016</v>
      </c>
      <c r="K349" t="s">
        <v>370</v>
      </c>
      <c r="L349" t="s">
        <v>1017</v>
      </c>
      <c r="M349" t="s">
        <v>35</v>
      </c>
      <c r="N349">
        <v>7702066989</v>
      </c>
      <c r="O349" t="s">
        <v>1018</v>
      </c>
      <c r="P349" t="s">
        <v>2944</v>
      </c>
      <c r="R349" t="s">
        <v>1020</v>
      </c>
      <c r="S349" t="s">
        <v>1021</v>
      </c>
      <c r="T349" t="s">
        <v>58</v>
      </c>
      <c r="U349" t="s">
        <v>40</v>
      </c>
      <c r="V349" s="1">
        <v>43474</v>
      </c>
      <c r="W349">
        <v>0</v>
      </c>
      <c r="X349">
        <v>4</v>
      </c>
      <c r="Y349" t="s">
        <v>65</v>
      </c>
      <c r="AA349" t="s">
        <v>42</v>
      </c>
      <c r="AB349" t="s">
        <v>43</v>
      </c>
      <c r="AC349" t="s">
        <v>43</v>
      </c>
    </row>
    <row r="350" spans="1:29" x14ac:dyDescent="0.4">
      <c r="A350" t="s">
        <v>27</v>
      </c>
      <c r="B350">
        <v>4558</v>
      </c>
      <c r="C350" t="s">
        <v>2944</v>
      </c>
      <c r="D350">
        <v>113</v>
      </c>
      <c r="E350" t="s">
        <v>68</v>
      </c>
      <c r="F350" t="s">
        <v>1012</v>
      </c>
      <c r="G350" t="s">
        <v>1013</v>
      </c>
      <c r="H350" t="s">
        <v>1014</v>
      </c>
      <c r="I350" t="s">
        <v>1015</v>
      </c>
      <c r="J350" t="s">
        <v>1016</v>
      </c>
      <c r="K350" t="s">
        <v>370</v>
      </c>
      <c r="L350" t="s">
        <v>1017</v>
      </c>
      <c r="M350" t="s">
        <v>35</v>
      </c>
      <c r="N350">
        <v>7702066989</v>
      </c>
      <c r="O350" t="s">
        <v>1018</v>
      </c>
      <c r="P350" t="s">
        <v>1019</v>
      </c>
      <c r="R350" t="s">
        <v>1020</v>
      </c>
      <c r="S350" t="s">
        <v>1021</v>
      </c>
      <c r="T350" t="s">
        <v>58</v>
      </c>
      <c r="U350" t="s">
        <v>40</v>
      </c>
      <c r="V350" s="1">
        <v>43474</v>
      </c>
      <c r="W350">
        <v>0</v>
      </c>
      <c r="X350">
        <v>5</v>
      </c>
      <c r="Y350" t="s">
        <v>66</v>
      </c>
      <c r="AA350" t="s">
        <v>42</v>
      </c>
      <c r="AB350" t="s">
        <v>43</v>
      </c>
      <c r="AC350" t="s">
        <v>43</v>
      </c>
    </row>
    <row r="351" spans="1:29" x14ac:dyDescent="0.4">
      <c r="A351" t="s">
        <v>27</v>
      </c>
      <c r="B351">
        <v>4558</v>
      </c>
      <c r="C351" t="s">
        <v>2944</v>
      </c>
      <c r="D351">
        <v>114</v>
      </c>
      <c r="E351" t="s">
        <v>68</v>
      </c>
      <c r="F351" t="s">
        <v>1012</v>
      </c>
      <c r="G351" t="s">
        <v>1013</v>
      </c>
      <c r="H351" t="s">
        <v>1014</v>
      </c>
      <c r="I351" t="s">
        <v>1015</v>
      </c>
      <c r="J351" t="s">
        <v>1016</v>
      </c>
      <c r="K351" t="s">
        <v>370</v>
      </c>
      <c r="L351" t="s">
        <v>1017</v>
      </c>
      <c r="M351" t="s">
        <v>35</v>
      </c>
      <c r="N351">
        <v>7702066989</v>
      </c>
      <c r="O351" t="s">
        <v>1018</v>
      </c>
      <c r="P351" t="s">
        <v>2944</v>
      </c>
      <c r="R351" t="s">
        <v>1022</v>
      </c>
      <c r="S351" t="s">
        <v>1023</v>
      </c>
      <c r="T351" t="s">
        <v>58</v>
      </c>
      <c r="U351" t="s">
        <v>40</v>
      </c>
      <c r="V351" s="1">
        <v>45219</v>
      </c>
      <c r="W351">
        <v>0</v>
      </c>
      <c r="X351">
        <v>4</v>
      </c>
      <c r="Y351" t="s">
        <v>65</v>
      </c>
      <c r="AA351" t="s">
        <v>42</v>
      </c>
      <c r="AB351" t="s">
        <v>43</v>
      </c>
      <c r="AC351" t="s">
        <v>43</v>
      </c>
    </row>
    <row r="352" spans="1:29" x14ac:dyDescent="0.4">
      <c r="A352" t="s">
        <v>27</v>
      </c>
      <c r="B352">
        <v>3452</v>
      </c>
      <c r="C352" t="s">
        <v>1032</v>
      </c>
      <c r="D352">
        <v>115</v>
      </c>
      <c r="E352" t="s">
        <v>68</v>
      </c>
      <c r="F352" t="s">
        <v>1024</v>
      </c>
      <c r="G352" t="s">
        <v>1025</v>
      </c>
      <c r="H352" t="s">
        <v>1026</v>
      </c>
      <c r="I352" t="s">
        <v>1027</v>
      </c>
      <c r="J352" t="s">
        <v>1028</v>
      </c>
      <c r="K352" t="s">
        <v>51</v>
      </c>
      <c r="L352" t="s">
        <v>1029</v>
      </c>
      <c r="M352" t="s">
        <v>35</v>
      </c>
      <c r="N352" t="s">
        <v>1030</v>
      </c>
      <c r="O352" t="s">
        <v>1031</v>
      </c>
      <c r="P352" t="s">
        <v>1032</v>
      </c>
      <c r="R352" t="s">
        <v>3037</v>
      </c>
      <c r="S352" t="s">
        <v>1034</v>
      </c>
      <c r="T352" t="s">
        <v>376</v>
      </c>
      <c r="U352" t="s">
        <v>82</v>
      </c>
      <c r="V352" s="1">
        <v>45490</v>
      </c>
      <c r="W352">
        <v>0</v>
      </c>
      <c r="X352">
        <v>3</v>
      </c>
      <c r="AA352" t="s">
        <v>42</v>
      </c>
      <c r="AB352" t="s">
        <v>43</v>
      </c>
      <c r="AC352" t="s">
        <v>43</v>
      </c>
    </row>
    <row r="353" spans="1:30" x14ac:dyDescent="0.4">
      <c r="A353" t="s">
        <v>27</v>
      </c>
      <c r="B353">
        <v>3452</v>
      </c>
      <c r="C353" t="s">
        <v>1032</v>
      </c>
      <c r="D353">
        <v>116</v>
      </c>
      <c r="E353" t="s">
        <v>68</v>
      </c>
      <c r="F353" t="s">
        <v>1024</v>
      </c>
      <c r="G353" t="s">
        <v>1025</v>
      </c>
      <c r="H353" t="s">
        <v>1026</v>
      </c>
      <c r="I353" t="s">
        <v>1027</v>
      </c>
      <c r="J353" t="s">
        <v>1028</v>
      </c>
      <c r="K353" t="s">
        <v>51</v>
      </c>
      <c r="L353" t="s">
        <v>1029</v>
      </c>
      <c r="M353" t="s">
        <v>35</v>
      </c>
      <c r="N353" t="s">
        <v>1030</v>
      </c>
      <c r="O353" t="s">
        <v>1031</v>
      </c>
      <c r="P353" t="s">
        <v>1032</v>
      </c>
      <c r="R353" t="s">
        <v>3036</v>
      </c>
      <c r="S353" t="s">
        <v>1036</v>
      </c>
      <c r="T353" t="s">
        <v>3039</v>
      </c>
      <c r="U353" t="s">
        <v>40</v>
      </c>
      <c r="V353" s="1">
        <v>43911</v>
      </c>
      <c r="W353">
        <v>0</v>
      </c>
      <c r="X353">
        <v>3</v>
      </c>
      <c r="AA353" t="s">
        <v>42</v>
      </c>
      <c r="AB353" t="s">
        <v>43</v>
      </c>
      <c r="AC353" t="s">
        <v>43</v>
      </c>
    </row>
    <row r="354" spans="1:30" x14ac:dyDescent="0.4">
      <c r="A354" t="s">
        <v>27</v>
      </c>
      <c r="B354">
        <v>3452</v>
      </c>
      <c r="C354" t="s">
        <v>1032</v>
      </c>
      <c r="D354">
        <v>117</v>
      </c>
      <c r="E354" t="s">
        <v>68</v>
      </c>
      <c r="F354" t="s">
        <v>1024</v>
      </c>
      <c r="G354" t="s">
        <v>1025</v>
      </c>
      <c r="H354" t="s">
        <v>1026</v>
      </c>
      <c r="I354" t="s">
        <v>1027</v>
      </c>
      <c r="J354" t="s">
        <v>1028</v>
      </c>
      <c r="K354" t="s">
        <v>51</v>
      </c>
      <c r="L354" t="s">
        <v>1029</v>
      </c>
      <c r="M354" t="s">
        <v>35</v>
      </c>
      <c r="N354" t="s">
        <v>1030</v>
      </c>
      <c r="O354" t="s">
        <v>1031</v>
      </c>
      <c r="P354" t="s">
        <v>1032</v>
      </c>
      <c r="R354" t="s">
        <v>1037</v>
      </c>
      <c r="S354" t="s">
        <v>1038</v>
      </c>
      <c r="T354" t="s">
        <v>376</v>
      </c>
      <c r="U354" t="s">
        <v>82</v>
      </c>
      <c r="W354">
        <v>0</v>
      </c>
      <c r="X354">
        <v>3</v>
      </c>
      <c r="AA354" t="s">
        <v>42</v>
      </c>
      <c r="AB354" t="s">
        <v>43</v>
      </c>
      <c r="AC354" t="s">
        <v>43</v>
      </c>
    </row>
    <row r="355" spans="1:30" x14ac:dyDescent="0.4">
      <c r="A355" t="s">
        <v>27</v>
      </c>
      <c r="B355">
        <v>3452</v>
      </c>
      <c r="C355" t="s">
        <v>1032</v>
      </c>
      <c r="D355">
        <v>115</v>
      </c>
      <c r="E355" t="s">
        <v>68</v>
      </c>
      <c r="F355" t="s">
        <v>1024</v>
      </c>
      <c r="G355" t="s">
        <v>1025</v>
      </c>
      <c r="H355" t="s">
        <v>1026</v>
      </c>
      <c r="I355" t="s">
        <v>1027</v>
      </c>
      <c r="J355" t="s">
        <v>1028</v>
      </c>
      <c r="K355" t="s">
        <v>51</v>
      </c>
      <c r="L355" t="s">
        <v>1029</v>
      </c>
      <c r="M355" t="s">
        <v>35</v>
      </c>
      <c r="N355" t="s">
        <v>1030</v>
      </c>
      <c r="O355" t="s">
        <v>1031</v>
      </c>
      <c r="P355" t="s">
        <v>1032</v>
      </c>
      <c r="R355" t="s">
        <v>3037</v>
      </c>
      <c r="S355" t="s">
        <v>1034</v>
      </c>
      <c r="T355" t="s">
        <v>376</v>
      </c>
      <c r="U355" t="s">
        <v>82</v>
      </c>
      <c r="V355" s="1">
        <v>45490</v>
      </c>
      <c r="W355">
        <v>0</v>
      </c>
      <c r="X355">
        <v>11</v>
      </c>
      <c r="AA355" t="s">
        <v>42</v>
      </c>
      <c r="AB355" t="s">
        <v>43</v>
      </c>
      <c r="AC355" t="s">
        <v>43</v>
      </c>
    </row>
    <row r="356" spans="1:30" x14ac:dyDescent="0.4">
      <c r="A356" t="s">
        <v>27</v>
      </c>
      <c r="B356">
        <v>3452</v>
      </c>
      <c r="C356" t="s">
        <v>1032</v>
      </c>
      <c r="D356">
        <v>116</v>
      </c>
      <c r="E356" t="s">
        <v>68</v>
      </c>
      <c r="F356" t="s">
        <v>1024</v>
      </c>
      <c r="G356" t="s">
        <v>1025</v>
      </c>
      <c r="H356" t="s">
        <v>1026</v>
      </c>
      <c r="I356" t="s">
        <v>1027</v>
      </c>
      <c r="J356" t="s">
        <v>1028</v>
      </c>
      <c r="K356" t="s">
        <v>51</v>
      </c>
      <c r="L356" t="s">
        <v>1029</v>
      </c>
      <c r="M356" t="s">
        <v>35</v>
      </c>
      <c r="N356" t="s">
        <v>1030</v>
      </c>
      <c r="O356" t="s">
        <v>1031</v>
      </c>
      <c r="P356" t="s">
        <v>1032</v>
      </c>
      <c r="R356" t="s">
        <v>3036</v>
      </c>
      <c r="S356" t="s">
        <v>1036</v>
      </c>
      <c r="T356" t="s">
        <v>3039</v>
      </c>
      <c r="U356" t="s">
        <v>40</v>
      </c>
      <c r="V356" s="1">
        <v>43911</v>
      </c>
      <c r="W356">
        <v>0</v>
      </c>
      <c r="X356">
        <v>11</v>
      </c>
      <c r="AA356" t="s">
        <v>42</v>
      </c>
      <c r="AB356" t="s">
        <v>43</v>
      </c>
      <c r="AC356" t="s">
        <v>43</v>
      </c>
    </row>
    <row r="357" spans="1:30" x14ac:dyDescent="0.4">
      <c r="A357" t="s">
        <v>27</v>
      </c>
      <c r="B357">
        <v>3452</v>
      </c>
      <c r="C357" t="s">
        <v>1032</v>
      </c>
      <c r="D357">
        <v>117</v>
      </c>
      <c r="E357" t="s">
        <v>68</v>
      </c>
      <c r="F357" t="s">
        <v>1024</v>
      </c>
      <c r="G357" t="s">
        <v>1025</v>
      </c>
      <c r="H357" t="s">
        <v>1026</v>
      </c>
      <c r="I357" t="s">
        <v>1027</v>
      </c>
      <c r="J357" t="s">
        <v>1028</v>
      </c>
      <c r="K357" t="s">
        <v>51</v>
      </c>
      <c r="L357" t="s">
        <v>1029</v>
      </c>
      <c r="M357" t="s">
        <v>35</v>
      </c>
      <c r="N357" t="s">
        <v>1030</v>
      </c>
      <c r="O357" t="s">
        <v>1031</v>
      </c>
      <c r="P357" t="s">
        <v>1032</v>
      </c>
      <c r="R357" t="s">
        <v>1037</v>
      </c>
      <c r="S357" t="s">
        <v>1038</v>
      </c>
      <c r="T357" t="s">
        <v>376</v>
      </c>
      <c r="U357" t="s">
        <v>82</v>
      </c>
      <c r="W357">
        <v>0</v>
      </c>
      <c r="X357">
        <v>11</v>
      </c>
      <c r="AA357" t="s">
        <v>42</v>
      </c>
      <c r="AB357" t="s">
        <v>43</v>
      </c>
      <c r="AC357" t="s">
        <v>43</v>
      </c>
    </row>
    <row r="358" spans="1:30" x14ac:dyDescent="0.4">
      <c r="A358" t="s">
        <v>27</v>
      </c>
      <c r="B358">
        <v>2717</v>
      </c>
      <c r="C358" t="s">
        <v>2945</v>
      </c>
      <c r="D358">
        <v>118</v>
      </c>
      <c r="E358" t="s">
        <v>1039</v>
      </c>
      <c r="F358" t="s">
        <v>1040</v>
      </c>
      <c r="G358" t="s">
        <v>1041</v>
      </c>
      <c r="H358" t="s">
        <v>1042</v>
      </c>
      <c r="I358" t="s">
        <v>1043</v>
      </c>
      <c r="J358" t="s">
        <v>1044</v>
      </c>
      <c r="K358" t="s">
        <v>51</v>
      </c>
      <c r="L358" t="s">
        <v>1045</v>
      </c>
      <c r="M358" t="s">
        <v>35</v>
      </c>
      <c r="N358" t="s">
        <v>1046</v>
      </c>
      <c r="O358" t="s">
        <v>1047</v>
      </c>
      <c r="P358" t="s">
        <v>2945</v>
      </c>
      <c r="R358" t="s">
        <v>1048</v>
      </c>
      <c r="S358" t="s">
        <v>1049</v>
      </c>
      <c r="T358" t="s">
        <v>1050</v>
      </c>
      <c r="U358" t="s">
        <v>40</v>
      </c>
      <c r="V358" s="1">
        <v>44255</v>
      </c>
      <c r="W358">
        <v>0</v>
      </c>
      <c r="X358">
        <v>3</v>
      </c>
      <c r="AA358" t="s">
        <v>42</v>
      </c>
      <c r="AB358" t="s">
        <v>43</v>
      </c>
      <c r="AC358" t="s">
        <v>42</v>
      </c>
    </row>
    <row r="359" spans="1:30" x14ac:dyDescent="0.4">
      <c r="A359" t="s">
        <v>27</v>
      </c>
      <c r="B359">
        <v>2717</v>
      </c>
      <c r="C359" t="s">
        <v>2945</v>
      </c>
      <c r="D359">
        <v>118</v>
      </c>
      <c r="E359" t="s">
        <v>1039</v>
      </c>
      <c r="F359" t="s">
        <v>1040</v>
      </c>
      <c r="G359" t="s">
        <v>1041</v>
      </c>
      <c r="H359" t="s">
        <v>1042</v>
      </c>
      <c r="I359" t="s">
        <v>1043</v>
      </c>
      <c r="J359" t="s">
        <v>1044</v>
      </c>
      <c r="K359" t="s">
        <v>51</v>
      </c>
      <c r="L359" t="s">
        <v>1045</v>
      </c>
      <c r="M359" t="s">
        <v>35</v>
      </c>
      <c r="N359" t="s">
        <v>1046</v>
      </c>
      <c r="O359" t="s">
        <v>1047</v>
      </c>
      <c r="P359" t="s">
        <v>2945</v>
      </c>
      <c r="R359" t="s">
        <v>1048</v>
      </c>
      <c r="S359" t="s">
        <v>1049</v>
      </c>
      <c r="T359" t="s">
        <v>1050</v>
      </c>
      <c r="U359" t="s">
        <v>40</v>
      </c>
      <c r="V359" s="1">
        <v>44255</v>
      </c>
      <c r="W359">
        <v>0</v>
      </c>
      <c r="X359">
        <v>11</v>
      </c>
      <c r="AA359" t="s">
        <v>42</v>
      </c>
      <c r="AB359" t="s">
        <v>43</v>
      </c>
      <c r="AC359" t="s">
        <v>42</v>
      </c>
    </row>
    <row r="360" spans="1:30" ht="64" x14ac:dyDescent="0.4">
      <c r="A360" t="s">
        <v>27</v>
      </c>
      <c r="B360">
        <v>3953</v>
      </c>
      <c r="C360" t="s">
        <v>2860</v>
      </c>
      <c r="D360">
        <v>120</v>
      </c>
      <c r="E360" t="s">
        <v>257</v>
      </c>
      <c r="F360" t="s">
        <v>1051</v>
      </c>
      <c r="G360" t="s">
        <v>1052</v>
      </c>
      <c r="H360" t="s">
        <v>1053</v>
      </c>
      <c r="I360">
        <v>4</v>
      </c>
      <c r="J360" t="s">
        <v>1054</v>
      </c>
      <c r="K360" t="s">
        <v>73</v>
      </c>
      <c r="L360" t="s">
        <v>1055</v>
      </c>
      <c r="M360" t="s">
        <v>35</v>
      </c>
      <c r="N360">
        <v>7825669139</v>
      </c>
      <c r="O360" t="s">
        <v>1056</v>
      </c>
      <c r="P360" t="s">
        <v>2860</v>
      </c>
      <c r="R360" t="s">
        <v>1057</v>
      </c>
      <c r="S360" t="s">
        <v>1058</v>
      </c>
      <c r="T360" t="s">
        <v>58</v>
      </c>
      <c r="U360" t="s">
        <v>40</v>
      </c>
      <c r="V360" s="1">
        <v>45501</v>
      </c>
      <c r="W360">
        <v>0</v>
      </c>
      <c r="X360">
        <v>4</v>
      </c>
      <c r="Y360" t="s">
        <v>65</v>
      </c>
      <c r="Z360" t="s">
        <v>135</v>
      </c>
      <c r="AA360" t="s">
        <v>42</v>
      </c>
      <c r="AB360" t="s">
        <v>43</v>
      </c>
      <c r="AC360" t="s">
        <v>43</v>
      </c>
      <c r="AD360" s="2" t="s">
        <v>1059</v>
      </c>
    </row>
    <row r="361" spans="1:30" ht="64" x14ac:dyDescent="0.4">
      <c r="A361" t="s">
        <v>27</v>
      </c>
      <c r="B361">
        <v>3953</v>
      </c>
      <c r="C361" t="s">
        <v>2860</v>
      </c>
      <c r="D361">
        <v>119</v>
      </c>
      <c r="E361" t="s">
        <v>257</v>
      </c>
      <c r="F361" t="s">
        <v>1051</v>
      </c>
      <c r="G361" t="s">
        <v>1052</v>
      </c>
      <c r="H361" t="s">
        <v>1053</v>
      </c>
      <c r="I361">
        <v>4</v>
      </c>
      <c r="J361" t="s">
        <v>1054</v>
      </c>
      <c r="K361" t="s">
        <v>73</v>
      </c>
      <c r="L361" t="s">
        <v>1055</v>
      </c>
      <c r="M361" t="s">
        <v>35</v>
      </c>
      <c r="N361">
        <v>7825669139</v>
      </c>
      <c r="O361" t="s">
        <v>1056</v>
      </c>
      <c r="P361" t="s">
        <v>2860</v>
      </c>
      <c r="R361" t="s">
        <v>1060</v>
      </c>
      <c r="S361" t="s">
        <v>1061</v>
      </c>
      <c r="T361" t="s">
        <v>58</v>
      </c>
      <c r="U361" t="s">
        <v>40</v>
      </c>
      <c r="V361" s="1">
        <v>43308</v>
      </c>
      <c r="W361">
        <v>0</v>
      </c>
      <c r="X361">
        <v>6</v>
      </c>
      <c r="Y361" t="s">
        <v>83</v>
      </c>
      <c r="Z361" t="s">
        <v>135</v>
      </c>
      <c r="AA361" t="s">
        <v>42</v>
      </c>
      <c r="AB361" t="s">
        <v>43</v>
      </c>
      <c r="AC361" t="s">
        <v>43</v>
      </c>
      <c r="AD361" s="2" t="s">
        <v>1059</v>
      </c>
    </row>
    <row r="362" spans="1:30" ht="64" x14ac:dyDescent="0.4">
      <c r="A362" t="s">
        <v>27</v>
      </c>
      <c r="B362">
        <v>3953</v>
      </c>
      <c r="C362" t="s">
        <v>2860</v>
      </c>
      <c r="D362">
        <v>119</v>
      </c>
      <c r="E362" t="s">
        <v>257</v>
      </c>
      <c r="F362" t="s">
        <v>1051</v>
      </c>
      <c r="G362" t="s">
        <v>1052</v>
      </c>
      <c r="H362" t="s">
        <v>1053</v>
      </c>
      <c r="I362">
        <v>4</v>
      </c>
      <c r="J362" t="s">
        <v>1054</v>
      </c>
      <c r="K362" t="s">
        <v>73</v>
      </c>
      <c r="L362" t="s">
        <v>1055</v>
      </c>
      <c r="M362" t="s">
        <v>35</v>
      </c>
      <c r="N362">
        <v>7825669139</v>
      </c>
      <c r="O362" t="s">
        <v>1056</v>
      </c>
      <c r="P362" t="s">
        <v>2860</v>
      </c>
      <c r="R362" t="s">
        <v>1060</v>
      </c>
      <c r="S362" t="s">
        <v>1061</v>
      </c>
      <c r="T362" t="s">
        <v>58</v>
      </c>
      <c r="U362" t="s">
        <v>40</v>
      </c>
      <c r="V362" s="1">
        <v>43308</v>
      </c>
      <c r="W362">
        <v>0</v>
      </c>
      <c r="X362">
        <v>7</v>
      </c>
      <c r="Z362" t="s">
        <v>135</v>
      </c>
      <c r="AA362" t="s">
        <v>42</v>
      </c>
      <c r="AB362" t="s">
        <v>43</v>
      </c>
      <c r="AC362" t="s">
        <v>43</v>
      </c>
      <c r="AD362" s="2" t="s">
        <v>1059</v>
      </c>
    </row>
    <row r="363" spans="1:30" ht="64" x14ac:dyDescent="0.4">
      <c r="A363" t="s">
        <v>27</v>
      </c>
      <c r="B363">
        <v>3953</v>
      </c>
      <c r="C363" t="s">
        <v>2860</v>
      </c>
      <c r="D363">
        <v>119</v>
      </c>
      <c r="E363" t="s">
        <v>257</v>
      </c>
      <c r="F363" t="s">
        <v>1051</v>
      </c>
      <c r="G363" t="s">
        <v>1052</v>
      </c>
      <c r="H363" t="s">
        <v>1053</v>
      </c>
      <c r="I363">
        <v>4</v>
      </c>
      <c r="J363" t="s">
        <v>1054</v>
      </c>
      <c r="K363" t="s">
        <v>73</v>
      </c>
      <c r="L363" t="s">
        <v>1055</v>
      </c>
      <c r="M363" t="s">
        <v>35</v>
      </c>
      <c r="N363">
        <v>7825669139</v>
      </c>
      <c r="O363" t="s">
        <v>1056</v>
      </c>
      <c r="P363" t="s">
        <v>2860</v>
      </c>
      <c r="R363" t="s">
        <v>1060</v>
      </c>
      <c r="S363" t="s">
        <v>1061</v>
      </c>
      <c r="T363" t="s">
        <v>58</v>
      </c>
      <c r="U363" t="s">
        <v>40</v>
      </c>
      <c r="V363" s="1">
        <v>43308</v>
      </c>
      <c r="W363">
        <v>0</v>
      </c>
      <c r="X363">
        <v>16</v>
      </c>
      <c r="Z363" t="s">
        <v>135</v>
      </c>
      <c r="AA363" t="s">
        <v>42</v>
      </c>
      <c r="AB363" t="s">
        <v>43</v>
      </c>
      <c r="AC363" t="s">
        <v>43</v>
      </c>
      <c r="AD363" s="2" t="s">
        <v>1059</v>
      </c>
    </row>
    <row r="364" spans="1:30" ht="64" x14ac:dyDescent="0.4">
      <c r="A364" t="s">
        <v>27</v>
      </c>
      <c r="B364">
        <v>3953</v>
      </c>
      <c r="C364" t="s">
        <v>2860</v>
      </c>
      <c r="D364">
        <v>119</v>
      </c>
      <c r="E364" t="s">
        <v>257</v>
      </c>
      <c r="F364" t="s">
        <v>1051</v>
      </c>
      <c r="G364" t="s">
        <v>1052</v>
      </c>
      <c r="H364" t="s">
        <v>1053</v>
      </c>
      <c r="I364">
        <v>4</v>
      </c>
      <c r="J364" t="s">
        <v>1054</v>
      </c>
      <c r="K364" t="s">
        <v>73</v>
      </c>
      <c r="L364" t="s">
        <v>1055</v>
      </c>
      <c r="M364" t="s">
        <v>35</v>
      </c>
      <c r="N364">
        <v>7825669139</v>
      </c>
      <c r="O364" t="s">
        <v>1056</v>
      </c>
      <c r="P364" t="s">
        <v>2860</v>
      </c>
      <c r="R364" t="s">
        <v>1060</v>
      </c>
      <c r="S364" t="s">
        <v>1061</v>
      </c>
      <c r="T364" t="s">
        <v>58</v>
      </c>
      <c r="U364" t="s">
        <v>40</v>
      </c>
      <c r="V364" s="1">
        <v>43308</v>
      </c>
      <c r="W364">
        <v>0</v>
      </c>
      <c r="X364">
        <v>18</v>
      </c>
      <c r="Z364" t="s">
        <v>135</v>
      </c>
      <c r="AA364" t="s">
        <v>42</v>
      </c>
      <c r="AB364" t="s">
        <v>43</v>
      </c>
      <c r="AC364" t="s">
        <v>43</v>
      </c>
      <c r="AD364" s="2" t="s">
        <v>1059</v>
      </c>
    </row>
    <row r="365" spans="1:30" ht="64" x14ac:dyDescent="0.4">
      <c r="A365" t="s">
        <v>27</v>
      </c>
      <c r="B365">
        <v>3953</v>
      </c>
      <c r="C365" t="s">
        <v>2860</v>
      </c>
      <c r="D365">
        <v>120</v>
      </c>
      <c r="E365" t="s">
        <v>257</v>
      </c>
      <c r="F365" t="s">
        <v>1051</v>
      </c>
      <c r="G365" t="s">
        <v>1052</v>
      </c>
      <c r="H365" t="s">
        <v>1053</v>
      </c>
      <c r="I365">
        <v>4</v>
      </c>
      <c r="J365" t="s">
        <v>1054</v>
      </c>
      <c r="K365" t="s">
        <v>73</v>
      </c>
      <c r="L365" t="s">
        <v>1055</v>
      </c>
      <c r="M365" t="s">
        <v>35</v>
      </c>
      <c r="N365">
        <v>7825669139</v>
      </c>
      <c r="O365" t="s">
        <v>1056</v>
      </c>
      <c r="P365" t="s">
        <v>2860</v>
      </c>
      <c r="R365" t="s">
        <v>1057</v>
      </c>
      <c r="S365" t="s">
        <v>1058</v>
      </c>
      <c r="T365" t="s">
        <v>58</v>
      </c>
      <c r="U365" t="s">
        <v>40</v>
      </c>
      <c r="V365" s="1">
        <v>45501</v>
      </c>
      <c r="W365">
        <v>0</v>
      </c>
      <c r="X365">
        <v>12</v>
      </c>
      <c r="Z365" t="s">
        <v>135</v>
      </c>
      <c r="AA365" t="s">
        <v>42</v>
      </c>
      <c r="AB365" t="s">
        <v>43</v>
      </c>
      <c r="AC365" t="s">
        <v>43</v>
      </c>
      <c r="AD365" s="2" t="s">
        <v>1059</v>
      </c>
    </row>
    <row r="366" spans="1:30" x14ac:dyDescent="0.4">
      <c r="A366" t="s">
        <v>27</v>
      </c>
      <c r="B366">
        <v>393</v>
      </c>
      <c r="C366" t="s">
        <v>2946</v>
      </c>
      <c r="D366">
        <v>121</v>
      </c>
      <c r="E366" t="s">
        <v>68</v>
      </c>
      <c r="F366" t="s">
        <v>1062</v>
      </c>
      <c r="G366" t="s">
        <v>1063</v>
      </c>
      <c r="H366" t="s">
        <v>1064</v>
      </c>
      <c r="I366" t="s">
        <v>1065</v>
      </c>
      <c r="J366" t="s">
        <v>278</v>
      </c>
      <c r="K366" t="s">
        <v>73</v>
      </c>
      <c r="L366" t="s">
        <v>1066</v>
      </c>
      <c r="M366" t="s">
        <v>35</v>
      </c>
      <c r="N366" t="s">
        <v>1067</v>
      </c>
      <c r="O366" t="s">
        <v>1068</v>
      </c>
      <c r="P366" t="s">
        <v>2946</v>
      </c>
      <c r="R366" t="s">
        <v>1069</v>
      </c>
      <c r="S366" t="s">
        <v>1070</v>
      </c>
      <c r="T366" t="s">
        <v>284</v>
      </c>
      <c r="U366" t="s">
        <v>82</v>
      </c>
      <c r="V366" s="1">
        <v>42444</v>
      </c>
      <c r="W366">
        <v>0</v>
      </c>
      <c r="X366">
        <v>6</v>
      </c>
      <c r="Y366" t="s">
        <v>83</v>
      </c>
      <c r="AA366" t="s">
        <v>42</v>
      </c>
      <c r="AB366" t="s">
        <v>43</v>
      </c>
      <c r="AC366" t="s">
        <v>43</v>
      </c>
    </row>
    <row r="367" spans="1:30" x14ac:dyDescent="0.4">
      <c r="A367" t="s">
        <v>27</v>
      </c>
      <c r="B367">
        <v>393</v>
      </c>
      <c r="C367" t="s">
        <v>2946</v>
      </c>
      <c r="D367">
        <v>121</v>
      </c>
      <c r="E367" t="s">
        <v>68</v>
      </c>
      <c r="F367" t="s">
        <v>1062</v>
      </c>
      <c r="G367" t="s">
        <v>1063</v>
      </c>
      <c r="H367" t="s">
        <v>1064</v>
      </c>
      <c r="I367" t="s">
        <v>1065</v>
      </c>
      <c r="J367" t="s">
        <v>278</v>
      </c>
      <c r="K367" t="s">
        <v>73</v>
      </c>
      <c r="L367" t="s">
        <v>1066</v>
      </c>
      <c r="M367" t="s">
        <v>35</v>
      </c>
      <c r="N367" t="s">
        <v>1067</v>
      </c>
      <c r="O367" t="s">
        <v>1068</v>
      </c>
      <c r="P367" t="s">
        <v>2946</v>
      </c>
      <c r="R367" t="s">
        <v>1069</v>
      </c>
      <c r="S367" t="s">
        <v>1070</v>
      </c>
      <c r="T367" t="s">
        <v>284</v>
      </c>
      <c r="U367" t="s">
        <v>82</v>
      </c>
      <c r="V367" s="1">
        <v>42444</v>
      </c>
      <c r="W367">
        <v>0</v>
      </c>
      <c r="X367">
        <v>17</v>
      </c>
      <c r="AA367" t="s">
        <v>42</v>
      </c>
      <c r="AB367" t="s">
        <v>43</v>
      </c>
      <c r="AC367" t="s">
        <v>43</v>
      </c>
    </row>
    <row r="368" spans="1:30" x14ac:dyDescent="0.4">
      <c r="A368" t="s">
        <v>27</v>
      </c>
      <c r="B368">
        <v>5474</v>
      </c>
      <c r="C368" t="s">
        <v>1077</v>
      </c>
      <c r="D368">
        <v>122</v>
      </c>
      <c r="E368" t="s">
        <v>68</v>
      </c>
      <c r="F368" t="s">
        <v>1071</v>
      </c>
      <c r="G368" t="s">
        <v>1072</v>
      </c>
      <c r="H368" t="s">
        <v>1073</v>
      </c>
      <c r="J368" t="s">
        <v>1074</v>
      </c>
      <c r="K368" t="s">
        <v>189</v>
      </c>
      <c r="L368" t="s">
        <v>1075</v>
      </c>
      <c r="M368" t="s">
        <v>35</v>
      </c>
      <c r="N368">
        <v>7852194767</v>
      </c>
      <c r="O368" t="s">
        <v>1076</v>
      </c>
      <c r="P368" t="s">
        <v>1077</v>
      </c>
      <c r="R368" t="s">
        <v>1078</v>
      </c>
      <c r="S368" t="s">
        <v>1079</v>
      </c>
      <c r="T368" t="s">
        <v>3135</v>
      </c>
      <c r="U368" t="s">
        <v>82</v>
      </c>
      <c r="V368" s="1">
        <v>44095</v>
      </c>
      <c r="W368">
        <v>0</v>
      </c>
      <c r="X368">
        <v>9</v>
      </c>
      <c r="AA368" t="s">
        <v>42</v>
      </c>
      <c r="AB368" t="s">
        <v>43</v>
      </c>
      <c r="AC368" t="s">
        <v>43</v>
      </c>
    </row>
    <row r="369" spans="1:29" x14ac:dyDescent="0.4">
      <c r="A369" t="s">
        <v>27</v>
      </c>
      <c r="B369">
        <v>5474</v>
      </c>
      <c r="C369" t="s">
        <v>1077</v>
      </c>
      <c r="D369">
        <v>122</v>
      </c>
      <c r="E369" t="s">
        <v>68</v>
      </c>
      <c r="F369" t="s">
        <v>1071</v>
      </c>
      <c r="G369" t="s">
        <v>1072</v>
      </c>
      <c r="H369" t="s">
        <v>1073</v>
      </c>
      <c r="J369" t="s">
        <v>1074</v>
      </c>
      <c r="K369" t="s">
        <v>189</v>
      </c>
      <c r="L369" t="s">
        <v>1075</v>
      </c>
      <c r="M369" t="s">
        <v>35</v>
      </c>
      <c r="N369">
        <v>7852194767</v>
      </c>
      <c r="O369" t="s">
        <v>1076</v>
      </c>
      <c r="P369" t="s">
        <v>1077</v>
      </c>
      <c r="R369" t="s">
        <v>1078</v>
      </c>
      <c r="S369" t="s">
        <v>1079</v>
      </c>
      <c r="T369" t="s">
        <v>3135</v>
      </c>
      <c r="U369" t="s">
        <v>82</v>
      </c>
      <c r="V369" s="1">
        <v>44095</v>
      </c>
      <c r="W369">
        <v>0</v>
      </c>
      <c r="X369">
        <v>11</v>
      </c>
      <c r="AA369" t="s">
        <v>42</v>
      </c>
      <c r="AB369" t="s">
        <v>43</v>
      </c>
      <c r="AC369" t="s">
        <v>43</v>
      </c>
    </row>
    <row r="370" spans="1:29" hidden="1" x14ac:dyDescent="0.4">
      <c r="A370" t="s">
        <v>27</v>
      </c>
      <c r="B370">
        <v>113</v>
      </c>
      <c r="C370" t="s">
        <v>2861</v>
      </c>
      <c r="E370" t="s">
        <v>68</v>
      </c>
      <c r="F370" t="s">
        <v>1080</v>
      </c>
      <c r="G370" t="s">
        <v>1081</v>
      </c>
      <c r="H370" t="s">
        <v>1082</v>
      </c>
      <c r="I370" t="s">
        <v>1083</v>
      </c>
      <c r="J370" t="s">
        <v>1084</v>
      </c>
      <c r="K370" t="s">
        <v>1085</v>
      </c>
      <c r="L370" t="s">
        <v>1086</v>
      </c>
      <c r="M370" t="s">
        <v>35</v>
      </c>
      <c r="N370">
        <v>7845904898</v>
      </c>
      <c r="O370" t="s">
        <v>1087</v>
      </c>
      <c r="P370" t="s">
        <v>1088</v>
      </c>
      <c r="R370" t="s">
        <v>1089</v>
      </c>
      <c r="S370" t="s">
        <v>1090</v>
      </c>
      <c r="T370" t="s">
        <v>1091</v>
      </c>
      <c r="U370" t="s">
        <v>40</v>
      </c>
      <c r="V370" s="1">
        <v>42191</v>
      </c>
      <c r="W370">
        <v>0</v>
      </c>
      <c r="X370">
        <v>0</v>
      </c>
      <c r="Y370" t="s">
        <v>59</v>
      </c>
      <c r="Z370" t="s">
        <v>135</v>
      </c>
      <c r="AA370" t="s">
        <v>42</v>
      </c>
      <c r="AB370" t="s">
        <v>43</v>
      </c>
      <c r="AC370" t="s">
        <v>43</v>
      </c>
    </row>
    <row r="371" spans="1:29" hidden="1" x14ac:dyDescent="0.4">
      <c r="A371" t="s">
        <v>27</v>
      </c>
      <c r="B371">
        <v>113</v>
      </c>
      <c r="C371" t="s">
        <v>2861</v>
      </c>
      <c r="E371" t="s">
        <v>68</v>
      </c>
      <c r="F371" t="s">
        <v>1080</v>
      </c>
      <c r="G371" t="s">
        <v>1081</v>
      </c>
      <c r="H371" t="s">
        <v>1082</v>
      </c>
      <c r="I371" t="s">
        <v>1083</v>
      </c>
      <c r="J371" t="s">
        <v>1084</v>
      </c>
      <c r="K371" t="s">
        <v>1085</v>
      </c>
      <c r="L371" t="s">
        <v>1086</v>
      </c>
      <c r="M371" t="s">
        <v>35</v>
      </c>
      <c r="N371">
        <v>7845904898</v>
      </c>
      <c r="O371" t="s">
        <v>1087</v>
      </c>
      <c r="P371" t="s">
        <v>1088</v>
      </c>
      <c r="R371" t="s">
        <v>1089</v>
      </c>
      <c r="S371" t="s">
        <v>1090</v>
      </c>
      <c r="T371" t="s">
        <v>1091</v>
      </c>
      <c r="U371" t="s">
        <v>40</v>
      </c>
      <c r="V371" s="1">
        <v>42191</v>
      </c>
      <c r="W371">
        <v>0</v>
      </c>
      <c r="X371">
        <v>0</v>
      </c>
      <c r="Y371" t="s">
        <v>59</v>
      </c>
      <c r="Z371" t="s">
        <v>135</v>
      </c>
      <c r="AA371" t="s">
        <v>42</v>
      </c>
      <c r="AB371" t="s">
        <v>43</v>
      </c>
      <c r="AC371" t="s">
        <v>43</v>
      </c>
    </row>
    <row r="372" spans="1:29" x14ac:dyDescent="0.4">
      <c r="A372" t="s">
        <v>27</v>
      </c>
      <c r="B372">
        <v>113</v>
      </c>
      <c r="C372" t="s">
        <v>2861</v>
      </c>
      <c r="D372">
        <v>123</v>
      </c>
      <c r="E372" t="s">
        <v>68</v>
      </c>
      <c r="F372" t="s">
        <v>1080</v>
      </c>
      <c r="G372" t="s">
        <v>1081</v>
      </c>
      <c r="H372" t="s">
        <v>1082</v>
      </c>
      <c r="I372" t="s">
        <v>1083</v>
      </c>
      <c r="J372" t="s">
        <v>1084</v>
      </c>
      <c r="K372" t="s">
        <v>1085</v>
      </c>
      <c r="L372" t="s">
        <v>1086</v>
      </c>
      <c r="M372" t="s">
        <v>35</v>
      </c>
      <c r="N372">
        <v>7845904898</v>
      </c>
      <c r="O372" t="s">
        <v>1087</v>
      </c>
      <c r="P372" t="s">
        <v>2861</v>
      </c>
      <c r="R372" t="s">
        <v>1092</v>
      </c>
      <c r="S372" t="s">
        <v>1093</v>
      </c>
      <c r="T372" t="s">
        <v>376</v>
      </c>
      <c r="U372" t="s">
        <v>40</v>
      </c>
      <c r="V372" s="1">
        <v>45444</v>
      </c>
      <c r="W372">
        <v>0</v>
      </c>
      <c r="X372">
        <v>4</v>
      </c>
      <c r="Y372" t="s">
        <v>65</v>
      </c>
      <c r="Z372" t="s">
        <v>135</v>
      </c>
      <c r="AA372" t="s">
        <v>42</v>
      </c>
      <c r="AB372" t="s">
        <v>43</v>
      </c>
      <c r="AC372" t="s">
        <v>43</v>
      </c>
    </row>
    <row r="373" spans="1:29" x14ac:dyDescent="0.4">
      <c r="A373" t="s">
        <v>27</v>
      </c>
      <c r="B373">
        <v>113</v>
      </c>
      <c r="C373" t="s">
        <v>2861</v>
      </c>
      <c r="D373">
        <v>124</v>
      </c>
      <c r="E373" t="s">
        <v>68</v>
      </c>
      <c r="F373" t="s">
        <v>1080</v>
      </c>
      <c r="G373" t="s">
        <v>1081</v>
      </c>
      <c r="H373" t="s">
        <v>1082</v>
      </c>
      <c r="I373" t="s">
        <v>1083</v>
      </c>
      <c r="J373" t="s">
        <v>1084</v>
      </c>
      <c r="K373" t="s">
        <v>1085</v>
      </c>
      <c r="L373" t="s">
        <v>1086</v>
      </c>
      <c r="M373" t="s">
        <v>35</v>
      </c>
      <c r="N373">
        <v>7845904898</v>
      </c>
      <c r="O373" t="s">
        <v>1087</v>
      </c>
      <c r="P373" t="s">
        <v>2861</v>
      </c>
      <c r="R373" t="s">
        <v>1094</v>
      </c>
      <c r="S373" t="s">
        <v>1095</v>
      </c>
      <c r="T373" t="s">
        <v>58</v>
      </c>
      <c r="U373" t="s">
        <v>40</v>
      </c>
      <c r="V373" s="1">
        <v>43915</v>
      </c>
      <c r="W373">
        <v>0</v>
      </c>
      <c r="X373">
        <v>5</v>
      </c>
      <c r="Y373" t="s">
        <v>66</v>
      </c>
      <c r="Z373" t="s">
        <v>135</v>
      </c>
      <c r="AA373" t="s">
        <v>42</v>
      </c>
      <c r="AB373" t="s">
        <v>43</v>
      </c>
      <c r="AC373" t="s">
        <v>43</v>
      </c>
    </row>
    <row r="374" spans="1:29" x14ac:dyDescent="0.4">
      <c r="A374" t="s">
        <v>27</v>
      </c>
      <c r="B374">
        <v>113</v>
      </c>
      <c r="C374" t="s">
        <v>2861</v>
      </c>
      <c r="D374">
        <v>124</v>
      </c>
      <c r="E374" t="s">
        <v>68</v>
      </c>
      <c r="F374" t="s">
        <v>1080</v>
      </c>
      <c r="G374" t="s">
        <v>1081</v>
      </c>
      <c r="H374" t="s">
        <v>1082</v>
      </c>
      <c r="I374" t="s">
        <v>1083</v>
      </c>
      <c r="J374" t="s">
        <v>1084</v>
      </c>
      <c r="K374" t="s">
        <v>1085</v>
      </c>
      <c r="L374" t="s">
        <v>1086</v>
      </c>
      <c r="M374" t="s">
        <v>35</v>
      </c>
      <c r="N374">
        <v>7845904898</v>
      </c>
      <c r="O374" t="s">
        <v>1087</v>
      </c>
      <c r="P374" t="s">
        <v>2861</v>
      </c>
      <c r="R374" t="s">
        <v>1094</v>
      </c>
      <c r="S374" t="s">
        <v>1095</v>
      </c>
      <c r="T374" t="s">
        <v>58</v>
      </c>
      <c r="U374" t="s">
        <v>40</v>
      </c>
      <c r="V374" s="1">
        <v>43915</v>
      </c>
      <c r="W374">
        <v>0</v>
      </c>
      <c r="X374">
        <v>6</v>
      </c>
      <c r="Y374" t="s">
        <v>83</v>
      </c>
      <c r="Z374" t="s">
        <v>135</v>
      </c>
      <c r="AA374" t="s">
        <v>42</v>
      </c>
      <c r="AB374" t="s">
        <v>43</v>
      </c>
      <c r="AC374" t="s">
        <v>43</v>
      </c>
    </row>
    <row r="375" spans="1:29" x14ac:dyDescent="0.4">
      <c r="A375" t="s">
        <v>27</v>
      </c>
      <c r="B375">
        <v>113</v>
      </c>
      <c r="C375" t="s">
        <v>2861</v>
      </c>
      <c r="D375">
        <v>123</v>
      </c>
      <c r="E375" t="s">
        <v>68</v>
      </c>
      <c r="F375" t="s">
        <v>1080</v>
      </c>
      <c r="G375" t="s">
        <v>1081</v>
      </c>
      <c r="H375" t="s">
        <v>1082</v>
      </c>
      <c r="I375" t="s">
        <v>1083</v>
      </c>
      <c r="J375" t="s">
        <v>1084</v>
      </c>
      <c r="K375" t="s">
        <v>1085</v>
      </c>
      <c r="L375" t="s">
        <v>1086</v>
      </c>
      <c r="M375" t="s">
        <v>35</v>
      </c>
      <c r="N375">
        <v>7845904898</v>
      </c>
      <c r="O375" t="s">
        <v>1087</v>
      </c>
      <c r="P375" t="s">
        <v>2861</v>
      </c>
      <c r="R375" t="s">
        <v>1092</v>
      </c>
      <c r="S375" t="s">
        <v>1093</v>
      </c>
      <c r="T375" t="s">
        <v>376</v>
      </c>
      <c r="U375" t="s">
        <v>40</v>
      </c>
      <c r="V375" s="1">
        <v>45444</v>
      </c>
      <c r="W375">
        <v>0</v>
      </c>
      <c r="X375">
        <v>12</v>
      </c>
      <c r="Z375" t="s">
        <v>135</v>
      </c>
      <c r="AA375" t="s">
        <v>42</v>
      </c>
      <c r="AB375" t="s">
        <v>43</v>
      </c>
      <c r="AC375" t="s">
        <v>43</v>
      </c>
    </row>
    <row r="376" spans="1:29" x14ac:dyDescent="0.4">
      <c r="A376" t="s">
        <v>27</v>
      </c>
      <c r="B376">
        <v>113</v>
      </c>
      <c r="C376" t="s">
        <v>2861</v>
      </c>
      <c r="D376">
        <v>124</v>
      </c>
      <c r="E376" t="s">
        <v>68</v>
      </c>
      <c r="F376" t="s">
        <v>1080</v>
      </c>
      <c r="G376" t="s">
        <v>1081</v>
      </c>
      <c r="H376" t="s">
        <v>1082</v>
      </c>
      <c r="I376" t="s">
        <v>1083</v>
      </c>
      <c r="J376" t="s">
        <v>1084</v>
      </c>
      <c r="K376" t="s">
        <v>1085</v>
      </c>
      <c r="L376" t="s">
        <v>1086</v>
      </c>
      <c r="M376" t="s">
        <v>35</v>
      </c>
      <c r="N376">
        <v>7845904898</v>
      </c>
      <c r="O376" t="s">
        <v>1087</v>
      </c>
      <c r="P376" t="s">
        <v>2861</v>
      </c>
      <c r="R376" t="s">
        <v>1094</v>
      </c>
      <c r="S376" t="s">
        <v>1095</v>
      </c>
      <c r="T376" t="s">
        <v>58</v>
      </c>
      <c r="U376" t="s">
        <v>40</v>
      </c>
      <c r="V376" s="1">
        <v>43915</v>
      </c>
      <c r="W376">
        <v>0</v>
      </c>
      <c r="X376">
        <v>14</v>
      </c>
      <c r="Z376" t="s">
        <v>135</v>
      </c>
      <c r="AA376" t="s">
        <v>42</v>
      </c>
      <c r="AB376" t="s">
        <v>43</v>
      </c>
      <c r="AC376" t="s">
        <v>43</v>
      </c>
    </row>
    <row r="377" spans="1:29" x14ac:dyDescent="0.4">
      <c r="A377" t="s">
        <v>27</v>
      </c>
      <c r="B377">
        <v>113</v>
      </c>
      <c r="C377" t="s">
        <v>2861</v>
      </c>
      <c r="D377">
        <v>124</v>
      </c>
      <c r="E377" t="s">
        <v>68</v>
      </c>
      <c r="F377" t="s">
        <v>1080</v>
      </c>
      <c r="G377" t="s">
        <v>1081</v>
      </c>
      <c r="H377" t="s">
        <v>1082</v>
      </c>
      <c r="I377" t="s">
        <v>1083</v>
      </c>
      <c r="J377" t="s">
        <v>1084</v>
      </c>
      <c r="K377" t="s">
        <v>1085</v>
      </c>
      <c r="L377" t="s">
        <v>1086</v>
      </c>
      <c r="M377" t="s">
        <v>35</v>
      </c>
      <c r="N377">
        <v>7845904898</v>
      </c>
      <c r="O377" t="s">
        <v>1087</v>
      </c>
      <c r="P377" t="s">
        <v>2861</v>
      </c>
      <c r="R377" t="s">
        <v>1094</v>
      </c>
      <c r="S377" t="s">
        <v>1095</v>
      </c>
      <c r="T377" t="s">
        <v>58</v>
      </c>
      <c r="U377" t="s">
        <v>40</v>
      </c>
      <c r="V377" s="1">
        <v>43915</v>
      </c>
      <c r="W377">
        <v>0</v>
      </c>
      <c r="X377">
        <v>16</v>
      </c>
      <c r="Z377" t="s">
        <v>135</v>
      </c>
      <c r="AA377" t="s">
        <v>42</v>
      </c>
      <c r="AB377" t="s">
        <v>43</v>
      </c>
      <c r="AC377" t="s">
        <v>43</v>
      </c>
    </row>
    <row r="378" spans="1:29" x14ac:dyDescent="0.4">
      <c r="A378" t="s">
        <v>27</v>
      </c>
      <c r="B378">
        <v>1375</v>
      </c>
      <c r="C378" t="s">
        <v>2862</v>
      </c>
      <c r="D378">
        <v>128</v>
      </c>
      <c r="E378" t="s">
        <v>257</v>
      </c>
      <c r="F378" t="s">
        <v>1096</v>
      </c>
      <c r="G378" t="s">
        <v>1097</v>
      </c>
      <c r="H378" t="s">
        <v>1098</v>
      </c>
      <c r="I378" t="s">
        <v>1099</v>
      </c>
      <c r="J378" t="s">
        <v>1100</v>
      </c>
      <c r="K378" t="s">
        <v>1101</v>
      </c>
      <c r="L378" t="s">
        <v>1102</v>
      </c>
      <c r="M378" t="s">
        <v>35</v>
      </c>
      <c r="N378">
        <v>1945428737</v>
      </c>
      <c r="O378" t="s">
        <v>1103</v>
      </c>
      <c r="P378" t="s">
        <v>2862</v>
      </c>
      <c r="R378" t="s">
        <v>3057</v>
      </c>
      <c r="S378" t="s">
        <v>1106</v>
      </c>
      <c r="T378" t="s">
        <v>232</v>
      </c>
      <c r="U378" t="s">
        <v>82</v>
      </c>
      <c r="V378" s="1">
        <v>44988</v>
      </c>
      <c r="W378">
        <v>0</v>
      </c>
      <c r="X378">
        <v>4</v>
      </c>
      <c r="Y378" t="s">
        <v>65</v>
      </c>
      <c r="Z378" t="s">
        <v>135</v>
      </c>
      <c r="AA378" t="s">
        <v>42</v>
      </c>
      <c r="AB378" t="s">
        <v>43</v>
      </c>
      <c r="AC378" t="s">
        <v>43</v>
      </c>
    </row>
    <row r="379" spans="1:29" x14ac:dyDescent="0.4">
      <c r="A379" t="s">
        <v>27</v>
      </c>
      <c r="B379">
        <v>1375</v>
      </c>
      <c r="C379" t="s">
        <v>2862</v>
      </c>
      <c r="D379">
        <v>125</v>
      </c>
      <c r="E379" t="s">
        <v>257</v>
      </c>
      <c r="F379" t="s">
        <v>1096</v>
      </c>
      <c r="G379" t="s">
        <v>1097</v>
      </c>
      <c r="H379" t="s">
        <v>1098</v>
      </c>
      <c r="I379" t="s">
        <v>1099</v>
      </c>
      <c r="J379" t="s">
        <v>1100</v>
      </c>
      <c r="K379" t="s">
        <v>1101</v>
      </c>
      <c r="L379" t="s">
        <v>1102</v>
      </c>
      <c r="M379" t="s">
        <v>35</v>
      </c>
      <c r="N379">
        <v>1945428737</v>
      </c>
      <c r="O379" t="s">
        <v>1103</v>
      </c>
      <c r="P379" t="s">
        <v>2862</v>
      </c>
      <c r="R379" t="s">
        <v>3058</v>
      </c>
      <c r="S379" t="s">
        <v>1108</v>
      </c>
      <c r="T379" t="s">
        <v>58</v>
      </c>
      <c r="U379" t="s">
        <v>40</v>
      </c>
      <c r="V379" s="1">
        <v>44477</v>
      </c>
      <c r="W379">
        <v>0</v>
      </c>
      <c r="X379">
        <v>4</v>
      </c>
      <c r="Y379" t="s">
        <v>65</v>
      </c>
      <c r="Z379" t="s">
        <v>135</v>
      </c>
      <c r="AA379" t="s">
        <v>42</v>
      </c>
      <c r="AB379" t="s">
        <v>43</v>
      </c>
      <c r="AC379" t="s">
        <v>43</v>
      </c>
    </row>
    <row r="380" spans="1:29" x14ac:dyDescent="0.4">
      <c r="A380" t="s">
        <v>27</v>
      </c>
      <c r="B380">
        <v>1375</v>
      </c>
      <c r="C380" t="s">
        <v>2862</v>
      </c>
      <c r="D380">
        <v>126</v>
      </c>
      <c r="E380" t="s">
        <v>257</v>
      </c>
      <c r="F380" t="s">
        <v>1096</v>
      </c>
      <c r="G380" t="s">
        <v>1097</v>
      </c>
      <c r="H380" t="s">
        <v>1098</v>
      </c>
      <c r="I380" t="s">
        <v>1099</v>
      </c>
      <c r="J380" t="s">
        <v>1100</v>
      </c>
      <c r="K380" t="s">
        <v>1101</v>
      </c>
      <c r="L380" t="s">
        <v>1102</v>
      </c>
      <c r="M380" t="s">
        <v>35</v>
      </c>
      <c r="N380">
        <v>1945428737</v>
      </c>
      <c r="O380" t="s">
        <v>1103</v>
      </c>
      <c r="P380" t="s">
        <v>2862</v>
      </c>
      <c r="R380" t="s">
        <v>3104</v>
      </c>
      <c r="S380" t="s">
        <v>1110</v>
      </c>
      <c r="T380" t="s">
        <v>169</v>
      </c>
      <c r="U380" t="s">
        <v>40</v>
      </c>
      <c r="V380" s="1">
        <v>43570</v>
      </c>
      <c r="W380">
        <v>0</v>
      </c>
      <c r="X380">
        <v>5</v>
      </c>
      <c r="Y380" t="s">
        <v>66</v>
      </c>
      <c r="Z380" t="s">
        <v>135</v>
      </c>
      <c r="AA380" t="s">
        <v>42</v>
      </c>
      <c r="AB380" t="s">
        <v>43</v>
      </c>
      <c r="AC380" t="s">
        <v>43</v>
      </c>
    </row>
    <row r="381" spans="1:29" x14ac:dyDescent="0.4">
      <c r="A381" t="s">
        <v>27</v>
      </c>
      <c r="B381">
        <v>1375</v>
      </c>
      <c r="C381" t="s">
        <v>2862</v>
      </c>
      <c r="D381">
        <v>127</v>
      </c>
      <c r="E381" t="s">
        <v>257</v>
      </c>
      <c r="F381" t="s">
        <v>1096</v>
      </c>
      <c r="G381" t="s">
        <v>1097</v>
      </c>
      <c r="H381" t="s">
        <v>1098</v>
      </c>
      <c r="I381" t="s">
        <v>1099</v>
      </c>
      <c r="J381" t="s">
        <v>1100</v>
      </c>
      <c r="K381" t="s">
        <v>1101</v>
      </c>
      <c r="L381" t="s">
        <v>1102</v>
      </c>
      <c r="M381" t="s">
        <v>35</v>
      </c>
      <c r="N381">
        <v>1945428737</v>
      </c>
      <c r="O381" t="s">
        <v>1103</v>
      </c>
      <c r="P381" t="s">
        <v>2862</v>
      </c>
      <c r="R381" t="s">
        <v>3105</v>
      </c>
      <c r="S381" t="s">
        <v>1113</v>
      </c>
      <c r="T381" t="s">
        <v>58</v>
      </c>
      <c r="U381" t="s">
        <v>40</v>
      </c>
      <c r="V381" s="1">
        <v>42314</v>
      </c>
      <c r="W381">
        <v>0</v>
      </c>
      <c r="X381">
        <v>5</v>
      </c>
      <c r="Y381" t="s">
        <v>66</v>
      </c>
      <c r="Z381" t="s">
        <v>135</v>
      </c>
      <c r="AA381" t="s">
        <v>42</v>
      </c>
      <c r="AB381" t="s">
        <v>43</v>
      </c>
      <c r="AC381" t="s">
        <v>43</v>
      </c>
    </row>
    <row r="382" spans="1:29" x14ac:dyDescent="0.4">
      <c r="A382" t="s">
        <v>27</v>
      </c>
      <c r="B382">
        <v>1375</v>
      </c>
      <c r="C382" t="s">
        <v>2862</v>
      </c>
      <c r="D382">
        <v>125</v>
      </c>
      <c r="E382" t="s">
        <v>257</v>
      </c>
      <c r="F382" t="s">
        <v>1096</v>
      </c>
      <c r="G382" t="s">
        <v>1097</v>
      </c>
      <c r="H382" t="s">
        <v>1098</v>
      </c>
      <c r="I382" t="s">
        <v>1099</v>
      </c>
      <c r="J382" t="s">
        <v>1100</v>
      </c>
      <c r="K382" t="s">
        <v>1101</v>
      </c>
      <c r="L382" t="s">
        <v>1102</v>
      </c>
      <c r="M382" t="s">
        <v>35</v>
      </c>
      <c r="N382">
        <v>1945428737</v>
      </c>
      <c r="O382" t="s">
        <v>1103</v>
      </c>
      <c r="P382" t="s">
        <v>2862</v>
      </c>
      <c r="R382" t="s">
        <v>3058</v>
      </c>
      <c r="S382" t="s">
        <v>1108</v>
      </c>
      <c r="T382" t="s">
        <v>58</v>
      </c>
      <c r="U382" t="s">
        <v>40</v>
      </c>
      <c r="V382" s="1">
        <v>44477</v>
      </c>
      <c r="W382">
        <v>0</v>
      </c>
      <c r="X382">
        <v>5</v>
      </c>
      <c r="Y382" t="s">
        <v>66</v>
      </c>
      <c r="Z382" t="s">
        <v>135</v>
      </c>
      <c r="AA382" t="s">
        <v>42</v>
      </c>
      <c r="AB382" t="s">
        <v>43</v>
      </c>
      <c r="AC382" t="s">
        <v>43</v>
      </c>
    </row>
    <row r="383" spans="1:29" hidden="1" x14ac:dyDescent="0.4">
      <c r="A383" t="s">
        <v>27</v>
      </c>
      <c r="B383">
        <v>1375</v>
      </c>
      <c r="C383" t="s">
        <v>2862</v>
      </c>
      <c r="E383" t="s">
        <v>257</v>
      </c>
      <c r="F383" t="s">
        <v>1096</v>
      </c>
      <c r="G383" t="s">
        <v>1097</v>
      </c>
      <c r="H383" t="s">
        <v>1098</v>
      </c>
      <c r="I383" t="s">
        <v>1099</v>
      </c>
      <c r="J383" t="s">
        <v>1100</v>
      </c>
      <c r="K383" t="s">
        <v>1101</v>
      </c>
      <c r="L383" t="s">
        <v>1102</v>
      </c>
      <c r="M383" t="s">
        <v>35</v>
      </c>
      <c r="N383">
        <v>1945428737</v>
      </c>
      <c r="O383" t="s">
        <v>1103</v>
      </c>
      <c r="P383" t="s">
        <v>1104</v>
      </c>
      <c r="R383" t="s">
        <v>1114</v>
      </c>
      <c r="S383" t="s">
        <v>1115</v>
      </c>
      <c r="T383" t="s">
        <v>1116</v>
      </c>
      <c r="U383" t="s">
        <v>82</v>
      </c>
      <c r="V383" s="1">
        <v>42586</v>
      </c>
      <c r="W383">
        <v>0</v>
      </c>
      <c r="X383">
        <v>0</v>
      </c>
      <c r="Y383" t="s">
        <v>59</v>
      </c>
      <c r="Z383" t="s">
        <v>135</v>
      </c>
      <c r="AA383" t="s">
        <v>42</v>
      </c>
      <c r="AB383" t="s">
        <v>43</v>
      </c>
      <c r="AC383" t="s">
        <v>43</v>
      </c>
    </row>
    <row r="384" spans="1:29" x14ac:dyDescent="0.4">
      <c r="A384" t="s">
        <v>27</v>
      </c>
      <c r="B384">
        <v>1375</v>
      </c>
      <c r="C384" t="s">
        <v>2862</v>
      </c>
      <c r="D384">
        <v>128</v>
      </c>
      <c r="E384" t="s">
        <v>257</v>
      </c>
      <c r="F384" t="s">
        <v>1096</v>
      </c>
      <c r="G384" t="s">
        <v>1097</v>
      </c>
      <c r="H384" t="s">
        <v>1098</v>
      </c>
      <c r="I384" t="s">
        <v>1099</v>
      </c>
      <c r="J384" t="s">
        <v>1100</v>
      </c>
      <c r="K384" t="s">
        <v>1101</v>
      </c>
      <c r="L384" t="s">
        <v>1102</v>
      </c>
      <c r="M384" t="s">
        <v>35</v>
      </c>
      <c r="N384">
        <v>1945428737</v>
      </c>
      <c r="O384" t="s">
        <v>1103</v>
      </c>
      <c r="P384" t="s">
        <v>2862</v>
      </c>
      <c r="R384" t="s">
        <v>3057</v>
      </c>
      <c r="S384" t="s">
        <v>1106</v>
      </c>
      <c r="T384" t="s">
        <v>232</v>
      </c>
      <c r="U384" t="s">
        <v>82</v>
      </c>
      <c r="V384" s="1">
        <v>44988</v>
      </c>
      <c r="W384">
        <v>0</v>
      </c>
      <c r="X384">
        <v>13</v>
      </c>
      <c r="Z384" t="s">
        <v>135</v>
      </c>
      <c r="AA384" t="s">
        <v>42</v>
      </c>
      <c r="AB384" t="s">
        <v>43</v>
      </c>
      <c r="AC384" t="s">
        <v>43</v>
      </c>
    </row>
    <row r="385" spans="1:30" x14ac:dyDescent="0.4">
      <c r="A385" t="s">
        <v>27</v>
      </c>
      <c r="B385">
        <v>1375</v>
      </c>
      <c r="C385" t="s">
        <v>2862</v>
      </c>
      <c r="D385">
        <v>125</v>
      </c>
      <c r="E385" t="s">
        <v>257</v>
      </c>
      <c r="F385" t="s">
        <v>1096</v>
      </c>
      <c r="G385" t="s">
        <v>1097</v>
      </c>
      <c r="H385" t="s">
        <v>1098</v>
      </c>
      <c r="I385" t="s">
        <v>1099</v>
      </c>
      <c r="J385" t="s">
        <v>1100</v>
      </c>
      <c r="K385" t="s">
        <v>1101</v>
      </c>
      <c r="L385" t="s">
        <v>1102</v>
      </c>
      <c r="M385" t="s">
        <v>35</v>
      </c>
      <c r="N385">
        <v>1945428737</v>
      </c>
      <c r="O385" t="s">
        <v>1103</v>
      </c>
      <c r="P385" t="s">
        <v>2862</v>
      </c>
      <c r="R385" t="s">
        <v>3058</v>
      </c>
      <c r="S385" t="s">
        <v>1108</v>
      </c>
      <c r="T385" t="s">
        <v>58</v>
      </c>
      <c r="U385" t="s">
        <v>40</v>
      </c>
      <c r="V385" s="1">
        <v>44477</v>
      </c>
      <c r="W385">
        <v>0</v>
      </c>
      <c r="X385">
        <v>12</v>
      </c>
      <c r="Z385" t="s">
        <v>135</v>
      </c>
      <c r="AA385" t="s">
        <v>42</v>
      </c>
      <c r="AB385" t="s">
        <v>43</v>
      </c>
      <c r="AC385" t="s">
        <v>43</v>
      </c>
    </row>
    <row r="386" spans="1:30" x14ac:dyDescent="0.4">
      <c r="A386" t="s">
        <v>27</v>
      </c>
      <c r="B386">
        <v>1375</v>
      </c>
      <c r="C386" t="s">
        <v>2862</v>
      </c>
      <c r="D386">
        <v>125</v>
      </c>
      <c r="E386" t="s">
        <v>257</v>
      </c>
      <c r="F386" t="s">
        <v>1096</v>
      </c>
      <c r="G386" t="s">
        <v>1097</v>
      </c>
      <c r="H386" t="s">
        <v>1098</v>
      </c>
      <c r="I386" t="s">
        <v>1099</v>
      </c>
      <c r="J386" t="s">
        <v>1100</v>
      </c>
      <c r="K386" t="s">
        <v>1101</v>
      </c>
      <c r="L386" t="s">
        <v>1102</v>
      </c>
      <c r="M386" t="s">
        <v>35</v>
      </c>
      <c r="N386">
        <v>1945428737</v>
      </c>
      <c r="O386" t="s">
        <v>1103</v>
      </c>
      <c r="P386" t="s">
        <v>2862</v>
      </c>
      <c r="R386" t="s">
        <v>3058</v>
      </c>
      <c r="S386" t="s">
        <v>1108</v>
      </c>
      <c r="T386" t="s">
        <v>58</v>
      </c>
      <c r="U386" t="s">
        <v>40</v>
      </c>
      <c r="V386" s="1">
        <v>44477</v>
      </c>
      <c r="W386">
        <v>0</v>
      </c>
      <c r="X386">
        <v>14</v>
      </c>
      <c r="Z386" t="s">
        <v>135</v>
      </c>
      <c r="AA386" t="s">
        <v>42</v>
      </c>
      <c r="AB386" t="s">
        <v>43</v>
      </c>
      <c r="AC386" t="s">
        <v>43</v>
      </c>
    </row>
    <row r="387" spans="1:30" x14ac:dyDescent="0.4">
      <c r="A387" t="s">
        <v>27</v>
      </c>
      <c r="B387">
        <v>1375</v>
      </c>
      <c r="C387" t="s">
        <v>2862</v>
      </c>
      <c r="D387">
        <v>126</v>
      </c>
      <c r="E387" t="s">
        <v>257</v>
      </c>
      <c r="F387" t="s">
        <v>1096</v>
      </c>
      <c r="G387" t="s">
        <v>1097</v>
      </c>
      <c r="H387" t="s">
        <v>1098</v>
      </c>
      <c r="I387" t="s">
        <v>1099</v>
      </c>
      <c r="J387" t="s">
        <v>1100</v>
      </c>
      <c r="K387" t="s">
        <v>1101</v>
      </c>
      <c r="L387" t="s">
        <v>1102</v>
      </c>
      <c r="M387" t="s">
        <v>35</v>
      </c>
      <c r="N387">
        <v>1945428737</v>
      </c>
      <c r="O387" t="s">
        <v>1103</v>
      </c>
      <c r="P387" t="s">
        <v>2862</v>
      </c>
      <c r="R387" t="s">
        <v>3104</v>
      </c>
      <c r="S387" t="s">
        <v>1110</v>
      </c>
      <c r="T387" t="s">
        <v>169</v>
      </c>
      <c r="U387" t="s">
        <v>40</v>
      </c>
      <c r="V387" s="1">
        <v>43570</v>
      </c>
      <c r="W387">
        <v>0</v>
      </c>
      <c r="X387">
        <v>14</v>
      </c>
      <c r="Z387" t="s">
        <v>135</v>
      </c>
      <c r="AA387" t="s">
        <v>42</v>
      </c>
      <c r="AB387" t="s">
        <v>43</v>
      </c>
      <c r="AC387" t="s">
        <v>43</v>
      </c>
    </row>
    <row r="388" spans="1:30" x14ac:dyDescent="0.4">
      <c r="A388" t="s">
        <v>27</v>
      </c>
      <c r="B388">
        <v>1375</v>
      </c>
      <c r="C388" t="s">
        <v>2862</v>
      </c>
      <c r="D388">
        <v>127</v>
      </c>
      <c r="E388" t="s">
        <v>257</v>
      </c>
      <c r="F388" t="s">
        <v>1096</v>
      </c>
      <c r="G388" t="s">
        <v>1097</v>
      </c>
      <c r="H388" t="s">
        <v>1098</v>
      </c>
      <c r="I388" t="s">
        <v>1099</v>
      </c>
      <c r="J388" t="s">
        <v>1100</v>
      </c>
      <c r="K388" t="s">
        <v>1101</v>
      </c>
      <c r="L388" t="s">
        <v>1102</v>
      </c>
      <c r="M388" t="s">
        <v>35</v>
      </c>
      <c r="N388">
        <v>1945428737</v>
      </c>
      <c r="O388" t="s">
        <v>1103</v>
      </c>
      <c r="P388" t="s">
        <v>2862</v>
      </c>
      <c r="R388" t="s">
        <v>3105</v>
      </c>
      <c r="S388" t="s">
        <v>1113</v>
      </c>
      <c r="T388" t="s">
        <v>58</v>
      </c>
      <c r="U388" t="s">
        <v>40</v>
      </c>
      <c r="V388" s="1">
        <v>42314</v>
      </c>
      <c r="W388">
        <v>0</v>
      </c>
      <c r="X388">
        <v>14</v>
      </c>
      <c r="Z388" t="s">
        <v>135</v>
      </c>
      <c r="AA388" t="s">
        <v>42</v>
      </c>
      <c r="AB388" t="s">
        <v>43</v>
      </c>
      <c r="AC388" t="s">
        <v>43</v>
      </c>
    </row>
    <row r="389" spans="1:30" x14ac:dyDescent="0.4">
      <c r="A389" t="s">
        <v>27</v>
      </c>
      <c r="B389">
        <v>1375</v>
      </c>
      <c r="C389" t="s">
        <v>2862</v>
      </c>
      <c r="D389">
        <v>126</v>
      </c>
      <c r="E389" t="s">
        <v>257</v>
      </c>
      <c r="F389" t="s">
        <v>1096</v>
      </c>
      <c r="G389" t="s">
        <v>1097</v>
      </c>
      <c r="H389" t="s">
        <v>1098</v>
      </c>
      <c r="I389" t="s">
        <v>1099</v>
      </c>
      <c r="J389" t="s">
        <v>1100</v>
      </c>
      <c r="K389" t="s">
        <v>1101</v>
      </c>
      <c r="L389" t="s">
        <v>1102</v>
      </c>
      <c r="M389" t="s">
        <v>35</v>
      </c>
      <c r="N389">
        <v>1945428737</v>
      </c>
      <c r="O389" t="s">
        <v>1103</v>
      </c>
      <c r="P389" t="s">
        <v>2862</v>
      </c>
      <c r="R389" t="s">
        <v>3104</v>
      </c>
      <c r="S389" t="s">
        <v>1110</v>
      </c>
      <c r="T389" t="s">
        <v>169</v>
      </c>
      <c r="U389" t="s">
        <v>40</v>
      </c>
      <c r="V389" s="1">
        <v>43570</v>
      </c>
      <c r="W389">
        <v>0</v>
      </c>
      <c r="X389">
        <v>16</v>
      </c>
      <c r="Z389" t="s">
        <v>135</v>
      </c>
      <c r="AA389" t="s">
        <v>42</v>
      </c>
      <c r="AB389" t="s">
        <v>43</v>
      </c>
      <c r="AC389" t="s">
        <v>43</v>
      </c>
    </row>
    <row r="390" spans="1:30" hidden="1" x14ac:dyDescent="0.4">
      <c r="A390" t="s">
        <v>27</v>
      </c>
      <c r="B390">
        <v>1375</v>
      </c>
      <c r="C390" t="s">
        <v>2862</v>
      </c>
      <c r="E390" t="s">
        <v>257</v>
      </c>
      <c r="F390" t="s">
        <v>1096</v>
      </c>
      <c r="G390" t="s">
        <v>1097</v>
      </c>
      <c r="H390" t="s">
        <v>1098</v>
      </c>
      <c r="I390" t="s">
        <v>1099</v>
      </c>
      <c r="J390" t="s">
        <v>1100</v>
      </c>
      <c r="K390" t="s">
        <v>1101</v>
      </c>
      <c r="L390" t="s">
        <v>1102</v>
      </c>
      <c r="M390" t="s">
        <v>35</v>
      </c>
      <c r="N390">
        <v>1945428737</v>
      </c>
      <c r="O390" t="s">
        <v>1103</v>
      </c>
      <c r="P390" t="s">
        <v>1104</v>
      </c>
      <c r="R390" t="s">
        <v>1114</v>
      </c>
      <c r="S390" t="s">
        <v>1115</v>
      </c>
      <c r="T390" t="s">
        <v>1116</v>
      </c>
      <c r="U390" t="s">
        <v>82</v>
      </c>
      <c r="V390" s="1">
        <v>42586</v>
      </c>
      <c r="W390">
        <v>0</v>
      </c>
      <c r="X390">
        <v>0</v>
      </c>
      <c r="Y390" t="s">
        <v>59</v>
      </c>
      <c r="Z390" t="s">
        <v>135</v>
      </c>
      <c r="AA390" t="s">
        <v>42</v>
      </c>
      <c r="AB390" t="s">
        <v>43</v>
      </c>
      <c r="AC390" t="s">
        <v>43</v>
      </c>
    </row>
    <row r="391" spans="1:30" x14ac:dyDescent="0.4">
      <c r="A391" t="s">
        <v>27</v>
      </c>
      <c r="B391">
        <v>3961</v>
      </c>
      <c r="C391" t="s">
        <v>2947</v>
      </c>
      <c r="D391">
        <v>129</v>
      </c>
      <c r="E391" t="s">
        <v>28</v>
      </c>
      <c r="F391" t="s">
        <v>1117</v>
      </c>
      <c r="G391" t="s">
        <v>1118</v>
      </c>
      <c r="H391" t="s">
        <v>1119</v>
      </c>
      <c r="I391" t="s">
        <v>1120</v>
      </c>
      <c r="J391" t="s">
        <v>660</v>
      </c>
      <c r="K391" t="s">
        <v>33</v>
      </c>
      <c r="L391" t="s">
        <v>661</v>
      </c>
      <c r="M391" t="s">
        <v>35</v>
      </c>
      <c r="N391" t="s">
        <v>1121</v>
      </c>
      <c r="O391" t="s">
        <v>1122</v>
      </c>
      <c r="P391" t="s">
        <v>2947</v>
      </c>
      <c r="R391" t="s">
        <v>1123</v>
      </c>
      <c r="S391" t="s">
        <v>1124</v>
      </c>
      <c r="T391" t="s">
        <v>58</v>
      </c>
      <c r="U391" t="s">
        <v>82</v>
      </c>
      <c r="V391" s="1">
        <v>42686</v>
      </c>
      <c r="W391">
        <v>0</v>
      </c>
      <c r="X391">
        <v>5</v>
      </c>
      <c r="Y391" t="s">
        <v>66</v>
      </c>
      <c r="AA391" t="s">
        <v>42</v>
      </c>
      <c r="AB391" t="s">
        <v>43</v>
      </c>
      <c r="AC391" t="s">
        <v>42</v>
      </c>
    </row>
    <row r="392" spans="1:30" x14ac:dyDescent="0.4">
      <c r="A392" t="s">
        <v>27</v>
      </c>
      <c r="B392">
        <v>3961</v>
      </c>
      <c r="C392" t="s">
        <v>2947</v>
      </c>
      <c r="D392">
        <v>129</v>
      </c>
      <c r="E392" t="s">
        <v>28</v>
      </c>
      <c r="F392" t="s">
        <v>1117</v>
      </c>
      <c r="G392" t="s">
        <v>1118</v>
      </c>
      <c r="H392" t="s">
        <v>1119</v>
      </c>
      <c r="I392" t="s">
        <v>1120</v>
      </c>
      <c r="J392" t="s">
        <v>660</v>
      </c>
      <c r="K392" t="s">
        <v>33</v>
      </c>
      <c r="L392" t="s">
        <v>661</v>
      </c>
      <c r="M392" t="s">
        <v>35</v>
      </c>
      <c r="N392" t="s">
        <v>1121</v>
      </c>
      <c r="O392" t="s">
        <v>1122</v>
      </c>
      <c r="P392" t="s">
        <v>2947</v>
      </c>
      <c r="R392" t="s">
        <v>1123</v>
      </c>
      <c r="S392" t="s">
        <v>1124</v>
      </c>
      <c r="T392" t="s">
        <v>58</v>
      </c>
      <c r="U392" t="s">
        <v>82</v>
      </c>
      <c r="V392" s="1">
        <v>42686</v>
      </c>
      <c r="W392">
        <v>0</v>
      </c>
      <c r="X392">
        <v>6</v>
      </c>
      <c r="Y392" t="s">
        <v>83</v>
      </c>
      <c r="AA392" t="s">
        <v>42</v>
      </c>
      <c r="AB392" t="s">
        <v>43</v>
      </c>
      <c r="AC392" t="s">
        <v>42</v>
      </c>
    </row>
    <row r="393" spans="1:30" x14ac:dyDescent="0.4">
      <c r="A393" t="s">
        <v>27</v>
      </c>
      <c r="B393">
        <v>3961</v>
      </c>
      <c r="C393" t="s">
        <v>2947</v>
      </c>
      <c r="D393">
        <v>129</v>
      </c>
      <c r="E393" t="s">
        <v>28</v>
      </c>
      <c r="F393" t="s">
        <v>1117</v>
      </c>
      <c r="G393" t="s">
        <v>1118</v>
      </c>
      <c r="H393" t="s">
        <v>1119</v>
      </c>
      <c r="I393" t="s">
        <v>1120</v>
      </c>
      <c r="J393" t="s">
        <v>660</v>
      </c>
      <c r="K393" t="s">
        <v>33</v>
      </c>
      <c r="L393" t="s">
        <v>661</v>
      </c>
      <c r="M393" t="s">
        <v>35</v>
      </c>
      <c r="N393" t="s">
        <v>1121</v>
      </c>
      <c r="O393" t="s">
        <v>1122</v>
      </c>
      <c r="P393" t="s">
        <v>2947</v>
      </c>
      <c r="R393" t="s">
        <v>1123</v>
      </c>
      <c r="S393" t="s">
        <v>1124</v>
      </c>
      <c r="T393" t="s">
        <v>58</v>
      </c>
      <c r="U393" t="s">
        <v>82</v>
      </c>
      <c r="V393" s="1">
        <v>42686</v>
      </c>
      <c r="W393">
        <v>0</v>
      </c>
      <c r="X393">
        <v>15</v>
      </c>
      <c r="AA393" t="s">
        <v>42</v>
      </c>
      <c r="AB393" t="s">
        <v>43</v>
      </c>
      <c r="AC393" t="s">
        <v>42</v>
      </c>
    </row>
    <row r="394" spans="1:30" x14ac:dyDescent="0.4">
      <c r="A394" t="s">
        <v>27</v>
      </c>
      <c r="B394">
        <v>3961</v>
      </c>
      <c r="C394" t="s">
        <v>2947</v>
      </c>
      <c r="D394">
        <v>129</v>
      </c>
      <c r="E394" t="s">
        <v>28</v>
      </c>
      <c r="F394" t="s">
        <v>1117</v>
      </c>
      <c r="G394" t="s">
        <v>1118</v>
      </c>
      <c r="H394" t="s">
        <v>1119</v>
      </c>
      <c r="I394" t="s">
        <v>1120</v>
      </c>
      <c r="J394" t="s">
        <v>660</v>
      </c>
      <c r="K394" t="s">
        <v>33</v>
      </c>
      <c r="L394" t="s">
        <v>661</v>
      </c>
      <c r="M394" t="s">
        <v>35</v>
      </c>
      <c r="N394" t="s">
        <v>1121</v>
      </c>
      <c r="O394" t="s">
        <v>1122</v>
      </c>
      <c r="P394" t="s">
        <v>2947</v>
      </c>
      <c r="R394" t="s">
        <v>1123</v>
      </c>
      <c r="S394" t="s">
        <v>1124</v>
      </c>
      <c r="T394" t="s">
        <v>58</v>
      </c>
      <c r="U394" t="s">
        <v>82</v>
      </c>
      <c r="V394" s="1">
        <v>42686</v>
      </c>
      <c r="W394">
        <v>0</v>
      </c>
      <c r="X394">
        <v>17</v>
      </c>
      <c r="AA394" t="s">
        <v>42</v>
      </c>
      <c r="AB394" t="s">
        <v>43</v>
      </c>
      <c r="AC394" t="s">
        <v>42</v>
      </c>
    </row>
    <row r="395" spans="1:30" hidden="1" x14ac:dyDescent="0.4">
      <c r="A395" t="s">
        <v>27</v>
      </c>
      <c r="B395">
        <v>2189</v>
      </c>
      <c r="C395" t="s">
        <v>1130</v>
      </c>
      <c r="E395" t="s">
        <v>28</v>
      </c>
      <c r="F395" t="s">
        <v>950</v>
      </c>
      <c r="G395" t="s">
        <v>1125</v>
      </c>
      <c r="H395" t="s">
        <v>1126</v>
      </c>
      <c r="J395" t="s">
        <v>1127</v>
      </c>
      <c r="K395" t="s">
        <v>495</v>
      </c>
      <c r="L395" t="s">
        <v>1128</v>
      </c>
      <c r="M395" t="s">
        <v>35</v>
      </c>
      <c r="N395">
        <v>7764686809</v>
      </c>
      <c r="O395" t="s">
        <v>1129</v>
      </c>
      <c r="P395" t="s">
        <v>1130</v>
      </c>
      <c r="R395" t="s">
        <v>1131</v>
      </c>
      <c r="S395" t="s">
        <v>1132</v>
      </c>
      <c r="T395" t="s">
        <v>356</v>
      </c>
      <c r="U395" t="s">
        <v>40</v>
      </c>
      <c r="V395" s="1">
        <v>45559</v>
      </c>
      <c r="W395">
        <v>0</v>
      </c>
      <c r="X395">
        <v>0</v>
      </c>
      <c r="Y395" t="s">
        <v>59</v>
      </c>
      <c r="AA395" t="s">
        <v>42</v>
      </c>
      <c r="AB395" t="s">
        <v>43</v>
      </c>
      <c r="AC395" t="s">
        <v>43</v>
      </c>
    </row>
    <row r="396" spans="1:30" hidden="1" x14ac:dyDescent="0.4">
      <c r="A396" t="s">
        <v>27</v>
      </c>
      <c r="B396">
        <v>2189</v>
      </c>
      <c r="C396" t="s">
        <v>1130</v>
      </c>
      <c r="E396" t="s">
        <v>28</v>
      </c>
      <c r="F396" t="s">
        <v>950</v>
      </c>
      <c r="G396" t="s">
        <v>1125</v>
      </c>
      <c r="H396" t="s">
        <v>1126</v>
      </c>
      <c r="J396" t="s">
        <v>1127</v>
      </c>
      <c r="K396" t="s">
        <v>495</v>
      </c>
      <c r="L396" t="s">
        <v>1128</v>
      </c>
      <c r="M396" t="s">
        <v>35</v>
      </c>
      <c r="N396">
        <v>7764686809</v>
      </c>
      <c r="O396" t="s">
        <v>1129</v>
      </c>
      <c r="P396" t="s">
        <v>1130</v>
      </c>
      <c r="R396" t="s">
        <v>1133</v>
      </c>
      <c r="S396" t="s">
        <v>1134</v>
      </c>
      <c r="T396" t="s">
        <v>356</v>
      </c>
      <c r="U396" t="s">
        <v>40</v>
      </c>
      <c r="V396" s="1">
        <v>43925</v>
      </c>
      <c r="W396">
        <v>0</v>
      </c>
      <c r="X396">
        <v>0</v>
      </c>
      <c r="Y396" t="s">
        <v>59</v>
      </c>
      <c r="AA396" t="s">
        <v>42</v>
      </c>
      <c r="AB396" t="s">
        <v>43</v>
      </c>
      <c r="AC396" t="s">
        <v>43</v>
      </c>
    </row>
    <row r="397" spans="1:30" hidden="1" x14ac:dyDescent="0.4">
      <c r="A397" t="s">
        <v>27</v>
      </c>
      <c r="B397">
        <v>1084</v>
      </c>
      <c r="C397" t="s">
        <v>67</v>
      </c>
      <c r="E397" t="s">
        <v>68</v>
      </c>
      <c r="F397" t="s">
        <v>883</v>
      </c>
      <c r="G397" t="s">
        <v>1135</v>
      </c>
      <c r="H397" t="s">
        <v>1136</v>
      </c>
      <c r="I397" t="s">
        <v>468</v>
      </c>
      <c r="J397" t="s">
        <v>50</v>
      </c>
      <c r="K397" t="s">
        <v>51</v>
      </c>
      <c r="L397" t="s">
        <v>1137</v>
      </c>
      <c r="M397" t="s">
        <v>35</v>
      </c>
      <c r="N397">
        <v>441489782506</v>
      </c>
      <c r="O397" t="s">
        <v>1138</v>
      </c>
      <c r="P397" t="s">
        <v>67</v>
      </c>
      <c r="R397" t="s">
        <v>1139</v>
      </c>
      <c r="S397" t="s">
        <v>1140</v>
      </c>
      <c r="T397" t="s">
        <v>94</v>
      </c>
      <c r="U397" t="s">
        <v>82</v>
      </c>
      <c r="V397" s="1">
        <v>41672</v>
      </c>
      <c r="W397">
        <v>0</v>
      </c>
      <c r="X397">
        <v>0</v>
      </c>
      <c r="Y397" t="s">
        <v>59</v>
      </c>
      <c r="AA397" t="s">
        <v>42</v>
      </c>
      <c r="AB397" t="s">
        <v>43</v>
      </c>
      <c r="AC397" t="s">
        <v>43</v>
      </c>
      <c r="AD397" t="s">
        <v>1141</v>
      </c>
    </row>
    <row r="398" spans="1:30" hidden="1" x14ac:dyDescent="0.4">
      <c r="A398" t="s">
        <v>27</v>
      </c>
      <c r="B398">
        <v>1084</v>
      </c>
      <c r="C398" t="s">
        <v>67</v>
      </c>
      <c r="E398" t="s">
        <v>68</v>
      </c>
      <c r="F398" t="s">
        <v>883</v>
      </c>
      <c r="G398" t="s">
        <v>1135</v>
      </c>
      <c r="H398" t="s">
        <v>1136</v>
      </c>
      <c r="I398" t="s">
        <v>468</v>
      </c>
      <c r="J398" t="s">
        <v>50</v>
      </c>
      <c r="K398" t="s">
        <v>51</v>
      </c>
      <c r="L398" t="s">
        <v>1137</v>
      </c>
      <c r="M398" t="s">
        <v>35</v>
      </c>
      <c r="N398">
        <v>441489782506</v>
      </c>
      <c r="O398" t="s">
        <v>1138</v>
      </c>
      <c r="P398" t="s">
        <v>67</v>
      </c>
      <c r="R398" t="s">
        <v>1139</v>
      </c>
      <c r="S398" t="s">
        <v>1140</v>
      </c>
      <c r="T398" t="s">
        <v>94</v>
      </c>
      <c r="U398" t="s">
        <v>82</v>
      </c>
      <c r="V398" s="1">
        <v>41672</v>
      </c>
      <c r="W398">
        <v>0</v>
      </c>
      <c r="X398">
        <v>0</v>
      </c>
      <c r="Y398" t="s">
        <v>59</v>
      </c>
      <c r="AA398" t="s">
        <v>42</v>
      </c>
      <c r="AB398" t="s">
        <v>43</v>
      </c>
      <c r="AC398" t="s">
        <v>43</v>
      </c>
      <c r="AD398" t="s">
        <v>1141</v>
      </c>
    </row>
    <row r="399" spans="1:30" hidden="1" x14ac:dyDescent="0.4">
      <c r="A399" t="s">
        <v>27</v>
      </c>
      <c r="B399">
        <v>1084</v>
      </c>
      <c r="C399" t="s">
        <v>67</v>
      </c>
      <c r="E399" t="s">
        <v>68</v>
      </c>
      <c r="F399" t="s">
        <v>883</v>
      </c>
      <c r="G399" t="s">
        <v>1135</v>
      </c>
      <c r="H399" t="s">
        <v>1136</v>
      </c>
      <c r="I399" t="s">
        <v>468</v>
      </c>
      <c r="J399" t="s">
        <v>50</v>
      </c>
      <c r="K399" t="s">
        <v>51</v>
      </c>
      <c r="L399" t="s">
        <v>1137</v>
      </c>
      <c r="M399" t="s">
        <v>35</v>
      </c>
      <c r="N399">
        <v>441489782506</v>
      </c>
      <c r="O399" t="s">
        <v>1138</v>
      </c>
      <c r="P399" t="s">
        <v>67</v>
      </c>
      <c r="R399" t="s">
        <v>1142</v>
      </c>
      <c r="S399" t="s">
        <v>1143</v>
      </c>
      <c r="T399" t="s">
        <v>94</v>
      </c>
      <c r="U399" t="s">
        <v>40</v>
      </c>
      <c r="V399" s="1">
        <v>45279</v>
      </c>
      <c r="W399">
        <v>0</v>
      </c>
      <c r="X399">
        <v>0</v>
      </c>
      <c r="Y399" t="s">
        <v>59</v>
      </c>
      <c r="AA399" t="s">
        <v>42</v>
      </c>
      <c r="AB399" t="s">
        <v>43</v>
      </c>
      <c r="AC399" t="s">
        <v>43</v>
      </c>
      <c r="AD399" t="s">
        <v>1141</v>
      </c>
    </row>
    <row r="400" spans="1:30" hidden="1" x14ac:dyDescent="0.4">
      <c r="A400" t="s">
        <v>27</v>
      </c>
      <c r="B400">
        <v>1084</v>
      </c>
      <c r="C400" t="s">
        <v>67</v>
      </c>
      <c r="E400" t="s">
        <v>68</v>
      </c>
      <c r="F400" t="s">
        <v>883</v>
      </c>
      <c r="G400" t="s">
        <v>1135</v>
      </c>
      <c r="H400" t="s">
        <v>1136</v>
      </c>
      <c r="I400" t="s">
        <v>468</v>
      </c>
      <c r="J400" t="s">
        <v>50</v>
      </c>
      <c r="K400" t="s">
        <v>51</v>
      </c>
      <c r="L400" t="s">
        <v>1137</v>
      </c>
      <c r="M400" t="s">
        <v>35</v>
      </c>
      <c r="N400">
        <v>441489782506</v>
      </c>
      <c r="O400" t="s">
        <v>1138</v>
      </c>
      <c r="P400" t="s">
        <v>67</v>
      </c>
      <c r="R400" t="s">
        <v>1144</v>
      </c>
      <c r="S400" t="s">
        <v>1145</v>
      </c>
      <c r="T400" t="s">
        <v>94</v>
      </c>
      <c r="U400" t="s">
        <v>40</v>
      </c>
      <c r="V400" s="1">
        <v>44374</v>
      </c>
      <c r="W400">
        <v>0</v>
      </c>
      <c r="X400">
        <v>0</v>
      </c>
      <c r="Y400" t="s">
        <v>59</v>
      </c>
      <c r="AA400" t="s">
        <v>42</v>
      </c>
      <c r="AB400" t="s">
        <v>43</v>
      </c>
      <c r="AC400" t="s">
        <v>43</v>
      </c>
      <c r="AD400" t="s">
        <v>1141</v>
      </c>
    </row>
    <row r="401" spans="1:31" x14ac:dyDescent="0.4">
      <c r="A401" t="s">
        <v>27</v>
      </c>
      <c r="B401">
        <v>1084</v>
      </c>
      <c r="C401" t="s">
        <v>67</v>
      </c>
      <c r="D401">
        <v>130</v>
      </c>
      <c r="E401" t="s">
        <v>68</v>
      </c>
      <c r="F401" t="s">
        <v>883</v>
      </c>
      <c r="G401" t="s">
        <v>1135</v>
      </c>
      <c r="H401" t="s">
        <v>1136</v>
      </c>
      <c r="I401" t="s">
        <v>468</v>
      </c>
      <c r="J401" t="s">
        <v>50</v>
      </c>
      <c r="K401" t="s">
        <v>51</v>
      </c>
      <c r="L401" t="s">
        <v>1137</v>
      </c>
      <c r="M401" t="s">
        <v>35</v>
      </c>
      <c r="N401">
        <v>441489782506</v>
      </c>
      <c r="O401" t="s">
        <v>1138</v>
      </c>
      <c r="P401" t="s">
        <v>67</v>
      </c>
      <c r="R401" t="s">
        <v>3050</v>
      </c>
      <c r="S401" t="s">
        <v>1143</v>
      </c>
      <c r="T401" t="s">
        <v>94</v>
      </c>
      <c r="U401" t="s">
        <v>40</v>
      </c>
      <c r="V401" s="1">
        <v>45279</v>
      </c>
      <c r="W401">
        <v>0</v>
      </c>
      <c r="X401">
        <v>4</v>
      </c>
      <c r="Y401" t="s">
        <v>65</v>
      </c>
      <c r="AA401" t="s">
        <v>42</v>
      </c>
      <c r="AB401" t="s">
        <v>43</v>
      </c>
      <c r="AC401" t="s">
        <v>43</v>
      </c>
      <c r="AE401" t="s">
        <v>1141</v>
      </c>
    </row>
    <row r="402" spans="1:31" x14ac:dyDescent="0.4">
      <c r="A402" t="s">
        <v>27</v>
      </c>
      <c r="B402">
        <v>1084</v>
      </c>
      <c r="C402" t="s">
        <v>67</v>
      </c>
      <c r="D402">
        <v>131</v>
      </c>
      <c r="E402" t="s">
        <v>68</v>
      </c>
      <c r="F402" t="s">
        <v>883</v>
      </c>
      <c r="G402" t="s">
        <v>1135</v>
      </c>
      <c r="H402" t="s">
        <v>1136</v>
      </c>
      <c r="I402" t="s">
        <v>468</v>
      </c>
      <c r="J402" t="s">
        <v>50</v>
      </c>
      <c r="K402" t="s">
        <v>51</v>
      </c>
      <c r="L402" t="s">
        <v>1137</v>
      </c>
      <c r="M402" t="s">
        <v>35</v>
      </c>
      <c r="N402">
        <v>441489782506</v>
      </c>
      <c r="O402" t="s">
        <v>1138</v>
      </c>
      <c r="P402" t="s">
        <v>67</v>
      </c>
      <c r="R402" t="s">
        <v>1144</v>
      </c>
      <c r="S402" t="s">
        <v>1145</v>
      </c>
      <c r="T402" t="s">
        <v>94</v>
      </c>
      <c r="U402" t="s">
        <v>40</v>
      </c>
      <c r="V402" s="1">
        <v>44374</v>
      </c>
      <c r="W402">
        <v>0</v>
      </c>
      <c r="X402">
        <v>7</v>
      </c>
      <c r="AA402" t="s">
        <v>42</v>
      </c>
      <c r="AB402" t="s">
        <v>43</v>
      </c>
      <c r="AC402" t="s">
        <v>43</v>
      </c>
      <c r="AE402" t="s">
        <v>1141</v>
      </c>
    </row>
    <row r="403" spans="1:31" ht="112" hidden="1" x14ac:dyDescent="0.4">
      <c r="A403" t="s">
        <v>27</v>
      </c>
      <c r="B403">
        <v>299</v>
      </c>
      <c r="C403" t="s">
        <v>2863</v>
      </c>
      <c r="E403" t="s">
        <v>257</v>
      </c>
      <c r="F403" t="s">
        <v>1146</v>
      </c>
      <c r="G403" t="s">
        <v>1147</v>
      </c>
      <c r="H403" t="s">
        <v>1148</v>
      </c>
      <c r="I403" t="s">
        <v>1149</v>
      </c>
      <c r="J403" t="s">
        <v>1150</v>
      </c>
      <c r="K403" t="s">
        <v>189</v>
      </c>
      <c r="L403" t="s">
        <v>1151</v>
      </c>
      <c r="M403" t="s">
        <v>35</v>
      </c>
      <c r="N403">
        <v>1277210228</v>
      </c>
      <c r="O403" t="s">
        <v>1152</v>
      </c>
      <c r="P403" t="s">
        <v>229</v>
      </c>
      <c r="R403" t="s">
        <v>1153</v>
      </c>
      <c r="S403" t="s">
        <v>1154</v>
      </c>
      <c r="T403" t="s">
        <v>284</v>
      </c>
      <c r="U403" t="s">
        <v>40</v>
      </c>
      <c r="V403" s="1">
        <v>43648</v>
      </c>
      <c r="W403">
        <v>0</v>
      </c>
      <c r="X403">
        <v>0</v>
      </c>
      <c r="Y403" t="s">
        <v>59</v>
      </c>
      <c r="Z403" t="s">
        <v>1155</v>
      </c>
      <c r="AA403" t="s">
        <v>42</v>
      </c>
      <c r="AB403" t="s">
        <v>43</v>
      </c>
      <c r="AC403" t="s">
        <v>43</v>
      </c>
      <c r="AD403" s="2" t="s">
        <v>1156</v>
      </c>
    </row>
    <row r="404" spans="1:31" ht="112" hidden="1" x14ac:dyDescent="0.4">
      <c r="A404" t="s">
        <v>27</v>
      </c>
      <c r="B404">
        <v>299</v>
      </c>
      <c r="C404" t="s">
        <v>2863</v>
      </c>
      <c r="E404" t="s">
        <v>257</v>
      </c>
      <c r="F404" t="s">
        <v>1146</v>
      </c>
      <c r="G404" t="s">
        <v>1147</v>
      </c>
      <c r="H404" t="s">
        <v>1148</v>
      </c>
      <c r="I404" t="s">
        <v>1149</v>
      </c>
      <c r="J404" t="s">
        <v>1150</v>
      </c>
      <c r="K404" t="s">
        <v>189</v>
      </c>
      <c r="L404" t="s">
        <v>1151</v>
      </c>
      <c r="M404" t="s">
        <v>35</v>
      </c>
      <c r="N404">
        <v>1277210228</v>
      </c>
      <c r="O404" t="s">
        <v>1152</v>
      </c>
      <c r="P404" t="s">
        <v>229</v>
      </c>
      <c r="R404" t="s">
        <v>1157</v>
      </c>
      <c r="S404" t="s">
        <v>1158</v>
      </c>
      <c r="T404" t="s">
        <v>376</v>
      </c>
      <c r="U404" t="s">
        <v>82</v>
      </c>
      <c r="V404" s="1">
        <v>41627</v>
      </c>
      <c r="W404">
        <v>0</v>
      </c>
      <c r="X404">
        <v>0</v>
      </c>
      <c r="Y404" t="s">
        <v>59</v>
      </c>
      <c r="Z404" t="s">
        <v>1155</v>
      </c>
      <c r="AA404" t="s">
        <v>42</v>
      </c>
      <c r="AB404" t="s">
        <v>43</v>
      </c>
      <c r="AC404" t="s">
        <v>43</v>
      </c>
      <c r="AD404" s="2" t="s">
        <v>1156</v>
      </c>
    </row>
    <row r="405" spans="1:31" ht="112" hidden="1" x14ac:dyDescent="0.4">
      <c r="A405" t="s">
        <v>27</v>
      </c>
      <c r="B405">
        <v>299</v>
      </c>
      <c r="C405" t="s">
        <v>2863</v>
      </c>
      <c r="E405" t="s">
        <v>257</v>
      </c>
      <c r="F405" t="s">
        <v>1146</v>
      </c>
      <c r="G405" t="s">
        <v>1147</v>
      </c>
      <c r="H405" t="s">
        <v>1148</v>
      </c>
      <c r="I405" t="s">
        <v>1149</v>
      </c>
      <c r="J405" t="s">
        <v>1150</v>
      </c>
      <c r="K405" t="s">
        <v>189</v>
      </c>
      <c r="L405" t="s">
        <v>1151</v>
      </c>
      <c r="M405" t="s">
        <v>35</v>
      </c>
      <c r="N405">
        <v>1277210228</v>
      </c>
      <c r="O405" t="s">
        <v>1152</v>
      </c>
      <c r="P405" t="s">
        <v>229</v>
      </c>
      <c r="R405" t="s">
        <v>1153</v>
      </c>
      <c r="S405" t="s">
        <v>1154</v>
      </c>
      <c r="T405" t="s">
        <v>284</v>
      </c>
      <c r="U405" t="s">
        <v>40</v>
      </c>
      <c r="V405" s="1">
        <v>43648</v>
      </c>
      <c r="W405">
        <v>0</v>
      </c>
      <c r="X405">
        <v>0</v>
      </c>
      <c r="Y405" t="s">
        <v>59</v>
      </c>
      <c r="Z405" t="s">
        <v>1155</v>
      </c>
      <c r="AA405" t="s">
        <v>42</v>
      </c>
      <c r="AB405" t="s">
        <v>43</v>
      </c>
      <c r="AC405" t="s">
        <v>43</v>
      </c>
      <c r="AD405" s="2" t="s">
        <v>1156</v>
      </c>
    </row>
    <row r="406" spans="1:31" ht="112" hidden="1" x14ac:dyDescent="0.4">
      <c r="A406" t="s">
        <v>27</v>
      </c>
      <c r="B406">
        <v>299</v>
      </c>
      <c r="C406" t="s">
        <v>2863</v>
      </c>
      <c r="E406" t="s">
        <v>257</v>
      </c>
      <c r="F406" t="s">
        <v>1146</v>
      </c>
      <c r="G406" t="s">
        <v>1147</v>
      </c>
      <c r="H406" t="s">
        <v>1148</v>
      </c>
      <c r="I406" t="s">
        <v>1149</v>
      </c>
      <c r="J406" t="s">
        <v>1150</v>
      </c>
      <c r="K406" t="s">
        <v>189</v>
      </c>
      <c r="L406" t="s">
        <v>1151</v>
      </c>
      <c r="M406" t="s">
        <v>35</v>
      </c>
      <c r="N406">
        <v>1277210228</v>
      </c>
      <c r="O406" t="s">
        <v>1152</v>
      </c>
      <c r="P406" t="s">
        <v>229</v>
      </c>
      <c r="R406" t="s">
        <v>1157</v>
      </c>
      <c r="S406" t="s">
        <v>1158</v>
      </c>
      <c r="T406" t="s">
        <v>376</v>
      </c>
      <c r="U406" t="s">
        <v>82</v>
      </c>
      <c r="V406" s="1">
        <v>41627</v>
      </c>
      <c r="W406">
        <v>0</v>
      </c>
      <c r="X406">
        <v>0</v>
      </c>
      <c r="Y406" t="s">
        <v>59</v>
      </c>
      <c r="Z406" t="s">
        <v>1155</v>
      </c>
      <c r="AA406" t="s">
        <v>42</v>
      </c>
      <c r="AB406" t="s">
        <v>43</v>
      </c>
      <c r="AC406" t="s">
        <v>43</v>
      </c>
      <c r="AD406" s="2" t="s">
        <v>1156</v>
      </c>
    </row>
    <row r="407" spans="1:31" ht="320" x14ac:dyDescent="0.4">
      <c r="A407" t="s">
        <v>27</v>
      </c>
      <c r="B407">
        <v>299</v>
      </c>
      <c r="C407" t="s">
        <v>2863</v>
      </c>
      <c r="D407">
        <v>132</v>
      </c>
      <c r="E407" t="s">
        <v>257</v>
      </c>
      <c r="F407" t="s">
        <v>1146</v>
      </c>
      <c r="G407" t="s">
        <v>1147</v>
      </c>
      <c r="H407" t="s">
        <v>1148</v>
      </c>
      <c r="I407" t="s">
        <v>1149</v>
      </c>
      <c r="J407" t="s">
        <v>1150</v>
      </c>
      <c r="K407" t="s">
        <v>189</v>
      </c>
      <c r="L407" t="s">
        <v>1151</v>
      </c>
      <c r="M407" t="s">
        <v>35</v>
      </c>
      <c r="N407">
        <v>1277210228</v>
      </c>
      <c r="O407" t="s">
        <v>1152</v>
      </c>
      <c r="P407" t="s">
        <v>2863</v>
      </c>
      <c r="R407" t="s">
        <v>1159</v>
      </c>
      <c r="S407" t="s">
        <v>1160</v>
      </c>
      <c r="T407" t="s">
        <v>94</v>
      </c>
      <c r="U407" t="s">
        <v>82</v>
      </c>
      <c r="V407" s="1">
        <v>44811</v>
      </c>
      <c r="W407">
        <v>0</v>
      </c>
      <c r="X407">
        <v>4</v>
      </c>
      <c r="Y407" t="s">
        <v>65</v>
      </c>
      <c r="Z407" t="s">
        <v>1155</v>
      </c>
      <c r="AA407" t="s">
        <v>42</v>
      </c>
      <c r="AB407" t="s">
        <v>43</v>
      </c>
      <c r="AC407" t="s">
        <v>43</v>
      </c>
      <c r="AE407" s="2" t="s">
        <v>1156</v>
      </c>
    </row>
    <row r="408" spans="1:31" ht="320" x14ac:dyDescent="0.4">
      <c r="A408" t="s">
        <v>27</v>
      </c>
      <c r="B408">
        <v>299</v>
      </c>
      <c r="C408" t="s">
        <v>2863</v>
      </c>
      <c r="D408">
        <v>132</v>
      </c>
      <c r="E408" t="s">
        <v>257</v>
      </c>
      <c r="F408" t="s">
        <v>1146</v>
      </c>
      <c r="G408" t="s">
        <v>1147</v>
      </c>
      <c r="H408" t="s">
        <v>1148</v>
      </c>
      <c r="I408" t="s">
        <v>1149</v>
      </c>
      <c r="J408" t="s">
        <v>1150</v>
      </c>
      <c r="K408" t="s">
        <v>189</v>
      </c>
      <c r="L408" t="s">
        <v>1151</v>
      </c>
      <c r="M408" t="s">
        <v>35</v>
      </c>
      <c r="N408">
        <v>1277210228</v>
      </c>
      <c r="O408" t="s">
        <v>1152</v>
      </c>
      <c r="P408" t="s">
        <v>2863</v>
      </c>
      <c r="R408" t="s">
        <v>1159</v>
      </c>
      <c r="S408" t="s">
        <v>1160</v>
      </c>
      <c r="T408" t="s">
        <v>94</v>
      </c>
      <c r="U408" t="s">
        <v>82</v>
      </c>
      <c r="V408" s="1">
        <v>44811</v>
      </c>
      <c r="W408">
        <v>0</v>
      </c>
      <c r="X408">
        <v>5</v>
      </c>
      <c r="Y408" t="s">
        <v>66</v>
      </c>
      <c r="Z408" t="s">
        <v>1155</v>
      </c>
      <c r="AA408" t="s">
        <v>42</v>
      </c>
      <c r="AB408" t="s">
        <v>43</v>
      </c>
      <c r="AC408" t="s">
        <v>43</v>
      </c>
      <c r="AE408" s="2" t="s">
        <v>1156</v>
      </c>
    </row>
    <row r="409" spans="1:31" ht="320" x14ac:dyDescent="0.4">
      <c r="A409" t="s">
        <v>27</v>
      </c>
      <c r="B409">
        <v>299</v>
      </c>
      <c r="C409" t="s">
        <v>2863</v>
      </c>
      <c r="D409">
        <v>132</v>
      </c>
      <c r="E409" t="s">
        <v>257</v>
      </c>
      <c r="F409" t="s">
        <v>1146</v>
      </c>
      <c r="G409" t="s">
        <v>1147</v>
      </c>
      <c r="H409" t="s">
        <v>1148</v>
      </c>
      <c r="I409" t="s">
        <v>1149</v>
      </c>
      <c r="J409" t="s">
        <v>1150</v>
      </c>
      <c r="K409" t="s">
        <v>189</v>
      </c>
      <c r="L409" t="s">
        <v>1151</v>
      </c>
      <c r="M409" t="s">
        <v>35</v>
      </c>
      <c r="N409">
        <v>1277210228</v>
      </c>
      <c r="O409" t="s">
        <v>1152</v>
      </c>
      <c r="P409" t="s">
        <v>2863</v>
      </c>
      <c r="R409" t="s">
        <v>1159</v>
      </c>
      <c r="S409" t="s">
        <v>1160</v>
      </c>
      <c r="T409" t="s">
        <v>94</v>
      </c>
      <c r="U409" t="s">
        <v>82</v>
      </c>
      <c r="V409" s="1">
        <v>44811</v>
      </c>
      <c r="W409">
        <v>0</v>
      </c>
      <c r="X409">
        <v>13</v>
      </c>
      <c r="Z409" t="s">
        <v>1155</v>
      </c>
      <c r="AA409" t="s">
        <v>42</v>
      </c>
      <c r="AB409" t="s">
        <v>43</v>
      </c>
      <c r="AC409" t="s">
        <v>43</v>
      </c>
      <c r="AE409" s="2" t="s">
        <v>1156</v>
      </c>
    </row>
    <row r="410" spans="1:31" ht="320" x14ac:dyDescent="0.4">
      <c r="A410" t="s">
        <v>27</v>
      </c>
      <c r="B410">
        <v>299</v>
      </c>
      <c r="C410" t="s">
        <v>2863</v>
      </c>
      <c r="D410">
        <v>132</v>
      </c>
      <c r="E410" t="s">
        <v>257</v>
      </c>
      <c r="F410" t="s">
        <v>1146</v>
      </c>
      <c r="G410" t="s">
        <v>1147</v>
      </c>
      <c r="H410" t="s">
        <v>1148</v>
      </c>
      <c r="I410" t="s">
        <v>1149</v>
      </c>
      <c r="J410" t="s">
        <v>1150</v>
      </c>
      <c r="K410" t="s">
        <v>189</v>
      </c>
      <c r="L410" t="s">
        <v>1151</v>
      </c>
      <c r="M410" t="s">
        <v>35</v>
      </c>
      <c r="N410">
        <v>1277210228</v>
      </c>
      <c r="O410" t="s">
        <v>1152</v>
      </c>
      <c r="P410" t="s">
        <v>2863</v>
      </c>
      <c r="R410" t="s">
        <v>1159</v>
      </c>
      <c r="S410" t="s">
        <v>1160</v>
      </c>
      <c r="T410" t="s">
        <v>94</v>
      </c>
      <c r="U410" t="s">
        <v>82</v>
      </c>
      <c r="V410" s="1">
        <v>44811</v>
      </c>
      <c r="W410">
        <v>0</v>
      </c>
      <c r="X410">
        <v>15</v>
      </c>
      <c r="Z410" t="s">
        <v>1155</v>
      </c>
      <c r="AA410" t="s">
        <v>42</v>
      </c>
      <c r="AB410" t="s">
        <v>43</v>
      </c>
      <c r="AC410" t="s">
        <v>43</v>
      </c>
      <c r="AE410" s="2" t="s">
        <v>1156</v>
      </c>
    </row>
    <row r="411" spans="1:31" hidden="1" x14ac:dyDescent="0.4">
      <c r="A411" t="s">
        <v>27</v>
      </c>
      <c r="B411">
        <v>295</v>
      </c>
      <c r="C411" t="s">
        <v>297</v>
      </c>
      <c r="E411" t="s">
        <v>28</v>
      </c>
      <c r="F411" t="s">
        <v>1161</v>
      </c>
      <c r="G411" t="s">
        <v>1162</v>
      </c>
      <c r="H411" t="s">
        <v>1163</v>
      </c>
      <c r="J411" t="s">
        <v>1164</v>
      </c>
      <c r="K411" t="s">
        <v>426</v>
      </c>
      <c r="L411" t="s">
        <v>1165</v>
      </c>
      <c r="M411" t="s">
        <v>35</v>
      </c>
      <c r="N411" t="s">
        <v>1166</v>
      </c>
      <c r="O411" t="s">
        <v>1167</v>
      </c>
      <c r="P411" t="s">
        <v>1168</v>
      </c>
      <c r="R411" t="s">
        <v>1169</v>
      </c>
      <c r="S411" t="s">
        <v>1170</v>
      </c>
      <c r="T411" t="s">
        <v>94</v>
      </c>
      <c r="U411" t="s">
        <v>40</v>
      </c>
      <c r="V411" s="1">
        <v>41370</v>
      </c>
      <c r="W411">
        <v>0</v>
      </c>
      <c r="X411">
        <v>0</v>
      </c>
      <c r="Y411" t="s">
        <v>59</v>
      </c>
      <c r="AA411" t="s">
        <v>42</v>
      </c>
      <c r="AB411" t="s">
        <v>43</v>
      </c>
      <c r="AC411" t="s">
        <v>42</v>
      </c>
    </row>
    <row r="412" spans="1:31" hidden="1" x14ac:dyDescent="0.4">
      <c r="A412" t="s">
        <v>27</v>
      </c>
      <c r="B412">
        <v>295</v>
      </c>
      <c r="C412" t="s">
        <v>297</v>
      </c>
      <c r="E412" t="s">
        <v>28</v>
      </c>
      <c r="F412" t="s">
        <v>1161</v>
      </c>
      <c r="G412" t="s">
        <v>1162</v>
      </c>
      <c r="H412" t="s">
        <v>1163</v>
      </c>
      <c r="J412" t="s">
        <v>1164</v>
      </c>
      <c r="K412" t="s">
        <v>426</v>
      </c>
      <c r="L412" t="s">
        <v>1165</v>
      </c>
      <c r="M412" t="s">
        <v>35</v>
      </c>
      <c r="N412" t="s">
        <v>1166</v>
      </c>
      <c r="O412" t="s">
        <v>1167</v>
      </c>
      <c r="P412" t="s">
        <v>1168</v>
      </c>
      <c r="R412" t="s">
        <v>1171</v>
      </c>
      <c r="S412" t="s">
        <v>1172</v>
      </c>
      <c r="T412" t="s">
        <v>58</v>
      </c>
      <c r="U412" t="s">
        <v>40</v>
      </c>
      <c r="V412" s="1">
        <v>45630</v>
      </c>
      <c r="W412">
        <v>0</v>
      </c>
      <c r="X412">
        <v>0</v>
      </c>
      <c r="Y412" t="s">
        <v>59</v>
      </c>
      <c r="AA412" t="s">
        <v>42</v>
      </c>
      <c r="AB412" t="s">
        <v>43</v>
      </c>
      <c r="AC412" t="s">
        <v>42</v>
      </c>
    </row>
    <row r="413" spans="1:31" x14ac:dyDescent="0.4">
      <c r="A413" t="s">
        <v>27</v>
      </c>
      <c r="B413">
        <v>295</v>
      </c>
      <c r="C413" t="s">
        <v>297</v>
      </c>
      <c r="D413">
        <v>133</v>
      </c>
      <c r="E413" t="s">
        <v>28</v>
      </c>
      <c r="F413" t="s">
        <v>1161</v>
      </c>
      <c r="G413" t="s">
        <v>1162</v>
      </c>
      <c r="H413" t="s">
        <v>1163</v>
      </c>
      <c r="J413" t="s">
        <v>1164</v>
      </c>
      <c r="K413" t="s">
        <v>426</v>
      </c>
      <c r="L413" t="s">
        <v>1165</v>
      </c>
      <c r="M413" t="s">
        <v>35</v>
      </c>
      <c r="N413" t="s">
        <v>1166</v>
      </c>
      <c r="O413" t="s">
        <v>1167</v>
      </c>
      <c r="P413" t="s">
        <v>297</v>
      </c>
      <c r="R413" t="s">
        <v>1173</v>
      </c>
      <c r="S413" t="s">
        <v>1174</v>
      </c>
      <c r="T413" t="s">
        <v>58</v>
      </c>
      <c r="U413" t="s">
        <v>40</v>
      </c>
      <c r="V413" s="1">
        <v>42805</v>
      </c>
      <c r="W413">
        <v>0</v>
      </c>
      <c r="X413">
        <v>7</v>
      </c>
      <c r="AA413" t="s">
        <v>42</v>
      </c>
      <c r="AB413" t="s">
        <v>43</v>
      </c>
      <c r="AC413" t="s">
        <v>42</v>
      </c>
    </row>
    <row r="414" spans="1:31" hidden="1" x14ac:dyDescent="0.4">
      <c r="A414" t="s">
        <v>27</v>
      </c>
      <c r="B414">
        <v>295</v>
      </c>
      <c r="C414" t="s">
        <v>297</v>
      </c>
      <c r="E414" t="s">
        <v>28</v>
      </c>
      <c r="F414" t="s">
        <v>1161</v>
      </c>
      <c r="G414" t="s">
        <v>1162</v>
      </c>
      <c r="H414" t="s">
        <v>1163</v>
      </c>
      <c r="J414" t="s">
        <v>1164</v>
      </c>
      <c r="K414" t="s">
        <v>426</v>
      </c>
      <c r="L414" t="s">
        <v>1165</v>
      </c>
      <c r="M414" t="s">
        <v>35</v>
      </c>
      <c r="N414" t="s">
        <v>1166</v>
      </c>
      <c r="O414" t="s">
        <v>1167</v>
      </c>
      <c r="P414" t="s">
        <v>1168</v>
      </c>
      <c r="R414" t="s">
        <v>1169</v>
      </c>
      <c r="S414" t="s">
        <v>1170</v>
      </c>
      <c r="T414" t="s">
        <v>94</v>
      </c>
      <c r="U414" t="s">
        <v>40</v>
      </c>
      <c r="V414" s="1">
        <v>41370</v>
      </c>
      <c r="W414">
        <v>0</v>
      </c>
      <c r="X414">
        <v>0</v>
      </c>
      <c r="Y414" t="s">
        <v>59</v>
      </c>
      <c r="AA414" t="s">
        <v>42</v>
      </c>
      <c r="AB414" t="s">
        <v>43</v>
      </c>
      <c r="AC414" t="s">
        <v>42</v>
      </c>
    </row>
    <row r="415" spans="1:31" hidden="1" x14ac:dyDescent="0.4">
      <c r="A415" t="s">
        <v>27</v>
      </c>
      <c r="B415">
        <v>295</v>
      </c>
      <c r="C415" t="s">
        <v>297</v>
      </c>
      <c r="E415" t="s">
        <v>28</v>
      </c>
      <c r="F415" t="s">
        <v>1161</v>
      </c>
      <c r="G415" t="s">
        <v>1162</v>
      </c>
      <c r="H415" t="s">
        <v>1163</v>
      </c>
      <c r="J415" t="s">
        <v>1164</v>
      </c>
      <c r="K415" t="s">
        <v>426</v>
      </c>
      <c r="L415" t="s">
        <v>1165</v>
      </c>
      <c r="M415" t="s">
        <v>35</v>
      </c>
      <c r="N415" t="s">
        <v>1166</v>
      </c>
      <c r="O415" t="s">
        <v>1167</v>
      </c>
      <c r="P415" t="s">
        <v>1168</v>
      </c>
      <c r="R415" t="s">
        <v>1171</v>
      </c>
      <c r="S415" t="s">
        <v>1172</v>
      </c>
      <c r="T415" t="s">
        <v>58</v>
      </c>
      <c r="U415" t="s">
        <v>40</v>
      </c>
      <c r="V415" s="1">
        <v>45630</v>
      </c>
      <c r="W415">
        <v>0</v>
      </c>
      <c r="X415">
        <v>0</v>
      </c>
      <c r="Y415" t="s">
        <v>59</v>
      </c>
      <c r="AA415" t="s">
        <v>42</v>
      </c>
      <c r="AB415" t="s">
        <v>43</v>
      </c>
      <c r="AC415" t="s">
        <v>42</v>
      </c>
    </row>
    <row r="416" spans="1:31" hidden="1" x14ac:dyDescent="0.4">
      <c r="A416" t="s">
        <v>27</v>
      </c>
      <c r="B416">
        <v>295</v>
      </c>
      <c r="C416" t="s">
        <v>297</v>
      </c>
      <c r="E416" t="s">
        <v>28</v>
      </c>
      <c r="F416" t="s">
        <v>1161</v>
      </c>
      <c r="G416" t="s">
        <v>1162</v>
      </c>
      <c r="H416" t="s">
        <v>1163</v>
      </c>
      <c r="J416" t="s">
        <v>1164</v>
      </c>
      <c r="K416" t="s">
        <v>426</v>
      </c>
      <c r="L416" t="s">
        <v>1165</v>
      </c>
      <c r="M416" t="s">
        <v>35</v>
      </c>
      <c r="N416" t="s">
        <v>1166</v>
      </c>
      <c r="O416" t="s">
        <v>1167</v>
      </c>
      <c r="P416" t="s">
        <v>1168</v>
      </c>
      <c r="R416" t="s">
        <v>1173</v>
      </c>
      <c r="S416" t="s">
        <v>1174</v>
      </c>
      <c r="T416" t="s">
        <v>58</v>
      </c>
      <c r="U416" t="s">
        <v>40</v>
      </c>
      <c r="V416" s="1">
        <v>42805</v>
      </c>
      <c r="W416">
        <v>0</v>
      </c>
      <c r="X416">
        <v>0</v>
      </c>
      <c r="Y416" t="s">
        <v>59</v>
      </c>
      <c r="AA416" t="s">
        <v>42</v>
      </c>
      <c r="AB416" t="s">
        <v>43</v>
      </c>
      <c r="AC416" t="s">
        <v>42</v>
      </c>
    </row>
    <row r="417" spans="1:31" hidden="1" x14ac:dyDescent="0.4">
      <c r="A417" t="s">
        <v>27</v>
      </c>
      <c r="B417">
        <v>419</v>
      </c>
      <c r="C417" t="s">
        <v>2948</v>
      </c>
      <c r="E417" t="s">
        <v>195</v>
      </c>
      <c r="F417" t="s">
        <v>1175</v>
      </c>
      <c r="G417" t="s">
        <v>1176</v>
      </c>
      <c r="H417" t="s">
        <v>1177</v>
      </c>
      <c r="J417" t="s">
        <v>886</v>
      </c>
      <c r="K417" t="s">
        <v>330</v>
      </c>
      <c r="L417" t="s">
        <v>1178</v>
      </c>
      <c r="M417" t="s">
        <v>35</v>
      </c>
      <c r="N417">
        <v>7949196156</v>
      </c>
      <c r="O417" t="s">
        <v>1179</v>
      </c>
      <c r="P417" t="s">
        <v>1180</v>
      </c>
      <c r="R417" t="s">
        <v>1181</v>
      </c>
      <c r="S417" t="s">
        <v>1182</v>
      </c>
      <c r="T417" t="s">
        <v>284</v>
      </c>
      <c r="U417" t="s">
        <v>82</v>
      </c>
      <c r="V417" s="1">
        <v>42534</v>
      </c>
      <c r="W417">
        <v>0</v>
      </c>
      <c r="X417">
        <v>0</v>
      </c>
      <c r="Y417" t="s">
        <v>59</v>
      </c>
      <c r="AA417" t="s">
        <v>42</v>
      </c>
      <c r="AB417" t="s">
        <v>43</v>
      </c>
      <c r="AC417" t="s">
        <v>43</v>
      </c>
    </row>
    <row r="418" spans="1:31" hidden="1" x14ac:dyDescent="0.4">
      <c r="A418" t="s">
        <v>27</v>
      </c>
      <c r="B418">
        <v>419</v>
      </c>
      <c r="C418" t="s">
        <v>2948</v>
      </c>
      <c r="E418" t="s">
        <v>195</v>
      </c>
      <c r="F418" t="s">
        <v>1175</v>
      </c>
      <c r="G418" t="s">
        <v>1176</v>
      </c>
      <c r="H418" t="s">
        <v>1177</v>
      </c>
      <c r="J418" t="s">
        <v>886</v>
      </c>
      <c r="K418" t="s">
        <v>330</v>
      </c>
      <c r="L418" t="s">
        <v>1178</v>
      </c>
      <c r="M418" t="s">
        <v>35</v>
      </c>
      <c r="N418">
        <v>7949196156</v>
      </c>
      <c r="O418" t="s">
        <v>1179</v>
      </c>
      <c r="P418" t="s">
        <v>1180</v>
      </c>
      <c r="R418" t="s">
        <v>1183</v>
      </c>
      <c r="S418" t="s">
        <v>1184</v>
      </c>
      <c r="T418" t="s">
        <v>580</v>
      </c>
      <c r="U418" t="s">
        <v>40</v>
      </c>
      <c r="V418" s="1">
        <v>45132</v>
      </c>
      <c r="W418">
        <v>0</v>
      </c>
      <c r="X418">
        <v>0</v>
      </c>
      <c r="Y418" t="s">
        <v>59</v>
      </c>
      <c r="AA418" t="s">
        <v>42</v>
      </c>
      <c r="AB418" t="s">
        <v>43</v>
      </c>
      <c r="AC418" t="s">
        <v>43</v>
      </c>
    </row>
    <row r="419" spans="1:31" hidden="1" x14ac:dyDescent="0.4">
      <c r="A419" t="s">
        <v>27</v>
      </c>
      <c r="B419">
        <v>419</v>
      </c>
      <c r="C419" t="s">
        <v>2948</v>
      </c>
      <c r="E419" t="s">
        <v>195</v>
      </c>
      <c r="F419" t="s">
        <v>1175</v>
      </c>
      <c r="G419" t="s">
        <v>1176</v>
      </c>
      <c r="H419" t="s">
        <v>1177</v>
      </c>
      <c r="J419" t="s">
        <v>886</v>
      </c>
      <c r="K419" t="s">
        <v>330</v>
      </c>
      <c r="L419" t="s">
        <v>1178</v>
      </c>
      <c r="M419" t="s">
        <v>35</v>
      </c>
      <c r="N419">
        <v>7949196156</v>
      </c>
      <c r="O419" t="s">
        <v>1179</v>
      </c>
      <c r="P419" t="s">
        <v>1180</v>
      </c>
      <c r="R419" t="s">
        <v>1181</v>
      </c>
      <c r="S419" t="s">
        <v>1182</v>
      </c>
      <c r="T419" t="s">
        <v>284</v>
      </c>
      <c r="U419" t="s">
        <v>82</v>
      </c>
      <c r="V419" s="1">
        <v>42534</v>
      </c>
      <c r="W419">
        <v>0</v>
      </c>
      <c r="X419">
        <v>0</v>
      </c>
      <c r="Y419" t="s">
        <v>59</v>
      </c>
      <c r="AA419" t="s">
        <v>42</v>
      </c>
      <c r="AB419" t="s">
        <v>43</v>
      </c>
      <c r="AC419" t="s">
        <v>43</v>
      </c>
    </row>
    <row r="420" spans="1:31" hidden="1" x14ac:dyDescent="0.4">
      <c r="A420" t="s">
        <v>27</v>
      </c>
      <c r="B420">
        <v>419</v>
      </c>
      <c r="C420" t="s">
        <v>2948</v>
      </c>
      <c r="E420" t="s">
        <v>195</v>
      </c>
      <c r="F420" t="s">
        <v>1175</v>
      </c>
      <c r="G420" t="s">
        <v>1176</v>
      </c>
      <c r="H420" t="s">
        <v>1177</v>
      </c>
      <c r="J420" t="s">
        <v>886</v>
      </c>
      <c r="K420" t="s">
        <v>330</v>
      </c>
      <c r="L420" t="s">
        <v>1178</v>
      </c>
      <c r="M420" t="s">
        <v>35</v>
      </c>
      <c r="N420">
        <v>7949196156</v>
      </c>
      <c r="O420" t="s">
        <v>1179</v>
      </c>
      <c r="P420" t="s">
        <v>1180</v>
      </c>
      <c r="R420" t="s">
        <v>1183</v>
      </c>
      <c r="S420" t="s">
        <v>1184</v>
      </c>
      <c r="T420" t="s">
        <v>580</v>
      </c>
      <c r="U420" t="s">
        <v>40</v>
      </c>
      <c r="V420" s="1">
        <v>45132</v>
      </c>
      <c r="W420">
        <v>0</v>
      </c>
      <c r="X420">
        <v>0</v>
      </c>
      <c r="Y420" t="s">
        <v>59</v>
      </c>
      <c r="AA420" t="s">
        <v>42</v>
      </c>
      <c r="AB420" t="s">
        <v>43</v>
      </c>
      <c r="AC420" t="s">
        <v>43</v>
      </c>
    </row>
    <row r="421" spans="1:31" hidden="1" x14ac:dyDescent="0.4">
      <c r="A421" t="s">
        <v>27</v>
      </c>
      <c r="B421">
        <v>64</v>
      </c>
      <c r="C421" t="s">
        <v>2949</v>
      </c>
      <c r="E421" t="s">
        <v>68</v>
      </c>
      <c r="F421" t="s">
        <v>643</v>
      </c>
      <c r="G421" t="s">
        <v>1185</v>
      </c>
      <c r="H421" t="s">
        <v>1186</v>
      </c>
      <c r="I421" t="s">
        <v>1187</v>
      </c>
      <c r="J421" t="s">
        <v>1188</v>
      </c>
      <c r="K421" t="s">
        <v>528</v>
      </c>
      <c r="L421" t="s">
        <v>1189</v>
      </c>
      <c r="M421" t="s">
        <v>35</v>
      </c>
      <c r="N421" t="s">
        <v>1190</v>
      </c>
      <c r="O421" t="s">
        <v>1191</v>
      </c>
      <c r="P421" t="s">
        <v>1192</v>
      </c>
      <c r="R421" t="s">
        <v>1193</v>
      </c>
      <c r="S421" t="s">
        <v>1194</v>
      </c>
      <c r="T421" t="s">
        <v>1195</v>
      </c>
      <c r="U421" t="s">
        <v>82</v>
      </c>
      <c r="V421" s="1">
        <v>44925</v>
      </c>
      <c r="W421">
        <v>0</v>
      </c>
      <c r="X421">
        <v>0</v>
      </c>
      <c r="Y421" t="s">
        <v>59</v>
      </c>
      <c r="AA421" t="s">
        <v>42</v>
      </c>
      <c r="AB421" t="s">
        <v>43</v>
      </c>
      <c r="AC421" t="s">
        <v>43</v>
      </c>
    </row>
    <row r="422" spans="1:31" hidden="1" x14ac:dyDescent="0.4">
      <c r="A422" t="s">
        <v>27</v>
      </c>
      <c r="B422">
        <v>64</v>
      </c>
      <c r="C422" t="s">
        <v>2949</v>
      </c>
      <c r="E422" t="s">
        <v>68</v>
      </c>
      <c r="F422" t="s">
        <v>643</v>
      </c>
      <c r="G422" t="s">
        <v>1185</v>
      </c>
      <c r="H422" t="s">
        <v>1186</v>
      </c>
      <c r="I422" t="s">
        <v>1187</v>
      </c>
      <c r="J422" t="s">
        <v>1188</v>
      </c>
      <c r="K422" t="s">
        <v>528</v>
      </c>
      <c r="L422" t="s">
        <v>1189</v>
      </c>
      <c r="M422" t="s">
        <v>35</v>
      </c>
      <c r="N422" t="s">
        <v>1190</v>
      </c>
      <c r="O422" t="s">
        <v>1191</v>
      </c>
      <c r="P422" t="s">
        <v>1192</v>
      </c>
      <c r="R422" t="s">
        <v>1193</v>
      </c>
      <c r="S422" t="s">
        <v>1194</v>
      </c>
      <c r="T422" t="s">
        <v>1195</v>
      </c>
      <c r="U422" t="s">
        <v>82</v>
      </c>
      <c r="V422" s="1">
        <v>44925</v>
      </c>
      <c r="W422">
        <v>0</v>
      </c>
      <c r="X422">
        <v>0</v>
      </c>
      <c r="Y422" t="s">
        <v>59</v>
      </c>
      <c r="AA422" t="s">
        <v>42</v>
      </c>
      <c r="AB422" t="s">
        <v>43</v>
      </c>
      <c r="AC422" t="s">
        <v>43</v>
      </c>
    </row>
    <row r="423" spans="1:31" x14ac:dyDescent="0.4">
      <c r="A423" t="s">
        <v>27</v>
      </c>
      <c r="B423">
        <v>112</v>
      </c>
      <c r="C423" t="s">
        <v>2864</v>
      </c>
      <c r="D423">
        <v>134</v>
      </c>
      <c r="E423" t="s">
        <v>68</v>
      </c>
      <c r="F423" t="s">
        <v>1196</v>
      </c>
      <c r="G423" t="s">
        <v>1185</v>
      </c>
      <c r="H423" t="s">
        <v>1197</v>
      </c>
      <c r="I423" t="s">
        <v>1198</v>
      </c>
      <c r="J423" t="s">
        <v>1199</v>
      </c>
      <c r="K423" t="s">
        <v>189</v>
      </c>
      <c r="L423" t="s">
        <v>1200</v>
      </c>
      <c r="M423" t="s">
        <v>35</v>
      </c>
      <c r="N423">
        <v>1375847083</v>
      </c>
      <c r="O423" t="s">
        <v>1201</v>
      </c>
      <c r="P423" t="s">
        <v>2864</v>
      </c>
      <c r="R423" t="s">
        <v>3051</v>
      </c>
      <c r="S423" t="s">
        <v>1203</v>
      </c>
      <c r="T423" t="s">
        <v>376</v>
      </c>
      <c r="U423" t="s">
        <v>40</v>
      </c>
      <c r="V423" s="1">
        <v>44846</v>
      </c>
      <c r="W423">
        <v>0</v>
      </c>
      <c r="X423">
        <v>4</v>
      </c>
      <c r="Y423" t="s">
        <v>65</v>
      </c>
      <c r="Z423" t="s">
        <v>135</v>
      </c>
      <c r="AA423" t="s">
        <v>42</v>
      </c>
      <c r="AB423" t="s">
        <v>43</v>
      </c>
      <c r="AC423" t="s">
        <v>43</v>
      </c>
      <c r="AD423" t="s">
        <v>1204</v>
      </c>
    </row>
    <row r="424" spans="1:31" x14ac:dyDescent="0.4">
      <c r="A424" t="s">
        <v>27</v>
      </c>
      <c r="B424">
        <v>112</v>
      </c>
      <c r="C424" t="s">
        <v>2864</v>
      </c>
      <c r="D424">
        <v>135</v>
      </c>
      <c r="E424" t="s">
        <v>68</v>
      </c>
      <c r="F424" t="s">
        <v>1196</v>
      </c>
      <c r="G424" t="s">
        <v>1185</v>
      </c>
      <c r="H424" t="s">
        <v>1197</v>
      </c>
      <c r="I424" t="s">
        <v>1198</v>
      </c>
      <c r="J424" t="s">
        <v>1199</v>
      </c>
      <c r="K424" t="s">
        <v>189</v>
      </c>
      <c r="L424" t="s">
        <v>1200</v>
      </c>
      <c r="M424" t="s">
        <v>35</v>
      </c>
      <c r="N424">
        <v>1375847083</v>
      </c>
      <c r="O424" t="s">
        <v>1201</v>
      </c>
      <c r="P424" t="s">
        <v>2864</v>
      </c>
      <c r="R424" t="s">
        <v>1205</v>
      </c>
      <c r="S424" t="s">
        <v>1206</v>
      </c>
      <c r="T424" t="s">
        <v>58</v>
      </c>
      <c r="U424" t="s">
        <v>40</v>
      </c>
      <c r="V424" s="1">
        <v>43668</v>
      </c>
      <c r="W424">
        <v>0</v>
      </c>
      <c r="X424">
        <v>6</v>
      </c>
      <c r="Y424" t="s">
        <v>83</v>
      </c>
      <c r="Z424" t="s">
        <v>135</v>
      </c>
      <c r="AA424" t="s">
        <v>42</v>
      </c>
      <c r="AB424" t="s">
        <v>43</v>
      </c>
      <c r="AC424" t="s">
        <v>43</v>
      </c>
      <c r="AD424" t="s">
        <v>1204</v>
      </c>
    </row>
    <row r="425" spans="1:31" x14ac:dyDescent="0.4">
      <c r="A425" t="s">
        <v>27</v>
      </c>
      <c r="B425">
        <v>112</v>
      </c>
      <c r="C425" t="s">
        <v>2864</v>
      </c>
      <c r="D425">
        <v>135</v>
      </c>
      <c r="E425" t="s">
        <v>68</v>
      </c>
      <c r="F425" t="s">
        <v>1196</v>
      </c>
      <c r="G425" t="s">
        <v>1185</v>
      </c>
      <c r="H425" t="s">
        <v>1197</v>
      </c>
      <c r="I425" t="s">
        <v>1198</v>
      </c>
      <c r="J425" t="s">
        <v>1199</v>
      </c>
      <c r="K425" t="s">
        <v>189</v>
      </c>
      <c r="L425" t="s">
        <v>1200</v>
      </c>
      <c r="M425" t="s">
        <v>35</v>
      </c>
      <c r="N425">
        <v>1375847083</v>
      </c>
      <c r="O425" t="s">
        <v>1201</v>
      </c>
      <c r="P425" t="s">
        <v>2864</v>
      </c>
      <c r="R425" t="s">
        <v>1205</v>
      </c>
      <c r="S425" t="s">
        <v>1206</v>
      </c>
      <c r="T425" t="s">
        <v>58</v>
      </c>
      <c r="U425" t="s">
        <v>40</v>
      </c>
      <c r="V425" s="1">
        <v>43668</v>
      </c>
      <c r="W425">
        <v>0</v>
      </c>
      <c r="X425">
        <v>7</v>
      </c>
      <c r="Z425" t="s">
        <v>135</v>
      </c>
      <c r="AA425" t="s">
        <v>42</v>
      </c>
      <c r="AB425" t="s">
        <v>43</v>
      </c>
      <c r="AC425" t="s">
        <v>43</v>
      </c>
      <c r="AD425" t="s">
        <v>1204</v>
      </c>
    </row>
    <row r="426" spans="1:31" x14ac:dyDescent="0.4">
      <c r="A426" t="s">
        <v>27</v>
      </c>
      <c r="B426">
        <v>112</v>
      </c>
      <c r="C426" t="s">
        <v>2864</v>
      </c>
      <c r="D426">
        <v>134</v>
      </c>
      <c r="E426" t="s">
        <v>68</v>
      </c>
      <c r="F426" t="s">
        <v>1196</v>
      </c>
      <c r="G426" t="s">
        <v>1185</v>
      </c>
      <c r="H426" t="s">
        <v>1197</v>
      </c>
      <c r="I426" t="s">
        <v>1198</v>
      </c>
      <c r="J426" t="s">
        <v>1199</v>
      </c>
      <c r="K426" t="s">
        <v>189</v>
      </c>
      <c r="L426" t="s">
        <v>1200</v>
      </c>
      <c r="M426" t="s">
        <v>35</v>
      </c>
      <c r="N426">
        <v>1375847083</v>
      </c>
      <c r="O426" t="s">
        <v>1201</v>
      </c>
      <c r="P426" t="s">
        <v>2864</v>
      </c>
      <c r="R426" t="s">
        <v>3051</v>
      </c>
      <c r="S426" t="s">
        <v>1203</v>
      </c>
      <c r="T426" t="s">
        <v>376</v>
      </c>
      <c r="U426" t="s">
        <v>40</v>
      </c>
      <c r="V426" s="1">
        <v>44846</v>
      </c>
      <c r="W426">
        <v>0</v>
      </c>
      <c r="X426">
        <v>12</v>
      </c>
      <c r="Z426" t="s">
        <v>135</v>
      </c>
      <c r="AA426" t="s">
        <v>42</v>
      </c>
      <c r="AB426" t="s">
        <v>43</v>
      </c>
      <c r="AC426" t="s">
        <v>43</v>
      </c>
      <c r="AD426" t="s">
        <v>1204</v>
      </c>
    </row>
    <row r="427" spans="1:31" x14ac:dyDescent="0.4">
      <c r="A427" t="s">
        <v>27</v>
      </c>
      <c r="B427">
        <v>112</v>
      </c>
      <c r="C427" t="s">
        <v>2864</v>
      </c>
      <c r="D427">
        <v>135</v>
      </c>
      <c r="E427" t="s">
        <v>68</v>
      </c>
      <c r="F427" t="s">
        <v>1196</v>
      </c>
      <c r="G427" t="s">
        <v>1185</v>
      </c>
      <c r="H427" t="s">
        <v>1197</v>
      </c>
      <c r="I427" t="s">
        <v>1198</v>
      </c>
      <c r="J427" t="s">
        <v>1199</v>
      </c>
      <c r="K427" t="s">
        <v>189</v>
      </c>
      <c r="L427" t="s">
        <v>1200</v>
      </c>
      <c r="M427" t="s">
        <v>35</v>
      </c>
      <c r="N427">
        <v>1375847083</v>
      </c>
      <c r="O427" t="s">
        <v>1201</v>
      </c>
      <c r="P427" t="s">
        <v>2864</v>
      </c>
      <c r="R427" t="s">
        <v>1205</v>
      </c>
      <c r="S427" t="s">
        <v>1206</v>
      </c>
      <c r="T427" t="s">
        <v>58</v>
      </c>
      <c r="U427" t="s">
        <v>40</v>
      </c>
      <c r="V427" s="1">
        <v>43668</v>
      </c>
      <c r="W427">
        <v>0</v>
      </c>
      <c r="X427">
        <v>16</v>
      </c>
      <c r="Z427" t="s">
        <v>135</v>
      </c>
      <c r="AA427" t="s">
        <v>42</v>
      </c>
      <c r="AB427" t="s">
        <v>43</v>
      </c>
      <c r="AC427" t="s">
        <v>43</v>
      </c>
      <c r="AD427" t="s">
        <v>1204</v>
      </c>
    </row>
    <row r="428" spans="1:31" x14ac:dyDescent="0.4">
      <c r="A428" t="s">
        <v>27</v>
      </c>
      <c r="B428">
        <v>112</v>
      </c>
      <c r="C428" t="s">
        <v>2864</v>
      </c>
      <c r="D428">
        <v>135</v>
      </c>
      <c r="E428" t="s">
        <v>68</v>
      </c>
      <c r="F428" t="s">
        <v>1196</v>
      </c>
      <c r="G428" t="s">
        <v>1185</v>
      </c>
      <c r="H428" t="s">
        <v>1197</v>
      </c>
      <c r="I428" t="s">
        <v>1198</v>
      </c>
      <c r="J428" t="s">
        <v>1199</v>
      </c>
      <c r="K428" t="s">
        <v>189</v>
      </c>
      <c r="L428" t="s">
        <v>1200</v>
      </c>
      <c r="M428" t="s">
        <v>35</v>
      </c>
      <c r="N428">
        <v>1375847083</v>
      </c>
      <c r="O428" t="s">
        <v>1201</v>
      </c>
      <c r="P428" t="s">
        <v>2864</v>
      </c>
      <c r="R428" t="s">
        <v>1205</v>
      </c>
      <c r="S428" t="s">
        <v>1206</v>
      </c>
      <c r="T428" t="s">
        <v>58</v>
      </c>
      <c r="U428" t="s">
        <v>40</v>
      </c>
      <c r="V428" s="1">
        <v>43668</v>
      </c>
      <c r="W428">
        <v>0</v>
      </c>
      <c r="X428">
        <v>18</v>
      </c>
      <c r="Z428" t="s">
        <v>135</v>
      </c>
      <c r="AA428" t="s">
        <v>42</v>
      </c>
      <c r="AB428" t="s">
        <v>43</v>
      </c>
      <c r="AC428" t="s">
        <v>43</v>
      </c>
      <c r="AD428" t="s">
        <v>1204</v>
      </c>
    </row>
    <row r="429" spans="1:31" x14ac:dyDescent="0.4">
      <c r="A429" t="s">
        <v>27</v>
      </c>
      <c r="B429">
        <v>173</v>
      </c>
      <c r="C429" t="s">
        <v>2950</v>
      </c>
      <c r="D429">
        <v>136</v>
      </c>
      <c r="E429" t="s">
        <v>68</v>
      </c>
      <c r="F429" t="s">
        <v>1207</v>
      </c>
      <c r="G429" t="s">
        <v>1208</v>
      </c>
      <c r="H429" t="s">
        <v>1209</v>
      </c>
      <c r="J429" t="s">
        <v>1210</v>
      </c>
      <c r="K429" t="s">
        <v>1211</v>
      </c>
      <c r="L429" t="s">
        <v>1212</v>
      </c>
      <c r="M429" t="s">
        <v>35</v>
      </c>
      <c r="N429" t="s">
        <v>1213</v>
      </c>
      <c r="O429" t="s">
        <v>1214</v>
      </c>
      <c r="P429" t="s">
        <v>3065</v>
      </c>
      <c r="R429" t="s">
        <v>1216</v>
      </c>
      <c r="S429" t="s">
        <v>1217</v>
      </c>
      <c r="T429" t="s">
        <v>169</v>
      </c>
      <c r="U429" t="s">
        <v>40</v>
      </c>
      <c r="V429" s="1">
        <v>42659</v>
      </c>
      <c r="W429">
        <v>0</v>
      </c>
      <c r="X429">
        <v>16</v>
      </c>
      <c r="AA429" t="s">
        <v>42</v>
      </c>
      <c r="AB429" t="s">
        <v>43</v>
      </c>
      <c r="AC429" t="s">
        <v>43</v>
      </c>
      <c r="AE429" t="s">
        <v>1218</v>
      </c>
    </row>
    <row r="430" spans="1:31" hidden="1" x14ac:dyDescent="0.4">
      <c r="A430" t="s">
        <v>27</v>
      </c>
      <c r="B430">
        <v>173</v>
      </c>
      <c r="C430" t="s">
        <v>2950</v>
      </c>
      <c r="E430" t="s">
        <v>68</v>
      </c>
      <c r="F430" t="s">
        <v>1207</v>
      </c>
      <c r="G430" t="s">
        <v>1208</v>
      </c>
      <c r="H430" t="s">
        <v>1209</v>
      </c>
      <c r="J430" t="s">
        <v>1210</v>
      </c>
      <c r="K430" t="s">
        <v>1211</v>
      </c>
      <c r="L430" t="s">
        <v>1212</v>
      </c>
      <c r="M430" t="s">
        <v>35</v>
      </c>
      <c r="N430" t="s">
        <v>1213</v>
      </c>
      <c r="O430" t="s">
        <v>1214</v>
      </c>
      <c r="P430" t="s">
        <v>1215</v>
      </c>
      <c r="R430" t="s">
        <v>1219</v>
      </c>
      <c r="S430" t="s">
        <v>1220</v>
      </c>
      <c r="T430" t="s">
        <v>58</v>
      </c>
      <c r="U430" t="s">
        <v>40</v>
      </c>
      <c r="V430" s="1">
        <v>40496</v>
      </c>
      <c r="W430">
        <v>0</v>
      </c>
      <c r="X430">
        <v>0</v>
      </c>
      <c r="Y430" t="s">
        <v>59</v>
      </c>
      <c r="AA430" t="s">
        <v>42</v>
      </c>
      <c r="AB430" t="s">
        <v>43</v>
      </c>
      <c r="AC430" t="s">
        <v>43</v>
      </c>
      <c r="AD430" t="s">
        <v>1218</v>
      </c>
    </row>
    <row r="431" spans="1:31" hidden="1" x14ac:dyDescent="0.4">
      <c r="A431" t="s">
        <v>27</v>
      </c>
      <c r="B431">
        <v>173</v>
      </c>
      <c r="C431" t="s">
        <v>2950</v>
      </c>
      <c r="E431" t="s">
        <v>68</v>
      </c>
      <c r="F431" t="s">
        <v>1207</v>
      </c>
      <c r="G431" t="s">
        <v>1208</v>
      </c>
      <c r="H431" t="s">
        <v>1209</v>
      </c>
      <c r="J431" t="s">
        <v>1210</v>
      </c>
      <c r="K431" t="s">
        <v>1211</v>
      </c>
      <c r="L431" t="s">
        <v>1212</v>
      </c>
      <c r="M431" t="s">
        <v>35</v>
      </c>
      <c r="N431" t="s">
        <v>1213</v>
      </c>
      <c r="O431" t="s">
        <v>1214</v>
      </c>
      <c r="P431" t="s">
        <v>1215</v>
      </c>
      <c r="R431" t="s">
        <v>1221</v>
      </c>
      <c r="S431" t="s">
        <v>1222</v>
      </c>
      <c r="T431" t="s">
        <v>94</v>
      </c>
      <c r="U431" t="s">
        <v>40</v>
      </c>
      <c r="V431" s="1">
        <v>41447</v>
      </c>
      <c r="W431">
        <v>0</v>
      </c>
      <c r="X431">
        <v>0</v>
      </c>
      <c r="Y431" t="s">
        <v>59</v>
      </c>
      <c r="AA431" t="s">
        <v>42</v>
      </c>
      <c r="AB431" t="s">
        <v>43</v>
      </c>
      <c r="AC431" t="s">
        <v>43</v>
      </c>
      <c r="AD431" t="s">
        <v>1218</v>
      </c>
    </row>
    <row r="432" spans="1:31" x14ac:dyDescent="0.4">
      <c r="A432" t="s">
        <v>27</v>
      </c>
      <c r="B432">
        <v>3751</v>
      </c>
      <c r="C432" t="s">
        <v>1231</v>
      </c>
      <c r="D432">
        <v>137</v>
      </c>
      <c r="E432" t="s">
        <v>28</v>
      </c>
      <c r="F432" t="s">
        <v>1223</v>
      </c>
      <c r="G432" t="s">
        <v>1224</v>
      </c>
      <c r="H432" t="s">
        <v>1225</v>
      </c>
      <c r="I432" t="s">
        <v>1226</v>
      </c>
      <c r="J432" t="s">
        <v>1227</v>
      </c>
      <c r="K432" t="s">
        <v>1228</v>
      </c>
      <c r="L432" t="s">
        <v>1229</v>
      </c>
      <c r="M432" t="s">
        <v>35</v>
      </c>
      <c r="N432">
        <v>7712582324</v>
      </c>
      <c r="O432" t="s">
        <v>1230</v>
      </c>
      <c r="P432" t="s">
        <v>1231</v>
      </c>
      <c r="R432" t="s">
        <v>1232</v>
      </c>
      <c r="S432" t="s">
        <v>1233</v>
      </c>
      <c r="T432" t="s">
        <v>94</v>
      </c>
      <c r="U432" t="s">
        <v>40</v>
      </c>
      <c r="V432" s="1">
        <v>43116</v>
      </c>
      <c r="W432">
        <v>0</v>
      </c>
      <c r="X432">
        <v>16</v>
      </c>
      <c r="AA432" t="s">
        <v>42</v>
      </c>
      <c r="AB432" t="s">
        <v>43</v>
      </c>
      <c r="AC432" t="s">
        <v>43</v>
      </c>
    </row>
    <row r="433" spans="1:29" x14ac:dyDescent="0.4">
      <c r="A433" t="s">
        <v>27</v>
      </c>
      <c r="B433">
        <v>3751</v>
      </c>
      <c r="C433" t="s">
        <v>1231</v>
      </c>
      <c r="D433">
        <v>137</v>
      </c>
      <c r="E433" t="s">
        <v>28</v>
      </c>
      <c r="F433" t="s">
        <v>1223</v>
      </c>
      <c r="G433" t="s">
        <v>1224</v>
      </c>
      <c r="H433" t="s">
        <v>1225</v>
      </c>
      <c r="I433" t="s">
        <v>1226</v>
      </c>
      <c r="J433" t="s">
        <v>1227</v>
      </c>
      <c r="K433" t="s">
        <v>1228</v>
      </c>
      <c r="L433" t="s">
        <v>1229</v>
      </c>
      <c r="M433" t="s">
        <v>35</v>
      </c>
      <c r="N433">
        <v>7712582324</v>
      </c>
      <c r="O433" t="s">
        <v>1230</v>
      </c>
      <c r="P433" t="s">
        <v>1231</v>
      </c>
      <c r="R433" t="s">
        <v>1232</v>
      </c>
      <c r="S433" t="s">
        <v>1233</v>
      </c>
      <c r="T433" t="s">
        <v>94</v>
      </c>
      <c r="U433" t="s">
        <v>40</v>
      </c>
      <c r="V433" s="1">
        <v>43116</v>
      </c>
      <c r="W433">
        <v>0</v>
      </c>
      <c r="X433">
        <v>18</v>
      </c>
      <c r="AA433" t="s">
        <v>42</v>
      </c>
      <c r="AB433" t="s">
        <v>43</v>
      </c>
      <c r="AC433" t="s">
        <v>43</v>
      </c>
    </row>
    <row r="434" spans="1:29" hidden="1" x14ac:dyDescent="0.4">
      <c r="A434" t="s">
        <v>27</v>
      </c>
      <c r="B434">
        <v>3751</v>
      </c>
      <c r="C434" t="s">
        <v>1231</v>
      </c>
      <c r="E434" t="s">
        <v>28</v>
      </c>
      <c r="F434" t="s">
        <v>1223</v>
      </c>
      <c r="G434" t="s">
        <v>1224</v>
      </c>
      <c r="H434" t="s">
        <v>1225</v>
      </c>
      <c r="I434" t="s">
        <v>1226</v>
      </c>
      <c r="J434" t="s">
        <v>1227</v>
      </c>
      <c r="K434" t="s">
        <v>1228</v>
      </c>
      <c r="L434" t="s">
        <v>1229</v>
      </c>
      <c r="M434" t="s">
        <v>35</v>
      </c>
      <c r="N434">
        <v>7712582324</v>
      </c>
      <c r="O434" t="s">
        <v>1230</v>
      </c>
      <c r="P434" t="s">
        <v>1231</v>
      </c>
      <c r="R434" t="s">
        <v>1234</v>
      </c>
      <c r="S434" t="s">
        <v>1235</v>
      </c>
      <c r="T434" t="s">
        <v>94</v>
      </c>
      <c r="U434" t="s">
        <v>82</v>
      </c>
      <c r="V434" s="1">
        <v>45322</v>
      </c>
      <c r="W434">
        <v>0</v>
      </c>
      <c r="X434">
        <v>0</v>
      </c>
      <c r="Y434" t="s">
        <v>59</v>
      </c>
      <c r="AA434" t="s">
        <v>42</v>
      </c>
      <c r="AB434" t="s">
        <v>43</v>
      </c>
      <c r="AC434" t="s">
        <v>43</v>
      </c>
    </row>
    <row r="435" spans="1:29" x14ac:dyDescent="0.4">
      <c r="A435" t="s">
        <v>27</v>
      </c>
      <c r="B435">
        <v>1714</v>
      </c>
      <c r="C435" t="s">
        <v>2951</v>
      </c>
      <c r="D435">
        <v>138</v>
      </c>
      <c r="E435" t="s">
        <v>257</v>
      </c>
      <c r="F435" t="s">
        <v>1236</v>
      </c>
      <c r="G435" t="s">
        <v>1237</v>
      </c>
      <c r="H435" t="s">
        <v>1238</v>
      </c>
      <c r="J435" t="s">
        <v>152</v>
      </c>
      <c r="K435" t="s">
        <v>73</v>
      </c>
      <c r="L435" t="s">
        <v>1239</v>
      </c>
      <c r="M435" t="s">
        <v>35</v>
      </c>
      <c r="N435" t="s">
        <v>1240</v>
      </c>
      <c r="O435" t="s">
        <v>1241</v>
      </c>
      <c r="P435" t="s">
        <v>3045</v>
      </c>
      <c r="R435" t="s">
        <v>1242</v>
      </c>
      <c r="S435" t="s">
        <v>1243</v>
      </c>
      <c r="T435" t="s">
        <v>58</v>
      </c>
      <c r="U435" t="s">
        <v>82</v>
      </c>
      <c r="V435" s="1">
        <v>42706</v>
      </c>
      <c r="W435">
        <v>0</v>
      </c>
      <c r="X435">
        <v>4</v>
      </c>
      <c r="Y435" t="s">
        <v>65</v>
      </c>
      <c r="AA435" t="s">
        <v>42</v>
      </c>
      <c r="AB435" t="s">
        <v>43</v>
      </c>
      <c r="AC435" t="s">
        <v>43</v>
      </c>
    </row>
    <row r="436" spans="1:29" x14ac:dyDescent="0.4">
      <c r="A436" t="s">
        <v>27</v>
      </c>
      <c r="B436">
        <v>1714</v>
      </c>
      <c r="C436" t="s">
        <v>2951</v>
      </c>
      <c r="D436">
        <v>139</v>
      </c>
      <c r="E436" t="s">
        <v>257</v>
      </c>
      <c r="F436" t="s">
        <v>1236</v>
      </c>
      <c r="G436" t="s">
        <v>1237</v>
      </c>
      <c r="H436" t="s">
        <v>1238</v>
      </c>
      <c r="J436" t="s">
        <v>152</v>
      </c>
      <c r="K436" t="s">
        <v>73</v>
      </c>
      <c r="L436" t="s">
        <v>1239</v>
      </c>
      <c r="M436" t="s">
        <v>35</v>
      </c>
      <c r="N436" t="s">
        <v>1240</v>
      </c>
      <c r="O436" t="s">
        <v>1241</v>
      </c>
      <c r="P436" t="s">
        <v>3045</v>
      </c>
      <c r="R436" t="s">
        <v>1244</v>
      </c>
      <c r="S436" t="s">
        <v>1245</v>
      </c>
      <c r="T436" t="s">
        <v>58</v>
      </c>
      <c r="U436" t="s">
        <v>82</v>
      </c>
      <c r="V436" s="1">
        <v>44285</v>
      </c>
      <c r="W436">
        <v>0</v>
      </c>
      <c r="X436">
        <v>5</v>
      </c>
      <c r="Y436" t="s">
        <v>66</v>
      </c>
      <c r="AA436" t="s">
        <v>42</v>
      </c>
      <c r="AB436" t="s">
        <v>43</v>
      </c>
      <c r="AC436" t="s">
        <v>43</v>
      </c>
    </row>
    <row r="437" spans="1:29" x14ac:dyDescent="0.4">
      <c r="A437" t="s">
        <v>27</v>
      </c>
      <c r="B437">
        <v>1714</v>
      </c>
      <c r="C437" t="s">
        <v>2951</v>
      </c>
      <c r="D437">
        <v>140</v>
      </c>
      <c r="E437" t="s">
        <v>257</v>
      </c>
      <c r="F437" t="s">
        <v>1236</v>
      </c>
      <c r="G437" t="s">
        <v>1237</v>
      </c>
      <c r="H437" t="s">
        <v>1238</v>
      </c>
      <c r="J437" t="s">
        <v>152</v>
      </c>
      <c r="K437" t="s">
        <v>73</v>
      </c>
      <c r="L437" t="s">
        <v>1239</v>
      </c>
      <c r="M437" t="s">
        <v>35</v>
      </c>
      <c r="N437" t="s">
        <v>1240</v>
      </c>
      <c r="O437" t="s">
        <v>1241</v>
      </c>
      <c r="P437" t="s">
        <v>3045</v>
      </c>
      <c r="R437" t="s">
        <v>1246</v>
      </c>
      <c r="S437" t="s">
        <v>1247</v>
      </c>
      <c r="T437" t="s">
        <v>94</v>
      </c>
      <c r="U437" t="s">
        <v>40</v>
      </c>
      <c r="V437" s="1">
        <v>43499</v>
      </c>
      <c r="W437">
        <v>0</v>
      </c>
      <c r="X437">
        <v>5</v>
      </c>
      <c r="Y437" t="s">
        <v>66</v>
      </c>
      <c r="AA437" t="s">
        <v>42</v>
      </c>
      <c r="AB437" t="s">
        <v>43</v>
      </c>
      <c r="AC437" t="s">
        <v>43</v>
      </c>
    </row>
    <row r="438" spans="1:29" x14ac:dyDescent="0.4">
      <c r="A438" t="s">
        <v>27</v>
      </c>
      <c r="B438">
        <v>1714</v>
      </c>
      <c r="C438" t="s">
        <v>2951</v>
      </c>
      <c r="D438">
        <v>138</v>
      </c>
      <c r="E438" t="s">
        <v>257</v>
      </c>
      <c r="F438" t="s">
        <v>1236</v>
      </c>
      <c r="G438" t="s">
        <v>1237</v>
      </c>
      <c r="H438" t="s">
        <v>1238</v>
      </c>
      <c r="J438" t="s">
        <v>152</v>
      </c>
      <c r="K438" t="s">
        <v>73</v>
      </c>
      <c r="L438" t="s">
        <v>1239</v>
      </c>
      <c r="M438" t="s">
        <v>35</v>
      </c>
      <c r="N438" t="s">
        <v>1240</v>
      </c>
      <c r="O438" t="s">
        <v>1241</v>
      </c>
      <c r="P438" t="s">
        <v>3045</v>
      </c>
      <c r="R438" t="s">
        <v>1242</v>
      </c>
      <c r="S438" t="s">
        <v>1243</v>
      </c>
      <c r="T438" t="s">
        <v>58</v>
      </c>
      <c r="U438" t="s">
        <v>82</v>
      </c>
      <c r="V438" s="1">
        <v>42706</v>
      </c>
      <c r="W438">
        <v>0</v>
      </c>
      <c r="X438">
        <v>13</v>
      </c>
      <c r="AA438" t="s">
        <v>42</v>
      </c>
      <c r="AB438" t="s">
        <v>43</v>
      </c>
      <c r="AC438" t="s">
        <v>43</v>
      </c>
    </row>
    <row r="439" spans="1:29" x14ac:dyDescent="0.4">
      <c r="A439" t="s">
        <v>27</v>
      </c>
      <c r="B439">
        <v>1714</v>
      </c>
      <c r="C439" t="s">
        <v>2951</v>
      </c>
      <c r="D439">
        <v>139</v>
      </c>
      <c r="E439" t="s">
        <v>257</v>
      </c>
      <c r="F439" t="s">
        <v>1236</v>
      </c>
      <c r="G439" t="s">
        <v>1237</v>
      </c>
      <c r="H439" t="s">
        <v>1238</v>
      </c>
      <c r="J439" t="s">
        <v>152</v>
      </c>
      <c r="K439" t="s">
        <v>73</v>
      </c>
      <c r="L439" t="s">
        <v>1239</v>
      </c>
      <c r="M439" t="s">
        <v>35</v>
      </c>
      <c r="N439" t="s">
        <v>1240</v>
      </c>
      <c r="O439" t="s">
        <v>1241</v>
      </c>
      <c r="P439" t="s">
        <v>3045</v>
      </c>
      <c r="R439" t="s">
        <v>1244</v>
      </c>
      <c r="S439" t="s">
        <v>1245</v>
      </c>
      <c r="T439" t="s">
        <v>58</v>
      </c>
      <c r="U439" t="s">
        <v>82</v>
      </c>
      <c r="V439" s="1">
        <v>44285</v>
      </c>
      <c r="W439">
        <v>0</v>
      </c>
      <c r="X439">
        <v>15</v>
      </c>
      <c r="AA439" t="s">
        <v>42</v>
      </c>
      <c r="AB439" t="s">
        <v>43</v>
      </c>
      <c r="AC439" t="s">
        <v>43</v>
      </c>
    </row>
    <row r="440" spans="1:29" x14ac:dyDescent="0.4">
      <c r="A440" t="s">
        <v>27</v>
      </c>
      <c r="B440">
        <v>1714</v>
      </c>
      <c r="C440" t="s">
        <v>2951</v>
      </c>
      <c r="D440">
        <v>140</v>
      </c>
      <c r="E440" t="s">
        <v>257</v>
      </c>
      <c r="F440" t="s">
        <v>1236</v>
      </c>
      <c r="G440" t="s">
        <v>1237</v>
      </c>
      <c r="H440" t="s">
        <v>1238</v>
      </c>
      <c r="J440" t="s">
        <v>152</v>
      </c>
      <c r="K440" t="s">
        <v>73</v>
      </c>
      <c r="L440" t="s">
        <v>1239</v>
      </c>
      <c r="M440" t="s">
        <v>35</v>
      </c>
      <c r="N440" t="s">
        <v>1240</v>
      </c>
      <c r="O440" t="s">
        <v>1241</v>
      </c>
      <c r="P440" t="s">
        <v>3045</v>
      </c>
      <c r="R440" t="s">
        <v>1246</v>
      </c>
      <c r="S440" t="s">
        <v>1247</v>
      </c>
      <c r="T440" t="s">
        <v>94</v>
      </c>
      <c r="U440" t="s">
        <v>40</v>
      </c>
      <c r="V440" s="1">
        <v>43499</v>
      </c>
      <c r="W440">
        <v>0</v>
      </c>
      <c r="X440">
        <v>14</v>
      </c>
      <c r="AA440" t="s">
        <v>42</v>
      </c>
      <c r="AB440" t="s">
        <v>43</v>
      </c>
      <c r="AC440" t="s">
        <v>43</v>
      </c>
    </row>
    <row r="441" spans="1:29" x14ac:dyDescent="0.4">
      <c r="A441" t="s">
        <v>27</v>
      </c>
      <c r="B441">
        <v>889</v>
      </c>
      <c r="C441" t="s">
        <v>2952</v>
      </c>
      <c r="D441">
        <v>141</v>
      </c>
      <c r="E441" t="s">
        <v>28</v>
      </c>
      <c r="F441" t="s">
        <v>1248</v>
      </c>
      <c r="G441" t="s">
        <v>1249</v>
      </c>
      <c r="H441" t="s">
        <v>1250</v>
      </c>
      <c r="J441" t="s">
        <v>1251</v>
      </c>
      <c r="K441" t="s">
        <v>1252</v>
      </c>
      <c r="L441" t="s">
        <v>1253</v>
      </c>
      <c r="M441" t="s">
        <v>1254</v>
      </c>
      <c r="N441">
        <v>31641309799</v>
      </c>
      <c r="O441" t="s">
        <v>1255</v>
      </c>
      <c r="P441" t="s">
        <v>2952</v>
      </c>
      <c r="R441" t="s">
        <v>1256</v>
      </c>
      <c r="S441" t="s">
        <v>1257</v>
      </c>
      <c r="T441" t="s">
        <v>58</v>
      </c>
      <c r="U441" t="s">
        <v>40</v>
      </c>
      <c r="V441" s="1">
        <v>45803</v>
      </c>
      <c r="W441">
        <v>0</v>
      </c>
      <c r="X441">
        <v>4</v>
      </c>
      <c r="Y441" t="s">
        <v>65</v>
      </c>
      <c r="AA441" t="s">
        <v>42</v>
      </c>
      <c r="AB441" t="s">
        <v>43</v>
      </c>
      <c r="AC441" t="s">
        <v>43</v>
      </c>
    </row>
    <row r="442" spans="1:29" x14ac:dyDescent="0.4">
      <c r="A442" t="s">
        <v>27</v>
      </c>
      <c r="B442">
        <v>889</v>
      </c>
      <c r="C442" t="s">
        <v>2952</v>
      </c>
      <c r="D442">
        <v>142</v>
      </c>
      <c r="E442" t="s">
        <v>28</v>
      </c>
      <c r="F442" t="s">
        <v>1248</v>
      </c>
      <c r="G442" t="s">
        <v>1249</v>
      </c>
      <c r="H442" t="s">
        <v>1250</v>
      </c>
      <c r="J442" t="s">
        <v>1251</v>
      </c>
      <c r="K442" t="s">
        <v>1252</v>
      </c>
      <c r="L442" t="s">
        <v>1253</v>
      </c>
      <c r="M442" t="s">
        <v>1254</v>
      </c>
      <c r="N442">
        <v>31641309799</v>
      </c>
      <c r="O442" t="s">
        <v>1255</v>
      </c>
      <c r="P442" t="s">
        <v>2952</v>
      </c>
      <c r="R442" t="s">
        <v>1258</v>
      </c>
      <c r="S442" t="s">
        <v>1259</v>
      </c>
      <c r="T442" t="s">
        <v>376</v>
      </c>
      <c r="U442" t="s">
        <v>40</v>
      </c>
      <c r="V442" s="1">
        <v>43204</v>
      </c>
      <c r="W442">
        <v>0</v>
      </c>
      <c r="X442">
        <v>18</v>
      </c>
      <c r="AA442" t="s">
        <v>42</v>
      </c>
      <c r="AB442" t="s">
        <v>43</v>
      </c>
      <c r="AC442" t="s">
        <v>43</v>
      </c>
    </row>
    <row r="443" spans="1:29" x14ac:dyDescent="0.4">
      <c r="A443" t="s">
        <v>27</v>
      </c>
      <c r="B443">
        <v>889</v>
      </c>
      <c r="C443" t="s">
        <v>2952</v>
      </c>
      <c r="D443">
        <v>142</v>
      </c>
      <c r="E443" t="s">
        <v>28</v>
      </c>
      <c r="F443" t="s">
        <v>1248</v>
      </c>
      <c r="G443" t="s">
        <v>1249</v>
      </c>
      <c r="H443" t="s">
        <v>1250</v>
      </c>
      <c r="J443" t="s">
        <v>1251</v>
      </c>
      <c r="K443" t="s">
        <v>1252</v>
      </c>
      <c r="L443" t="s">
        <v>1253</v>
      </c>
      <c r="M443" t="s">
        <v>1254</v>
      </c>
      <c r="N443">
        <v>31641309799</v>
      </c>
      <c r="O443" t="s">
        <v>1255</v>
      </c>
      <c r="P443" t="s">
        <v>2952</v>
      </c>
      <c r="R443" t="s">
        <v>1258</v>
      </c>
      <c r="S443" t="s">
        <v>1259</v>
      </c>
      <c r="T443" t="s">
        <v>376</v>
      </c>
      <c r="U443" t="s">
        <v>40</v>
      </c>
      <c r="V443" s="1">
        <v>43204</v>
      </c>
      <c r="W443">
        <v>0</v>
      </c>
      <c r="X443">
        <v>20</v>
      </c>
      <c r="AA443" t="s">
        <v>42</v>
      </c>
      <c r="AB443" t="s">
        <v>43</v>
      </c>
      <c r="AC443" t="s">
        <v>43</v>
      </c>
    </row>
    <row r="444" spans="1:29" x14ac:dyDescent="0.4">
      <c r="A444" t="s">
        <v>27</v>
      </c>
      <c r="B444">
        <v>889</v>
      </c>
      <c r="C444" t="s">
        <v>2952</v>
      </c>
      <c r="D444">
        <v>141</v>
      </c>
      <c r="E444" t="s">
        <v>28</v>
      </c>
      <c r="F444" t="s">
        <v>1248</v>
      </c>
      <c r="G444" t="s">
        <v>1249</v>
      </c>
      <c r="H444" t="s">
        <v>1250</v>
      </c>
      <c r="J444" t="s">
        <v>1251</v>
      </c>
      <c r="K444" t="s">
        <v>1252</v>
      </c>
      <c r="L444" t="s">
        <v>1253</v>
      </c>
      <c r="M444" t="s">
        <v>1254</v>
      </c>
      <c r="N444">
        <v>31641309799</v>
      </c>
      <c r="O444" t="s">
        <v>1255</v>
      </c>
      <c r="P444" t="s">
        <v>2952</v>
      </c>
      <c r="R444" t="s">
        <v>1256</v>
      </c>
      <c r="S444" t="s">
        <v>1257</v>
      </c>
      <c r="T444" t="s">
        <v>58</v>
      </c>
      <c r="U444" t="s">
        <v>40</v>
      </c>
      <c r="V444" s="1">
        <v>45803</v>
      </c>
      <c r="W444">
        <v>0</v>
      </c>
      <c r="X444">
        <v>12</v>
      </c>
      <c r="AA444" t="s">
        <v>42</v>
      </c>
      <c r="AB444" t="s">
        <v>43</v>
      </c>
      <c r="AC444" t="s">
        <v>43</v>
      </c>
    </row>
    <row r="445" spans="1:29" x14ac:dyDescent="0.4">
      <c r="A445" t="s">
        <v>27</v>
      </c>
      <c r="B445">
        <v>889</v>
      </c>
      <c r="C445" t="s">
        <v>2952</v>
      </c>
      <c r="D445">
        <v>142</v>
      </c>
      <c r="E445" t="s">
        <v>28</v>
      </c>
      <c r="F445" t="s">
        <v>1248</v>
      </c>
      <c r="G445" t="s">
        <v>1249</v>
      </c>
      <c r="H445" t="s">
        <v>1250</v>
      </c>
      <c r="J445" t="s">
        <v>1251</v>
      </c>
      <c r="K445" t="s">
        <v>1252</v>
      </c>
      <c r="L445" t="s">
        <v>1253</v>
      </c>
      <c r="M445" t="s">
        <v>1254</v>
      </c>
      <c r="N445">
        <v>31641309799</v>
      </c>
      <c r="O445" t="s">
        <v>1255</v>
      </c>
      <c r="P445" t="s">
        <v>2952</v>
      </c>
      <c r="R445" t="s">
        <v>1258</v>
      </c>
      <c r="S445" t="s">
        <v>1259</v>
      </c>
      <c r="T445" t="s">
        <v>376</v>
      </c>
      <c r="U445" t="s">
        <v>40</v>
      </c>
      <c r="V445" s="1">
        <v>43204</v>
      </c>
      <c r="W445">
        <v>0</v>
      </c>
      <c r="X445">
        <v>7</v>
      </c>
      <c r="AA445" t="s">
        <v>42</v>
      </c>
      <c r="AB445" t="s">
        <v>43</v>
      </c>
      <c r="AC445" t="s">
        <v>43</v>
      </c>
    </row>
    <row r="446" spans="1:29" x14ac:dyDescent="0.4">
      <c r="A446" t="s">
        <v>27</v>
      </c>
      <c r="B446">
        <v>6109</v>
      </c>
      <c r="C446" t="s">
        <v>2953</v>
      </c>
      <c r="D446">
        <v>143</v>
      </c>
      <c r="E446" t="s">
        <v>68</v>
      </c>
      <c r="F446" t="s">
        <v>772</v>
      </c>
      <c r="G446" t="s">
        <v>1260</v>
      </c>
      <c r="H446" t="s">
        <v>1261</v>
      </c>
      <c r="I446" t="s">
        <v>1262</v>
      </c>
      <c r="J446" t="s">
        <v>730</v>
      </c>
      <c r="K446" t="s">
        <v>495</v>
      </c>
      <c r="L446" t="s">
        <v>1263</v>
      </c>
      <c r="M446" t="s">
        <v>35</v>
      </c>
      <c r="N446">
        <v>1323461995</v>
      </c>
      <c r="O446" t="s">
        <v>1264</v>
      </c>
      <c r="P446" t="s">
        <v>3075</v>
      </c>
      <c r="R446" t="s">
        <v>3106</v>
      </c>
      <c r="S446" t="s">
        <v>1266</v>
      </c>
      <c r="T446" t="s">
        <v>94</v>
      </c>
      <c r="U446" t="s">
        <v>82</v>
      </c>
      <c r="V446" s="1">
        <v>45188</v>
      </c>
      <c r="W446">
        <v>0</v>
      </c>
      <c r="X446">
        <v>10</v>
      </c>
      <c r="AA446" t="s">
        <v>42</v>
      </c>
      <c r="AB446" t="s">
        <v>43</v>
      </c>
      <c r="AC446" t="s">
        <v>43</v>
      </c>
    </row>
    <row r="447" spans="1:29" x14ac:dyDescent="0.4">
      <c r="A447" t="s">
        <v>27</v>
      </c>
      <c r="B447">
        <v>6109</v>
      </c>
      <c r="C447" t="s">
        <v>2953</v>
      </c>
      <c r="D447">
        <v>143</v>
      </c>
      <c r="E447" t="s">
        <v>68</v>
      </c>
      <c r="F447" t="s">
        <v>772</v>
      </c>
      <c r="G447" t="s">
        <v>1260</v>
      </c>
      <c r="H447" t="s">
        <v>1261</v>
      </c>
      <c r="I447" t="s">
        <v>1262</v>
      </c>
      <c r="J447" t="s">
        <v>730</v>
      </c>
      <c r="K447" t="s">
        <v>495</v>
      </c>
      <c r="L447" t="s">
        <v>1263</v>
      </c>
      <c r="M447" t="s">
        <v>35</v>
      </c>
      <c r="N447">
        <v>1323461995</v>
      </c>
      <c r="O447" t="s">
        <v>1264</v>
      </c>
      <c r="P447" t="s">
        <v>3075</v>
      </c>
      <c r="R447" t="s">
        <v>3106</v>
      </c>
      <c r="S447" t="s">
        <v>1266</v>
      </c>
      <c r="T447" t="s">
        <v>94</v>
      </c>
      <c r="U447" t="s">
        <v>82</v>
      </c>
      <c r="V447" s="1">
        <v>45188</v>
      </c>
      <c r="W447">
        <v>0</v>
      </c>
      <c r="X447">
        <v>11</v>
      </c>
      <c r="AA447" t="s">
        <v>42</v>
      </c>
      <c r="AB447" t="s">
        <v>43</v>
      </c>
      <c r="AC447" t="s">
        <v>43</v>
      </c>
    </row>
    <row r="448" spans="1:29" hidden="1" x14ac:dyDescent="0.4">
      <c r="A448" t="s">
        <v>27</v>
      </c>
      <c r="B448">
        <v>5350</v>
      </c>
      <c r="C448" t="s">
        <v>2865</v>
      </c>
      <c r="E448" t="s">
        <v>195</v>
      </c>
      <c r="F448" t="s">
        <v>896</v>
      </c>
      <c r="G448" t="s">
        <v>1267</v>
      </c>
      <c r="H448" t="s">
        <v>1268</v>
      </c>
      <c r="I448" t="s">
        <v>1269</v>
      </c>
      <c r="J448" t="s">
        <v>1270</v>
      </c>
      <c r="K448" t="s">
        <v>51</v>
      </c>
      <c r="L448" t="s">
        <v>1271</v>
      </c>
      <c r="M448" t="s">
        <v>35</v>
      </c>
      <c r="N448" t="s">
        <v>1272</v>
      </c>
      <c r="O448" t="s">
        <v>1273</v>
      </c>
      <c r="P448" t="s">
        <v>1274</v>
      </c>
      <c r="R448" t="s">
        <v>1275</v>
      </c>
      <c r="S448" t="s">
        <v>1276</v>
      </c>
      <c r="T448" t="s">
        <v>1277</v>
      </c>
      <c r="U448" t="s">
        <v>82</v>
      </c>
      <c r="V448" s="1">
        <v>40306</v>
      </c>
      <c r="W448">
        <v>0</v>
      </c>
      <c r="X448">
        <v>0</v>
      </c>
      <c r="Y448" t="s">
        <v>59</v>
      </c>
      <c r="Z448" t="s">
        <v>135</v>
      </c>
      <c r="AA448" t="s">
        <v>42</v>
      </c>
      <c r="AB448" t="s">
        <v>43</v>
      </c>
      <c r="AC448" t="s">
        <v>43</v>
      </c>
    </row>
    <row r="449" spans="1:30" hidden="1" x14ac:dyDescent="0.4">
      <c r="A449" t="s">
        <v>27</v>
      </c>
      <c r="B449">
        <v>5350</v>
      </c>
      <c r="C449" t="s">
        <v>2865</v>
      </c>
      <c r="E449" t="s">
        <v>195</v>
      </c>
      <c r="F449" t="s">
        <v>896</v>
      </c>
      <c r="G449" t="s">
        <v>1267</v>
      </c>
      <c r="H449" t="s">
        <v>1268</v>
      </c>
      <c r="I449" t="s">
        <v>1269</v>
      </c>
      <c r="J449" t="s">
        <v>1270</v>
      </c>
      <c r="K449" t="s">
        <v>51</v>
      </c>
      <c r="L449" t="s">
        <v>1271</v>
      </c>
      <c r="M449" t="s">
        <v>35</v>
      </c>
      <c r="N449" t="s">
        <v>1272</v>
      </c>
      <c r="O449" t="s">
        <v>1273</v>
      </c>
      <c r="P449" t="s">
        <v>1274</v>
      </c>
      <c r="R449" t="s">
        <v>1275</v>
      </c>
      <c r="S449" t="s">
        <v>1276</v>
      </c>
      <c r="T449" t="s">
        <v>1277</v>
      </c>
      <c r="U449" t="s">
        <v>82</v>
      </c>
      <c r="V449" s="1">
        <v>40306</v>
      </c>
      <c r="W449">
        <v>0</v>
      </c>
      <c r="X449">
        <v>0</v>
      </c>
      <c r="Y449" t="s">
        <v>59</v>
      </c>
      <c r="Z449" t="s">
        <v>135</v>
      </c>
      <c r="AA449" t="s">
        <v>42</v>
      </c>
      <c r="AB449" t="s">
        <v>43</v>
      </c>
      <c r="AC449" t="s">
        <v>43</v>
      </c>
    </row>
    <row r="450" spans="1:30" x14ac:dyDescent="0.4">
      <c r="A450" t="s">
        <v>27</v>
      </c>
      <c r="B450">
        <v>5350</v>
      </c>
      <c r="C450" t="s">
        <v>2865</v>
      </c>
      <c r="D450">
        <v>145</v>
      </c>
      <c r="E450" t="s">
        <v>195</v>
      </c>
      <c r="F450" t="s">
        <v>896</v>
      </c>
      <c r="G450" t="s">
        <v>1267</v>
      </c>
      <c r="H450" t="s">
        <v>1268</v>
      </c>
      <c r="I450" t="s">
        <v>1269</v>
      </c>
      <c r="J450" t="s">
        <v>1270</v>
      </c>
      <c r="K450" t="s">
        <v>51</v>
      </c>
      <c r="L450" t="s">
        <v>1271</v>
      </c>
      <c r="M450" t="s">
        <v>35</v>
      </c>
      <c r="N450" t="s">
        <v>1272</v>
      </c>
      <c r="O450" t="s">
        <v>1273</v>
      </c>
      <c r="P450" t="s">
        <v>2865</v>
      </c>
      <c r="R450" t="s">
        <v>3107</v>
      </c>
      <c r="S450" t="s">
        <v>1279</v>
      </c>
      <c r="T450" t="s">
        <v>46</v>
      </c>
      <c r="U450" t="s">
        <v>82</v>
      </c>
      <c r="V450" s="1">
        <v>43503</v>
      </c>
      <c r="W450">
        <v>0</v>
      </c>
      <c r="X450">
        <v>5</v>
      </c>
      <c r="Y450" t="s">
        <v>66</v>
      </c>
      <c r="Z450" t="s">
        <v>135</v>
      </c>
      <c r="AA450" t="s">
        <v>42</v>
      </c>
      <c r="AB450" t="s">
        <v>43</v>
      </c>
      <c r="AC450" t="s">
        <v>43</v>
      </c>
    </row>
    <row r="451" spans="1:30" x14ac:dyDescent="0.4">
      <c r="A451" t="s">
        <v>27</v>
      </c>
      <c r="B451">
        <v>5350</v>
      </c>
      <c r="C451" t="s">
        <v>2865</v>
      </c>
      <c r="D451">
        <v>145</v>
      </c>
      <c r="E451" t="s">
        <v>195</v>
      </c>
      <c r="F451" t="s">
        <v>896</v>
      </c>
      <c r="G451" t="s">
        <v>1267</v>
      </c>
      <c r="H451" t="s">
        <v>1268</v>
      </c>
      <c r="I451" t="s">
        <v>1269</v>
      </c>
      <c r="J451" t="s">
        <v>1270</v>
      </c>
      <c r="K451" t="s">
        <v>51</v>
      </c>
      <c r="L451" t="s">
        <v>1271</v>
      </c>
      <c r="M451" t="s">
        <v>35</v>
      </c>
      <c r="N451" t="s">
        <v>1272</v>
      </c>
      <c r="O451" t="s">
        <v>1273</v>
      </c>
      <c r="P451" t="s">
        <v>2865</v>
      </c>
      <c r="R451" t="s">
        <v>3107</v>
      </c>
      <c r="S451" t="s">
        <v>1279</v>
      </c>
      <c r="T451" t="s">
        <v>46</v>
      </c>
      <c r="U451" t="s">
        <v>82</v>
      </c>
      <c r="V451" s="1">
        <v>43503</v>
      </c>
      <c r="W451">
        <v>0</v>
      </c>
      <c r="X451">
        <v>6</v>
      </c>
      <c r="Y451" t="s">
        <v>83</v>
      </c>
      <c r="Z451" t="s">
        <v>135</v>
      </c>
      <c r="AA451" t="s">
        <v>42</v>
      </c>
      <c r="AB451" t="s">
        <v>43</v>
      </c>
      <c r="AC451" t="s">
        <v>43</v>
      </c>
    </row>
    <row r="452" spans="1:30" x14ac:dyDescent="0.4">
      <c r="A452" t="s">
        <v>27</v>
      </c>
      <c r="B452">
        <v>5350</v>
      </c>
      <c r="C452" t="s">
        <v>2865</v>
      </c>
      <c r="D452">
        <v>144</v>
      </c>
      <c r="E452" t="s">
        <v>195</v>
      </c>
      <c r="F452" t="s">
        <v>896</v>
      </c>
      <c r="G452" t="s">
        <v>1267</v>
      </c>
      <c r="H452" t="s">
        <v>1268</v>
      </c>
      <c r="I452" t="s">
        <v>1269</v>
      </c>
      <c r="J452" t="s">
        <v>1270</v>
      </c>
      <c r="K452" t="s">
        <v>51</v>
      </c>
      <c r="L452" t="s">
        <v>1271</v>
      </c>
      <c r="M452" t="s">
        <v>35</v>
      </c>
      <c r="N452" t="s">
        <v>1272</v>
      </c>
      <c r="O452" t="s">
        <v>1273</v>
      </c>
      <c r="P452" t="s">
        <v>2865</v>
      </c>
      <c r="R452" t="s">
        <v>3108</v>
      </c>
      <c r="S452" t="s">
        <v>1281</v>
      </c>
      <c r="T452" t="s">
        <v>376</v>
      </c>
      <c r="U452" t="s">
        <v>82</v>
      </c>
      <c r="V452" s="1">
        <v>44551</v>
      </c>
      <c r="W452">
        <v>0</v>
      </c>
      <c r="X452">
        <v>6</v>
      </c>
      <c r="Y452" t="s">
        <v>83</v>
      </c>
      <c r="Z452" t="s">
        <v>135</v>
      </c>
      <c r="AA452" t="s">
        <v>42</v>
      </c>
      <c r="AB452" t="s">
        <v>43</v>
      </c>
      <c r="AC452" t="s">
        <v>43</v>
      </c>
    </row>
    <row r="453" spans="1:30" x14ac:dyDescent="0.4">
      <c r="A453" t="s">
        <v>27</v>
      </c>
      <c r="B453">
        <v>5350</v>
      </c>
      <c r="C453" t="s">
        <v>2865</v>
      </c>
      <c r="D453">
        <v>144</v>
      </c>
      <c r="E453" t="s">
        <v>195</v>
      </c>
      <c r="F453" t="s">
        <v>896</v>
      </c>
      <c r="G453" t="s">
        <v>1267</v>
      </c>
      <c r="H453" t="s">
        <v>1268</v>
      </c>
      <c r="I453" t="s">
        <v>1269</v>
      </c>
      <c r="J453" t="s">
        <v>1270</v>
      </c>
      <c r="K453" t="s">
        <v>51</v>
      </c>
      <c r="L453" t="s">
        <v>1271</v>
      </c>
      <c r="M453" t="s">
        <v>35</v>
      </c>
      <c r="N453" t="s">
        <v>1272</v>
      </c>
      <c r="O453" t="s">
        <v>1273</v>
      </c>
      <c r="P453" t="s">
        <v>2865</v>
      </c>
      <c r="R453" t="s">
        <v>3108</v>
      </c>
      <c r="S453" t="s">
        <v>1281</v>
      </c>
      <c r="T453" t="s">
        <v>376</v>
      </c>
      <c r="U453" t="s">
        <v>82</v>
      </c>
      <c r="V453" s="1">
        <v>44551</v>
      </c>
      <c r="W453">
        <v>0</v>
      </c>
      <c r="X453">
        <v>7</v>
      </c>
      <c r="Z453" t="s">
        <v>135</v>
      </c>
      <c r="AA453" t="s">
        <v>42</v>
      </c>
      <c r="AB453" t="s">
        <v>43</v>
      </c>
      <c r="AC453" t="s">
        <v>43</v>
      </c>
    </row>
    <row r="454" spans="1:30" x14ac:dyDescent="0.4">
      <c r="A454" t="s">
        <v>27</v>
      </c>
      <c r="B454">
        <v>5350</v>
      </c>
      <c r="C454" t="s">
        <v>2865</v>
      </c>
      <c r="D454">
        <v>145</v>
      </c>
      <c r="E454" t="s">
        <v>195</v>
      </c>
      <c r="F454" t="s">
        <v>896</v>
      </c>
      <c r="G454" t="s">
        <v>1267</v>
      </c>
      <c r="H454" t="s">
        <v>1268</v>
      </c>
      <c r="I454" t="s">
        <v>1269</v>
      </c>
      <c r="J454" t="s">
        <v>1270</v>
      </c>
      <c r="K454" t="s">
        <v>51</v>
      </c>
      <c r="L454" t="s">
        <v>1271</v>
      </c>
      <c r="M454" t="s">
        <v>35</v>
      </c>
      <c r="N454" t="s">
        <v>1272</v>
      </c>
      <c r="O454" t="s">
        <v>1273</v>
      </c>
      <c r="P454" t="s">
        <v>2865</v>
      </c>
      <c r="R454" t="s">
        <v>3107</v>
      </c>
      <c r="S454" t="s">
        <v>1279</v>
      </c>
      <c r="T454" t="s">
        <v>46</v>
      </c>
      <c r="U454" t="s">
        <v>82</v>
      </c>
      <c r="V454" s="1">
        <v>43503</v>
      </c>
      <c r="W454">
        <v>0</v>
      </c>
      <c r="X454">
        <v>15</v>
      </c>
      <c r="Z454" t="s">
        <v>135</v>
      </c>
      <c r="AA454" t="s">
        <v>42</v>
      </c>
      <c r="AB454" t="s">
        <v>43</v>
      </c>
      <c r="AC454" t="s">
        <v>43</v>
      </c>
    </row>
    <row r="455" spans="1:30" x14ac:dyDescent="0.4">
      <c r="A455" t="s">
        <v>27</v>
      </c>
      <c r="B455">
        <v>5350</v>
      </c>
      <c r="C455" t="s">
        <v>2865</v>
      </c>
      <c r="D455">
        <v>144</v>
      </c>
      <c r="E455" t="s">
        <v>195</v>
      </c>
      <c r="F455" t="s">
        <v>896</v>
      </c>
      <c r="G455" t="s">
        <v>1267</v>
      </c>
      <c r="H455" t="s">
        <v>1268</v>
      </c>
      <c r="I455" t="s">
        <v>1269</v>
      </c>
      <c r="J455" t="s">
        <v>1270</v>
      </c>
      <c r="K455" t="s">
        <v>51</v>
      </c>
      <c r="L455" t="s">
        <v>1271</v>
      </c>
      <c r="M455" t="s">
        <v>35</v>
      </c>
      <c r="N455" t="s">
        <v>1272</v>
      </c>
      <c r="O455" t="s">
        <v>1273</v>
      </c>
      <c r="P455" t="s">
        <v>2865</v>
      </c>
      <c r="R455" t="s">
        <v>3108</v>
      </c>
      <c r="S455" t="s">
        <v>1281</v>
      </c>
      <c r="T455" t="s">
        <v>376</v>
      </c>
      <c r="U455" t="s">
        <v>82</v>
      </c>
      <c r="V455" s="1">
        <v>44551</v>
      </c>
      <c r="W455">
        <v>0</v>
      </c>
      <c r="X455">
        <v>17</v>
      </c>
      <c r="Z455" t="s">
        <v>135</v>
      </c>
      <c r="AA455" t="s">
        <v>42</v>
      </c>
      <c r="AB455" t="s">
        <v>43</v>
      </c>
      <c r="AC455" t="s">
        <v>43</v>
      </c>
    </row>
    <row r="456" spans="1:30" x14ac:dyDescent="0.4">
      <c r="A456" t="s">
        <v>27</v>
      </c>
      <c r="B456">
        <v>3268</v>
      </c>
      <c r="C456" t="s">
        <v>377</v>
      </c>
      <c r="D456">
        <v>146</v>
      </c>
      <c r="E456" t="s">
        <v>68</v>
      </c>
      <c r="F456" t="s">
        <v>1282</v>
      </c>
      <c r="G456" t="s">
        <v>1283</v>
      </c>
      <c r="H456" t="s">
        <v>1284</v>
      </c>
      <c r="J456" t="s">
        <v>1285</v>
      </c>
      <c r="K456" t="s">
        <v>1085</v>
      </c>
      <c r="L456" t="s">
        <v>1286</v>
      </c>
      <c r="M456" t="s">
        <v>35</v>
      </c>
      <c r="N456">
        <v>447979082199</v>
      </c>
      <c r="O456" t="s">
        <v>1287</v>
      </c>
      <c r="P456" t="s">
        <v>377</v>
      </c>
      <c r="R456" t="s">
        <v>1289</v>
      </c>
      <c r="S456" t="s">
        <v>1290</v>
      </c>
      <c r="T456" t="s">
        <v>58</v>
      </c>
      <c r="U456" t="s">
        <v>82</v>
      </c>
      <c r="V456" s="1">
        <v>44841</v>
      </c>
      <c r="W456">
        <v>0</v>
      </c>
      <c r="X456">
        <v>4</v>
      </c>
      <c r="Y456" t="s">
        <v>65</v>
      </c>
      <c r="AA456" t="s">
        <v>42</v>
      </c>
      <c r="AB456" t="s">
        <v>43</v>
      </c>
      <c r="AC456" t="s">
        <v>43</v>
      </c>
      <c r="AD456" t="s">
        <v>1291</v>
      </c>
    </row>
    <row r="457" spans="1:30" x14ac:dyDescent="0.4">
      <c r="A457" t="s">
        <v>27</v>
      </c>
      <c r="B457">
        <v>3268</v>
      </c>
      <c r="C457" t="s">
        <v>377</v>
      </c>
      <c r="D457">
        <v>146</v>
      </c>
      <c r="E457" t="s">
        <v>68</v>
      </c>
      <c r="F457" t="s">
        <v>1282</v>
      </c>
      <c r="G457" t="s">
        <v>1283</v>
      </c>
      <c r="H457" t="s">
        <v>1284</v>
      </c>
      <c r="J457" t="s">
        <v>1285</v>
      </c>
      <c r="K457" t="s">
        <v>1085</v>
      </c>
      <c r="L457" t="s">
        <v>1286</v>
      </c>
      <c r="M457" t="s">
        <v>35</v>
      </c>
      <c r="N457">
        <v>447979082199</v>
      </c>
      <c r="O457" t="s">
        <v>1287</v>
      </c>
      <c r="P457" t="s">
        <v>377</v>
      </c>
      <c r="R457" t="s">
        <v>1289</v>
      </c>
      <c r="S457" t="s">
        <v>1290</v>
      </c>
      <c r="T457" t="s">
        <v>58</v>
      </c>
      <c r="U457" t="s">
        <v>82</v>
      </c>
      <c r="V457" s="1">
        <v>44841</v>
      </c>
      <c r="W457">
        <v>0</v>
      </c>
      <c r="X457">
        <v>5</v>
      </c>
      <c r="Y457" t="s">
        <v>66</v>
      </c>
      <c r="AA457" t="s">
        <v>42</v>
      </c>
      <c r="AB457" t="s">
        <v>43</v>
      </c>
      <c r="AC457" t="s">
        <v>43</v>
      </c>
      <c r="AD457" t="s">
        <v>1291</v>
      </c>
    </row>
    <row r="458" spans="1:30" x14ac:dyDescent="0.4">
      <c r="A458" t="s">
        <v>27</v>
      </c>
      <c r="B458">
        <v>3268</v>
      </c>
      <c r="C458" t="s">
        <v>377</v>
      </c>
      <c r="D458">
        <v>146</v>
      </c>
      <c r="E458" t="s">
        <v>68</v>
      </c>
      <c r="F458" t="s">
        <v>1282</v>
      </c>
      <c r="G458" t="s">
        <v>1283</v>
      </c>
      <c r="H458" t="s">
        <v>1284</v>
      </c>
      <c r="J458" t="s">
        <v>1285</v>
      </c>
      <c r="K458" t="s">
        <v>1085</v>
      </c>
      <c r="L458" t="s">
        <v>1286</v>
      </c>
      <c r="M458" t="s">
        <v>35</v>
      </c>
      <c r="N458">
        <v>447979082199</v>
      </c>
      <c r="O458" t="s">
        <v>1287</v>
      </c>
      <c r="P458" t="s">
        <v>377</v>
      </c>
      <c r="R458" t="s">
        <v>1289</v>
      </c>
      <c r="S458" t="s">
        <v>1290</v>
      </c>
      <c r="T458" t="s">
        <v>58</v>
      </c>
      <c r="U458" t="s">
        <v>82</v>
      </c>
      <c r="V458" s="1">
        <v>44841</v>
      </c>
      <c r="W458">
        <v>0</v>
      </c>
      <c r="X458">
        <v>6</v>
      </c>
      <c r="Y458" t="s">
        <v>83</v>
      </c>
      <c r="AA458" t="s">
        <v>42</v>
      </c>
      <c r="AB458" t="s">
        <v>43</v>
      </c>
      <c r="AC458" t="s">
        <v>43</v>
      </c>
      <c r="AD458" t="s">
        <v>1291</v>
      </c>
    </row>
    <row r="459" spans="1:30" x14ac:dyDescent="0.4">
      <c r="A459" t="s">
        <v>27</v>
      </c>
      <c r="B459">
        <v>3268</v>
      </c>
      <c r="C459" t="s">
        <v>377</v>
      </c>
      <c r="D459">
        <v>147</v>
      </c>
      <c r="E459" t="s">
        <v>68</v>
      </c>
      <c r="F459" t="s">
        <v>1282</v>
      </c>
      <c r="G459" t="s">
        <v>1283</v>
      </c>
      <c r="H459" t="s">
        <v>1284</v>
      </c>
      <c r="J459" t="s">
        <v>1285</v>
      </c>
      <c r="K459" t="s">
        <v>1085</v>
      </c>
      <c r="L459" t="s">
        <v>1286</v>
      </c>
      <c r="M459" t="s">
        <v>35</v>
      </c>
      <c r="N459">
        <v>447979082199</v>
      </c>
      <c r="O459" t="s">
        <v>1287</v>
      </c>
      <c r="P459" t="s">
        <v>377</v>
      </c>
      <c r="R459" t="s">
        <v>1292</v>
      </c>
      <c r="S459" t="s">
        <v>1293</v>
      </c>
      <c r="T459" t="s">
        <v>58</v>
      </c>
      <c r="U459" t="s">
        <v>40</v>
      </c>
      <c r="V459" s="1">
        <v>43161</v>
      </c>
      <c r="W459">
        <v>0</v>
      </c>
      <c r="X459">
        <v>6</v>
      </c>
      <c r="Y459" t="s">
        <v>83</v>
      </c>
      <c r="AA459" t="s">
        <v>42</v>
      </c>
      <c r="AB459" t="s">
        <v>43</v>
      </c>
      <c r="AC459" t="s">
        <v>43</v>
      </c>
      <c r="AD459" t="s">
        <v>1291</v>
      </c>
    </row>
    <row r="460" spans="1:30" x14ac:dyDescent="0.4">
      <c r="A460" t="s">
        <v>27</v>
      </c>
      <c r="B460">
        <v>3268</v>
      </c>
      <c r="C460" t="s">
        <v>377</v>
      </c>
      <c r="D460">
        <v>147</v>
      </c>
      <c r="E460" t="s">
        <v>68</v>
      </c>
      <c r="F460" t="s">
        <v>1282</v>
      </c>
      <c r="G460" t="s">
        <v>1283</v>
      </c>
      <c r="H460" t="s">
        <v>1284</v>
      </c>
      <c r="J460" t="s">
        <v>1285</v>
      </c>
      <c r="K460" t="s">
        <v>1085</v>
      </c>
      <c r="L460" t="s">
        <v>1286</v>
      </c>
      <c r="M460" t="s">
        <v>35</v>
      </c>
      <c r="N460">
        <v>447979082199</v>
      </c>
      <c r="O460" t="s">
        <v>1287</v>
      </c>
      <c r="P460" t="s">
        <v>377</v>
      </c>
      <c r="R460" t="s">
        <v>1292</v>
      </c>
      <c r="S460" t="s">
        <v>1293</v>
      </c>
      <c r="T460" t="s">
        <v>58</v>
      </c>
      <c r="U460" t="s">
        <v>40</v>
      </c>
      <c r="V460" s="1">
        <v>43161</v>
      </c>
      <c r="W460">
        <v>0</v>
      </c>
      <c r="X460">
        <v>7</v>
      </c>
      <c r="AA460" t="s">
        <v>42</v>
      </c>
      <c r="AB460" t="s">
        <v>43</v>
      </c>
      <c r="AC460" t="s">
        <v>43</v>
      </c>
      <c r="AD460" t="s">
        <v>1291</v>
      </c>
    </row>
    <row r="461" spans="1:30" hidden="1" x14ac:dyDescent="0.4">
      <c r="A461" t="s">
        <v>27</v>
      </c>
      <c r="B461">
        <v>3268</v>
      </c>
      <c r="C461" t="s">
        <v>377</v>
      </c>
      <c r="E461" t="s">
        <v>68</v>
      </c>
      <c r="F461" t="s">
        <v>1282</v>
      </c>
      <c r="G461" t="s">
        <v>1283</v>
      </c>
      <c r="H461" t="s">
        <v>1284</v>
      </c>
      <c r="J461" t="s">
        <v>1285</v>
      </c>
      <c r="K461" t="s">
        <v>1085</v>
      </c>
      <c r="L461" t="s">
        <v>1286</v>
      </c>
      <c r="M461" t="s">
        <v>35</v>
      </c>
      <c r="N461">
        <v>447979082199</v>
      </c>
      <c r="O461" t="s">
        <v>1287</v>
      </c>
      <c r="P461" t="s">
        <v>1288</v>
      </c>
      <c r="R461" t="s">
        <v>1289</v>
      </c>
      <c r="S461" t="s">
        <v>1290</v>
      </c>
      <c r="T461" t="s">
        <v>58</v>
      </c>
      <c r="U461" t="s">
        <v>82</v>
      </c>
      <c r="V461" s="1">
        <v>44841</v>
      </c>
      <c r="W461">
        <v>0</v>
      </c>
      <c r="X461">
        <v>0</v>
      </c>
      <c r="Y461" t="s">
        <v>59</v>
      </c>
      <c r="AA461" t="s">
        <v>42</v>
      </c>
      <c r="AB461" t="s">
        <v>43</v>
      </c>
      <c r="AC461" t="s">
        <v>43</v>
      </c>
      <c r="AD461" t="s">
        <v>1291</v>
      </c>
    </row>
    <row r="462" spans="1:30" hidden="1" x14ac:dyDescent="0.4">
      <c r="A462" t="s">
        <v>27</v>
      </c>
      <c r="B462">
        <v>3268</v>
      </c>
      <c r="C462" t="s">
        <v>377</v>
      </c>
      <c r="E462" t="s">
        <v>68</v>
      </c>
      <c r="F462" t="s">
        <v>1282</v>
      </c>
      <c r="G462" t="s">
        <v>1283</v>
      </c>
      <c r="H462" t="s">
        <v>1284</v>
      </c>
      <c r="J462" t="s">
        <v>1285</v>
      </c>
      <c r="K462" t="s">
        <v>1085</v>
      </c>
      <c r="L462" t="s">
        <v>1286</v>
      </c>
      <c r="M462" t="s">
        <v>35</v>
      </c>
      <c r="N462">
        <v>447979082199</v>
      </c>
      <c r="O462" t="s">
        <v>1287</v>
      </c>
      <c r="P462" t="s">
        <v>1288</v>
      </c>
      <c r="R462" t="s">
        <v>1292</v>
      </c>
      <c r="S462" t="s">
        <v>1293</v>
      </c>
      <c r="T462" t="s">
        <v>58</v>
      </c>
      <c r="U462" t="s">
        <v>40</v>
      </c>
      <c r="V462" s="1">
        <v>43161</v>
      </c>
      <c r="W462">
        <v>0</v>
      </c>
      <c r="X462">
        <v>0</v>
      </c>
      <c r="Y462" t="s">
        <v>59</v>
      </c>
      <c r="AA462" t="s">
        <v>42</v>
      </c>
      <c r="AB462" t="s">
        <v>43</v>
      </c>
      <c r="AC462" t="s">
        <v>43</v>
      </c>
      <c r="AD462" t="s">
        <v>1291</v>
      </c>
    </row>
    <row r="463" spans="1:30" hidden="1" x14ac:dyDescent="0.4">
      <c r="A463" t="s">
        <v>27</v>
      </c>
      <c r="B463">
        <v>3268</v>
      </c>
      <c r="C463" t="s">
        <v>377</v>
      </c>
      <c r="E463" t="s">
        <v>68</v>
      </c>
      <c r="F463" t="s">
        <v>1282</v>
      </c>
      <c r="G463" t="s">
        <v>1283</v>
      </c>
      <c r="H463" t="s">
        <v>1284</v>
      </c>
      <c r="J463" t="s">
        <v>1285</v>
      </c>
      <c r="K463" t="s">
        <v>1085</v>
      </c>
      <c r="L463" t="s">
        <v>1286</v>
      </c>
      <c r="M463" t="s">
        <v>35</v>
      </c>
      <c r="N463">
        <v>447979082199</v>
      </c>
      <c r="O463" t="s">
        <v>1287</v>
      </c>
      <c r="P463" t="s">
        <v>1288</v>
      </c>
      <c r="R463" t="s">
        <v>1294</v>
      </c>
      <c r="S463" t="s">
        <v>1295</v>
      </c>
      <c r="T463" t="s">
        <v>1296</v>
      </c>
      <c r="U463" t="s">
        <v>82</v>
      </c>
      <c r="V463" s="1">
        <v>41469</v>
      </c>
      <c r="W463">
        <v>0</v>
      </c>
      <c r="X463">
        <v>0</v>
      </c>
      <c r="Y463" t="s">
        <v>59</v>
      </c>
      <c r="AA463" t="s">
        <v>42</v>
      </c>
      <c r="AB463" t="s">
        <v>43</v>
      </c>
      <c r="AC463" t="s">
        <v>43</v>
      </c>
      <c r="AD463" t="s">
        <v>1291</v>
      </c>
    </row>
    <row r="464" spans="1:30" x14ac:dyDescent="0.4">
      <c r="A464" t="s">
        <v>27</v>
      </c>
      <c r="B464">
        <v>5052</v>
      </c>
      <c r="C464" t="s">
        <v>1302</v>
      </c>
      <c r="D464">
        <v>149</v>
      </c>
      <c r="E464" t="s">
        <v>28</v>
      </c>
      <c r="F464" t="s">
        <v>1297</v>
      </c>
      <c r="G464" t="s">
        <v>1283</v>
      </c>
      <c r="H464" t="s">
        <v>1298</v>
      </c>
      <c r="J464" t="s">
        <v>1299</v>
      </c>
      <c r="K464" t="s">
        <v>33</v>
      </c>
      <c r="L464" t="s">
        <v>1300</v>
      </c>
      <c r="M464" t="s">
        <v>35</v>
      </c>
      <c r="N464">
        <v>7904496938</v>
      </c>
      <c r="O464" t="s">
        <v>1301</v>
      </c>
      <c r="P464" t="s">
        <v>1302</v>
      </c>
      <c r="R464" t="s">
        <v>1303</v>
      </c>
      <c r="S464" t="s">
        <v>1304</v>
      </c>
      <c r="T464" t="s">
        <v>1305</v>
      </c>
      <c r="U464" t="s">
        <v>82</v>
      </c>
      <c r="V464" s="1">
        <v>43581</v>
      </c>
      <c r="W464">
        <v>0</v>
      </c>
      <c r="X464">
        <v>8</v>
      </c>
      <c r="AA464" t="s">
        <v>42</v>
      </c>
      <c r="AB464" t="s">
        <v>43</v>
      </c>
      <c r="AC464" t="s">
        <v>43</v>
      </c>
    </row>
    <row r="465" spans="1:29" x14ac:dyDescent="0.4">
      <c r="A465" t="s">
        <v>27</v>
      </c>
      <c r="B465">
        <v>5052</v>
      </c>
      <c r="C465" t="s">
        <v>1302</v>
      </c>
      <c r="D465">
        <v>149</v>
      </c>
      <c r="E465" t="s">
        <v>28</v>
      </c>
      <c r="F465" t="s">
        <v>1297</v>
      </c>
      <c r="G465" t="s">
        <v>1283</v>
      </c>
      <c r="H465" t="s">
        <v>1298</v>
      </c>
      <c r="J465" t="s">
        <v>1299</v>
      </c>
      <c r="K465" t="s">
        <v>33</v>
      </c>
      <c r="L465" t="s">
        <v>1300</v>
      </c>
      <c r="M465" t="s">
        <v>35</v>
      </c>
      <c r="N465">
        <v>7904496938</v>
      </c>
      <c r="O465" t="s">
        <v>1301</v>
      </c>
      <c r="P465" t="s">
        <v>1302</v>
      </c>
      <c r="R465" t="s">
        <v>1303</v>
      </c>
      <c r="S465" t="s">
        <v>1304</v>
      </c>
      <c r="T465" t="s">
        <v>1305</v>
      </c>
      <c r="U465" t="s">
        <v>82</v>
      </c>
      <c r="V465" s="1">
        <v>43581</v>
      </c>
      <c r="W465">
        <v>0</v>
      </c>
      <c r="X465">
        <v>10</v>
      </c>
      <c r="AA465" t="s">
        <v>42</v>
      </c>
      <c r="AB465" t="s">
        <v>43</v>
      </c>
      <c r="AC465" t="s">
        <v>43</v>
      </c>
    </row>
    <row r="466" spans="1:29" hidden="1" x14ac:dyDescent="0.4">
      <c r="A466" t="s">
        <v>27</v>
      </c>
      <c r="B466">
        <v>3814</v>
      </c>
      <c r="C466" t="s">
        <v>2954</v>
      </c>
      <c r="E466" t="s">
        <v>257</v>
      </c>
      <c r="F466" t="s">
        <v>1306</v>
      </c>
      <c r="G466" t="s">
        <v>1283</v>
      </c>
      <c r="H466" t="s">
        <v>1298</v>
      </c>
      <c r="J466" t="s">
        <v>1299</v>
      </c>
      <c r="K466" t="s">
        <v>33</v>
      </c>
      <c r="L466" t="s">
        <v>1300</v>
      </c>
      <c r="M466" t="s">
        <v>35</v>
      </c>
      <c r="N466">
        <v>7852255964</v>
      </c>
      <c r="O466" t="s">
        <v>1307</v>
      </c>
      <c r="P466" t="s">
        <v>1308</v>
      </c>
      <c r="R466" t="s">
        <v>1309</v>
      </c>
      <c r="S466" t="s">
        <v>1310</v>
      </c>
      <c r="T466" t="s">
        <v>1311</v>
      </c>
      <c r="U466" t="s">
        <v>82</v>
      </c>
      <c r="V466" s="1">
        <v>41294</v>
      </c>
      <c r="W466">
        <v>0</v>
      </c>
      <c r="X466">
        <v>0</v>
      </c>
      <c r="Y466" t="s">
        <v>59</v>
      </c>
      <c r="AA466" t="s">
        <v>42</v>
      </c>
      <c r="AB466" t="s">
        <v>43</v>
      </c>
      <c r="AC466" t="s">
        <v>43</v>
      </c>
    </row>
    <row r="467" spans="1:29" x14ac:dyDescent="0.4">
      <c r="A467" t="s">
        <v>27</v>
      </c>
      <c r="B467">
        <v>3814</v>
      </c>
      <c r="C467" t="s">
        <v>2954</v>
      </c>
      <c r="D467">
        <v>148</v>
      </c>
      <c r="E467" t="s">
        <v>257</v>
      </c>
      <c r="F467" t="s">
        <v>1306</v>
      </c>
      <c r="G467" t="s">
        <v>1283</v>
      </c>
      <c r="H467" t="s">
        <v>1298</v>
      </c>
      <c r="J467" t="s">
        <v>1299</v>
      </c>
      <c r="K467" t="s">
        <v>33</v>
      </c>
      <c r="L467" t="s">
        <v>1300</v>
      </c>
      <c r="M467" t="s">
        <v>35</v>
      </c>
      <c r="N467">
        <v>7852255964</v>
      </c>
      <c r="O467" t="s">
        <v>1307</v>
      </c>
      <c r="P467" t="s">
        <v>1308</v>
      </c>
      <c r="R467" t="s">
        <v>1312</v>
      </c>
      <c r="S467" t="s">
        <v>1313</v>
      </c>
      <c r="T467" t="s">
        <v>1314</v>
      </c>
      <c r="U467" t="s">
        <v>82</v>
      </c>
      <c r="V467" s="1">
        <v>42320</v>
      </c>
      <c r="W467">
        <v>0</v>
      </c>
      <c r="X467">
        <v>10</v>
      </c>
      <c r="AA467" t="s">
        <v>42</v>
      </c>
      <c r="AB467" t="s">
        <v>43</v>
      </c>
      <c r="AC467" t="s">
        <v>43</v>
      </c>
    </row>
    <row r="468" spans="1:29" x14ac:dyDescent="0.4">
      <c r="A468" t="s">
        <v>27</v>
      </c>
      <c r="B468">
        <v>3814</v>
      </c>
      <c r="C468" t="s">
        <v>2954</v>
      </c>
      <c r="D468">
        <v>148</v>
      </c>
      <c r="E468" t="s">
        <v>257</v>
      </c>
      <c r="F468" t="s">
        <v>1306</v>
      </c>
      <c r="G468" t="s">
        <v>1283</v>
      </c>
      <c r="H468" t="s">
        <v>1298</v>
      </c>
      <c r="J468" t="s">
        <v>1299</v>
      </c>
      <c r="K468" t="s">
        <v>33</v>
      </c>
      <c r="L468" t="s">
        <v>1300</v>
      </c>
      <c r="M468" t="s">
        <v>35</v>
      </c>
      <c r="N468">
        <v>7852255964</v>
      </c>
      <c r="O468" t="s">
        <v>1307</v>
      </c>
      <c r="P468" t="s">
        <v>1308</v>
      </c>
      <c r="R468" t="s">
        <v>1312</v>
      </c>
      <c r="S468" t="s">
        <v>1313</v>
      </c>
      <c r="T468" t="s">
        <v>1314</v>
      </c>
      <c r="U468" t="s">
        <v>82</v>
      </c>
      <c r="V468" s="1">
        <v>42320</v>
      </c>
      <c r="W468">
        <v>0</v>
      </c>
      <c r="X468">
        <v>8</v>
      </c>
      <c r="AA468" t="s">
        <v>42</v>
      </c>
      <c r="AB468" t="s">
        <v>43</v>
      </c>
      <c r="AC468" t="s">
        <v>43</v>
      </c>
    </row>
    <row r="469" spans="1:29" x14ac:dyDescent="0.4">
      <c r="A469" t="s">
        <v>27</v>
      </c>
      <c r="B469">
        <v>1588</v>
      </c>
      <c r="C469" t="s">
        <v>2955</v>
      </c>
      <c r="D469">
        <v>150</v>
      </c>
      <c r="E469" t="s">
        <v>257</v>
      </c>
      <c r="F469" t="s">
        <v>1315</v>
      </c>
      <c r="G469" t="s">
        <v>1316</v>
      </c>
      <c r="H469" t="s">
        <v>1317</v>
      </c>
      <c r="I469" t="s">
        <v>1318</v>
      </c>
      <c r="J469" t="s">
        <v>1319</v>
      </c>
      <c r="K469" t="s">
        <v>1320</v>
      </c>
      <c r="L469" t="s">
        <v>1321</v>
      </c>
      <c r="M469" t="s">
        <v>35</v>
      </c>
      <c r="N469">
        <v>1223624880</v>
      </c>
      <c r="O469" t="s">
        <v>1322</v>
      </c>
      <c r="P469" t="s">
        <v>1323</v>
      </c>
      <c r="R469" t="s">
        <v>1324</v>
      </c>
      <c r="S469" t="s">
        <v>1325</v>
      </c>
      <c r="T469" t="s">
        <v>58</v>
      </c>
      <c r="U469" t="s">
        <v>82</v>
      </c>
      <c r="V469" s="1">
        <v>44536</v>
      </c>
      <c r="W469">
        <v>0</v>
      </c>
      <c r="X469">
        <v>5</v>
      </c>
      <c r="Y469" t="s">
        <v>66</v>
      </c>
      <c r="AA469" t="s">
        <v>42</v>
      </c>
      <c r="AB469" t="s">
        <v>43</v>
      </c>
      <c r="AC469" t="s">
        <v>43</v>
      </c>
    </row>
    <row r="470" spans="1:29" x14ac:dyDescent="0.4">
      <c r="A470" t="s">
        <v>27</v>
      </c>
      <c r="B470">
        <v>1588</v>
      </c>
      <c r="C470" t="s">
        <v>2955</v>
      </c>
      <c r="D470">
        <v>151</v>
      </c>
      <c r="E470" t="s">
        <v>257</v>
      </c>
      <c r="F470" t="s">
        <v>1315</v>
      </c>
      <c r="G470" t="s">
        <v>1316</v>
      </c>
      <c r="H470" t="s">
        <v>1317</v>
      </c>
      <c r="I470" t="s">
        <v>1318</v>
      </c>
      <c r="J470" t="s">
        <v>1319</v>
      </c>
      <c r="K470" t="s">
        <v>1320</v>
      </c>
      <c r="L470" t="s">
        <v>1321</v>
      </c>
      <c r="M470" t="s">
        <v>35</v>
      </c>
      <c r="N470">
        <v>1223624880</v>
      </c>
      <c r="O470" t="s">
        <v>1322</v>
      </c>
      <c r="P470" t="s">
        <v>1323</v>
      </c>
      <c r="R470" t="s">
        <v>1326</v>
      </c>
      <c r="S470" t="s">
        <v>1327</v>
      </c>
      <c r="T470" t="s">
        <v>58</v>
      </c>
      <c r="U470" t="s">
        <v>82</v>
      </c>
      <c r="V470" s="1">
        <v>42622</v>
      </c>
      <c r="W470">
        <v>0</v>
      </c>
      <c r="X470">
        <v>7</v>
      </c>
      <c r="AA470" t="s">
        <v>42</v>
      </c>
      <c r="AB470" t="s">
        <v>43</v>
      </c>
      <c r="AC470" t="s">
        <v>43</v>
      </c>
    </row>
    <row r="471" spans="1:29" x14ac:dyDescent="0.4">
      <c r="A471" t="s">
        <v>27</v>
      </c>
      <c r="B471">
        <v>1588</v>
      </c>
      <c r="C471" t="s">
        <v>2955</v>
      </c>
      <c r="D471">
        <v>150</v>
      </c>
      <c r="E471" t="s">
        <v>257</v>
      </c>
      <c r="F471" t="s">
        <v>1315</v>
      </c>
      <c r="G471" t="s">
        <v>1316</v>
      </c>
      <c r="H471" t="s">
        <v>1317</v>
      </c>
      <c r="I471" t="s">
        <v>1318</v>
      </c>
      <c r="J471" t="s">
        <v>1319</v>
      </c>
      <c r="K471" t="s">
        <v>1320</v>
      </c>
      <c r="L471" t="s">
        <v>1321</v>
      </c>
      <c r="M471" t="s">
        <v>35</v>
      </c>
      <c r="N471">
        <v>1223624880</v>
      </c>
      <c r="O471" t="s">
        <v>1322</v>
      </c>
      <c r="P471" t="s">
        <v>1323</v>
      </c>
      <c r="R471" t="s">
        <v>1324</v>
      </c>
      <c r="S471" t="s">
        <v>1325</v>
      </c>
      <c r="T471" t="s">
        <v>58</v>
      </c>
      <c r="U471" t="s">
        <v>82</v>
      </c>
      <c r="V471" s="1">
        <v>44536</v>
      </c>
      <c r="W471">
        <v>0</v>
      </c>
      <c r="X471">
        <v>15</v>
      </c>
      <c r="AA471" t="s">
        <v>42</v>
      </c>
      <c r="AB471" t="s">
        <v>43</v>
      </c>
      <c r="AC471" t="s">
        <v>43</v>
      </c>
    </row>
    <row r="472" spans="1:29" x14ac:dyDescent="0.4">
      <c r="A472" t="s">
        <v>27</v>
      </c>
      <c r="B472">
        <v>1588</v>
      </c>
      <c r="C472" t="s">
        <v>2955</v>
      </c>
      <c r="D472">
        <v>150</v>
      </c>
      <c r="E472" t="s">
        <v>257</v>
      </c>
      <c r="F472" t="s">
        <v>1315</v>
      </c>
      <c r="G472" t="s">
        <v>1316</v>
      </c>
      <c r="H472" t="s">
        <v>1317</v>
      </c>
      <c r="I472" t="s">
        <v>1318</v>
      </c>
      <c r="J472" t="s">
        <v>1319</v>
      </c>
      <c r="K472" t="s">
        <v>1320</v>
      </c>
      <c r="L472" t="s">
        <v>1321</v>
      </c>
      <c r="M472" t="s">
        <v>35</v>
      </c>
      <c r="N472">
        <v>1223624880</v>
      </c>
      <c r="O472" t="s">
        <v>1322</v>
      </c>
      <c r="P472" t="s">
        <v>1323</v>
      </c>
      <c r="R472" t="s">
        <v>1324</v>
      </c>
      <c r="S472" t="s">
        <v>1325</v>
      </c>
      <c r="T472" t="s">
        <v>58</v>
      </c>
      <c r="U472" t="s">
        <v>82</v>
      </c>
      <c r="V472" s="1">
        <v>44536</v>
      </c>
      <c r="W472">
        <v>0</v>
      </c>
      <c r="X472">
        <v>17</v>
      </c>
      <c r="AA472" t="s">
        <v>42</v>
      </c>
      <c r="AB472" t="s">
        <v>43</v>
      </c>
      <c r="AC472" t="s">
        <v>43</v>
      </c>
    </row>
    <row r="473" spans="1:29" x14ac:dyDescent="0.4">
      <c r="A473" t="s">
        <v>27</v>
      </c>
      <c r="B473">
        <v>1588</v>
      </c>
      <c r="C473" t="s">
        <v>2955</v>
      </c>
      <c r="D473">
        <v>151</v>
      </c>
      <c r="E473" t="s">
        <v>257</v>
      </c>
      <c r="F473" t="s">
        <v>1315</v>
      </c>
      <c r="G473" t="s">
        <v>1316</v>
      </c>
      <c r="H473" t="s">
        <v>1317</v>
      </c>
      <c r="I473" t="s">
        <v>1318</v>
      </c>
      <c r="J473" t="s">
        <v>1319</v>
      </c>
      <c r="K473" t="s">
        <v>1320</v>
      </c>
      <c r="L473" t="s">
        <v>1321</v>
      </c>
      <c r="M473" t="s">
        <v>35</v>
      </c>
      <c r="N473">
        <v>1223624880</v>
      </c>
      <c r="O473" t="s">
        <v>1322</v>
      </c>
      <c r="P473" t="s">
        <v>1323</v>
      </c>
      <c r="R473" t="s">
        <v>1326</v>
      </c>
      <c r="S473" t="s">
        <v>1327</v>
      </c>
      <c r="T473" t="s">
        <v>58</v>
      </c>
      <c r="U473" t="s">
        <v>82</v>
      </c>
      <c r="V473" s="1">
        <v>42622</v>
      </c>
      <c r="W473">
        <v>0</v>
      </c>
      <c r="X473">
        <v>21</v>
      </c>
      <c r="AA473" t="s">
        <v>42</v>
      </c>
      <c r="AB473" t="s">
        <v>43</v>
      </c>
      <c r="AC473" t="s">
        <v>43</v>
      </c>
    </row>
    <row r="474" spans="1:29" x14ac:dyDescent="0.4">
      <c r="A474" t="s">
        <v>27</v>
      </c>
      <c r="B474">
        <v>1588</v>
      </c>
      <c r="C474" t="s">
        <v>2955</v>
      </c>
      <c r="D474">
        <v>150</v>
      </c>
      <c r="E474" t="s">
        <v>257</v>
      </c>
      <c r="F474" t="s">
        <v>1315</v>
      </c>
      <c r="G474" t="s">
        <v>1316</v>
      </c>
      <c r="H474" t="s">
        <v>1317</v>
      </c>
      <c r="I474" t="s">
        <v>1318</v>
      </c>
      <c r="J474" t="s">
        <v>1319</v>
      </c>
      <c r="K474" t="s">
        <v>1320</v>
      </c>
      <c r="L474" t="s">
        <v>1321</v>
      </c>
      <c r="M474" t="s">
        <v>35</v>
      </c>
      <c r="N474">
        <v>1223624880</v>
      </c>
      <c r="O474" t="s">
        <v>1322</v>
      </c>
      <c r="P474" t="s">
        <v>1323</v>
      </c>
      <c r="R474" t="s">
        <v>1324</v>
      </c>
      <c r="S474" t="s">
        <v>1325</v>
      </c>
      <c r="T474" t="s">
        <v>58</v>
      </c>
      <c r="U474" t="s">
        <v>82</v>
      </c>
      <c r="V474" s="1">
        <v>44536</v>
      </c>
      <c r="W474">
        <v>0</v>
      </c>
      <c r="X474">
        <v>19</v>
      </c>
      <c r="AA474" t="s">
        <v>42</v>
      </c>
      <c r="AB474" t="s">
        <v>43</v>
      </c>
      <c r="AC474" t="s">
        <v>43</v>
      </c>
    </row>
    <row r="475" spans="1:29" x14ac:dyDescent="0.4">
      <c r="A475" t="s">
        <v>27</v>
      </c>
      <c r="B475">
        <v>1589</v>
      </c>
      <c r="C475" t="s">
        <v>1330</v>
      </c>
      <c r="D475">
        <v>152</v>
      </c>
      <c r="E475" t="s">
        <v>68</v>
      </c>
      <c r="F475" t="s">
        <v>1328</v>
      </c>
      <c r="G475" t="s">
        <v>1316</v>
      </c>
      <c r="H475" t="s">
        <v>1317</v>
      </c>
      <c r="I475" t="s">
        <v>1318</v>
      </c>
      <c r="J475" t="s">
        <v>1319</v>
      </c>
      <c r="K475" t="s">
        <v>1320</v>
      </c>
      <c r="L475" t="s">
        <v>1321</v>
      </c>
      <c r="M475" t="s">
        <v>35</v>
      </c>
      <c r="N475" t="s">
        <v>1329</v>
      </c>
      <c r="O475" t="s">
        <v>1322</v>
      </c>
      <c r="P475" t="s">
        <v>1330</v>
      </c>
      <c r="R475" t="s">
        <v>1331</v>
      </c>
      <c r="S475" t="s">
        <v>1332</v>
      </c>
      <c r="T475" t="s">
        <v>58</v>
      </c>
      <c r="U475" t="s">
        <v>40</v>
      </c>
      <c r="V475" s="1">
        <v>43780</v>
      </c>
      <c r="W475">
        <v>0</v>
      </c>
      <c r="X475">
        <v>7</v>
      </c>
      <c r="AA475" t="s">
        <v>42</v>
      </c>
      <c r="AB475" t="s">
        <v>43</v>
      </c>
      <c r="AC475" t="s">
        <v>43</v>
      </c>
    </row>
    <row r="476" spans="1:29" x14ac:dyDescent="0.4">
      <c r="A476" t="s">
        <v>27</v>
      </c>
      <c r="B476">
        <v>1589</v>
      </c>
      <c r="C476" t="s">
        <v>1330</v>
      </c>
      <c r="D476">
        <v>152</v>
      </c>
      <c r="E476" t="s">
        <v>68</v>
      </c>
      <c r="F476" t="s">
        <v>1328</v>
      </c>
      <c r="G476" t="s">
        <v>1316</v>
      </c>
      <c r="H476" t="s">
        <v>1317</v>
      </c>
      <c r="I476" t="s">
        <v>1318</v>
      </c>
      <c r="J476" t="s">
        <v>1319</v>
      </c>
      <c r="K476" t="s">
        <v>1320</v>
      </c>
      <c r="L476" t="s">
        <v>1321</v>
      </c>
      <c r="M476" t="s">
        <v>35</v>
      </c>
      <c r="N476" t="s">
        <v>1329</v>
      </c>
      <c r="O476" t="s">
        <v>1322</v>
      </c>
      <c r="P476" t="s">
        <v>1330</v>
      </c>
      <c r="R476" t="s">
        <v>1331</v>
      </c>
      <c r="S476" t="s">
        <v>1332</v>
      </c>
      <c r="T476" t="s">
        <v>58</v>
      </c>
      <c r="U476" t="s">
        <v>40</v>
      </c>
      <c r="V476" s="1">
        <v>43780</v>
      </c>
      <c r="W476">
        <v>0</v>
      </c>
      <c r="X476">
        <v>18</v>
      </c>
      <c r="AA476" t="s">
        <v>42</v>
      </c>
      <c r="AB476" t="s">
        <v>43</v>
      </c>
      <c r="AC476" t="s">
        <v>43</v>
      </c>
    </row>
    <row r="477" spans="1:29" x14ac:dyDescent="0.4">
      <c r="A477" t="s">
        <v>27</v>
      </c>
      <c r="B477">
        <v>1589</v>
      </c>
      <c r="C477" t="s">
        <v>1330</v>
      </c>
      <c r="D477">
        <v>152</v>
      </c>
      <c r="E477" t="s">
        <v>68</v>
      </c>
      <c r="F477" t="s">
        <v>1328</v>
      </c>
      <c r="G477" t="s">
        <v>1316</v>
      </c>
      <c r="H477" t="s">
        <v>1317</v>
      </c>
      <c r="I477" t="s">
        <v>1318</v>
      </c>
      <c r="J477" t="s">
        <v>1319</v>
      </c>
      <c r="K477" t="s">
        <v>1320</v>
      </c>
      <c r="L477" t="s">
        <v>1321</v>
      </c>
      <c r="M477" t="s">
        <v>35</v>
      </c>
      <c r="N477" t="s">
        <v>1329</v>
      </c>
      <c r="O477" t="s">
        <v>1322</v>
      </c>
      <c r="P477" t="s">
        <v>1330</v>
      </c>
      <c r="R477" t="s">
        <v>1331</v>
      </c>
      <c r="S477" t="s">
        <v>1332</v>
      </c>
      <c r="T477" t="s">
        <v>58</v>
      </c>
      <c r="U477" t="s">
        <v>40</v>
      </c>
      <c r="V477" s="1">
        <v>43780</v>
      </c>
      <c r="W477">
        <v>0</v>
      </c>
      <c r="X477">
        <v>20</v>
      </c>
      <c r="AA477" t="s">
        <v>42</v>
      </c>
      <c r="AB477" t="s">
        <v>43</v>
      </c>
      <c r="AC477" t="s">
        <v>43</v>
      </c>
    </row>
    <row r="478" spans="1:29" x14ac:dyDescent="0.4">
      <c r="A478" t="s">
        <v>27</v>
      </c>
      <c r="B478">
        <v>5199</v>
      </c>
      <c r="C478" t="s">
        <v>2956</v>
      </c>
      <c r="D478">
        <v>153</v>
      </c>
      <c r="E478" t="s">
        <v>28</v>
      </c>
      <c r="F478" t="s">
        <v>1333</v>
      </c>
      <c r="G478" t="s">
        <v>1334</v>
      </c>
      <c r="H478">
        <v>1</v>
      </c>
      <c r="I478" t="s">
        <v>1335</v>
      </c>
      <c r="J478" t="s">
        <v>1336</v>
      </c>
      <c r="K478" t="s">
        <v>51</v>
      </c>
      <c r="L478" t="s">
        <v>1337</v>
      </c>
      <c r="M478" t="s">
        <v>35</v>
      </c>
      <c r="N478">
        <v>7876350654</v>
      </c>
      <c r="O478" t="s">
        <v>1338</v>
      </c>
      <c r="P478" t="s">
        <v>2956</v>
      </c>
      <c r="R478" t="s">
        <v>3109</v>
      </c>
      <c r="S478" t="s">
        <v>1340</v>
      </c>
      <c r="T478" t="s">
        <v>58</v>
      </c>
      <c r="U478" t="s">
        <v>40</v>
      </c>
      <c r="V478" s="1">
        <v>44536</v>
      </c>
      <c r="W478">
        <v>0</v>
      </c>
      <c r="X478">
        <v>14</v>
      </c>
      <c r="AA478" t="s">
        <v>42</v>
      </c>
      <c r="AB478" t="s">
        <v>43</v>
      </c>
      <c r="AC478" t="s">
        <v>43</v>
      </c>
    </row>
    <row r="479" spans="1:29" x14ac:dyDescent="0.4">
      <c r="A479" t="s">
        <v>27</v>
      </c>
      <c r="B479">
        <v>4440</v>
      </c>
      <c r="C479" t="s">
        <v>2957</v>
      </c>
      <c r="D479">
        <v>154</v>
      </c>
      <c r="E479" t="s">
        <v>68</v>
      </c>
      <c r="F479" t="s">
        <v>1341</v>
      </c>
      <c r="G479" t="s">
        <v>1342</v>
      </c>
      <c r="H479" t="s">
        <v>1343</v>
      </c>
      <c r="I479" t="s">
        <v>1344</v>
      </c>
      <c r="J479" t="s">
        <v>1028</v>
      </c>
      <c r="K479" t="s">
        <v>51</v>
      </c>
      <c r="L479" t="s">
        <v>1345</v>
      </c>
      <c r="M479" t="s">
        <v>35</v>
      </c>
      <c r="N479">
        <v>1794388801</v>
      </c>
      <c r="O479" t="s">
        <v>1346</v>
      </c>
      <c r="P479" t="s">
        <v>2957</v>
      </c>
      <c r="R479" t="s">
        <v>1347</v>
      </c>
      <c r="S479" t="s">
        <v>1348</v>
      </c>
      <c r="T479" t="s">
        <v>58</v>
      </c>
      <c r="U479" t="s">
        <v>82</v>
      </c>
      <c r="V479" s="1">
        <v>42738</v>
      </c>
      <c r="W479">
        <v>0</v>
      </c>
      <c r="X479">
        <v>15</v>
      </c>
      <c r="AA479" t="s">
        <v>42</v>
      </c>
      <c r="AB479" t="s">
        <v>43</v>
      </c>
      <c r="AC479" t="s">
        <v>43</v>
      </c>
    </row>
    <row r="480" spans="1:29" x14ac:dyDescent="0.4">
      <c r="A480" t="s">
        <v>27</v>
      </c>
      <c r="B480">
        <v>4440</v>
      </c>
      <c r="C480" t="s">
        <v>2957</v>
      </c>
      <c r="D480">
        <v>154</v>
      </c>
      <c r="E480" t="s">
        <v>68</v>
      </c>
      <c r="F480" t="s">
        <v>1341</v>
      </c>
      <c r="G480" t="s">
        <v>1342</v>
      </c>
      <c r="H480" t="s">
        <v>1343</v>
      </c>
      <c r="I480" t="s">
        <v>1344</v>
      </c>
      <c r="J480" t="s">
        <v>1028</v>
      </c>
      <c r="K480" t="s">
        <v>51</v>
      </c>
      <c r="L480" t="s">
        <v>1345</v>
      </c>
      <c r="M480" t="s">
        <v>35</v>
      </c>
      <c r="N480">
        <v>1794388801</v>
      </c>
      <c r="O480" t="s">
        <v>1346</v>
      </c>
      <c r="P480" t="s">
        <v>2957</v>
      </c>
      <c r="R480" t="s">
        <v>1347</v>
      </c>
      <c r="S480" t="s">
        <v>1348</v>
      </c>
      <c r="T480" t="s">
        <v>58</v>
      </c>
      <c r="U480" t="s">
        <v>82</v>
      </c>
      <c r="V480" s="1">
        <v>42738</v>
      </c>
      <c r="W480">
        <v>0</v>
      </c>
      <c r="X480">
        <v>17</v>
      </c>
      <c r="AA480" t="s">
        <v>42</v>
      </c>
      <c r="AB480" t="s">
        <v>43</v>
      </c>
      <c r="AC480" t="s">
        <v>43</v>
      </c>
    </row>
    <row r="481" spans="1:30" hidden="1" x14ac:dyDescent="0.4">
      <c r="A481" t="s">
        <v>27</v>
      </c>
      <c r="B481">
        <v>6416</v>
      </c>
      <c r="C481" t="s">
        <v>1354</v>
      </c>
      <c r="E481" t="s">
        <v>68</v>
      </c>
      <c r="F481" t="s">
        <v>1349</v>
      </c>
      <c r="G481" t="s">
        <v>1350</v>
      </c>
      <c r="H481" t="s">
        <v>1351</v>
      </c>
      <c r="J481" t="s">
        <v>262</v>
      </c>
      <c r="K481" t="s">
        <v>51</v>
      </c>
      <c r="L481" t="s">
        <v>1352</v>
      </c>
      <c r="M481" t="s">
        <v>35</v>
      </c>
      <c r="N481">
        <v>7428687460</v>
      </c>
      <c r="O481" t="s">
        <v>1353</v>
      </c>
      <c r="P481" t="s">
        <v>1354</v>
      </c>
      <c r="R481" t="s">
        <v>1355</v>
      </c>
      <c r="S481" t="s">
        <v>1356</v>
      </c>
      <c r="T481" t="s">
        <v>376</v>
      </c>
      <c r="U481" t="s">
        <v>82</v>
      </c>
      <c r="V481" s="1">
        <v>44548</v>
      </c>
      <c r="W481">
        <v>0</v>
      </c>
      <c r="X481">
        <v>0</v>
      </c>
      <c r="Y481" t="s">
        <v>59</v>
      </c>
      <c r="AA481" t="s">
        <v>42</v>
      </c>
      <c r="AB481" t="s">
        <v>43</v>
      </c>
      <c r="AC481" t="s">
        <v>43</v>
      </c>
    </row>
    <row r="482" spans="1:30" hidden="1" x14ac:dyDescent="0.4">
      <c r="A482" t="s">
        <v>27</v>
      </c>
      <c r="B482">
        <v>6416</v>
      </c>
      <c r="C482" t="s">
        <v>1354</v>
      </c>
      <c r="E482" t="s">
        <v>68</v>
      </c>
      <c r="F482" t="s">
        <v>1349</v>
      </c>
      <c r="G482" t="s">
        <v>1350</v>
      </c>
      <c r="H482" t="s">
        <v>1351</v>
      </c>
      <c r="J482" t="s">
        <v>262</v>
      </c>
      <c r="K482" t="s">
        <v>51</v>
      </c>
      <c r="L482" t="s">
        <v>1352</v>
      </c>
      <c r="M482" t="s">
        <v>35</v>
      </c>
      <c r="N482">
        <v>7428687460</v>
      </c>
      <c r="O482" t="s">
        <v>1353</v>
      </c>
      <c r="P482" t="s">
        <v>1354</v>
      </c>
      <c r="R482" t="s">
        <v>1355</v>
      </c>
      <c r="S482" t="s">
        <v>1356</v>
      </c>
      <c r="T482" t="s">
        <v>376</v>
      </c>
      <c r="U482" t="s">
        <v>82</v>
      </c>
      <c r="V482" s="1">
        <v>44548</v>
      </c>
      <c r="W482">
        <v>0</v>
      </c>
      <c r="X482">
        <v>0</v>
      </c>
      <c r="Y482" t="s">
        <v>59</v>
      </c>
      <c r="AA482" t="s">
        <v>42</v>
      </c>
      <c r="AB482" t="s">
        <v>43</v>
      </c>
      <c r="AC482" t="s">
        <v>43</v>
      </c>
    </row>
    <row r="483" spans="1:30" x14ac:dyDescent="0.4">
      <c r="A483" t="s">
        <v>27</v>
      </c>
      <c r="B483">
        <v>6416</v>
      </c>
      <c r="C483" t="s">
        <v>1354</v>
      </c>
      <c r="D483">
        <v>155</v>
      </c>
      <c r="E483" t="s">
        <v>68</v>
      </c>
      <c r="F483" t="s">
        <v>1349</v>
      </c>
      <c r="G483" t="s">
        <v>1350</v>
      </c>
      <c r="H483" t="s">
        <v>1351</v>
      </c>
      <c r="J483" t="s">
        <v>262</v>
      </c>
      <c r="K483" t="s">
        <v>51</v>
      </c>
      <c r="L483" t="s">
        <v>1352</v>
      </c>
      <c r="M483" t="s">
        <v>35</v>
      </c>
      <c r="N483">
        <v>7428687460</v>
      </c>
      <c r="O483" t="s">
        <v>1353</v>
      </c>
      <c r="P483" t="s">
        <v>1354</v>
      </c>
      <c r="R483" t="s">
        <v>1357</v>
      </c>
      <c r="S483" t="s">
        <v>1358</v>
      </c>
      <c r="T483" t="s">
        <v>79</v>
      </c>
      <c r="U483" t="s">
        <v>82</v>
      </c>
      <c r="V483" s="1">
        <v>45020</v>
      </c>
      <c r="W483">
        <v>0</v>
      </c>
      <c r="X483">
        <v>1</v>
      </c>
      <c r="AA483" t="s">
        <v>42</v>
      </c>
      <c r="AB483" t="s">
        <v>43</v>
      </c>
      <c r="AC483" t="s">
        <v>43</v>
      </c>
    </row>
    <row r="484" spans="1:30" x14ac:dyDescent="0.4">
      <c r="A484" t="s">
        <v>27</v>
      </c>
      <c r="B484">
        <v>6416</v>
      </c>
      <c r="C484" t="s">
        <v>1354</v>
      </c>
      <c r="D484">
        <v>155</v>
      </c>
      <c r="E484" t="s">
        <v>68</v>
      </c>
      <c r="F484" t="s">
        <v>1349</v>
      </c>
      <c r="G484" t="s">
        <v>1350</v>
      </c>
      <c r="H484" t="s">
        <v>1351</v>
      </c>
      <c r="J484" t="s">
        <v>262</v>
      </c>
      <c r="K484" t="s">
        <v>51</v>
      </c>
      <c r="L484" t="s">
        <v>1352</v>
      </c>
      <c r="M484" t="s">
        <v>35</v>
      </c>
      <c r="N484">
        <v>7428687460</v>
      </c>
      <c r="O484" t="s">
        <v>1353</v>
      </c>
      <c r="P484" t="s">
        <v>1354</v>
      </c>
      <c r="R484" t="s">
        <v>1357</v>
      </c>
      <c r="S484" t="s">
        <v>1358</v>
      </c>
      <c r="T484" t="s">
        <v>94</v>
      </c>
      <c r="U484" t="s">
        <v>82</v>
      </c>
      <c r="V484" s="1">
        <v>45020</v>
      </c>
      <c r="W484">
        <v>0</v>
      </c>
      <c r="X484">
        <v>2</v>
      </c>
      <c r="AA484" t="s">
        <v>42</v>
      </c>
      <c r="AB484" t="s">
        <v>43</v>
      </c>
      <c r="AC484" t="s">
        <v>43</v>
      </c>
    </row>
    <row r="485" spans="1:30" x14ac:dyDescent="0.4">
      <c r="A485" t="s">
        <v>27</v>
      </c>
      <c r="B485">
        <v>6416</v>
      </c>
      <c r="C485" t="s">
        <v>1354</v>
      </c>
      <c r="D485">
        <v>155</v>
      </c>
      <c r="E485" t="s">
        <v>68</v>
      </c>
      <c r="F485" t="s">
        <v>1349</v>
      </c>
      <c r="G485" t="s">
        <v>1350</v>
      </c>
      <c r="H485" t="s">
        <v>1351</v>
      </c>
      <c r="J485" t="s">
        <v>262</v>
      </c>
      <c r="K485" t="s">
        <v>51</v>
      </c>
      <c r="L485" t="s">
        <v>1352</v>
      </c>
      <c r="M485" t="s">
        <v>35</v>
      </c>
      <c r="N485">
        <v>7428687460</v>
      </c>
      <c r="O485" t="s">
        <v>1353</v>
      </c>
      <c r="P485" t="s">
        <v>1354</v>
      </c>
      <c r="R485" t="s">
        <v>1357</v>
      </c>
      <c r="S485" t="s">
        <v>1358</v>
      </c>
      <c r="T485" t="s">
        <v>94</v>
      </c>
      <c r="U485" t="s">
        <v>82</v>
      </c>
      <c r="V485" s="1">
        <v>45020</v>
      </c>
      <c r="W485">
        <v>0</v>
      </c>
      <c r="X485">
        <v>9</v>
      </c>
      <c r="AA485" t="s">
        <v>42</v>
      </c>
      <c r="AB485" t="s">
        <v>43</v>
      </c>
      <c r="AC485" t="s">
        <v>43</v>
      </c>
    </row>
    <row r="486" spans="1:30" x14ac:dyDescent="0.4">
      <c r="A486" t="s">
        <v>27</v>
      </c>
      <c r="B486">
        <v>6416</v>
      </c>
      <c r="C486" t="s">
        <v>1354</v>
      </c>
      <c r="D486">
        <v>155</v>
      </c>
      <c r="E486" t="s">
        <v>68</v>
      </c>
      <c r="F486" t="s">
        <v>1349</v>
      </c>
      <c r="G486" t="s">
        <v>1350</v>
      </c>
      <c r="H486" t="s">
        <v>1351</v>
      </c>
      <c r="J486" t="s">
        <v>262</v>
      </c>
      <c r="K486" t="s">
        <v>51</v>
      </c>
      <c r="L486" t="s">
        <v>1352</v>
      </c>
      <c r="M486" t="s">
        <v>35</v>
      </c>
      <c r="N486">
        <v>7428687460</v>
      </c>
      <c r="O486" t="s">
        <v>1353</v>
      </c>
      <c r="P486" t="s">
        <v>1354</v>
      </c>
      <c r="R486" t="s">
        <v>1357</v>
      </c>
      <c r="S486" t="s">
        <v>1358</v>
      </c>
      <c r="T486" t="s">
        <v>94</v>
      </c>
      <c r="U486" t="s">
        <v>82</v>
      </c>
      <c r="V486" s="1">
        <v>45020</v>
      </c>
      <c r="W486">
        <v>0</v>
      </c>
      <c r="X486">
        <v>10</v>
      </c>
      <c r="AA486" t="s">
        <v>42</v>
      </c>
      <c r="AB486" t="s">
        <v>43</v>
      </c>
      <c r="AC486" t="s">
        <v>43</v>
      </c>
    </row>
    <row r="487" spans="1:30" x14ac:dyDescent="0.4">
      <c r="A487" t="s">
        <v>27</v>
      </c>
      <c r="B487">
        <v>984</v>
      </c>
      <c r="C487" t="s">
        <v>2866</v>
      </c>
      <c r="D487">
        <v>156</v>
      </c>
      <c r="E487" t="s">
        <v>68</v>
      </c>
      <c r="F487" t="s">
        <v>1359</v>
      </c>
      <c r="G487" t="s">
        <v>1360</v>
      </c>
      <c r="H487" t="s">
        <v>1361</v>
      </c>
      <c r="I487" t="s">
        <v>1362</v>
      </c>
      <c r="J487" t="s">
        <v>1363</v>
      </c>
      <c r="K487" t="s">
        <v>1364</v>
      </c>
      <c r="L487" t="s">
        <v>1365</v>
      </c>
      <c r="M487" t="s">
        <v>35</v>
      </c>
      <c r="N487" t="s">
        <v>1366</v>
      </c>
      <c r="O487" t="s">
        <v>1367</v>
      </c>
      <c r="P487" t="s">
        <v>3076</v>
      </c>
      <c r="R487" t="s">
        <v>1368</v>
      </c>
      <c r="S487" t="s">
        <v>1369</v>
      </c>
      <c r="T487" t="s">
        <v>58</v>
      </c>
      <c r="U487" t="s">
        <v>82</v>
      </c>
      <c r="V487" s="1">
        <v>43886</v>
      </c>
      <c r="W487">
        <v>0</v>
      </c>
      <c r="X487">
        <v>7</v>
      </c>
      <c r="Z487" t="s">
        <v>464</v>
      </c>
      <c r="AA487" t="s">
        <v>42</v>
      </c>
      <c r="AB487" t="s">
        <v>43</v>
      </c>
      <c r="AC487" t="s">
        <v>43</v>
      </c>
    </row>
    <row r="488" spans="1:30" x14ac:dyDescent="0.4">
      <c r="A488" t="s">
        <v>27</v>
      </c>
      <c r="B488">
        <v>984</v>
      </c>
      <c r="C488" t="s">
        <v>2866</v>
      </c>
      <c r="D488">
        <v>156</v>
      </c>
      <c r="E488" t="s">
        <v>68</v>
      </c>
      <c r="F488" t="s">
        <v>1359</v>
      </c>
      <c r="G488" t="s">
        <v>1360</v>
      </c>
      <c r="H488" t="s">
        <v>1361</v>
      </c>
      <c r="I488" t="s">
        <v>1362</v>
      </c>
      <c r="J488" t="s">
        <v>1363</v>
      </c>
      <c r="K488" t="s">
        <v>1364</v>
      </c>
      <c r="L488" t="s">
        <v>1365</v>
      </c>
      <c r="M488" t="s">
        <v>35</v>
      </c>
      <c r="N488" t="s">
        <v>1366</v>
      </c>
      <c r="O488" t="s">
        <v>1367</v>
      </c>
      <c r="P488" t="s">
        <v>3076</v>
      </c>
      <c r="R488" t="s">
        <v>1368</v>
      </c>
      <c r="S488" t="s">
        <v>1369</v>
      </c>
      <c r="T488" t="s">
        <v>58</v>
      </c>
      <c r="U488" t="s">
        <v>82</v>
      </c>
      <c r="V488" s="1">
        <v>43886</v>
      </c>
      <c r="W488">
        <v>0</v>
      </c>
      <c r="X488">
        <v>19</v>
      </c>
      <c r="Z488" t="s">
        <v>464</v>
      </c>
      <c r="AA488" t="s">
        <v>42</v>
      </c>
      <c r="AB488" t="s">
        <v>43</v>
      </c>
      <c r="AC488" t="s">
        <v>43</v>
      </c>
    </row>
    <row r="489" spans="1:30" x14ac:dyDescent="0.4">
      <c r="A489" t="s">
        <v>27</v>
      </c>
      <c r="B489">
        <v>984</v>
      </c>
      <c r="C489" t="s">
        <v>2866</v>
      </c>
      <c r="D489">
        <v>156</v>
      </c>
      <c r="E489" t="s">
        <v>68</v>
      </c>
      <c r="F489" t="s">
        <v>1359</v>
      </c>
      <c r="G489" t="s">
        <v>1360</v>
      </c>
      <c r="H489" t="s">
        <v>1361</v>
      </c>
      <c r="I489" t="s">
        <v>1362</v>
      </c>
      <c r="J489" t="s">
        <v>1363</v>
      </c>
      <c r="K489" t="s">
        <v>1364</v>
      </c>
      <c r="L489" t="s">
        <v>1365</v>
      </c>
      <c r="M489" t="s">
        <v>35</v>
      </c>
      <c r="N489" t="s">
        <v>1366</v>
      </c>
      <c r="O489" t="s">
        <v>1367</v>
      </c>
      <c r="P489" t="s">
        <v>3076</v>
      </c>
      <c r="R489" t="s">
        <v>1368</v>
      </c>
      <c r="S489" t="s">
        <v>1369</v>
      </c>
      <c r="T489" t="s">
        <v>58</v>
      </c>
      <c r="U489" t="s">
        <v>82</v>
      </c>
      <c r="V489" s="1">
        <v>43886</v>
      </c>
      <c r="W489">
        <v>0</v>
      </c>
      <c r="X489">
        <v>21</v>
      </c>
      <c r="Z489" t="s">
        <v>464</v>
      </c>
      <c r="AA489" t="s">
        <v>42</v>
      </c>
      <c r="AB489" t="s">
        <v>43</v>
      </c>
      <c r="AC489" t="s">
        <v>43</v>
      </c>
    </row>
    <row r="490" spans="1:30" x14ac:dyDescent="0.4">
      <c r="A490" t="s">
        <v>27</v>
      </c>
      <c r="B490">
        <v>3069</v>
      </c>
      <c r="C490" t="s">
        <v>1375</v>
      </c>
      <c r="D490">
        <v>157</v>
      </c>
      <c r="E490" t="s">
        <v>68</v>
      </c>
      <c r="F490" t="s">
        <v>656</v>
      </c>
      <c r="G490" t="s">
        <v>1370</v>
      </c>
      <c r="H490" t="s">
        <v>1371</v>
      </c>
      <c r="I490" t="s">
        <v>1372</v>
      </c>
      <c r="J490" t="s">
        <v>623</v>
      </c>
      <c r="K490" t="s">
        <v>33</v>
      </c>
      <c r="L490" t="s">
        <v>1373</v>
      </c>
      <c r="M490" t="s">
        <v>35</v>
      </c>
      <c r="N490">
        <v>7967144704</v>
      </c>
      <c r="O490" t="s">
        <v>1374</v>
      </c>
      <c r="P490" t="s">
        <v>1375</v>
      </c>
      <c r="R490" t="s">
        <v>1376</v>
      </c>
      <c r="S490" t="s">
        <v>1377</v>
      </c>
      <c r="T490" t="s">
        <v>94</v>
      </c>
      <c r="U490" t="s">
        <v>40</v>
      </c>
      <c r="V490" s="1">
        <v>44469</v>
      </c>
      <c r="W490">
        <v>0</v>
      </c>
      <c r="X490">
        <v>4</v>
      </c>
      <c r="Y490" t="s">
        <v>65</v>
      </c>
      <c r="AA490" t="s">
        <v>42</v>
      </c>
      <c r="AB490" t="s">
        <v>43</v>
      </c>
      <c r="AC490" t="s">
        <v>43</v>
      </c>
      <c r="AD490" t="s">
        <v>1378</v>
      </c>
    </row>
    <row r="491" spans="1:30" x14ac:dyDescent="0.4">
      <c r="A491" t="s">
        <v>27</v>
      </c>
      <c r="B491">
        <v>3069</v>
      </c>
      <c r="C491" t="s">
        <v>1375</v>
      </c>
      <c r="D491">
        <v>157</v>
      </c>
      <c r="E491" t="s">
        <v>68</v>
      </c>
      <c r="F491" t="s">
        <v>656</v>
      </c>
      <c r="G491" t="s">
        <v>1370</v>
      </c>
      <c r="H491" t="s">
        <v>1371</v>
      </c>
      <c r="I491" t="s">
        <v>1372</v>
      </c>
      <c r="J491" t="s">
        <v>623</v>
      </c>
      <c r="K491" t="s">
        <v>33</v>
      </c>
      <c r="L491" t="s">
        <v>1373</v>
      </c>
      <c r="M491" t="s">
        <v>35</v>
      </c>
      <c r="N491">
        <v>7967144704</v>
      </c>
      <c r="O491" t="s">
        <v>1374</v>
      </c>
      <c r="P491" t="s">
        <v>1375</v>
      </c>
      <c r="R491" t="s">
        <v>1376</v>
      </c>
      <c r="S491" t="s">
        <v>1377</v>
      </c>
      <c r="T491" t="s">
        <v>94</v>
      </c>
      <c r="U491" t="s">
        <v>40</v>
      </c>
      <c r="V491" s="1">
        <v>44469</v>
      </c>
      <c r="W491">
        <v>0</v>
      </c>
      <c r="X491">
        <v>5</v>
      </c>
      <c r="Y491" t="s">
        <v>66</v>
      </c>
      <c r="AA491" t="s">
        <v>42</v>
      </c>
      <c r="AB491" t="s">
        <v>43</v>
      </c>
      <c r="AC491" t="s">
        <v>43</v>
      </c>
      <c r="AD491" t="s">
        <v>1378</v>
      </c>
    </row>
    <row r="492" spans="1:30" x14ac:dyDescent="0.4">
      <c r="A492" t="s">
        <v>27</v>
      </c>
      <c r="B492">
        <v>3069</v>
      </c>
      <c r="C492" t="s">
        <v>1375</v>
      </c>
      <c r="D492">
        <v>157</v>
      </c>
      <c r="E492" t="s">
        <v>68</v>
      </c>
      <c r="F492" t="s">
        <v>656</v>
      </c>
      <c r="G492" t="s">
        <v>1370</v>
      </c>
      <c r="H492" t="s">
        <v>1371</v>
      </c>
      <c r="I492" t="s">
        <v>1372</v>
      </c>
      <c r="J492" t="s">
        <v>623</v>
      </c>
      <c r="K492" t="s">
        <v>33</v>
      </c>
      <c r="L492" t="s">
        <v>1373</v>
      </c>
      <c r="M492" t="s">
        <v>35</v>
      </c>
      <c r="N492">
        <v>7967144704</v>
      </c>
      <c r="O492" t="s">
        <v>1374</v>
      </c>
      <c r="P492" t="s">
        <v>1375</v>
      </c>
      <c r="R492" t="s">
        <v>1376</v>
      </c>
      <c r="S492" t="s">
        <v>1377</v>
      </c>
      <c r="T492" t="s">
        <v>94</v>
      </c>
      <c r="U492" t="s">
        <v>40</v>
      </c>
      <c r="V492" s="1">
        <v>44469</v>
      </c>
      <c r="W492">
        <v>0</v>
      </c>
      <c r="X492">
        <v>12</v>
      </c>
      <c r="AA492" t="s">
        <v>42</v>
      </c>
      <c r="AB492" t="s">
        <v>43</v>
      </c>
      <c r="AC492" t="s">
        <v>43</v>
      </c>
      <c r="AD492" t="s">
        <v>1378</v>
      </c>
    </row>
    <row r="493" spans="1:30" x14ac:dyDescent="0.4">
      <c r="A493" t="s">
        <v>27</v>
      </c>
      <c r="B493">
        <v>3069</v>
      </c>
      <c r="C493" t="s">
        <v>1375</v>
      </c>
      <c r="D493">
        <v>157</v>
      </c>
      <c r="E493" t="s">
        <v>68</v>
      </c>
      <c r="F493" t="s">
        <v>656</v>
      </c>
      <c r="G493" t="s">
        <v>1370</v>
      </c>
      <c r="H493" t="s">
        <v>1371</v>
      </c>
      <c r="I493" t="s">
        <v>1372</v>
      </c>
      <c r="J493" t="s">
        <v>623</v>
      </c>
      <c r="K493" t="s">
        <v>33</v>
      </c>
      <c r="L493" t="s">
        <v>1373</v>
      </c>
      <c r="M493" t="s">
        <v>35</v>
      </c>
      <c r="N493">
        <v>7967144704</v>
      </c>
      <c r="O493" t="s">
        <v>1374</v>
      </c>
      <c r="P493" t="s">
        <v>1375</v>
      </c>
      <c r="R493" t="s">
        <v>1376</v>
      </c>
      <c r="S493" t="s">
        <v>1377</v>
      </c>
      <c r="T493" t="s">
        <v>94</v>
      </c>
      <c r="U493" t="s">
        <v>40</v>
      </c>
      <c r="V493" s="1">
        <v>44469</v>
      </c>
      <c r="W493">
        <v>0</v>
      </c>
      <c r="X493">
        <v>14</v>
      </c>
      <c r="AA493" t="s">
        <v>42</v>
      </c>
      <c r="AB493" t="s">
        <v>43</v>
      </c>
      <c r="AC493" t="s">
        <v>43</v>
      </c>
      <c r="AD493" t="s">
        <v>1378</v>
      </c>
    </row>
    <row r="494" spans="1:30" x14ac:dyDescent="0.4">
      <c r="A494" t="s">
        <v>27</v>
      </c>
      <c r="B494">
        <v>4961</v>
      </c>
      <c r="C494" t="s">
        <v>2867</v>
      </c>
      <c r="D494">
        <v>158</v>
      </c>
      <c r="E494" t="s">
        <v>195</v>
      </c>
      <c r="F494" t="s">
        <v>1379</v>
      </c>
      <c r="G494" t="s">
        <v>1380</v>
      </c>
      <c r="H494" t="s">
        <v>1381</v>
      </c>
      <c r="I494" t="s">
        <v>1382</v>
      </c>
      <c r="J494" t="s">
        <v>1383</v>
      </c>
      <c r="K494" t="s">
        <v>426</v>
      </c>
      <c r="L494" t="s">
        <v>1384</v>
      </c>
      <c r="M494" t="s">
        <v>35</v>
      </c>
      <c r="N494">
        <v>7734031945</v>
      </c>
      <c r="O494" t="s">
        <v>1385</v>
      </c>
      <c r="P494" t="s">
        <v>1386</v>
      </c>
      <c r="R494" t="s">
        <v>1387</v>
      </c>
      <c r="S494" t="s">
        <v>1388</v>
      </c>
      <c r="T494" t="s">
        <v>284</v>
      </c>
      <c r="U494" t="s">
        <v>40</v>
      </c>
      <c r="V494" s="1">
        <v>43695</v>
      </c>
      <c r="W494">
        <v>0</v>
      </c>
      <c r="X494">
        <v>4</v>
      </c>
      <c r="Y494" t="s">
        <v>65</v>
      </c>
      <c r="Z494" t="s">
        <v>135</v>
      </c>
      <c r="AA494" t="s">
        <v>42</v>
      </c>
      <c r="AB494" t="s">
        <v>43</v>
      </c>
      <c r="AC494" t="s">
        <v>43</v>
      </c>
    </row>
    <row r="495" spans="1:30" x14ac:dyDescent="0.4">
      <c r="A495" t="s">
        <v>27</v>
      </c>
      <c r="B495">
        <v>4961</v>
      </c>
      <c r="C495" t="s">
        <v>2867</v>
      </c>
      <c r="D495">
        <v>158</v>
      </c>
      <c r="E495" t="s">
        <v>195</v>
      </c>
      <c r="F495" t="s">
        <v>1379</v>
      </c>
      <c r="G495" t="s">
        <v>1380</v>
      </c>
      <c r="H495" t="s">
        <v>1381</v>
      </c>
      <c r="I495" t="s">
        <v>1382</v>
      </c>
      <c r="J495" t="s">
        <v>1383</v>
      </c>
      <c r="K495" t="s">
        <v>426</v>
      </c>
      <c r="L495" t="s">
        <v>1384</v>
      </c>
      <c r="M495" t="s">
        <v>35</v>
      </c>
      <c r="N495">
        <v>7734031945</v>
      </c>
      <c r="O495" t="s">
        <v>1385</v>
      </c>
      <c r="P495" t="s">
        <v>1386</v>
      </c>
      <c r="R495" t="s">
        <v>1387</v>
      </c>
      <c r="S495" t="s">
        <v>1388</v>
      </c>
      <c r="T495" t="s">
        <v>284</v>
      </c>
      <c r="U495" t="s">
        <v>40</v>
      </c>
      <c r="V495" s="1">
        <v>43695</v>
      </c>
      <c r="W495">
        <v>0</v>
      </c>
      <c r="X495">
        <v>12</v>
      </c>
      <c r="Z495" t="s">
        <v>135</v>
      </c>
      <c r="AA495" t="s">
        <v>42</v>
      </c>
      <c r="AB495" t="s">
        <v>43</v>
      </c>
      <c r="AC495" t="s">
        <v>43</v>
      </c>
    </row>
    <row r="496" spans="1:30" x14ac:dyDescent="0.4">
      <c r="A496" t="s">
        <v>27</v>
      </c>
      <c r="B496">
        <v>1815</v>
      </c>
      <c r="C496" t="s">
        <v>2958</v>
      </c>
      <c r="D496">
        <v>159</v>
      </c>
      <c r="E496" t="s">
        <v>28</v>
      </c>
      <c r="F496" t="s">
        <v>1389</v>
      </c>
      <c r="G496" t="s">
        <v>1390</v>
      </c>
      <c r="H496" t="s">
        <v>1391</v>
      </c>
      <c r="I496" t="s">
        <v>1392</v>
      </c>
      <c r="J496" t="s">
        <v>1393</v>
      </c>
      <c r="K496" t="s">
        <v>1394</v>
      </c>
      <c r="L496" t="s">
        <v>1395</v>
      </c>
      <c r="M496" t="s">
        <v>35</v>
      </c>
      <c r="N496">
        <v>1725511843</v>
      </c>
      <c r="O496" t="s">
        <v>1396</v>
      </c>
      <c r="P496" t="s">
        <v>3077</v>
      </c>
      <c r="R496" t="s">
        <v>3110</v>
      </c>
      <c r="S496" t="s">
        <v>1399</v>
      </c>
      <c r="T496" t="s">
        <v>376</v>
      </c>
      <c r="U496" t="s">
        <v>40</v>
      </c>
      <c r="V496" s="1">
        <v>44860</v>
      </c>
      <c r="W496">
        <v>0</v>
      </c>
      <c r="X496">
        <v>12</v>
      </c>
      <c r="AA496" t="s">
        <v>42</v>
      </c>
      <c r="AB496" t="s">
        <v>43</v>
      </c>
      <c r="AC496" t="s">
        <v>43</v>
      </c>
    </row>
    <row r="497" spans="1:29" x14ac:dyDescent="0.4">
      <c r="A497" t="s">
        <v>27</v>
      </c>
      <c r="B497">
        <v>1815</v>
      </c>
      <c r="C497" t="s">
        <v>2958</v>
      </c>
      <c r="D497">
        <v>160</v>
      </c>
      <c r="E497" t="s">
        <v>28</v>
      </c>
      <c r="F497" t="s">
        <v>1389</v>
      </c>
      <c r="G497" t="s">
        <v>1390</v>
      </c>
      <c r="H497" t="s">
        <v>1391</v>
      </c>
      <c r="I497" t="s">
        <v>1392</v>
      </c>
      <c r="J497" t="s">
        <v>1393</v>
      </c>
      <c r="K497" t="s">
        <v>1394</v>
      </c>
      <c r="L497" t="s">
        <v>1395</v>
      </c>
      <c r="M497" t="s">
        <v>35</v>
      </c>
      <c r="N497">
        <v>1725511843</v>
      </c>
      <c r="O497" t="s">
        <v>1396</v>
      </c>
      <c r="P497" t="s">
        <v>3077</v>
      </c>
      <c r="R497" t="s">
        <v>3111</v>
      </c>
      <c r="S497" t="s">
        <v>1402</v>
      </c>
      <c r="T497" t="s">
        <v>376</v>
      </c>
      <c r="U497" t="s">
        <v>40</v>
      </c>
      <c r="V497" s="1">
        <v>43797</v>
      </c>
      <c r="W497">
        <v>0</v>
      </c>
      <c r="X497">
        <v>14</v>
      </c>
      <c r="AA497" t="s">
        <v>42</v>
      </c>
      <c r="AB497" t="s">
        <v>43</v>
      </c>
      <c r="AC497" t="s">
        <v>43</v>
      </c>
    </row>
    <row r="498" spans="1:29" x14ac:dyDescent="0.4">
      <c r="A498" t="s">
        <v>27</v>
      </c>
      <c r="B498">
        <v>1815</v>
      </c>
      <c r="C498" t="s">
        <v>2958</v>
      </c>
      <c r="D498">
        <v>160</v>
      </c>
      <c r="E498" t="s">
        <v>28</v>
      </c>
      <c r="F498" t="s">
        <v>1389</v>
      </c>
      <c r="G498" t="s">
        <v>1390</v>
      </c>
      <c r="H498" t="s">
        <v>1391</v>
      </c>
      <c r="I498" t="s">
        <v>1392</v>
      </c>
      <c r="J498" t="s">
        <v>1393</v>
      </c>
      <c r="K498" t="s">
        <v>1394</v>
      </c>
      <c r="L498" t="s">
        <v>1395</v>
      </c>
      <c r="M498" t="s">
        <v>35</v>
      </c>
      <c r="N498">
        <v>1725511843</v>
      </c>
      <c r="O498" t="s">
        <v>1396</v>
      </c>
      <c r="P498" t="s">
        <v>3077</v>
      </c>
      <c r="R498" t="s">
        <v>3111</v>
      </c>
      <c r="S498" t="s">
        <v>1402</v>
      </c>
      <c r="T498" t="s">
        <v>376</v>
      </c>
      <c r="U498" t="s">
        <v>40</v>
      </c>
      <c r="V498" s="1">
        <v>43797</v>
      </c>
      <c r="W498">
        <v>0</v>
      </c>
      <c r="X498">
        <v>18</v>
      </c>
      <c r="AA498" t="s">
        <v>42</v>
      </c>
      <c r="AB498" t="s">
        <v>43</v>
      </c>
      <c r="AC498" t="s">
        <v>43</v>
      </c>
    </row>
    <row r="499" spans="1:29" hidden="1" x14ac:dyDescent="0.4">
      <c r="A499" t="s">
        <v>27</v>
      </c>
      <c r="B499">
        <v>1815</v>
      </c>
      <c r="C499" t="s">
        <v>2958</v>
      </c>
      <c r="E499" t="s">
        <v>28</v>
      </c>
      <c r="F499" t="s">
        <v>1389</v>
      </c>
      <c r="G499" t="s">
        <v>1390</v>
      </c>
      <c r="H499" t="s">
        <v>1391</v>
      </c>
      <c r="I499" t="s">
        <v>1392</v>
      </c>
      <c r="J499" t="s">
        <v>1393</v>
      </c>
      <c r="K499" t="s">
        <v>1394</v>
      </c>
      <c r="L499" t="s">
        <v>1395</v>
      </c>
      <c r="M499" t="s">
        <v>35</v>
      </c>
      <c r="N499">
        <v>1725511843</v>
      </c>
      <c r="O499" t="s">
        <v>1396</v>
      </c>
      <c r="P499" t="s">
        <v>1397</v>
      </c>
      <c r="R499" t="s">
        <v>1403</v>
      </c>
      <c r="S499" t="s">
        <v>1404</v>
      </c>
      <c r="T499" t="s">
        <v>1400</v>
      </c>
      <c r="U499" t="s">
        <v>40</v>
      </c>
      <c r="V499" s="1">
        <v>44499</v>
      </c>
      <c r="W499">
        <v>0</v>
      </c>
      <c r="X499">
        <v>0</v>
      </c>
      <c r="Y499" t="s">
        <v>59</v>
      </c>
      <c r="AA499" t="s">
        <v>42</v>
      </c>
      <c r="AB499" t="s">
        <v>43</v>
      </c>
      <c r="AC499" t="s">
        <v>43</v>
      </c>
    </row>
    <row r="500" spans="1:29" hidden="1" x14ac:dyDescent="0.4">
      <c r="A500" t="s">
        <v>27</v>
      </c>
      <c r="B500">
        <v>1815</v>
      </c>
      <c r="C500" t="s">
        <v>2958</v>
      </c>
      <c r="E500" t="s">
        <v>28</v>
      </c>
      <c r="F500" t="s">
        <v>1389</v>
      </c>
      <c r="G500" t="s">
        <v>1390</v>
      </c>
      <c r="H500" t="s">
        <v>1391</v>
      </c>
      <c r="I500" t="s">
        <v>1392</v>
      </c>
      <c r="J500" t="s">
        <v>1393</v>
      </c>
      <c r="K500" t="s">
        <v>1394</v>
      </c>
      <c r="L500" t="s">
        <v>1395</v>
      </c>
      <c r="M500" t="s">
        <v>35</v>
      </c>
      <c r="N500">
        <v>1725511843</v>
      </c>
      <c r="O500" t="s">
        <v>1396</v>
      </c>
      <c r="P500" t="s">
        <v>1397</v>
      </c>
      <c r="R500" t="s">
        <v>1405</v>
      </c>
      <c r="S500" t="s">
        <v>1406</v>
      </c>
      <c r="T500" t="s">
        <v>1400</v>
      </c>
      <c r="U500" t="s">
        <v>82</v>
      </c>
      <c r="V500" s="1">
        <v>45085</v>
      </c>
      <c r="W500">
        <v>0</v>
      </c>
      <c r="X500">
        <v>0</v>
      </c>
      <c r="Y500" t="s">
        <v>59</v>
      </c>
      <c r="AA500" t="s">
        <v>42</v>
      </c>
      <c r="AB500" t="s">
        <v>43</v>
      </c>
      <c r="AC500" t="s">
        <v>43</v>
      </c>
    </row>
    <row r="501" spans="1:29" hidden="1" x14ac:dyDescent="0.4">
      <c r="A501" t="s">
        <v>27</v>
      </c>
      <c r="B501">
        <v>1815</v>
      </c>
      <c r="C501" t="s">
        <v>2958</v>
      </c>
      <c r="E501" t="s">
        <v>28</v>
      </c>
      <c r="F501" t="s">
        <v>1389</v>
      </c>
      <c r="G501" t="s">
        <v>1390</v>
      </c>
      <c r="H501" t="s">
        <v>1391</v>
      </c>
      <c r="I501" t="s">
        <v>1392</v>
      </c>
      <c r="J501" t="s">
        <v>1393</v>
      </c>
      <c r="K501" t="s">
        <v>1394</v>
      </c>
      <c r="L501" t="s">
        <v>1395</v>
      </c>
      <c r="M501" t="s">
        <v>35</v>
      </c>
      <c r="N501">
        <v>1725511843</v>
      </c>
      <c r="O501" t="s">
        <v>1396</v>
      </c>
      <c r="P501" t="s">
        <v>1397</v>
      </c>
      <c r="R501" t="s">
        <v>1407</v>
      </c>
      <c r="S501" t="s">
        <v>1408</v>
      </c>
      <c r="T501" t="s">
        <v>79</v>
      </c>
      <c r="U501" t="s">
        <v>40</v>
      </c>
      <c r="V501" s="1">
        <v>42748</v>
      </c>
      <c r="W501">
        <v>0</v>
      </c>
      <c r="X501">
        <v>0</v>
      </c>
      <c r="Y501" t="s">
        <v>59</v>
      </c>
      <c r="AA501" t="s">
        <v>42</v>
      </c>
      <c r="AB501" t="s">
        <v>43</v>
      </c>
      <c r="AC501" t="s">
        <v>43</v>
      </c>
    </row>
    <row r="502" spans="1:29" hidden="1" x14ac:dyDescent="0.4">
      <c r="A502" t="s">
        <v>27</v>
      </c>
      <c r="B502">
        <v>1815</v>
      </c>
      <c r="C502" t="s">
        <v>2958</v>
      </c>
      <c r="E502" t="s">
        <v>28</v>
      </c>
      <c r="F502" t="s">
        <v>1389</v>
      </c>
      <c r="G502" t="s">
        <v>1390</v>
      </c>
      <c r="H502" t="s">
        <v>1391</v>
      </c>
      <c r="I502" t="s">
        <v>1392</v>
      </c>
      <c r="J502" t="s">
        <v>1393</v>
      </c>
      <c r="K502" t="s">
        <v>1394</v>
      </c>
      <c r="L502" t="s">
        <v>1395</v>
      </c>
      <c r="M502" t="s">
        <v>35</v>
      </c>
      <c r="N502">
        <v>1725511843</v>
      </c>
      <c r="O502" t="s">
        <v>1396</v>
      </c>
      <c r="P502" t="s">
        <v>1397</v>
      </c>
      <c r="R502" t="s">
        <v>1409</v>
      </c>
      <c r="S502" t="s">
        <v>1410</v>
      </c>
      <c r="T502" t="s">
        <v>1400</v>
      </c>
      <c r="U502" t="s">
        <v>82</v>
      </c>
      <c r="V502" s="1">
        <v>45558</v>
      </c>
      <c r="W502">
        <v>0</v>
      </c>
      <c r="X502">
        <v>0</v>
      </c>
      <c r="Y502" t="s">
        <v>59</v>
      </c>
      <c r="AA502" t="s">
        <v>42</v>
      </c>
      <c r="AB502" t="s">
        <v>43</v>
      </c>
      <c r="AC502" t="s">
        <v>43</v>
      </c>
    </row>
    <row r="503" spans="1:29" hidden="1" x14ac:dyDescent="0.4">
      <c r="A503" t="s">
        <v>27</v>
      </c>
      <c r="B503">
        <v>1815</v>
      </c>
      <c r="C503" t="s">
        <v>2958</v>
      </c>
      <c r="E503" t="s">
        <v>28</v>
      </c>
      <c r="F503" t="s">
        <v>1389</v>
      </c>
      <c r="G503" t="s">
        <v>1390</v>
      </c>
      <c r="H503" t="s">
        <v>1391</v>
      </c>
      <c r="I503" t="s">
        <v>1392</v>
      </c>
      <c r="J503" t="s">
        <v>1393</v>
      </c>
      <c r="K503" t="s">
        <v>1394</v>
      </c>
      <c r="L503" t="s">
        <v>1395</v>
      </c>
      <c r="M503" t="s">
        <v>35</v>
      </c>
      <c r="N503">
        <v>1725511843</v>
      </c>
      <c r="O503" t="s">
        <v>1396</v>
      </c>
      <c r="P503" t="s">
        <v>1397</v>
      </c>
      <c r="R503" t="s">
        <v>1411</v>
      </c>
      <c r="S503" t="s">
        <v>1412</v>
      </c>
      <c r="T503" t="s">
        <v>79</v>
      </c>
      <c r="U503" t="s">
        <v>40</v>
      </c>
      <c r="V503" s="1">
        <v>41960</v>
      </c>
      <c r="W503">
        <v>0</v>
      </c>
      <c r="X503">
        <v>0</v>
      </c>
      <c r="Y503" t="s">
        <v>59</v>
      </c>
      <c r="AA503" t="s">
        <v>42</v>
      </c>
      <c r="AB503" t="s">
        <v>43</v>
      </c>
      <c r="AC503" t="s">
        <v>43</v>
      </c>
    </row>
    <row r="504" spans="1:29" x14ac:dyDescent="0.4">
      <c r="A504" t="s">
        <v>27</v>
      </c>
      <c r="B504">
        <v>1728</v>
      </c>
      <c r="C504" t="s">
        <v>2959</v>
      </c>
      <c r="D504">
        <v>161</v>
      </c>
      <c r="E504" t="s">
        <v>68</v>
      </c>
      <c r="F504" t="s">
        <v>1413</v>
      </c>
      <c r="G504" t="s">
        <v>1414</v>
      </c>
      <c r="H504" t="s">
        <v>1415</v>
      </c>
      <c r="I504" t="s">
        <v>1416</v>
      </c>
      <c r="J504" t="s">
        <v>1417</v>
      </c>
      <c r="K504" t="s">
        <v>1418</v>
      </c>
      <c r="L504" t="s">
        <v>1419</v>
      </c>
      <c r="M504" t="s">
        <v>35</v>
      </c>
      <c r="N504">
        <v>7818604767</v>
      </c>
      <c r="O504" t="s">
        <v>1420</v>
      </c>
      <c r="P504" t="s">
        <v>3078</v>
      </c>
      <c r="R504" t="s">
        <v>1421</v>
      </c>
      <c r="S504" t="s">
        <v>1422</v>
      </c>
      <c r="T504" t="s">
        <v>94</v>
      </c>
      <c r="U504" t="s">
        <v>40</v>
      </c>
      <c r="V504" s="1">
        <v>43308</v>
      </c>
      <c r="W504">
        <v>0</v>
      </c>
      <c r="X504">
        <v>18</v>
      </c>
      <c r="AA504" t="s">
        <v>42</v>
      </c>
      <c r="AB504" t="s">
        <v>43</v>
      </c>
      <c r="AC504" t="s">
        <v>42</v>
      </c>
    </row>
    <row r="505" spans="1:29" x14ac:dyDescent="0.4">
      <c r="A505" t="s">
        <v>27</v>
      </c>
      <c r="B505">
        <v>1728</v>
      </c>
      <c r="C505" t="s">
        <v>2959</v>
      </c>
      <c r="D505">
        <v>161</v>
      </c>
      <c r="E505" t="s">
        <v>68</v>
      </c>
      <c r="F505" t="s">
        <v>1413</v>
      </c>
      <c r="G505" t="s">
        <v>1414</v>
      </c>
      <c r="H505" t="s">
        <v>1415</v>
      </c>
      <c r="I505" t="s">
        <v>1416</v>
      </c>
      <c r="J505" t="s">
        <v>1417</v>
      </c>
      <c r="K505" t="s">
        <v>1418</v>
      </c>
      <c r="L505" t="s">
        <v>1419</v>
      </c>
      <c r="M505" t="s">
        <v>35</v>
      </c>
      <c r="N505">
        <v>7818604767</v>
      </c>
      <c r="O505" t="s">
        <v>1420</v>
      </c>
      <c r="P505" t="s">
        <v>3078</v>
      </c>
      <c r="R505" t="s">
        <v>1421</v>
      </c>
      <c r="S505" t="s">
        <v>1422</v>
      </c>
      <c r="T505" t="s">
        <v>94</v>
      </c>
      <c r="U505" t="s">
        <v>40</v>
      </c>
      <c r="V505" s="1">
        <v>43308</v>
      </c>
      <c r="W505">
        <v>0</v>
      </c>
      <c r="X505">
        <v>20</v>
      </c>
      <c r="AA505" t="s">
        <v>42</v>
      </c>
      <c r="AB505" t="s">
        <v>43</v>
      </c>
      <c r="AC505" t="s">
        <v>42</v>
      </c>
    </row>
    <row r="506" spans="1:29" x14ac:dyDescent="0.4">
      <c r="A506" t="s">
        <v>27</v>
      </c>
      <c r="B506">
        <v>4415</v>
      </c>
      <c r="C506" t="s">
        <v>1429</v>
      </c>
      <c r="D506">
        <v>162</v>
      </c>
      <c r="E506" t="s">
        <v>28</v>
      </c>
      <c r="F506" t="s">
        <v>1423</v>
      </c>
      <c r="G506" t="s">
        <v>1424</v>
      </c>
      <c r="H506" t="s">
        <v>1425</v>
      </c>
      <c r="J506" t="s">
        <v>1426</v>
      </c>
      <c r="K506" t="s">
        <v>495</v>
      </c>
      <c r="L506" t="s">
        <v>1427</v>
      </c>
      <c r="M506" t="s">
        <v>35</v>
      </c>
      <c r="N506">
        <v>7549652365</v>
      </c>
      <c r="O506" t="s">
        <v>1428</v>
      </c>
      <c r="P506" t="s">
        <v>1429</v>
      </c>
      <c r="R506" t="s">
        <v>1430</v>
      </c>
      <c r="S506" t="s">
        <v>1431</v>
      </c>
      <c r="T506" t="s">
        <v>58</v>
      </c>
      <c r="U506" t="s">
        <v>40</v>
      </c>
      <c r="V506" s="1">
        <v>43668</v>
      </c>
      <c r="W506">
        <v>0</v>
      </c>
      <c r="X506">
        <v>20</v>
      </c>
      <c r="AA506" t="s">
        <v>42</v>
      </c>
      <c r="AB506" t="s">
        <v>43</v>
      </c>
      <c r="AC506" t="s">
        <v>43</v>
      </c>
    </row>
    <row r="507" spans="1:29" hidden="1" x14ac:dyDescent="0.4">
      <c r="A507" t="s">
        <v>27</v>
      </c>
      <c r="B507">
        <v>25</v>
      </c>
      <c r="C507" t="s">
        <v>2960</v>
      </c>
      <c r="E507" t="s">
        <v>68</v>
      </c>
      <c r="F507" t="s">
        <v>481</v>
      </c>
      <c r="G507" t="s">
        <v>1432</v>
      </c>
      <c r="H507" t="s">
        <v>1433</v>
      </c>
      <c r="I507" t="s">
        <v>1434</v>
      </c>
      <c r="J507" t="s">
        <v>886</v>
      </c>
      <c r="K507" t="s">
        <v>51</v>
      </c>
      <c r="L507" t="s">
        <v>1435</v>
      </c>
      <c r="M507" t="s">
        <v>35</v>
      </c>
      <c r="N507" t="s">
        <v>1436</v>
      </c>
      <c r="O507" t="s">
        <v>1437</v>
      </c>
      <c r="P507" t="s">
        <v>1438</v>
      </c>
      <c r="R507" t="s">
        <v>1439</v>
      </c>
      <c r="S507" t="s">
        <v>1440</v>
      </c>
      <c r="T507" t="s">
        <v>169</v>
      </c>
      <c r="U507" t="s">
        <v>40</v>
      </c>
      <c r="V507" s="1">
        <v>40921</v>
      </c>
      <c r="W507">
        <v>0</v>
      </c>
      <c r="X507">
        <v>0</v>
      </c>
      <c r="Y507" t="s">
        <v>59</v>
      </c>
      <c r="AA507" t="s">
        <v>42</v>
      </c>
      <c r="AB507" t="s">
        <v>43</v>
      </c>
      <c r="AC507" t="s">
        <v>43</v>
      </c>
    </row>
    <row r="508" spans="1:29" hidden="1" x14ac:dyDescent="0.4">
      <c r="A508" t="s">
        <v>27</v>
      </c>
      <c r="B508">
        <v>25</v>
      </c>
      <c r="C508" t="s">
        <v>2960</v>
      </c>
      <c r="E508" t="s">
        <v>68</v>
      </c>
      <c r="F508" t="s">
        <v>481</v>
      </c>
      <c r="G508" t="s">
        <v>1432</v>
      </c>
      <c r="H508" t="s">
        <v>1433</v>
      </c>
      <c r="I508" t="s">
        <v>1434</v>
      </c>
      <c r="J508" t="s">
        <v>886</v>
      </c>
      <c r="K508" t="s">
        <v>51</v>
      </c>
      <c r="L508" t="s">
        <v>1435</v>
      </c>
      <c r="M508" t="s">
        <v>35</v>
      </c>
      <c r="N508" t="s">
        <v>1436</v>
      </c>
      <c r="O508" t="s">
        <v>1437</v>
      </c>
      <c r="P508" t="s">
        <v>1438</v>
      </c>
      <c r="R508" t="s">
        <v>1439</v>
      </c>
      <c r="S508" t="s">
        <v>1440</v>
      </c>
      <c r="T508" t="s">
        <v>169</v>
      </c>
      <c r="U508" t="s">
        <v>40</v>
      </c>
      <c r="V508" s="1">
        <v>40921</v>
      </c>
      <c r="W508">
        <v>0</v>
      </c>
      <c r="X508">
        <v>0</v>
      </c>
      <c r="Y508" t="s">
        <v>59</v>
      </c>
      <c r="AA508" t="s">
        <v>42</v>
      </c>
      <c r="AB508" t="s">
        <v>43</v>
      </c>
      <c r="AC508" t="s">
        <v>43</v>
      </c>
    </row>
    <row r="509" spans="1:29" x14ac:dyDescent="0.4">
      <c r="A509" t="s">
        <v>27</v>
      </c>
      <c r="B509">
        <v>25</v>
      </c>
      <c r="C509" t="s">
        <v>2960</v>
      </c>
      <c r="D509">
        <v>165</v>
      </c>
      <c r="E509" t="s">
        <v>68</v>
      </c>
      <c r="F509" t="s">
        <v>481</v>
      </c>
      <c r="G509" t="s">
        <v>1432</v>
      </c>
      <c r="H509" t="s">
        <v>1433</v>
      </c>
      <c r="I509" t="s">
        <v>1434</v>
      </c>
      <c r="J509" t="s">
        <v>886</v>
      </c>
      <c r="K509" t="s">
        <v>51</v>
      </c>
      <c r="L509" t="s">
        <v>1435</v>
      </c>
      <c r="M509" t="s">
        <v>35</v>
      </c>
      <c r="N509" t="s">
        <v>1436</v>
      </c>
      <c r="O509" t="s">
        <v>1437</v>
      </c>
      <c r="P509" t="s">
        <v>2960</v>
      </c>
      <c r="R509" t="s">
        <v>1441</v>
      </c>
      <c r="S509" t="s">
        <v>1442</v>
      </c>
      <c r="T509" t="s">
        <v>169</v>
      </c>
      <c r="U509" t="s">
        <v>40</v>
      </c>
      <c r="V509" s="1">
        <v>43678</v>
      </c>
      <c r="W509">
        <v>0</v>
      </c>
      <c r="X509">
        <v>6</v>
      </c>
      <c r="Y509" t="s">
        <v>83</v>
      </c>
      <c r="AA509" t="s">
        <v>42</v>
      </c>
      <c r="AB509" t="s">
        <v>43</v>
      </c>
      <c r="AC509" t="s">
        <v>43</v>
      </c>
    </row>
    <row r="510" spans="1:29" x14ac:dyDescent="0.4">
      <c r="A510" t="s">
        <v>27</v>
      </c>
      <c r="B510">
        <v>25</v>
      </c>
      <c r="C510" t="s">
        <v>2960</v>
      </c>
      <c r="D510">
        <v>166</v>
      </c>
      <c r="E510" t="s">
        <v>68</v>
      </c>
      <c r="F510" t="s">
        <v>481</v>
      </c>
      <c r="G510" t="s">
        <v>1432</v>
      </c>
      <c r="H510" t="s">
        <v>1433</v>
      </c>
      <c r="I510" t="s">
        <v>1434</v>
      </c>
      <c r="J510" t="s">
        <v>886</v>
      </c>
      <c r="K510" t="s">
        <v>51</v>
      </c>
      <c r="L510" t="s">
        <v>1435</v>
      </c>
      <c r="M510" t="s">
        <v>35</v>
      </c>
      <c r="N510" t="s">
        <v>1436</v>
      </c>
      <c r="O510" t="s">
        <v>1437</v>
      </c>
      <c r="P510" t="s">
        <v>2960</v>
      </c>
      <c r="R510" t="s">
        <v>1443</v>
      </c>
      <c r="S510" t="s">
        <v>1444</v>
      </c>
      <c r="T510" t="s">
        <v>169</v>
      </c>
      <c r="U510" t="s">
        <v>40</v>
      </c>
      <c r="V510" s="1">
        <v>45011</v>
      </c>
      <c r="W510">
        <v>0</v>
      </c>
      <c r="X510">
        <v>6</v>
      </c>
      <c r="Y510" t="s">
        <v>83</v>
      </c>
      <c r="AA510" t="s">
        <v>42</v>
      </c>
      <c r="AB510" t="s">
        <v>43</v>
      </c>
      <c r="AC510" t="s">
        <v>43</v>
      </c>
    </row>
    <row r="511" spans="1:29" x14ac:dyDescent="0.4">
      <c r="A511" t="s">
        <v>27</v>
      </c>
      <c r="B511">
        <v>25</v>
      </c>
      <c r="C511" t="s">
        <v>2960</v>
      </c>
      <c r="D511">
        <v>165</v>
      </c>
      <c r="E511" t="s">
        <v>68</v>
      </c>
      <c r="F511" t="s">
        <v>481</v>
      </c>
      <c r="G511" t="s">
        <v>1432</v>
      </c>
      <c r="H511" t="s">
        <v>1433</v>
      </c>
      <c r="I511" t="s">
        <v>1434</v>
      </c>
      <c r="J511" t="s">
        <v>886</v>
      </c>
      <c r="K511" t="s">
        <v>51</v>
      </c>
      <c r="L511" t="s">
        <v>1435</v>
      </c>
      <c r="M511" t="s">
        <v>35</v>
      </c>
      <c r="N511" t="s">
        <v>1436</v>
      </c>
      <c r="O511" t="s">
        <v>1437</v>
      </c>
      <c r="P511" t="s">
        <v>2960</v>
      </c>
      <c r="R511" t="s">
        <v>1441</v>
      </c>
      <c r="S511" t="s">
        <v>1442</v>
      </c>
      <c r="T511" t="s">
        <v>169</v>
      </c>
      <c r="U511" t="s">
        <v>40</v>
      </c>
      <c r="V511" s="1">
        <v>43678</v>
      </c>
      <c r="W511">
        <v>0</v>
      </c>
      <c r="X511">
        <v>7</v>
      </c>
      <c r="AA511" t="s">
        <v>42</v>
      </c>
      <c r="AB511" t="s">
        <v>43</v>
      </c>
      <c r="AC511" t="s">
        <v>43</v>
      </c>
    </row>
    <row r="512" spans="1:29" x14ac:dyDescent="0.4">
      <c r="A512" t="s">
        <v>27</v>
      </c>
      <c r="B512">
        <v>25</v>
      </c>
      <c r="C512" t="s">
        <v>2960</v>
      </c>
      <c r="D512">
        <v>166</v>
      </c>
      <c r="E512" t="s">
        <v>68</v>
      </c>
      <c r="F512" t="s">
        <v>481</v>
      </c>
      <c r="G512" t="s">
        <v>1432</v>
      </c>
      <c r="H512" t="s">
        <v>1433</v>
      </c>
      <c r="I512" t="s">
        <v>1434</v>
      </c>
      <c r="J512" t="s">
        <v>886</v>
      </c>
      <c r="K512" t="s">
        <v>51</v>
      </c>
      <c r="L512" t="s">
        <v>1435</v>
      </c>
      <c r="M512" t="s">
        <v>35</v>
      </c>
      <c r="N512" t="s">
        <v>1436</v>
      </c>
      <c r="O512" t="s">
        <v>1437</v>
      </c>
      <c r="P512" t="s">
        <v>2960</v>
      </c>
      <c r="R512" t="s">
        <v>1443</v>
      </c>
      <c r="S512" t="s">
        <v>1444</v>
      </c>
      <c r="T512" t="s">
        <v>169</v>
      </c>
      <c r="U512" t="s">
        <v>40</v>
      </c>
      <c r="V512" s="1">
        <v>45011</v>
      </c>
      <c r="W512">
        <v>0</v>
      </c>
      <c r="X512">
        <v>7</v>
      </c>
      <c r="AA512" t="s">
        <v>42</v>
      </c>
      <c r="AB512" t="s">
        <v>43</v>
      </c>
      <c r="AC512" t="s">
        <v>43</v>
      </c>
    </row>
    <row r="513" spans="1:30" x14ac:dyDescent="0.4">
      <c r="A513" t="s">
        <v>27</v>
      </c>
      <c r="B513">
        <v>25</v>
      </c>
      <c r="C513" t="s">
        <v>2960</v>
      </c>
      <c r="D513">
        <v>165</v>
      </c>
      <c r="E513" t="s">
        <v>68</v>
      </c>
      <c r="F513" t="s">
        <v>481</v>
      </c>
      <c r="G513" t="s">
        <v>1432</v>
      </c>
      <c r="H513" t="s">
        <v>1433</v>
      </c>
      <c r="I513" t="s">
        <v>1434</v>
      </c>
      <c r="J513" t="s">
        <v>886</v>
      </c>
      <c r="K513" t="s">
        <v>51</v>
      </c>
      <c r="L513" t="s">
        <v>1435</v>
      </c>
      <c r="M513" t="s">
        <v>35</v>
      </c>
      <c r="N513" t="s">
        <v>1436</v>
      </c>
      <c r="O513" t="s">
        <v>1437</v>
      </c>
      <c r="P513" t="s">
        <v>2960</v>
      </c>
      <c r="R513" t="s">
        <v>1441</v>
      </c>
      <c r="S513" t="s">
        <v>1442</v>
      </c>
      <c r="T513" t="s">
        <v>169</v>
      </c>
      <c r="U513" t="s">
        <v>40</v>
      </c>
      <c r="V513" s="1">
        <v>43678</v>
      </c>
      <c r="W513">
        <v>0</v>
      </c>
      <c r="X513">
        <v>16</v>
      </c>
      <c r="AA513" t="s">
        <v>42</v>
      </c>
      <c r="AB513" t="s">
        <v>43</v>
      </c>
      <c r="AC513" t="s">
        <v>43</v>
      </c>
    </row>
    <row r="514" spans="1:30" x14ac:dyDescent="0.4">
      <c r="A514" t="s">
        <v>27</v>
      </c>
      <c r="B514">
        <v>25</v>
      </c>
      <c r="C514" t="s">
        <v>2960</v>
      </c>
      <c r="D514">
        <v>166</v>
      </c>
      <c r="E514" t="s">
        <v>68</v>
      </c>
      <c r="F514" t="s">
        <v>481</v>
      </c>
      <c r="G514" t="s">
        <v>1432</v>
      </c>
      <c r="H514" t="s">
        <v>1433</v>
      </c>
      <c r="I514" t="s">
        <v>1434</v>
      </c>
      <c r="J514" t="s">
        <v>886</v>
      </c>
      <c r="K514" t="s">
        <v>51</v>
      </c>
      <c r="L514" t="s">
        <v>1435</v>
      </c>
      <c r="M514" t="s">
        <v>35</v>
      </c>
      <c r="N514" t="s">
        <v>1436</v>
      </c>
      <c r="O514" t="s">
        <v>1437</v>
      </c>
      <c r="P514" t="s">
        <v>2960</v>
      </c>
      <c r="R514" t="s">
        <v>1443</v>
      </c>
      <c r="S514" t="s">
        <v>1444</v>
      </c>
      <c r="T514" t="s">
        <v>169</v>
      </c>
      <c r="U514" t="s">
        <v>40</v>
      </c>
      <c r="V514" s="1">
        <v>45011</v>
      </c>
      <c r="W514">
        <v>0</v>
      </c>
      <c r="X514">
        <v>16</v>
      </c>
      <c r="AA514" t="s">
        <v>42</v>
      </c>
      <c r="AB514" t="s">
        <v>43</v>
      </c>
      <c r="AC514" t="s">
        <v>43</v>
      </c>
    </row>
    <row r="515" spans="1:30" x14ac:dyDescent="0.4">
      <c r="A515" t="s">
        <v>27</v>
      </c>
      <c r="B515">
        <v>25</v>
      </c>
      <c r="C515" t="s">
        <v>2960</v>
      </c>
      <c r="D515">
        <v>165</v>
      </c>
      <c r="E515" t="s">
        <v>68</v>
      </c>
      <c r="F515" t="s">
        <v>481</v>
      </c>
      <c r="G515" t="s">
        <v>1432</v>
      </c>
      <c r="H515" t="s">
        <v>1433</v>
      </c>
      <c r="I515" t="s">
        <v>1434</v>
      </c>
      <c r="J515" t="s">
        <v>886</v>
      </c>
      <c r="K515" t="s">
        <v>51</v>
      </c>
      <c r="L515" t="s">
        <v>1435</v>
      </c>
      <c r="M515" t="s">
        <v>35</v>
      </c>
      <c r="N515" t="s">
        <v>1436</v>
      </c>
      <c r="O515" t="s">
        <v>1437</v>
      </c>
      <c r="P515" t="s">
        <v>2960</v>
      </c>
      <c r="R515" t="s">
        <v>1441</v>
      </c>
      <c r="S515" t="s">
        <v>1442</v>
      </c>
      <c r="T515" t="s">
        <v>169</v>
      </c>
      <c r="U515" t="s">
        <v>40</v>
      </c>
      <c r="V515" s="1">
        <v>43678</v>
      </c>
      <c r="W515">
        <v>0</v>
      </c>
      <c r="X515">
        <v>18</v>
      </c>
      <c r="AA515" t="s">
        <v>42</v>
      </c>
      <c r="AB515" t="s">
        <v>43</v>
      </c>
      <c r="AC515" t="s">
        <v>43</v>
      </c>
    </row>
    <row r="516" spans="1:30" x14ac:dyDescent="0.4">
      <c r="A516" t="s">
        <v>27</v>
      </c>
      <c r="B516">
        <v>25</v>
      </c>
      <c r="C516" t="s">
        <v>2960</v>
      </c>
      <c r="D516">
        <v>166</v>
      </c>
      <c r="E516" t="s">
        <v>68</v>
      </c>
      <c r="F516" t="s">
        <v>481</v>
      </c>
      <c r="G516" t="s">
        <v>1432</v>
      </c>
      <c r="H516" t="s">
        <v>1433</v>
      </c>
      <c r="I516" t="s">
        <v>1434</v>
      </c>
      <c r="J516" t="s">
        <v>886</v>
      </c>
      <c r="K516" t="s">
        <v>51</v>
      </c>
      <c r="L516" t="s">
        <v>1435</v>
      </c>
      <c r="M516" t="s">
        <v>35</v>
      </c>
      <c r="N516" t="s">
        <v>1436</v>
      </c>
      <c r="O516" t="s">
        <v>1437</v>
      </c>
      <c r="P516" t="s">
        <v>2960</v>
      </c>
      <c r="R516" t="s">
        <v>1443</v>
      </c>
      <c r="S516" t="s">
        <v>1444</v>
      </c>
      <c r="T516" t="s">
        <v>169</v>
      </c>
      <c r="U516" t="s">
        <v>40</v>
      </c>
      <c r="V516" s="1">
        <v>45011</v>
      </c>
      <c r="W516">
        <v>0</v>
      </c>
      <c r="X516">
        <v>18</v>
      </c>
      <c r="AA516" t="s">
        <v>42</v>
      </c>
      <c r="AB516" t="s">
        <v>43</v>
      </c>
      <c r="AC516" t="s">
        <v>43</v>
      </c>
    </row>
    <row r="517" spans="1:30" x14ac:dyDescent="0.4">
      <c r="A517" t="s">
        <v>27</v>
      </c>
      <c r="B517">
        <v>311</v>
      </c>
      <c r="C517" t="s">
        <v>2961</v>
      </c>
      <c r="D517">
        <v>164</v>
      </c>
      <c r="E517" t="s">
        <v>28</v>
      </c>
      <c r="F517" t="s">
        <v>1445</v>
      </c>
      <c r="G517" t="s">
        <v>1432</v>
      </c>
      <c r="H517" t="s">
        <v>1446</v>
      </c>
      <c r="I517" t="s">
        <v>1447</v>
      </c>
      <c r="J517" t="s">
        <v>1448</v>
      </c>
      <c r="K517" t="s">
        <v>634</v>
      </c>
      <c r="L517" t="s">
        <v>1449</v>
      </c>
      <c r="M517" t="s">
        <v>35</v>
      </c>
      <c r="N517">
        <v>7931733643</v>
      </c>
      <c r="O517" t="s">
        <v>1450</v>
      </c>
      <c r="P517" t="s">
        <v>2961</v>
      </c>
      <c r="R517" t="s">
        <v>1451</v>
      </c>
      <c r="S517" t="s">
        <v>1452</v>
      </c>
      <c r="T517" t="s">
        <v>58</v>
      </c>
      <c r="U517" t="s">
        <v>82</v>
      </c>
      <c r="V517" s="1">
        <v>44961</v>
      </c>
      <c r="W517">
        <v>0</v>
      </c>
      <c r="X517">
        <v>4</v>
      </c>
      <c r="Y517" t="s">
        <v>65</v>
      </c>
      <c r="AA517" t="s">
        <v>42</v>
      </c>
      <c r="AB517" t="s">
        <v>43</v>
      </c>
      <c r="AC517" t="s">
        <v>42</v>
      </c>
      <c r="AD517" t="s">
        <v>1453</v>
      </c>
    </row>
    <row r="518" spans="1:30" x14ac:dyDescent="0.4">
      <c r="A518" t="s">
        <v>27</v>
      </c>
      <c r="B518">
        <v>311</v>
      </c>
      <c r="C518" t="s">
        <v>2961</v>
      </c>
      <c r="D518">
        <v>164</v>
      </c>
      <c r="E518" t="s">
        <v>28</v>
      </c>
      <c r="F518" t="s">
        <v>1445</v>
      </c>
      <c r="G518" t="s">
        <v>1432</v>
      </c>
      <c r="H518" t="s">
        <v>1446</v>
      </c>
      <c r="I518" t="s">
        <v>1447</v>
      </c>
      <c r="J518" t="s">
        <v>1448</v>
      </c>
      <c r="K518" t="s">
        <v>634</v>
      </c>
      <c r="L518" t="s">
        <v>1449</v>
      </c>
      <c r="M518" t="s">
        <v>35</v>
      </c>
      <c r="N518">
        <v>7931733643</v>
      </c>
      <c r="O518" t="s">
        <v>1450</v>
      </c>
      <c r="P518" t="s">
        <v>2961</v>
      </c>
      <c r="R518" t="s">
        <v>1451</v>
      </c>
      <c r="S518" t="s">
        <v>1452</v>
      </c>
      <c r="T518" t="s">
        <v>58</v>
      </c>
      <c r="U518" t="s">
        <v>82</v>
      </c>
      <c r="V518" s="1">
        <v>44961</v>
      </c>
      <c r="W518">
        <v>0</v>
      </c>
      <c r="X518">
        <v>13</v>
      </c>
      <c r="AA518" t="s">
        <v>42</v>
      </c>
      <c r="AB518" t="s">
        <v>43</v>
      </c>
      <c r="AC518" t="s">
        <v>42</v>
      </c>
      <c r="AD518" t="s">
        <v>1453</v>
      </c>
    </row>
    <row r="519" spans="1:30" x14ac:dyDescent="0.4">
      <c r="A519" t="s">
        <v>27</v>
      </c>
      <c r="B519">
        <v>311</v>
      </c>
      <c r="C519" t="s">
        <v>2961</v>
      </c>
      <c r="D519">
        <v>163</v>
      </c>
      <c r="E519" t="s">
        <v>28</v>
      </c>
      <c r="F519" t="s">
        <v>1445</v>
      </c>
      <c r="G519" t="s">
        <v>1432</v>
      </c>
      <c r="H519" t="s">
        <v>1446</v>
      </c>
      <c r="I519" t="s">
        <v>1447</v>
      </c>
      <c r="J519" t="s">
        <v>1448</v>
      </c>
      <c r="K519" t="s">
        <v>634</v>
      </c>
      <c r="L519" t="s">
        <v>1449</v>
      </c>
      <c r="M519" t="s">
        <v>35</v>
      </c>
      <c r="N519">
        <v>7931733643</v>
      </c>
      <c r="O519" t="s">
        <v>1450</v>
      </c>
      <c r="P519" t="s">
        <v>2961</v>
      </c>
      <c r="R519" t="s">
        <v>1454</v>
      </c>
      <c r="S519" t="s">
        <v>1455</v>
      </c>
      <c r="T519" t="s">
        <v>58</v>
      </c>
      <c r="U519" t="s">
        <v>82</v>
      </c>
      <c r="V519" s="1">
        <v>44268</v>
      </c>
      <c r="W519">
        <v>0</v>
      </c>
      <c r="X519">
        <v>6</v>
      </c>
      <c r="Y519" t="s">
        <v>83</v>
      </c>
      <c r="AA519" t="s">
        <v>42</v>
      </c>
      <c r="AB519" t="s">
        <v>43</v>
      </c>
      <c r="AC519" t="s">
        <v>42</v>
      </c>
      <c r="AD519" t="s">
        <v>1453</v>
      </c>
    </row>
    <row r="520" spans="1:30" x14ac:dyDescent="0.4">
      <c r="A520" t="s">
        <v>27</v>
      </c>
      <c r="B520">
        <v>311</v>
      </c>
      <c r="C520" t="s">
        <v>2961</v>
      </c>
      <c r="D520">
        <v>163</v>
      </c>
      <c r="E520" t="s">
        <v>28</v>
      </c>
      <c r="F520" t="s">
        <v>1445</v>
      </c>
      <c r="G520" t="s">
        <v>1432</v>
      </c>
      <c r="H520" t="s">
        <v>1446</v>
      </c>
      <c r="I520" t="s">
        <v>1447</v>
      </c>
      <c r="J520" t="s">
        <v>1448</v>
      </c>
      <c r="K520" t="s">
        <v>634</v>
      </c>
      <c r="L520" t="s">
        <v>1449</v>
      </c>
      <c r="M520" t="s">
        <v>35</v>
      </c>
      <c r="N520">
        <v>7931733643</v>
      </c>
      <c r="O520" t="s">
        <v>1450</v>
      </c>
      <c r="P520" t="s">
        <v>2961</v>
      </c>
      <c r="R520" t="s">
        <v>1454</v>
      </c>
      <c r="S520" t="s">
        <v>1455</v>
      </c>
      <c r="T520" t="s">
        <v>58</v>
      </c>
      <c r="U520" t="s">
        <v>82</v>
      </c>
      <c r="V520" s="1">
        <v>44268</v>
      </c>
      <c r="W520">
        <v>0</v>
      </c>
      <c r="X520">
        <v>7</v>
      </c>
      <c r="AA520" t="s">
        <v>42</v>
      </c>
      <c r="AB520" t="s">
        <v>43</v>
      </c>
      <c r="AC520" t="s">
        <v>42</v>
      </c>
      <c r="AD520" t="s">
        <v>1453</v>
      </c>
    </row>
    <row r="521" spans="1:30" x14ac:dyDescent="0.4">
      <c r="A521" t="s">
        <v>27</v>
      </c>
      <c r="B521">
        <v>311</v>
      </c>
      <c r="C521" t="s">
        <v>2961</v>
      </c>
      <c r="D521">
        <v>163</v>
      </c>
      <c r="E521" t="s">
        <v>28</v>
      </c>
      <c r="F521" t="s">
        <v>1445</v>
      </c>
      <c r="G521" t="s">
        <v>1432</v>
      </c>
      <c r="H521" t="s">
        <v>1446</v>
      </c>
      <c r="I521" t="s">
        <v>1447</v>
      </c>
      <c r="J521" t="s">
        <v>1448</v>
      </c>
      <c r="K521" t="s">
        <v>634</v>
      </c>
      <c r="L521" t="s">
        <v>1449</v>
      </c>
      <c r="M521" t="s">
        <v>35</v>
      </c>
      <c r="N521">
        <v>7931733643</v>
      </c>
      <c r="O521" t="s">
        <v>1450</v>
      </c>
      <c r="P521" t="s">
        <v>2961</v>
      </c>
      <c r="R521" t="s">
        <v>1454</v>
      </c>
      <c r="S521" t="s">
        <v>1455</v>
      </c>
      <c r="T521" t="s">
        <v>58</v>
      </c>
      <c r="U521" t="s">
        <v>82</v>
      </c>
      <c r="V521" s="1">
        <v>44268</v>
      </c>
      <c r="W521">
        <v>0</v>
      </c>
      <c r="X521">
        <v>17</v>
      </c>
      <c r="AA521" t="s">
        <v>42</v>
      </c>
      <c r="AB521" t="s">
        <v>43</v>
      </c>
      <c r="AC521" t="s">
        <v>42</v>
      </c>
      <c r="AD521" t="s">
        <v>1453</v>
      </c>
    </row>
    <row r="522" spans="1:30" x14ac:dyDescent="0.4">
      <c r="A522" t="s">
        <v>27</v>
      </c>
      <c r="B522">
        <v>311</v>
      </c>
      <c r="C522" t="s">
        <v>2961</v>
      </c>
      <c r="D522">
        <v>163</v>
      </c>
      <c r="E522" t="s">
        <v>28</v>
      </c>
      <c r="F522" t="s">
        <v>1445</v>
      </c>
      <c r="G522" t="s">
        <v>1432</v>
      </c>
      <c r="H522" t="s">
        <v>1446</v>
      </c>
      <c r="I522" t="s">
        <v>1447</v>
      </c>
      <c r="J522" t="s">
        <v>1448</v>
      </c>
      <c r="K522" t="s">
        <v>634</v>
      </c>
      <c r="L522" t="s">
        <v>1449</v>
      </c>
      <c r="M522" t="s">
        <v>35</v>
      </c>
      <c r="N522">
        <v>7931733643</v>
      </c>
      <c r="O522" t="s">
        <v>1450</v>
      </c>
      <c r="P522" t="s">
        <v>2961</v>
      </c>
      <c r="R522" t="s">
        <v>1454</v>
      </c>
      <c r="S522" t="s">
        <v>1455</v>
      </c>
      <c r="T522" t="s">
        <v>58</v>
      </c>
      <c r="U522" t="s">
        <v>82</v>
      </c>
      <c r="V522" s="1">
        <v>44268</v>
      </c>
      <c r="W522">
        <v>0</v>
      </c>
      <c r="X522">
        <v>19</v>
      </c>
      <c r="AA522" t="s">
        <v>42</v>
      </c>
      <c r="AB522" t="s">
        <v>43</v>
      </c>
      <c r="AC522" t="s">
        <v>42</v>
      </c>
      <c r="AD522" t="s">
        <v>1453</v>
      </c>
    </row>
    <row r="523" spans="1:30" x14ac:dyDescent="0.4">
      <c r="A523" t="s">
        <v>27</v>
      </c>
      <c r="B523">
        <v>1532</v>
      </c>
      <c r="C523" t="s">
        <v>2962</v>
      </c>
      <c r="D523">
        <v>167</v>
      </c>
      <c r="E523" t="s">
        <v>28</v>
      </c>
      <c r="F523" t="s">
        <v>1456</v>
      </c>
      <c r="G523" t="s">
        <v>1457</v>
      </c>
      <c r="H523" t="s">
        <v>1458</v>
      </c>
      <c r="J523" t="s">
        <v>559</v>
      </c>
      <c r="K523" t="s">
        <v>51</v>
      </c>
      <c r="L523" t="s">
        <v>1459</v>
      </c>
      <c r="M523" t="s">
        <v>35</v>
      </c>
      <c r="N523">
        <v>7786565082</v>
      </c>
      <c r="O523" t="s">
        <v>1460</v>
      </c>
      <c r="P523" t="s">
        <v>3079</v>
      </c>
      <c r="R523" t="s">
        <v>1461</v>
      </c>
      <c r="S523" t="s">
        <v>1462</v>
      </c>
      <c r="T523" t="s">
        <v>58</v>
      </c>
      <c r="U523" t="s">
        <v>82</v>
      </c>
      <c r="V523" s="1">
        <v>43302</v>
      </c>
      <c r="W523">
        <v>0</v>
      </c>
      <c r="X523">
        <v>6</v>
      </c>
      <c r="Y523" t="s">
        <v>83</v>
      </c>
      <c r="AA523" t="s">
        <v>42</v>
      </c>
      <c r="AB523" t="s">
        <v>43</v>
      </c>
      <c r="AC523" t="s">
        <v>43</v>
      </c>
    </row>
    <row r="524" spans="1:30" x14ac:dyDescent="0.4">
      <c r="A524" t="s">
        <v>27</v>
      </c>
      <c r="B524">
        <v>1532</v>
      </c>
      <c r="C524" t="s">
        <v>2962</v>
      </c>
      <c r="D524">
        <v>167</v>
      </c>
      <c r="E524" t="s">
        <v>28</v>
      </c>
      <c r="F524" t="s">
        <v>1456</v>
      </c>
      <c r="G524" t="s">
        <v>1457</v>
      </c>
      <c r="H524" t="s">
        <v>1458</v>
      </c>
      <c r="J524" t="s">
        <v>559</v>
      </c>
      <c r="K524" t="s">
        <v>51</v>
      </c>
      <c r="L524" t="s">
        <v>1459</v>
      </c>
      <c r="M524" t="s">
        <v>35</v>
      </c>
      <c r="N524">
        <v>7786565082</v>
      </c>
      <c r="O524" t="s">
        <v>1460</v>
      </c>
      <c r="P524" t="s">
        <v>3079</v>
      </c>
      <c r="R524" t="s">
        <v>1461</v>
      </c>
      <c r="S524" t="s">
        <v>1462</v>
      </c>
      <c r="T524" t="s">
        <v>58</v>
      </c>
      <c r="U524" t="s">
        <v>82</v>
      </c>
      <c r="V524" s="1">
        <v>43302</v>
      </c>
      <c r="W524">
        <v>0</v>
      </c>
      <c r="X524">
        <v>17</v>
      </c>
      <c r="AA524" t="s">
        <v>42</v>
      </c>
      <c r="AB524" t="s">
        <v>43</v>
      </c>
      <c r="AC524" t="s">
        <v>43</v>
      </c>
    </row>
    <row r="525" spans="1:30" x14ac:dyDescent="0.4">
      <c r="A525" t="s">
        <v>27</v>
      </c>
      <c r="B525">
        <v>1567</v>
      </c>
      <c r="C525" t="s">
        <v>2963</v>
      </c>
      <c r="D525">
        <v>169</v>
      </c>
      <c r="E525" t="s">
        <v>68</v>
      </c>
      <c r="F525" t="s">
        <v>1463</v>
      </c>
      <c r="G525" t="s">
        <v>1464</v>
      </c>
      <c r="H525" t="s">
        <v>1465</v>
      </c>
      <c r="J525" t="s">
        <v>1466</v>
      </c>
      <c r="K525" t="s">
        <v>1467</v>
      </c>
      <c r="L525" t="s">
        <v>1468</v>
      </c>
      <c r="M525" t="s">
        <v>35</v>
      </c>
      <c r="N525" t="s">
        <v>1469</v>
      </c>
      <c r="O525" t="s">
        <v>1470</v>
      </c>
      <c r="P525" t="s">
        <v>3080</v>
      </c>
      <c r="R525" t="s">
        <v>3112</v>
      </c>
      <c r="S525" t="s">
        <v>1472</v>
      </c>
      <c r="T525" t="s">
        <v>58</v>
      </c>
      <c r="U525" t="s">
        <v>82</v>
      </c>
      <c r="V525" s="1">
        <v>44743</v>
      </c>
      <c r="W525">
        <v>0</v>
      </c>
      <c r="X525">
        <v>5</v>
      </c>
      <c r="Y525" t="s">
        <v>66</v>
      </c>
      <c r="AA525" t="s">
        <v>42</v>
      </c>
      <c r="AB525" t="s">
        <v>43</v>
      </c>
      <c r="AC525" t="s">
        <v>42</v>
      </c>
    </row>
    <row r="526" spans="1:30" x14ac:dyDescent="0.4">
      <c r="A526" t="s">
        <v>27</v>
      </c>
      <c r="B526">
        <v>1567</v>
      </c>
      <c r="C526" t="s">
        <v>2963</v>
      </c>
      <c r="D526">
        <v>168</v>
      </c>
      <c r="E526" t="s">
        <v>68</v>
      </c>
      <c r="F526" t="s">
        <v>1463</v>
      </c>
      <c r="G526" t="s">
        <v>1464</v>
      </c>
      <c r="H526" t="s">
        <v>1465</v>
      </c>
      <c r="J526" t="s">
        <v>1466</v>
      </c>
      <c r="K526" t="s">
        <v>1467</v>
      </c>
      <c r="L526" t="s">
        <v>1468</v>
      </c>
      <c r="M526" t="s">
        <v>35</v>
      </c>
      <c r="N526" t="s">
        <v>1469</v>
      </c>
      <c r="O526" t="s">
        <v>1470</v>
      </c>
      <c r="P526" t="s">
        <v>3080</v>
      </c>
      <c r="R526" t="s">
        <v>3113</v>
      </c>
      <c r="S526" t="s">
        <v>1474</v>
      </c>
      <c r="T526" t="s">
        <v>94</v>
      </c>
      <c r="U526" t="s">
        <v>82</v>
      </c>
      <c r="V526" s="1">
        <v>43270</v>
      </c>
      <c r="W526">
        <v>0</v>
      </c>
      <c r="X526">
        <v>6</v>
      </c>
      <c r="Y526" t="s">
        <v>83</v>
      </c>
      <c r="AA526" t="s">
        <v>42</v>
      </c>
      <c r="AB526" t="s">
        <v>43</v>
      </c>
      <c r="AC526" t="s">
        <v>42</v>
      </c>
    </row>
    <row r="527" spans="1:30" hidden="1" x14ac:dyDescent="0.4">
      <c r="A527" t="s">
        <v>27</v>
      </c>
      <c r="B527">
        <v>77</v>
      </c>
      <c r="C527" t="s">
        <v>1481</v>
      </c>
      <c r="E527" t="s">
        <v>195</v>
      </c>
      <c r="F527" t="s">
        <v>1475</v>
      </c>
      <c r="G527" t="s">
        <v>1476</v>
      </c>
      <c r="H527" t="s">
        <v>1477</v>
      </c>
      <c r="J527" t="s">
        <v>1164</v>
      </c>
      <c r="K527" t="s">
        <v>426</v>
      </c>
      <c r="L527" t="s">
        <v>1478</v>
      </c>
      <c r="M527" t="s">
        <v>35</v>
      </c>
      <c r="N527" t="s">
        <v>1479</v>
      </c>
      <c r="O527" t="s">
        <v>1480</v>
      </c>
      <c r="P527" t="s">
        <v>1481</v>
      </c>
      <c r="R527" t="s">
        <v>1482</v>
      </c>
      <c r="S527" t="s">
        <v>1483</v>
      </c>
      <c r="T527" t="s">
        <v>275</v>
      </c>
      <c r="U527" t="s">
        <v>82</v>
      </c>
      <c r="V527" s="1">
        <v>41419</v>
      </c>
      <c r="W527">
        <v>0</v>
      </c>
      <c r="X527">
        <v>0</v>
      </c>
      <c r="Y527" t="s">
        <v>59</v>
      </c>
      <c r="AA527" t="s">
        <v>42</v>
      </c>
      <c r="AB527" t="s">
        <v>43</v>
      </c>
      <c r="AC527" t="s">
        <v>43</v>
      </c>
    </row>
    <row r="528" spans="1:30" hidden="1" x14ac:dyDescent="0.4">
      <c r="A528" t="s">
        <v>27</v>
      </c>
      <c r="B528">
        <v>77</v>
      </c>
      <c r="C528" t="s">
        <v>1481</v>
      </c>
      <c r="E528" t="s">
        <v>195</v>
      </c>
      <c r="F528" t="s">
        <v>1475</v>
      </c>
      <c r="G528" t="s">
        <v>1476</v>
      </c>
      <c r="H528" t="s">
        <v>1477</v>
      </c>
      <c r="J528" t="s">
        <v>1164</v>
      </c>
      <c r="K528" t="s">
        <v>426</v>
      </c>
      <c r="L528" t="s">
        <v>1478</v>
      </c>
      <c r="M528" t="s">
        <v>35</v>
      </c>
      <c r="N528" t="s">
        <v>1479</v>
      </c>
      <c r="O528" t="s">
        <v>1480</v>
      </c>
      <c r="P528" t="s">
        <v>1481</v>
      </c>
      <c r="R528" t="s">
        <v>1484</v>
      </c>
      <c r="S528" t="s">
        <v>1485</v>
      </c>
      <c r="T528" t="s">
        <v>1486</v>
      </c>
      <c r="U528" t="s">
        <v>40</v>
      </c>
      <c r="V528" s="1">
        <v>41772</v>
      </c>
      <c r="W528">
        <v>0</v>
      </c>
      <c r="X528">
        <v>0</v>
      </c>
      <c r="Y528" t="s">
        <v>59</v>
      </c>
      <c r="AA528" t="s">
        <v>42</v>
      </c>
      <c r="AB528" t="s">
        <v>43</v>
      </c>
      <c r="AC528" t="s">
        <v>43</v>
      </c>
    </row>
    <row r="529" spans="1:29" hidden="1" x14ac:dyDescent="0.4">
      <c r="A529" t="s">
        <v>27</v>
      </c>
      <c r="B529">
        <v>77</v>
      </c>
      <c r="C529" t="s">
        <v>1481</v>
      </c>
      <c r="E529" t="s">
        <v>195</v>
      </c>
      <c r="F529" t="s">
        <v>1475</v>
      </c>
      <c r="G529" t="s">
        <v>1476</v>
      </c>
      <c r="H529" t="s">
        <v>1477</v>
      </c>
      <c r="J529" t="s">
        <v>1164</v>
      </c>
      <c r="K529" t="s">
        <v>426</v>
      </c>
      <c r="L529" t="s">
        <v>1478</v>
      </c>
      <c r="M529" t="s">
        <v>35</v>
      </c>
      <c r="N529" t="s">
        <v>1479</v>
      </c>
      <c r="O529" t="s">
        <v>1480</v>
      </c>
      <c r="P529" t="s">
        <v>1481</v>
      </c>
      <c r="R529" t="s">
        <v>1482</v>
      </c>
      <c r="S529" t="s">
        <v>1483</v>
      </c>
      <c r="T529" t="s">
        <v>275</v>
      </c>
      <c r="U529" t="s">
        <v>82</v>
      </c>
      <c r="V529" s="1">
        <v>41419</v>
      </c>
      <c r="W529">
        <v>0</v>
      </c>
      <c r="X529">
        <v>0</v>
      </c>
      <c r="Y529" t="s">
        <v>59</v>
      </c>
      <c r="AA529" t="s">
        <v>42</v>
      </c>
      <c r="AB529" t="s">
        <v>43</v>
      </c>
      <c r="AC529" t="s">
        <v>43</v>
      </c>
    </row>
    <row r="530" spans="1:29" hidden="1" x14ac:dyDescent="0.4">
      <c r="A530" t="s">
        <v>27</v>
      </c>
      <c r="B530">
        <v>77</v>
      </c>
      <c r="C530" t="s">
        <v>1481</v>
      </c>
      <c r="E530" t="s">
        <v>195</v>
      </c>
      <c r="F530" t="s">
        <v>1475</v>
      </c>
      <c r="G530" t="s">
        <v>1476</v>
      </c>
      <c r="H530" t="s">
        <v>1477</v>
      </c>
      <c r="J530" t="s">
        <v>1164</v>
      </c>
      <c r="K530" t="s">
        <v>426</v>
      </c>
      <c r="L530" t="s">
        <v>1478</v>
      </c>
      <c r="M530" t="s">
        <v>35</v>
      </c>
      <c r="N530" t="s">
        <v>1479</v>
      </c>
      <c r="O530" t="s">
        <v>1480</v>
      </c>
      <c r="P530" t="s">
        <v>1481</v>
      </c>
      <c r="R530" t="s">
        <v>1484</v>
      </c>
      <c r="S530" t="s">
        <v>1485</v>
      </c>
      <c r="T530" t="s">
        <v>1486</v>
      </c>
      <c r="U530" t="s">
        <v>40</v>
      </c>
      <c r="V530" s="1">
        <v>41772</v>
      </c>
      <c r="W530">
        <v>0</v>
      </c>
      <c r="X530">
        <v>0</v>
      </c>
      <c r="Y530" t="s">
        <v>59</v>
      </c>
      <c r="AA530" t="s">
        <v>42</v>
      </c>
      <c r="AB530" t="s">
        <v>43</v>
      </c>
      <c r="AC530" t="s">
        <v>43</v>
      </c>
    </row>
    <row r="531" spans="1:29" x14ac:dyDescent="0.4">
      <c r="A531" t="s">
        <v>27</v>
      </c>
      <c r="B531">
        <v>77</v>
      </c>
      <c r="C531" t="s">
        <v>1481</v>
      </c>
      <c r="D531">
        <v>170</v>
      </c>
      <c r="E531" t="s">
        <v>195</v>
      </c>
      <c r="F531" t="s">
        <v>1475</v>
      </c>
      <c r="G531" t="s">
        <v>1476</v>
      </c>
      <c r="H531" t="s">
        <v>1477</v>
      </c>
      <c r="J531" t="s">
        <v>1164</v>
      </c>
      <c r="K531" t="s">
        <v>426</v>
      </c>
      <c r="L531" t="s">
        <v>1478</v>
      </c>
      <c r="M531" t="s">
        <v>35</v>
      </c>
      <c r="N531" t="s">
        <v>1479</v>
      </c>
      <c r="O531" t="s">
        <v>1480</v>
      </c>
      <c r="P531" t="s">
        <v>1481</v>
      </c>
      <c r="R531" t="s">
        <v>1487</v>
      </c>
      <c r="S531" t="s">
        <v>1488</v>
      </c>
      <c r="T531" t="s">
        <v>3135</v>
      </c>
      <c r="U531" t="s">
        <v>82</v>
      </c>
      <c r="V531" s="1">
        <v>43787</v>
      </c>
      <c r="W531">
        <v>0</v>
      </c>
      <c r="X531">
        <v>5</v>
      </c>
      <c r="Y531" t="s">
        <v>66</v>
      </c>
      <c r="AA531" t="s">
        <v>42</v>
      </c>
      <c r="AB531" t="s">
        <v>43</v>
      </c>
      <c r="AC531" t="s">
        <v>43</v>
      </c>
    </row>
    <row r="532" spans="1:29" x14ac:dyDescent="0.4">
      <c r="A532" t="s">
        <v>27</v>
      </c>
      <c r="B532">
        <v>77</v>
      </c>
      <c r="C532" t="s">
        <v>1481</v>
      </c>
      <c r="D532">
        <v>170</v>
      </c>
      <c r="E532" t="s">
        <v>195</v>
      </c>
      <c r="F532" t="s">
        <v>1475</v>
      </c>
      <c r="G532" t="s">
        <v>1476</v>
      </c>
      <c r="H532" t="s">
        <v>1477</v>
      </c>
      <c r="J532" t="s">
        <v>1164</v>
      </c>
      <c r="K532" t="s">
        <v>426</v>
      </c>
      <c r="L532" t="s">
        <v>1478</v>
      </c>
      <c r="M532" t="s">
        <v>35</v>
      </c>
      <c r="N532" t="s">
        <v>1479</v>
      </c>
      <c r="O532" t="s">
        <v>1480</v>
      </c>
      <c r="P532" t="s">
        <v>1481</v>
      </c>
      <c r="R532" t="s">
        <v>1487</v>
      </c>
      <c r="S532" t="s">
        <v>1488</v>
      </c>
      <c r="T532" t="s">
        <v>3135</v>
      </c>
      <c r="U532" t="s">
        <v>82</v>
      </c>
      <c r="V532" s="1">
        <v>43787</v>
      </c>
      <c r="W532">
        <v>0</v>
      </c>
      <c r="X532">
        <v>6</v>
      </c>
      <c r="Y532" t="s">
        <v>83</v>
      </c>
      <c r="AA532" t="s">
        <v>42</v>
      </c>
      <c r="AB532" t="s">
        <v>43</v>
      </c>
      <c r="AC532" t="s">
        <v>43</v>
      </c>
    </row>
    <row r="533" spans="1:29" x14ac:dyDescent="0.4">
      <c r="A533" t="s">
        <v>27</v>
      </c>
      <c r="B533">
        <v>77</v>
      </c>
      <c r="C533" t="s">
        <v>1481</v>
      </c>
      <c r="D533">
        <v>170</v>
      </c>
      <c r="E533" t="s">
        <v>195</v>
      </c>
      <c r="F533" t="s">
        <v>1475</v>
      </c>
      <c r="G533" t="s">
        <v>1476</v>
      </c>
      <c r="H533" t="s">
        <v>1477</v>
      </c>
      <c r="J533" t="s">
        <v>1164</v>
      </c>
      <c r="K533" t="s">
        <v>426</v>
      </c>
      <c r="L533" t="s">
        <v>1478</v>
      </c>
      <c r="M533" t="s">
        <v>35</v>
      </c>
      <c r="N533" t="s">
        <v>1479</v>
      </c>
      <c r="O533" t="s">
        <v>1480</v>
      </c>
      <c r="P533" t="s">
        <v>1481</v>
      </c>
      <c r="R533" t="s">
        <v>1487</v>
      </c>
      <c r="S533" t="s">
        <v>1488</v>
      </c>
      <c r="T533" t="s">
        <v>3135</v>
      </c>
      <c r="U533" t="s">
        <v>82</v>
      </c>
      <c r="V533" s="1">
        <v>43787</v>
      </c>
      <c r="W533">
        <v>0</v>
      </c>
      <c r="X533">
        <v>7</v>
      </c>
      <c r="AA533" t="s">
        <v>42</v>
      </c>
      <c r="AB533" t="s">
        <v>43</v>
      </c>
      <c r="AC533" t="s">
        <v>43</v>
      </c>
    </row>
    <row r="534" spans="1:29" x14ac:dyDescent="0.4">
      <c r="A534" t="s">
        <v>27</v>
      </c>
      <c r="B534">
        <v>77</v>
      </c>
      <c r="C534" t="s">
        <v>1481</v>
      </c>
      <c r="D534">
        <v>170</v>
      </c>
      <c r="E534" t="s">
        <v>195</v>
      </c>
      <c r="F534" t="s">
        <v>1475</v>
      </c>
      <c r="G534" t="s">
        <v>1476</v>
      </c>
      <c r="H534" t="s">
        <v>1477</v>
      </c>
      <c r="J534" t="s">
        <v>1164</v>
      </c>
      <c r="K534" t="s">
        <v>426</v>
      </c>
      <c r="L534" t="s">
        <v>1478</v>
      </c>
      <c r="M534" t="s">
        <v>35</v>
      </c>
      <c r="N534" t="s">
        <v>1479</v>
      </c>
      <c r="O534" t="s">
        <v>1480</v>
      </c>
      <c r="P534" t="s">
        <v>1481</v>
      </c>
      <c r="R534" t="s">
        <v>1487</v>
      </c>
      <c r="S534" t="s">
        <v>1488</v>
      </c>
      <c r="T534" t="s">
        <v>3135</v>
      </c>
      <c r="U534" t="s">
        <v>82</v>
      </c>
      <c r="V534" s="1">
        <v>43787</v>
      </c>
      <c r="W534">
        <v>0</v>
      </c>
      <c r="X534">
        <v>15</v>
      </c>
      <c r="AA534" t="s">
        <v>42</v>
      </c>
      <c r="AB534" t="s">
        <v>43</v>
      </c>
      <c r="AC534" t="s">
        <v>43</v>
      </c>
    </row>
    <row r="535" spans="1:29" x14ac:dyDescent="0.4">
      <c r="A535" t="s">
        <v>27</v>
      </c>
      <c r="B535">
        <v>77</v>
      </c>
      <c r="C535" t="s">
        <v>1481</v>
      </c>
      <c r="D535">
        <v>170</v>
      </c>
      <c r="E535" t="s">
        <v>195</v>
      </c>
      <c r="F535" t="s">
        <v>1475</v>
      </c>
      <c r="G535" t="s">
        <v>1476</v>
      </c>
      <c r="H535" t="s">
        <v>1477</v>
      </c>
      <c r="J535" t="s">
        <v>1164</v>
      </c>
      <c r="K535" t="s">
        <v>426</v>
      </c>
      <c r="L535" t="s">
        <v>1478</v>
      </c>
      <c r="M535" t="s">
        <v>35</v>
      </c>
      <c r="N535" t="s">
        <v>1479</v>
      </c>
      <c r="O535" t="s">
        <v>1480</v>
      </c>
      <c r="P535" t="s">
        <v>1481</v>
      </c>
      <c r="R535" t="s">
        <v>1487</v>
      </c>
      <c r="S535" t="s">
        <v>1488</v>
      </c>
      <c r="T535" t="s">
        <v>3135</v>
      </c>
      <c r="U535" t="s">
        <v>82</v>
      </c>
      <c r="V535" s="1">
        <v>43787</v>
      </c>
      <c r="W535">
        <v>0</v>
      </c>
      <c r="X535">
        <v>17</v>
      </c>
      <c r="AA535" t="s">
        <v>42</v>
      </c>
      <c r="AB535" t="s">
        <v>43</v>
      </c>
      <c r="AC535" t="s">
        <v>43</v>
      </c>
    </row>
    <row r="536" spans="1:29" x14ac:dyDescent="0.4">
      <c r="A536" t="s">
        <v>27</v>
      </c>
      <c r="B536">
        <v>77</v>
      </c>
      <c r="C536" t="s">
        <v>1481</v>
      </c>
      <c r="D536">
        <v>170</v>
      </c>
      <c r="E536" t="s">
        <v>195</v>
      </c>
      <c r="F536" t="s">
        <v>1475</v>
      </c>
      <c r="G536" t="s">
        <v>1476</v>
      </c>
      <c r="H536" t="s">
        <v>1477</v>
      </c>
      <c r="J536" t="s">
        <v>1164</v>
      </c>
      <c r="K536" t="s">
        <v>426</v>
      </c>
      <c r="L536" t="s">
        <v>1478</v>
      </c>
      <c r="M536" t="s">
        <v>35</v>
      </c>
      <c r="N536" t="s">
        <v>1479</v>
      </c>
      <c r="O536" t="s">
        <v>1480</v>
      </c>
      <c r="P536" t="s">
        <v>1481</v>
      </c>
      <c r="R536" t="s">
        <v>1487</v>
      </c>
      <c r="S536" t="s">
        <v>1488</v>
      </c>
      <c r="T536" t="s">
        <v>3135</v>
      </c>
      <c r="U536" t="s">
        <v>82</v>
      </c>
      <c r="V536" s="1">
        <v>43787</v>
      </c>
      <c r="W536">
        <v>0</v>
      </c>
      <c r="X536">
        <v>19</v>
      </c>
      <c r="AA536" t="s">
        <v>42</v>
      </c>
      <c r="AB536" t="s">
        <v>43</v>
      </c>
      <c r="AC536" t="s">
        <v>43</v>
      </c>
    </row>
    <row r="537" spans="1:29" hidden="1" x14ac:dyDescent="0.4">
      <c r="A537" t="s">
        <v>27</v>
      </c>
      <c r="B537">
        <v>553</v>
      </c>
      <c r="C537" t="s">
        <v>2868</v>
      </c>
      <c r="E537" t="s">
        <v>68</v>
      </c>
      <c r="F537" t="s">
        <v>535</v>
      </c>
      <c r="G537" t="s">
        <v>1489</v>
      </c>
      <c r="H537" t="s">
        <v>1490</v>
      </c>
      <c r="J537" t="s">
        <v>1491</v>
      </c>
      <c r="K537" t="s">
        <v>1492</v>
      </c>
      <c r="L537" t="s">
        <v>1493</v>
      </c>
      <c r="M537" t="s">
        <v>35</v>
      </c>
      <c r="N537">
        <v>1787228204</v>
      </c>
      <c r="O537" t="s">
        <v>1494</v>
      </c>
      <c r="P537" t="s">
        <v>1495</v>
      </c>
      <c r="R537" t="s">
        <v>1496</v>
      </c>
      <c r="S537" t="s">
        <v>1497</v>
      </c>
      <c r="T537" t="s">
        <v>1498</v>
      </c>
      <c r="U537" t="s">
        <v>40</v>
      </c>
      <c r="V537" s="1">
        <v>45625</v>
      </c>
      <c r="W537">
        <v>0</v>
      </c>
      <c r="X537">
        <v>0</v>
      </c>
      <c r="Y537" t="s">
        <v>59</v>
      </c>
      <c r="Z537" t="s">
        <v>135</v>
      </c>
      <c r="AA537" t="s">
        <v>42</v>
      </c>
      <c r="AB537" t="s">
        <v>43</v>
      </c>
      <c r="AC537" t="s">
        <v>42</v>
      </c>
    </row>
    <row r="538" spans="1:29" hidden="1" x14ac:dyDescent="0.4">
      <c r="A538" t="s">
        <v>27</v>
      </c>
      <c r="B538">
        <v>553</v>
      </c>
      <c r="C538" t="s">
        <v>2868</v>
      </c>
      <c r="E538" t="s">
        <v>68</v>
      </c>
      <c r="F538" t="s">
        <v>535</v>
      </c>
      <c r="G538" t="s">
        <v>1489</v>
      </c>
      <c r="H538" t="s">
        <v>1490</v>
      </c>
      <c r="J538" t="s">
        <v>1491</v>
      </c>
      <c r="K538" t="s">
        <v>1492</v>
      </c>
      <c r="L538" t="s">
        <v>1493</v>
      </c>
      <c r="M538" t="s">
        <v>35</v>
      </c>
      <c r="N538">
        <v>1787228204</v>
      </c>
      <c r="O538" t="s">
        <v>1494</v>
      </c>
      <c r="P538" t="s">
        <v>1495</v>
      </c>
      <c r="R538" t="s">
        <v>1496</v>
      </c>
      <c r="S538" t="s">
        <v>1497</v>
      </c>
      <c r="T538" t="s">
        <v>1498</v>
      </c>
      <c r="U538" t="s">
        <v>40</v>
      </c>
      <c r="V538" s="1">
        <v>45625</v>
      </c>
      <c r="W538">
        <v>0</v>
      </c>
      <c r="X538">
        <v>0</v>
      </c>
      <c r="Y538" t="s">
        <v>59</v>
      </c>
      <c r="Z538" t="s">
        <v>135</v>
      </c>
      <c r="AA538" t="s">
        <v>42</v>
      </c>
      <c r="AB538" t="s">
        <v>43</v>
      </c>
      <c r="AC538" t="s">
        <v>42</v>
      </c>
    </row>
    <row r="539" spans="1:29" x14ac:dyDescent="0.4">
      <c r="A539" t="s">
        <v>27</v>
      </c>
      <c r="B539">
        <v>553</v>
      </c>
      <c r="C539" t="s">
        <v>2868</v>
      </c>
      <c r="D539">
        <v>171</v>
      </c>
      <c r="E539" t="s">
        <v>68</v>
      </c>
      <c r="F539" t="s">
        <v>535</v>
      </c>
      <c r="G539" t="s">
        <v>1489</v>
      </c>
      <c r="H539" t="s">
        <v>1490</v>
      </c>
      <c r="J539" t="s">
        <v>1491</v>
      </c>
      <c r="K539" t="s">
        <v>1492</v>
      </c>
      <c r="L539" t="s">
        <v>1493</v>
      </c>
      <c r="M539" t="s">
        <v>35</v>
      </c>
      <c r="N539">
        <v>1787228204</v>
      </c>
      <c r="O539" t="s">
        <v>1494</v>
      </c>
      <c r="P539" t="s">
        <v>2868</v>
      </c>
      <c r="R539" t="s">
        <v>1499</v>
      </c>
      <c r="S539" t="s">
        <v>1500</v>
      </c>
      <c r="T539" t="s">
        <v>94</v>
      </c>
      <c r="U539" t="s">
        <v>82</v>
      </c>
      <c r="V539" s="1">
        <v>43741</v>
      </c>
      <c r="W539">
        <v>0</v>
      </c>
      <c r="X539">
        <v>4</v>
      </c>
      <c r="Y539" t="s">
        <v>65</v>
      </c>
      <c r="Z539" t="s">
        <v>135</v>
      </c>
      <c r="AA539" t="s">
        <v>42</v>
      </c>
      <c r="AB539" t="s">
        <v>43</v>
      </c>
      <c r="AC539" t="s">
        <v>42</v>
      </c>
    </row>
    <row r="540" spans="1:29" x14ac:dyDescent="0.4">
      <c r="A540" t="s">
        <v>27</v>
      </c>
      <c r="B540">
        <v>553</v>
      </c>
      <c r="C540" t="s">
        <v>2868</v>
      </c>
      <c r="D540">
        <v>172</v>
      </c>
      <c r="E540" t="s">
        <v>68</v>
      </c>
      <c r="F540" t="s">
        <v>535</v>
      </c>
      <c r="G540" t="s">
        <v>1489</v>
      </c>
      <c r="H540" t="s">
        <v>1490</v>
      </c>
      <c r="J540" t="s">
        <v>1491</v>
      </c>
      <c r="K540" t="s">
        <v>1492</v>
      </c>
      <c r="L540" t="s">
        <v>1493</v>
      </c>
      <c r="M540" t="s">
        <v>35</v>
      </c>
      <c r="N540">
        <v>1787228204</v>
      </c>
      <c r="O540" t="s">
        <v>1494</v>
      </c>
      <c r="P540" t="s">
        <v>2868</v>
      </c>
      <c r="R540" t="s">
        <v>1501</v>
      </c>
      <c r="S540" t="s">
        <v>1502</v>
      </c>
      <c r="T540" t="s">
        <v>58</v>
      </c>
      <c r="U540" t="s">
        <v>82</v>
      </c>
      <c r="V540" s="1">
        <v>44536</v>
      </c>
      <c r="W540">
        <v>0</v>
      </c>
      <c r="X540">
        <v>4</v>
      </c>
      <c r="Y540" t="s">
        <v>65</v>
      </c>
      <c r="Z540" t="s">
        <v>135</v>
      </c>
      <c r="AA540" t="s">
        <v>42</v>
      </c>
      <c r="AB540" t="s">
        <v>43</v>
      </c>
      <c r="AC540" t="s">
        <v>42</v>
      </c>
    </row>
    <row r="541" spans="1:29" x14ac:dyDescent="0.4">
      <c r="A541" t="s">
        <v>27</v>
      </c>
      <c r="B541">
        <v>553</v>
      </c>
      <c r="C541" t="s">
        <v>2868</v>
      </c>
      <c r="D541">
        <v>171</v>
      </c>
      <c r="E541" t="s">
        <v>68</v>
      </c>
      <c r="F541" t="s">
        <v>535</v>
      </c>
      <c r="G541" t="s">
        <v>1489</v>
      </c>
      <c r="H541" t="s">
        <v>1490</v>
      </c>
      <c r="J541" t="s">
        <v>1491</v>
      </c>
      <c r="K541" t="s">
        <v>1492</v>
      </c>
      <c r="L541" t="s">
        <v>1493</v>
      </c>
      <c r="M541" t="s">
        <v>35</v>
      </c>
      <c r="N541">
        <v>1787228204</v>
      </c>
      <c r="O541" t="s">
        <v>1494</v>
      </c>
      <c r="P541" t="s">
        <v>2868</v>
      </c>
      <c r="R541" t="s">
        <v>1499</v>
      </c>
      <c r="S541" t="s">
        <v>1500</v>
      </c>
      <c r="T541" t="s">
        <v>94</v>
      </c>
      <c r="U541" t="s">
        <v>82</v>
      </c>
      <c r="V541" s="1">
        <v>43741</v>
      </c>
      <c r="W541">
        <v>0</v>
      </c>
      <c r="X541">
        <v>5</v>
      </c>
      <c r="Y541" t="s">
        <v>66</v>
      </c>
      <c r="Z541" t="s">
        <v>135</v>
      </c>
      <c r="AA541" t="s">
        <v>42</v>
      </c>
      <c r="AB541" t="s">
        <v>43</v>
      </c>
      <c r="AC541" t="s">
        <v>42</v>
      </c>
    </row>
    <row r="542" spans="1:29" x14ac:dyDescent="0.4">
      <c r="A542" t="s">
        <v>27</v>
      </c>
      <c r="B542">
        <v>553</v>
      </c>
      <c r="C542" t="s">
        <v>2868</v>
      </c>
      <c r="D542">
        <v>172</v>
      </c>
      <c r="E542" t="s">
        <v>68</v>
      </c>
      <c r="F542" t="s">
        <v>535</v>
      </c>
      <c r="G542" t="s">
        <v>1489</v>
      </c>
      <c r="H542" t="s">
        <v>1490</v>
      </c>
      <c r="J542" t="s">
        <v>1491</v>
      </c>
      <c r="K542" t="s">
        <v>1492</v>
      </c>
      <c r="L542" t="s">
        <v>1493</v>
      </c>
      <c r="M542" t="s">
        <v>35</v>
      </c>
      <c r="N542">
        <v>1787228204</v>
      </c>
      <c r="O542" t="s">
        <v>1494</v>
      </c>
      <c r="P542" t="s">
        <v>2868</v>
      </c>
      <c r="R542" t="s">
        <v>1501</v>
      </c>
      <c r="S542" t="s">
        <v>1502</v>
      </c>
      <c r="T542" t="s">
        <v>58</v>
      </c>
      <c r="U542" t="s">
        <v>82</v>
      </c>
      <c r="V542" s="1">
        <v>44536</v>
      </c>
      <c r="W542">
        <v>0</v>
      </c>
      <c r="X542">
        <v>5</v>
      </c>
      <c r="Y542" t="s">
        <v>66</v>
      </c>
      <c r="Z542" t="s">
        <v>135</v>
      </c>
      <c r="AA542" t="s">
        <v>42</v>
      </c>
      <c r="AB542" t="s">
        <v>43</v>
      </c>
      <c r="AC542" t="s">
        <v>42</v>
      </c>
    </row>
    <row r="543" spans="1:29" x14ac:dyDescent="0.4">
      <c r="A543" t="s">
        <v>27</v>
      </c>
      <c r="B543">
        <v>553</v>
      </c>
      <c r="C543" t="s">
        <v>2868</v>
      </c>
      <c r="D543">
        <v>171</v>
      </c>
      <c r="E543" t="s">
        <v>68</v>
      </c>
      <c r="F543" t="s">
        <v>535</v>
      </c>
      <c r="G543" t="s">
        <v>1489</v>
      </c>
      <c r="H543" t="s">
        <v>1490</v>
      </c>
      <c r="J543" t="s">
        <v>1491</v>
      </c>
      <c r="K543" t="s">
        <v>1492</v>
      </c>
      <c r="L543" t="s">
        <v>1493</v>
      </c>
      <c r="M543" t="s">
        <v>35</v>
      </c>
      <c r="N543">
        <v>1787228204</v>
      </c>
      <c r="O543" t="s">
        <v>1494</v>
      </c>
      <c r="P543" t="s">
        <v>2868</v>
      </c>
      <c r="R543" t="s">
        <v>1499</v>
      </c>
      <c r="S543" t="s">
        <v>1500</v>
      </c>
      <c r="T543" t="s">
        <v>94</v>
      </c>
      <c r="U543" t="s">
        <v>82</v>
      </c>
      <c r="V543" s="1">
        <v>43741</v>
      </c>
      <c r="W543">
        <v>0</v>
      </c>
      <c r="X543">
        <v>13</v>
      </c>
      <c r="Z543" t="s">
        <v>135</v>
      </c>
      <c r="AA543" t="s">
        <v>42</v>
      </c>
      <c r="AB543" t="s">
        <v>43</v>
      </c>
      <c r="AC543" t="s">
        <v>42</v>
      </c>
    </row>
    <row r="544" spans="1:29" x14ac:dyDescent="0.4">
      <c r="A544" t="s">
        <v>27</v>
      </c>
      <c r="B544">
        <v>553</v>
      </c>
      <c r="C544" t="s">
        <v>2868</v>
      </c>
      <c r="D544">
        <v>172</v>
      </c>
      <c r="E544" t="s">
        <v>68</v>
      </c>
      <c r="F544" t="s">
        <v>535</v>
      </c>
      <c r="G544" t="s">
        <v>1489</v>
      </c>
      <c r="H544" t="s">
        <v>1490</v>
      </c>
      <c r="J544" t="s">
        <v>1491</v>
      </c>
      <c r="K544" t="s">
        <v>1492</v>
      </c>
      <c r="L544" t="s">
        <v>1493</v>
      </c>
      <c r="M544" t="s">
        <v>35</v>
      </c>
      <c r="N544">
        <v>1787228204</v>
      </c>
      <c r="O544" t="s">
        <v>1494</v>
      </c>
      <c r="P544" t="s">
        <v>2868</v>
      </c>
      <c r="R544" t="s">
        <v>1501</v>
      </c>
      <c r="S544" t="s">
        <v>1502</v>
      </c>
      <c r="T544" t="s">
        <v>58</v>
      </c>
      <c r="U544" t="s">
        <v>82</v>
      </c>
      <c r="V544" s="1">
        <v>44536</v>
      </c>
      <c r="W544">
        <v>0</v>
      </c>
      <c r="X544">
        <v>13</v>
      </c>
      <c r="Z544" t="s">
        <v>135</v>
      </c>
      <c r="AA544" t="s">
        <v>42</v>
      </c>
      <c r="AB544" t="s">
        <v>43</v>
      </c>
      <c r="AC544" t="s">
        <v>42</v>
      </c>
    </row>
    <row r="545" spans="1:29" x14ac:dyDescent="0.4">
      <c r="A545" t="s">
        <v>27</v>
      </c>
      <c r="B545">
        <v>553</v>
      </c>
      <c r="C545" t="s">
        <v>2868</v>
      </c>
      <c r="D545">
        <v>171</v>
      </c>
      <c r="E545" t="s">
        <v>68</v>
      </c>
      <c r="F545" t="s">
        <v>535</v>
      </c>
      <c r="G545" t="s">
        <v>1489</v>
      </c>
      <c r="H545" t="s">
        <v>1490</v>
      </c>
      <c r="J545" t="s">
        <v>1491</v>
      </c>
      <c r="K545" t="s">
        <v>1492</v>
      </c>
      <c r="L545" t="s">
        <v>1493</v>
      </c>
      <c r="M545" t="s">
        <v>35</v>
      </c>
      <c r="N545">
        <v>1787228204</v>
      </c>
      <c r="O545" t="s">
        <v>1494</v>
      </c>
      <c r="P545" t="s">
        <v>2868</v>
      </c>
      <c r="R545" t="s">
        <v>1499</v>
      </c>
      <c r="S545" t="s">
        <v>1500</v>
      </c>
      <c r="T545" t="s">
        <v>94</v>
      </c>
      <c r="U545" t="s">
        <v>82</v>
      </c>
      <c r="V545" s="1">
        <v>43741</v>
      </c>
      <c r="W545">
        <v>0</v>
      </c>
      <c r="X545">
        <v>15</v>
      </c>
      <c r="Z545" t="s">
        <v>135</v>
      </c>
      <c r="AA545" t="s">
        <v>42</v>
      </c>
      <c r="AB545" t="s">
        <v>43</v>
      </c>
      <c r="AC545" t="s">
        <v>42</v>
      </c>
    </row>
    <row r="546" spans="1:29" x14ac:dyDescent="0.4">
      <c r="A546" t="s">
        <v>27</v>
      </c>
      <c r="B546">
        <v>553</v>
      </c>
      <c r="C546" t="s">
        <v>2868</v>
      </c>
      <c r="D546">
        <v>172</v>
      </c>
      <c r="E546" t="s">
        <v>68</v>
      </c>
      <c r="F546" t="s">
        <v>535</v>
      </c>
      <c r="G546" t="s">
        <v>1489</v>
      </c>
      <c r="H546" t="s">
        <v>1490</v>
      </c>
      <c r="J546" t="s">
        <v>1491</v>
      </c>
      <c r="K546" t="s">
        <v>1492</v>
      </c>
      <c r="L546" t="s">
        <v>1493</v>
      </c>
      <c r="M546" t="s">
        <v>35</v>
      </c>
      <c r="N546">
        <v>1787228204</v>
      </c>
      <c r="O546" t="s">
        <v>1494</v>
      </c>
      <c r="P546" t="s">
        <v>2868</v>
      </c>
      <c r="R546" t="s">
        <v>1501</v>
      </c>
      <c r="S546" t="s">
        <v>1502</v>
      </c>
      <c r="T546" t="s">
        <v>58</v>
      </c>
      <c r="U546" t="s">
        <v>82</v>
      </c>
      <c r="V546" s="1">
        <v>44536</v>
      </c>
      <c r="W546">
        <v>0</v>
      </c>
      <c r="X546">
        <v>15</v>
      </c>
      <c r="Z546" t="s">
        <v>135</v>
      </c>
      <c r="AA546" t="s">
        <v>42</v>
      </c>
      <c r="AB546" t="s">
        <v>43</v>
      </c>
      <c r="AC546" t="s">
        <v>42</v>
      </c>
    </row>
    <row r="547" spans="1:29" x14ac:dyDescent="0.4">
      <c r="A547" t="s">
        <v>27</v>
      </c>
      <c r="B547">
        <v>6149</v>
      </c>
      <c r="C547" t="s">
        <v>2964</v>
      </c>
      <c r="D547">
        <v>173</v>
      </c>
      <c r="E547" t="s">
        <v>257</v>
      </c>
      <c r="F547" t="s">
        <v>1503</v>
      </c>
      <c r="G547" t="s">
        <v>1504</v>
      </c>
      <c r="H547" t="s">
        <v>1505</v>
      </c>
      <c r="I547" t="s">
        <v>504</v>
      </c>
      <c r="J547" t="s">
        <v>50</v>
      </c>
      <c r="K547" t="s">
        <v>51</v>
      </c>
      <c r="L547" t="s">
        <v>1506</v>
      </c>
      <c r="M547" t="s">
        <v>35</v>
      </c>
      <c r="N547">
        <v>7813467875</v>
      </c>
      <c r="O547" t="s">
        <v>1507</v>
      </c>
      <c r="P547" t="s">
        <v>2964</v>
      </c>
      <c r="R547" t="s">
        <v>1508</v>
      </c>
      <c r="S547" t="s">
        <v>1509</v>
      </c>
      <c r="T547" t="s">
        <v>1296</v>
      </c>
      <c r="U547" t="s">
        <v>40</v>
      </c>
      <c r="V547" s="1">
        <v>43813</v>
      </c>
      <c r="W547">
        <v>0</v>
      </c>
      <c r="X547">
        <v>8</v>
      </c>
      <c r="AA547" t="s">
        <v>42</v>
      </c>
      <c r="AB547" t="s">
        <v>43</v>
      </c>
      <c r="AC547" t="s">
        <v>42</v>
      </c>
    </row>
    <row r="548" spans="1:29" x14ac:dyDescent="0.4">
      <c r="A548" t="s">
        <v>27</v>
      </c>
      <c r="B548">
        <v>6149</v>
      </c>
      <c r="C548" t="s">
        <v>2964</v>
      </c>
      <c r="D548">
        <v>173</v>
      </c>
      <c r="E548" t="s">
        <v>257</v>
      </c>
      <c r="F548" t="s">
        <v>1503</v>
      </c>
      <c r="G548" t="s">
        <v>1504</v>
      </c>
      <c r="H548" t="s">
        <v>1505</v>
      </c>
      <c r="I548" t="s">
        <v>504</v>
      </c>
      <c r="J548" t="s">
        <v>50</v>
      </c>
      <c r="K548" t="s">
        <v>51</v>
      </c>
      <c r="L548" t="s">
        <v>1506</v>
      </c>
      <c r="M548" t="s">
        <v>35</v>
      </c>
      <c r="N548">
        <v>7813467875</v>
      </c>
      <c r="O548" t="s">
        <v>1507</v>
      </c>
      <c r="P548" t="s">
        <v>2964</v>
      </c>
      <c r="R548" t="s">
        <v>1508</v>
      </c>
      <c r="S548" t="s">
        <v>1509</v>
      </c>
      <c r="T548" t="s">
        <v>1296</v>
      </c>
      <c r="U548" t="s">
        <v>40</v>
      </c>
      <c r="V548" s="1">
        <v>43813</v>
      </c>
      <c r="W548">
        <v>0</v>
      </c>
      <c r="X548">
        <v>9</v>
      </c>
      <c r="AA548" t="s">
        <v>42</v>
      </c>
      <c r="AB548" t="s">
        <v>43</v>
      </c>
      <c r="AC548" t="s">
        <v>42</v>
      </c>
    </row>
    <row r="549" spans="1:29" x14ac:dyDescent="0.4">
      <c r="A549" t="s">
        <v>27</v>
      </c>
      <c r="B549">
        <v>6149</v>
      </c>
      <c r="C549" t="s">
        <v>2964</v>
      </c>
      <c r="D549">
        <v>173</v>
      </c>
      <c r="E549" t="s">
        <v>257</v>
      </c>
      <c r="F549" t="s">
        <v>1503</v>
      </c>
      <c r="G549" t="s">
        <v>1504</v>
      </c>
      <c r="H549" t="s">
        <v>1505</v>
      </c>
      <c r="I549" t="s">
        <v>504</v>
      </c>
      <c r="J549" t="s">
        <v>50</v>
      </c>
      <c r="K549" t="s">
        <v>51</v>
      </c>
      <c r="L549" t="s">
        <v>1506</v>
      </c>
      <c r="M549" t="s">
        <v>35</v>
      </c>
      <c r="N549">
        <v>7813467875</v>
      </c>
      <c r="O549" t="s">
        <v>1507</v>
      </c>
      <c r="P549" t="s">
        <v>2964</v>
      </c>
      <c r="R549" t="s">
        <v>1508</v>
      </c>
      <c r="S549" t="s">
        <v>1509</v>
      </c>
      <c r="T549" t="s">
        <v>1296</v>
      </c>
      <c r="U549" t="s">
        <v>40</v>
      </c>
      <c r="V549" s="1">
        <v>43813</v>
      </c>
      <c r="W549">
        <v>0</v>
      </c>
      <c r="X549">
        <v>10</v>
      </c>
      <c r="AA549" t="s">
        <v>42</v>
      </c>
      <c r="AB549" t="s">
        <v>43</v>
      </c>
      <c r="AC549" t="s">
        <v>42</v>
      </c>
    </row>
    <row r="550" spans="1:29" x14ac:dyDescent="0.4">
      <c r="A550" t="s">
        <v>27</v>
      </c>
      <c r="B550">
        <v>1025</v>
      </c>
      <c r="C550" t="s">
        <v>2965</v>
      </c>
      <c r="D550">
        <v>174</v>
      </c>
      <c r="E550" t="s">
        <v>257</v>
      </c>
      <c r="F550" t="s">
        <v>1510</v>
      </c>
      <c r="G550" t="s">
        <v>1511</v>
      </c>
      <c r="H550" t="s">
        <v>1512</v>
      </c>
      <c r="I550" t="s">
        <v>1513</v>
      </c>
      <c r="J550" t="s">
        <v>584</v>
      </c>
      <c r="K550" t="s">
        <v>242</v>
      </c>
      <c r="L550" t="s">
        <v>1514</v>
      </c>
      <c r="M550" t="s">
        <v>35</v>
      </c>
      <c r="N550" t="s">
        <v>1515</v>
      </c>
      <c r="O550" t="s">
        <v>1516</v>
      </c>
      <c r="P550" t="s">
        <v>2965</v>
      </c>
      <c r="R550" t="s">
        <v>3114</v>
      </c>
      <c r="S550" t="s">
        <v>1518</v>
      </c>
      <c r="T550" t="s">
        <v>58</v>
      </c>
      <c r="U550" t="s">
        <v>40</v>
      </c>
      <c r="V550" s="1">
        <v>44841</v>
      </c>
      <c r="W550">
        <v>0</v>
      </c>
      <c r="X550">
        <v>5</v>
      </c>
      <c r="Y550" t="s">
        <v>66</v>
      </c>
      <c r="AA550" t="s">
        <v>42</v>
      </c>
      <c r="AB550" t="s">
        <v>43</v>
      </c>
      <c r="AC550" t="s">
        <v>43</v>
      </c>
    </row>
    <row r="551" spans="1:29" x14ac:dyDescent="0.4">
      <c r="A551" t="s">
        <v>27</v>
      </c>
      <c r="B551">
        <v>1025</v>
      </c>
      <c r="C551" t="s">
        <v>2965</v>
      </c>
      <c r="D551">
        <v>174</v>
      </c>
      <c r="E551" t="s">
        <v>257</v>
      </c>
      <c r="F551" t="s">
        <v>1510</v>
      </c>
      <c r="G551" t="s">
        <v>1511</v>
      </c>
      <c r="H551" t="s">
        <v>1512</v>
      </c>
      <c r="I551" t="s">
        <v>1513</v>
      </c>
      <c r="J551" t="s">
        <v>584</v>
      </c>
      <c r="K551" t="s">
        <v>242</v>
      </c>
      <c r="L551" t="s">
        <v>1514</v>
      </c>
      <c r="M551" t="s">
        <v>35</v>
      </c>
      <c r="N551" t="s">
        <v>1515</v>
      </c>
      <c r="O551" t="s">
        <v>1516</v>
      </c>
      <c r="P551" t="s">
        <v>2965</v>
      </c>
      <c r="R551" t="s">
        <v>3114</v>
      </c>
      <c r="S551" t="s">
        <v>1518</v>
      </c>
      <c r="T551" t="s">
        <v>58</v>
      </c>
      <c r="U551" t="s">
        <v>40</v>
      </c>
      <c r="V551" s="1">
        <v>44841</v>
      </c>
      <c r="W551">
        <v>0</v>
      </c>
      <c r="X551">
        <v>6</v>
      </c>
      <c r="Y551" t="s">
        <v>83</v>
      </c>
      <c r="AA551" t="s">
        <v>42</v>
      </c>
      <c r="AB551" t="s">
        <v>43</v>
      </c>
      <c r="AC551" t="s">
        <v>43</v>
      </c>
    </row>
    <row r="552" spans="1:29" x14ac:dyDescent="0.4">
      <c r="A552" t="s">
        <v>27</v>
      </c>
      <c r="B552">
        <v>1025</v>
      </c>
      <c r="C552" t="s">
        <v>2965</v>
      </c>
      <c r="D552">
        <v>174</v>
      </c>
      <c r="E552" t="s">
        <v>257</v>
      </c>
      <c r="F552" t="s">
        <v>1510</v>
      </c>
      <c r="G552" t="s">
        <v>1511</v>
      </c>
      <c r="H552" t="s">
        <v>1512</v>
      </c>
      <c r="I552" t="s">
        <v>1513</v>
      </c>
      <c r="J552" t="s">
        <v>584</v>
      </c>
      <c r="K552" t="s">
        <v>242</v>
      </c>
      <c r="L552" t="s">
        <v>1514</v>
      </c>
      <c r="M552" t="s">
        <v>35</v>
      </c>
      <c r="N552" t="s">
        <v>1515</v>
      </c>
      <c r="O552" t="s">
        <v>1516</v>
      </c>
      <c r="P552" t="s">
        <v>2965</v>
      </c>
      <c r="R552" t="s">
        <v>3114</v>
      </c>
      <c r="S552" t="s">
        <v>1518</v>
      </c>
      <c r="T552" t="s">
        <v>58</v>
      </c>
      <c r="U552" t="s">
        <v>40</v>
      </c>
      <c r="V552" s="1">
        <v>44841</v>
      </c>
      <c r="W552">
        <v>0</v>
      </c>
      <c r="X552">
        <v>7</v>
      </c>
      <c r="AA552" t="s">
        <v>42</v>
      </c>
      <c r="AB552" t="s">
        <v>43</v>
      </c>
      <c r="AC552" t="s">
        <v>43</v>
      </c>
    </row>
    <row r="553" spans="1:29" x14ac:dyDescent="0.4">
      <c r="A553" t="s">
        <v>27</v>
      </c>
      <c r="B553">
        <v>1025</v>
      </c>
      <c r="C553" t="s">
        <v>2965</v>
      </c>
      <c r="D553">
        <v>174</v>
      </c>
      <c r="E553" t="s">
        <v>257</v>
      </c>
      <c r="F553" t="s">
        <v>1510</v>
      </c>
      <c r="G553" t="s">
        <v>1511</v>
      </c>
      <c r="H553" t="s">
        <v>1512</v>
      </c>
      <c r="I553" t="s">
        <v>1513</v>
      </c>
      <c r="J553" t="s">
        <v>584</v>
      </c>
      <c r="K553" t="s">
        <v>242</v>
      </c>
      <c r="L553" t="s">
        <v>1514</v>
      </c>
      <c r="M553" t="s">
        <v>35</v>
      </c>
      <c r="N553" t="s">
        <v>1515</v>
      </c>
      <c r="O553" t="s">
        <v>1516</v>
      </c>
      <c r="P553" t="s">
        <v>2965</v>
      </c>
      <c r="R553" t="s">
        <v>3114</v>
      </c>
      <c r="S553" t="s">
        <v>1518</v>
      </c>
      <c r="T553" t="s">
        <v>58</v>
      </c>
      <c r="U553" t="s">
        <v>40</v>
      </c>
      <c r="V553" s="1">
        <v>44841</v>
      </c>
      <c r="W553">
        <v>0</v>
      </c>
      <c r="X553">
        <v>14</v>
      </c>
      <c r="AA553" t="s">
        <v>42</v>
      </c>
      <c r="AB553" t="s">
        <v>43</v>
      </c>
      <c r="AC553" t="s">
        <v>43</v>
      </c>
    </row>
    <row r="554" spans="1:29" x14ac:dyDescent="0.4">
      <c r="A554" t="s">
        <v>27</v>
      </c>
      <c r="B554">
        <v>1025</v>
      </c>
      <c r="C554" t="s">
        <v>2965</v>
      </c>
      <c r="D554">
        <v>174</v>
      </c>
      <c r="E554" t="s">
        <v>257</v>
      </c>
      <c r="F554" t="s">
        <v>1510</v>
      </c>
      <c r="G554" t="s">
        <v>1511</v>
      </c>
      <c r="H554" t="s">
        <v>1512</v>
      </c>
      <c r="I554" t="s">
        <v>1513</v>
      </c>
      <c r="J554" t="s">
        <v>584</v>
      </c>
      <c r="K554" t="s">
        <v>242</v>
      </c>
      <c r="L554" t="s">
        <v>1514</v>
      </c>
      <c r="M554" t="s">
        <v>35</v>
      </c>
      <c r="N554" t="s">
        <v>1515</v>
      </c>
      <c r="O554" t="s">
        <v>1516</v>
      </c>
      <c r="P554" t="s">
        <v>2965</v>
      </c>
      <c r="R554" t="s">
        <v>3114</v>
      </c>
      <c r="S554" t="s">
        <v>1518</v>
      </c>
      <c r="T554" t="s">
        <v>58</v>
      </c>
      <c r="U554" t="s">
        <v>40</v>
      </c>
      <c r="V554" s="1">
        <v>44841</v>
      </c>
      <c r="W554">
        <v>0</v>
      </c>
      <c r="X554">
        <v>16</v>
      </c>
      <c r="AA554" t="s">
        <v>42</v>
      </c>
      <c r="AB554" t="s">
        <v>43</v>
      </c>
      <c r="AC554" t="s">
        <v>43</v>
      </c>
    </row>
    <row r="555" spans="1:29" x14ac:dyDescent="0.4">
      <c r="A555" t="s">
        <v>27</v>
      </c>
      <c r="B555">
        <v>1025</v>
      </c>
      <c r="C555" t="s">
        <v>2965</v>
      </c>
      <c r="D555">
        <v>174</v>
      </c>
      <c r="E555" t="s">
        <v>257</v>
      </c>
      <c r="F555" t="s">
        <v>1510</v>
      </c>
      <c r="G555" t="s">
        <v>1511</v>
      </c>
      <c r="H555" t="s">
        <v>1512</v>
      </c>
      <c r="I555" t="s">
        <v>1513</v>
      </c>
      <c r="J555" t="s">
        <v>584</v>
      </c>
      <c r="K555" t="s">
        <v>242</v>
      </c>
      <c r="L555" t="s">
        <v>1514</v>
      </c>
      <c r="M555" t="s">
        <v>35</v>
      </c>
      <c r="N555" t="s">
        <v>1515</v>
      </c>
      <c r="O555" t="s">
        <v>1516</v>
      </c>
      <c r="P555" t="s">
        <v>2965</v>
      </c>
      <c r="R555" t="s">
        <v>3114</v>
      </c>
      <c r="S555" t="s">
        <v>1518</v>
      </c>
      <c r="T555" t="s">
        <v>58</v>
      </c>
      <c r="U555" t="s">
        <v>40</v>
      </c>
      <c r="V555" s="1">
        <v>44841</v>
      </c>
      <c r="W555">
        <v>0</v>
      </c>
      <c r="X555">
        <v>18</v>
      </c>
      <c r="AA555" t="s">
        <v>42</v>
      </c>
      <c r="AB555" t="s">
        <v>43</v>
      </c>
      <c r="AC555" t="s">
        <v>43</v>
      </c>
    </row>
    <row r="556" spans="1:29" x14ac:dyDescent="0.4">
      <c r="A556" t="s">
        <v>27</v>
      </c>
      <c r="B556">
        <v>496</v>
      </c>
      <c r="C556" t="s">
        <v>2966</v>
      </c>
      <c r="D556">
        <v>175</v>
      </c>
      <c r="E556" t="s">
        <v>68</v>
      </c>
      <c r="F556" t="s">
        <v>535</v>
      </c>
      <c r="G556" t="s">
        <v>1519</v>
      </c>
      <c r="H556" t="s">
        <v>1520</v>
      </c>
      <c r="I556" t="s">
        <v>1521</v>
      </c>
      <c r="J556" t="s">
        <v>1522</v>
      </c>
      <c r="K556" t="s">
        <v>528</v>
      </c>
      <c r="L556" t="s">
        <v>1523</v>
      </c>
      <c r="M556" t="s">
        <v>35</v>
      </c>
      <c r="N556">
        <v>1903740367</v>
      </c>
      <c r="O556" t="s">
        <v>1524</v>
      </c>
      <c r="P556" t="s">
        <v>2966</v>
      </c>
      <c r="R556" t="s">
        <v>1525</v>
      </c>
      <c r="S556" t="s">
        <v>1526</v>
      </c>
      <c r="T556" t="s">
        <v>58</v>
      </c>
      <c r="U556" t="s">
        <v>40</v>
      </c>
      <c r="V556" s="1">
        <v>43494</v>
      </c>
      <c r="W556">
        <v>0</v>
      </c>
      <c r="X556">
        <v>5</v>
      </c>
      <c r="Y556" t="s">
        <v>66</v>
      </c>
      <c r="AA556" t="s">
        <v>42</v>
      </c>
      <c r="AB556" t="s">
        <v>43</v>
      </c>
      <c r="AC556" t="s">
        <v>42</v>
      </c>
    </row>
    <row r="557" spans="1:29" x14ac:dyDescent="0.4">
      <c r="A557" t="s">
        <v>27</v>
      </c>
      <c r="B557">
        <v>496</v>
      </c>
      <c r="C557" t="s">
        <v>2966</v>
      </c>
      <c r="D557">
        <v>175</v>
      </c>
      <c r="E557" t="s">
        <v>68</v>
      </c>
      <c r="F557" t="s">
        <v>535</v>
      </c>
      <c r="G557" t="s">
        <v>1519</v>
      </c>
      <c r="H557" t="s">
        <v>1520</v>
      </c>
      <c r="I557" t="s">
        <v>1521</v>
      </c>
      <c r="J557" t="s">
        <v>1522</v>
      </c>
      <c r="K557" t="s">
        <v>528</v>
      </c>
      <c r="L557" t="s">
        <v>1523</v>
      </c>
      <c r="M557" t="s">
        <v>35</v>
      </c>
      <c r="N557">
        <v>1903740367</v>
      </c>
      <c r="O557" t="s">
        <v>1524</v>
      </c>
      <c r="P557" t="s">
        <v>2966</v>
      </c>
      <c r="R557" t="s">
        <v>1525</v>
      </c>
      <c r="S557" t="s">
        <v>1526</v>
      </c>
      <c r="T557" t="s">
        <v>58</v>
      </c>
      <c r="U557" t="s">
        <v>40</v>
      </c>
      <c r="V557" s="1">
        <v>43494</v>
      </c>
      <c r="W557">
        <v>0</v>
      </c>
      <c r="X557">
        <v>6</v>
      </c>
      <c r="Y557" t="s">
        <v>83</v>
      </c>
      <c r="AA557" t="s">
        <v>42</v>
      </c>
      <c r="AB557" t="s">
        <v>43</v>
      </c>
      <c r="AC557" t="s">
        <v>42</v>
      </c>
    </row>
    <row r="558" spans="1:29" x14ac:dyDescent="0.4">
      <c r="A558" t="s">
        <v>27</v>
      </c>
      <c r="B558">
        <v>496</v>
      </c>
      <c r="C558" t="s">
        <v>2966</v>
      </c>
      <c r="D558">
        <v>175</v>
      </c>
      <c r="E558" t="s">
        <v>68</v>
      </c>
      <c r="F558" t="s">
        <v>535</v>
      </c>
      <c r="G558" t="s">
        <v>1519</v>
      </c>
      <c r="H558" t="s">
        <v>1520</v>
      </c>
      <c r="I558" t="s">
        <v>1521</v>
      </c>
      <c r="J558" t="s">
        <v>1522</v>
      </c>
      <c r="K558" t="s">
        <v>528</v>
      </c>
      <c r="L558" t="s">
        <v>1523</v>
      </c>
      <c r="M558" t="s">
        <v>35</v>
      </c>
      <c r="N558">
        <v>1903740367</v>
      </c>
      <c r="O558" t="s">
        <v>1524</v>
      </c>
      <c r="P558" t="s">
        <v>2966</v>
      </c>
      <c r="R558" t="s">
        <v>1525</v>
      </c>
      <c r="S558" t="s">
        <v>1526</v>
      </c>
      <c r="T558" t="s">
        <v>58</v>
      </c>
      <c r="U558" t="s">
        <v>40</v>
      </c>
      <c r="V558" s="1">
        <v>43494</v>
      </c>
      <c r="W558">
        <v>0</v>
      </c>
      <c r="X558">
        <v>14</v>
      </c>
      <c r="AA558" t="s">
        <v>42</v>
      </c>
      <c r="AB558" t="s">
        <v>43</v>
      </c>
      <c r="AC558" t="s">
        <v>42</v>
      </c>
    </row>
    <row r="559" spans="1:29" x14ac:dyDescent="0.4">
      <c r="A559" t="s">
        <v>27</v>
      </c>
      <c r="B559">
        <v>496</v>
      </c>
      <c r="C559" t="s">
        <v>2966</v>
      </c>
      <c r="D559">
        <v>175</v>
      </c>
      <c r="E559" t="s">
        <v>68</v>
      </c>
      <c r="F559" t="s">
        <v>535</v>
      </c>
      <c r="G559" t="s">
        <v>1519</v>
      </c>
      <c r="H559" t="s">
        <v>1520</v>
      </c>
      <c r="I559" t="s">
        <v>1521</v>
      </c>
      <c r="J559" t="s">
        <v>1522</v>
      </c>
      <c r="K559" t="s">
        <v>528</v>
      </c>
      <c r="L559" t="s">
        <v>1523</v>
      </c>
      <c r="M559" t="s">
        <v>35</v>
      </c>
      <c r="N559">
        <v>1903740367</v>
      </c>
      <c r="O559" t="s">
        <v>1524</v>
      </c>
      <c r="P559" t="s">
        <v>2966</v>
      </c>
      <c r="R559" t="s">
        <v>1525</v>
      </c>
      <c r="S559" t="s">
        <v>1526</v>
      </c>
      <c r="T559" t="s">
        <v>58</v>
      </c>
      <c r="U559" t="s">
        <v>40</v>
      </c>
      <c r="V559" s="1">
        <v>43494</v>
      </c>
      <c r="W559">
        <v>0</v>
      </c>
      <c r="X559">
        <v>16</v>
      </c>
      <c r="AA559" t="s">
        <v>42</v>
      </c>
      <c r="AB559" t="s">
        <v>43</v>
      </c>
      <c r="AC559" t="s">
        <v>42</v>
      </c>
    </row>
    <row r="560" spans="1:29" hidden="1" x14ac:dyDescent="0.4">
      <c r="A560" t="s">
        <v>27</v>
      </c>
      <c r="B560">
        <v>496</v>
      </c>
      <c r="C560" t="s">
        <v>2966</v>
      </c>
      <c r="E560" t="s">
        <v>68</v>
      </c>
      <c r="F560" t="s">
        <v>535</v>
      </c>
      <c r="G560" t="s">
        <v>1519</v>
      </c>
      <c r="H560" t="s">
        <v>1520</v>
      </c>
      <c r="I560" t="s">
        <v>1521</v>
      </c>
      <c r="J560" t="s">
        <v>1522</v>
      </c>
      <c r="K560" t="s">
        <v>528</v>
      </c>
      <c r="L560" t="s">
        <v>1523</v>
      </c>
      <c r="M560" t="s">
        <v>35</v>
      </c>
      <c r="N560">
        <v>1903740367</v>
      </c>
      <c r="O560" t="s">
        <v>1524</v>
      </c>
      <c r="R560" t="s">
        <v>1527</v>
      </c>
      <c r="S560" t="s">
        <v>1528</v>
      </c>
      <c r="T560" t="s">
        <v>58</v>
      </c>
      <c r="U560" t="s">
        <v>40</v>
      </c>
      <c r="V560" s="1">
        <v>41400</v>
      </c>
      <c r="W560">
        <v>0</v>
      </c>
      <c r="X560">
        <v>0</v>
      </c>
      <c r="Y560" t="s">
        <v>59</v>
      </c>
      <c r="AA560" t="s">
        <v>42</v>
      </c>
      <c r="AB560" t="s">
        <v>43</v>
      </c>
      <c r="AC560" t="s">
        <v>42</v>
      </c>
    </row>
    <row r="561" spans="1:30" hidden="1" x14ac:dyDescent="0.4">
      <c r="A561" t="s">
        <v>27</v>
      </c>
      <c r="B561">
        <v>496</v>
      </c>
      <c r="C561" t="s">
        <v>2966</v>
      </c>
      <c r="E561" t="s">
        <v>68</v>
      </c>
      <c r="F561" t="s">
        <v>535</v>
      </c>
      <c r="G561" t="s">
        <v>1519</v>
      </c>
      <c r="H561" t="s">
        <v>1520</v>
      </c>
      <c r="I561" t="s">
        <v>1521</v>
      </c>
      <c r="J561" t="s">
        <v>1522</v>
      </c>
      <c r="K561" t="s">
        <v>528</v>
      </c>
      <c r="L561" t="s">
        <v>1523</v>
      </c>
      <c r="M561" t="s">
        <v>35</v>
      </c>
      <c r="N561">
        <v>1903740367</v>
      </c>
      <c r="O561" t="s">
        <v>1524</v>
      </c>
      <c r="R561" t="s">
        <v>1527</v>
      </c>
      <c r="S561" t="s">
        <v>1528</v>
      </c>
      <c r="T561" t="s">
        <v>58</v>
      </c>
      <c r="U561" t="s">
        <v>40</v>
      </c>
      <c r="V561" s="1">
        <v>41400</v>
      </c>
      <c r="W561">
        <v>0</v>
      </c>
      <c r="X561">
        <v>0</v>
      </c>
      <c r="Y561" t="s">
        <v>59</v>
      </c>
      <c r="AA561" t="s">
        <v>42</v>
      </c>
      <c r="AB561" t="s">
        <v>43</v>
      </c>
      <c r="AC561" t="s">
        <v>42</v>
      </c>
    </row>
    <row r="562" spans="1:30" x14ac:dyDescent="0.4">
      <c r="A562" t="s">
        <v>27</v>
      </c>
      <c r="B562">
        <v>4913</v>
      </c>
      <c r="C562" t="s">
        <v>1534</v>
      </c>
      <c r="D562">
        <v>176</v>
      </c>
      <c r="E562" t="s">
        <v>68</v>
      </c>
      <c r="F562" t="s">
        <v>594</v>
      </c>
      <c r="G562" t="s">
        <v>1529</v>
      </c>
      <c r="H562" t="s">
        <v>1530</v>
      </c>
      <c r="J562" t="s">
        <v>1531</v>
      </c>
      <c r="K562" t="s">
        <v>426</v>
      </c>
      <c r="L562" t="s">
        <v>1532</v>
      </c>
      <c r="M562" t="s">
        <v>35</v>
      </c>
      <c r="N562">
        <v>7815289733</v>
      </c>
      <c r="O562" t="s">
        <v>1533</v>
      </c>
      <c r="P562" t="s">
        <v>1534</v>
      </c>
      <c r="R562" t="s">
        <v>1535</v>
      </c>
      <c r="S562" t="s">
        <v>1536</v>
      </c>
      <c r="T562" t="s">
        <v>3133</v>
      </c>
      <c r="U562" t="s">
        <v>40</v>
      </c>
      <c r="V562" s="1">
        <v>45059</v>
      </c>
      <c r="W562">
        <v>0</v>
      </c>
      <c r="X562">
        <v>5</v>
      </c>
      <c r="Y562" t="s">
        <v>66</v>
      </c>
      <c r="AA562" t="s">
        <v>42</v>
      </c>
      <c r="AB562" t="s">
        <v>43</v>
      </c>
      <c r="AC562" t="s">
        <v>43</v>
      </c>
    </row>
    <row r="563" spans="1:30" x14ac:dyDescent="0.4">
      <c r="A563" t="s">
        <v>27</v>
      </c>
      <c r="B563">
        <v>4913</v>
      </c>
      <c r="C563" t="s">
        <v>1534</v>
      </c>
      <c r="D563">
        <v>176</v>
      </c>
      <c r="E563" t="s">
        <v>68</v>
      </c>
      <c r="F563" t="s">
        <v>594</v>
      </c>
      <c r="G563" t="s">
        <v>1529</v>
      </c>
      <c r="H563" t="s">
        <v>1530</v>
      </c>
      <c r="J563" t="s">
        <v>1531</v>
      </c>
      <c r="K563" t="s">
        <v>426</v>
      </c>
      <c r="L563" t="s">
        <v>1532</v>
      </c>
      <c r="M563" t="s">
        <v>35</v>
      </c>
      <c r="N563">
        <v>7815289733</v>
      </c>
      <c r="O563" t="s">
        <v>1533</v>
      </c>
      <c r="P563" t="s">
        <v>1534</v>
      </c>
      <c r="R563" t="s">
        <v>1535</v>
      </c>
      <c r="S563" t="s">
        <v>1536</v>
      </c>
      <c r="T563" t="s">
        <v>3133</v>
      </c>
      <c r="U563" t="s">
        <v>40</v>
      </c>
      <c r="V563" s="1">
        <v>45059</v>
      </c>
      <c r="W563">
        <v>0</v>
      </c>
      <c r="X563">
        <v>6</v>
      </c>
      <c r="AA563" t="s">
        <v>42</v>
      </c>
      <c r="AB563" t="s">
        <v>43</v>
      </c>
      <c r="AC563" t="s">
        <v>43</v>
      </c>
    </row>
    <row r="564" spans="1:30" x14ac:dyDescent="0.4">
      <c r="A564" t="s">
        <v>27</v>
      </c>
      <c r="B564">
        <v>4913</v>
      </c>
      <c r="C564" t="s">
        <v>1534</v>
      </c>
      <c r="D564">
        <v>176</v>
      </c>
      <c r="E564" t="s">
        <v>68</v>
      </c>
      <c r="F564" t="s">
        <v>594</v>
      </c>
      <c r="G564" t="s">
        <v>1529</v>
      </c>
      <c r="H564" t="s">
        <v>1530</v>
      </c>
      <c r="J564" t="s">
        <v>1531</v>
      </c>
      <c r="K564" t="s">
        <v>426</v>
      </c>
      <c r="L564" t="s">
        <v>1532</v>
      </c>
      <c r="M564" t="s">
        <v>35</v>
      </c>
      <c r="N564">
        <v>7815289733</v>
      </c>
      <c r="O564" t="s">
        <v>1533</v>
      </c>
      <c r="P564" t="s">
        <v>1534</v>
      </c>
      <c r="R564" t="s">
        <v>1535</v>
      </c>
      <c r="S564" t="s">
        <v>1536</v>
      </c>
      <c r="T564" t="s">
        <v>3133</v>
      </c>
      <c r="U564" t="s">
        <v>40</v>
      </c>
      <c r="V564" s="1">
        <v>45059</v>
      </c>
      <c r="W564">
        <v>0</v>
      </c>
      <c r="X564">
        <v>14</v>
      </c>
      <c r="AA564" t="s">
        <v>42</v>
      </c>
      <c r="AB564" t="s">
        <v>43</v>
      </c>
      <c r="AC564" t="s">
        <v>43</v>
      </c>
    </row>
    <row r="565" spans="1:30" x14ac:dyDescent="0.4">
      <c r="A565" t="s">
        <v>27</v>
      </c>
      <c r="B565">
        <v>4913</v>
      </c>
      <c r="C565" t="s">
        <v>1534</v>
      </c>
      <c r="D565">
        <v>176</v>
      </c>
      <c r="E565" t="s">
        <v>68</v>
      </c>
      <c r="F565" t="s">
        <v>594</v>
      </c>
      <c r="G565" t="s">
        <v>1529</v>
      </c>
      <c r="H565" t="s">
        <v>1530</v>
      </c>
      <c r="J565" t="s">
        <v>1531</v>
      </c>
      <c r="K565" t="s">
        <v>426</v>
      </c>
      <c r="L565" t="s">
        <v>1532</v>
      </c>
      <c r="M565" t="s">
        <v>35</v>
      </c>
      <c r="N565">
        <v>7815289733</v>
      </c>
      <c r="O565" t="s">
        <v>1533</v>
      </c>
      <c r="P565" t="s">
        <v>1534</v>
      </c>
      <c r="R565" t="s">
        <v>1535</v>
      </c>
      <c r="S565" t="s">
        <v>1536</v>
      </c>
      <c r="T565" t="s">
        <v>3133</v>
      </c>
      <c r="U565" t="s">
        <v>40</v>
      </c>
      <c r="V565" s="1">
        <v>45059</v>
      </c>
      <c r="W565">
        <v>0</v>
      </c>
      <c r="X565">
        <v>16</v>
      </c>
      <c r="AA565" t="s">
        <v>42</v>
      </c>
      <c r="AB565" t="s">
        <v>43</v>
      </c>
      <c r="AC565" t="s">
        <v>43</v>
      </c>
    </row>
    <row r="566" spans="1:30" hidden="1" x14ac:dyDescent="0.4">
      <c r="A566" t="s">
        <v>27</v>
      </c>
      <c r="B566">
        <v>4913</v>
      </c>
      <c r="C566" t="s">
        <v>1534</v>
      </c>
      <c r="E566" t="s">
        <v>68</v>
      </c>
      <c r="F566" t="s">
        <v>594</v>
      </c>
      <c r="G566" t="s">
        <v>1529</v>
      </c>
      <c r="H566" t="s">
        <v>1530</v>
      </c>
      <c r="J566" t="s">
        <v>1531</v>
      </c>
      <c r="K566" t="s">
        <v>426</v>
      </c>
      <c r="L566" t="s">
        <v>1532</v>
      </c>
      <c r="M566" t="s">
        <v>35</v>
      </c>
      <c r="N566">
        <v>7815289733</v>
      </c>
      <c r="O566" t="s">
        <v>1533</v>
      </c>
      <c r="P566" t="s">
        <v>1534</v>
      </c>
      <c r="R566" t="s">
        <v>1537</v>
      </c>
      <c r="S566" t="s">
        <v>1538</v>
      </c>
      <c r="T566" t="s">
        <v>58</v>
      </c>
      <c r="U566" t="s">
        <v>40</v>
      </c>
      <c r="V566" s="1">
        <v>44367</v>
      </c>
      <c r="W566">
        <v>0</v>
      </c>
      <c r="X566">
        <v>0</v>
      </c>
      <c r="Y566" t="s">
        <v>59</v>
      </c>
      <c r="AA566" t="s">
        <v>42</v>
      </c>
      <c r="AB566" t="s">
        <v>43</v>
      </c>
      <c r="AC566" t="s">
        <v>43</v>
      </c>
    </row>
    <row r="567" spans="1:30" hidden="1" x14ac:dyDescent="0.4">
      <c r="A567" t="s">
        <v>27</v>
      </c>
      <c r="B567">
        <v>4913</v>
      </c>
      <c r="C567" t="s">
        <v>1534</v>
      </c>
      <c r="E567" t="s">
        <v>68</v>
      </c>
      <c r="F567" t="s">
        <v>594</v>
      </c>
      <c r="G567" t="s">
        <v>1529</v>
      </c>
      <c r="H567" t="s">
        <v>1530</v>
      </c>
      <c r="J567" t="s">
        <v>1531</v>
      </c>
      <c r="K567" t="s">
        <v>426</v>
      </c>
      <c r="L567" t="s">
        <v>1532</v>
      </c>
      <c r="M567" t="s">
        <v>35</v>
      </c>
      <c r="N567">
        <v>7815289733</v>
      </c>
      <c r="O567" t="s">
        <v>1533</v>
      </c>
      <c r="P567" t="s">
        <v>1534</v>
      </c>
      <c r="R567" t="s">
        <v>1537</v>
      </c>
      <c r="S567" t="s">
        <v>1538</v>
      </c>
      <c r="T567" t="s">
        <v>58</v>
      </c>
      <c r="U567" t="s">
        <v>40</v>
      </c>
      <c r="V567" s="1">
        <v>44367</v>
      </c>
      <c r="W567">
        <v>0</v>
      </c>
      <c r="X567">
        <v>0</v>
      </c>
      <c r="Y567" t="s">
        <v>59</v>
      </c>
      <c r="AA567" t="s">
        <v>42</v>
      </c>
      <c r="AB567" t="s">
        <v>43</v>
      </c>
      <c r="AC567" t="s">
        <v>43</v>
      </c>
    </row>
    <row r="568" spans="1:30" x14ac:dyDescent="0.4">
      <c r="A568" t="s">
        <v>27</v>
      </c>
      <c r="B568">
        <v>56</v>
      </c>
      <c r="C568" t="s">
        <v>2967</v>
      </c>
      <c r="D568">
        <v>177</v>
      </c>
      <c r="E568" t="s">
        <v>68</v>
      </c>
      <c r="F568" t="s">
        <v>1539</v>
      </c>
      <c r="G568" t="s">
        <v>1540</v>
      </c>
      <c r="H568" t="s">
        <v>1541</v>
      </c>
      <c r="J568" t="s">
        <v>348</v>
      </c>
      <c r="K568" t="s">
        <v>226</v>
      </c>
      <c r="L568" t="s">
        <v>1542</v>
      </c>
      <c r="M568" t="s">
        <v>35</v>
      </c>
      <c r="N568" t="s">
        <v>1543</v>
      </c>
      <c r="O568" t="s">
        <v>1544</v>
      </c>
      <c r="P568" t="s">
        <v>2967</v>
      </c>
      <c r="R568" t="s">
        <v>1545</v>
      </c>
      <c r="S568" t="s">
        <v>1546</v>
      </c>
      <c r="T568" t="s">
        <v>376</v>
      </c>
      <c r="U568" t="s">
        <v>40</v>
      </c>
      <c r="V568" s="1">
        <v>44444</v>
      </c>
      <c r="W568">
        <v>0</v>
      </c>
      <c r="X568">
        <v>4</v>
      </c>
      <c r="Y568" t="s">
        <v>65</v>
      </c>
      <c r="AA568" t="s">
        <v>42</v>
      </c>
      <c r="AB568" t="s">
        <v>43</v>
      </c>
      <c r="AC568" t="s">
        <v>43</v>
      </c>
      <c r="AD568" t="s">
        <v>1547</v>
      </c>
    </row>
    <row r="569" spans="1:30" x14ac:dyDescent="0.4">
      <c r="A569" t="s">
        <v>27</v>
      </c>
      <c r="B569">
        <v>56</v>
      </c>
      <c r="C569" t="s">
        <v>2967</v>
      </c>
      <c r="D569">
        <v>177</v>
      </c>
      <c r="E569" t="s">
        <v>68</v>
      </c>
      <c r="F569" t="s">
        <v>1539</v>
      </c>
      <c r="G569" t="s">
        <v>1540</v>
      </c>
      <c r="H569" t="s">
        <v>1541</v>
      </c>
      <c r="J569" t="s">
        <v>348</v>
      </c>
      <c r="K569" t="s">
        <v>226</v>
      </c>
      <c r="L569" t="s">
        <v>1542</v>
      </c>
      <c r="M569" t="s">
        <v>35</v>
      </c>
      <c r="N569" t="s">
        <v>1543</v>
      </c>
      <c r="O569" t="s">
        <v>1544</v>
      </c>
      <c r="P569" t="s">
        <v>2967</v>
      </c>
      <c r="R569" t="s">
        <v>1545</v>
      </c>
      <c r="S569" t="s">
        <v>1546</v>
      </c>
      <c r="T569" t="s">
        <v>376</v>
      </c>
      <c r="U569" t="s">
        <v>40</v>
      </c>
      <c r="V569" s="1">
        <v>44444</v>
      </c>
      <c r="W569">
        <v>0</v>
      </c>
      <c r="X569">
        <v>5</v>
      </c>
      <c r="Y569" t="s">
        <v>66</v>
      </c>
      <c r="AA569" t="s">
        <v>42</v>
      </c>
      <c r="AB569" t="s">
        <v>43</v>
      </c>
      <c r="AC569" t="s">
        <v>43</v>
      </c>
      <c r="AD569" t="s">
        <v>1547</v>
      </c>
    </row>
    <row r="570" spans="1:30" hidden="1" x14ac:dyDescent="0.4">
      <c r="A570" t="s">
        <v>27</v>
      </c>
      <c r="B570">
        <v>2038</v>
      </c>
      <c r="C570" t="s">
        <v>2968</v>
      </c>
      <c r="E570" t="s">
        <v>68</v>
      </c>
      <c r="F570" t="s">
        <v>238</v>
      </c>
      <c r="G570" t="s">
        <v>1548</v>
      </c>
      <c r="H570" t="s">
        <v>1549</v>
      </c>
      <c r="I570" t="s">
        <v>1550</v>
      </c>
      <c r="J570" t="s">
        <v>1448</v>
      </c>
      <c r="K570" t="s">
        <v>370</v>
      </c>
      <c r="L570" t="s">
        <v>1551</v>
      </c>
      <c r="M570" t="s">
        <v>35</v>
      </c>
      <c r="N570">
        <v>7733214095</v>
      </c>
      <c r="O570" t="s">
        <v>1552</v>
      </c>
      <c r="P570" t="s">
        <v>1553</v>
      </c>
      <c r="R570" t="s">
        <v>1554</v>
      </c>
      <c r="S570" t="s">
        <v>1555</v>
      </c>
      <c r="T570" t="s">
        <v>94</v>
      </c>
      <c r="U570" t="s">
        <v>40</v>
      </c>
      <c r="V570" s="1">
        <v>42284</v>
      </c>
      <c r="W570">
        <v>0</v>
      </c>
      <c r="X570">
        <v>0</v>
      </c>
      <c r="Y570" t="s">
        <v>59</v>
      </c>
      <c r="AA570" t="s">
        <v>42</v>
      </c>
      <c r="AB570" t="s">
        <v>43</v>
      </c>
      <c r="AC570" t="s">
        <v>43</v>
      </c>
    </row>
    <row r="571" spans="1:30" hidden="1" x14ac:dyDescent="0.4">
      <c r="A571" t="s">
        <v>27</v>
      </c>
      <c r="B571">
        <v>2038</v>
      </c>
      <c r="C571" t="s">
        <v>2968</v>
      </c>
      <c r="E571" t="s">
        <v>68</v>
      </c>
      <c r="F571" t="s">
        <v>238</v>
      </c>
      <c r="G571" t="s">
        <v>1548</v>
      </c>
      <c r="H571" t="s">
        <v>1549</v>
      </c>
      <c r="I571" t="s">
        <v>1550</v>
      </c>
      <c r="J571" t="s">
        <v>1448</v>
      </c>
      <c r="K571" t="s">
        <v>370</v>
      </c>
      <c r="L571" t="s">
        <v>1551</v>
      </c>
      <c r="M571" t="s">
        <v>35</v>
      </c>
      <c r="N571">
        <v>7733214095</v>
      </c>
      <c r="O571" t="s">
        <v>1552</v>
      </c>
      <c r="P571" t="s">
        <v>1553</v>
      </c>
      <c r="R571" t="s">
        <v>1554</v>
      </c>
      <c r="S571" t="s">
        <v>1555</v>
      </c>
      <c r="T571" t="s">
        <v>94</v>
      </c>
      <c r="U571" t="s">
        <v>40</v>
      </c>
      <c r="V571" s="1">
        <v>42284</v>
      </c>
      <c r="W571">
        <v>0</v>
      </c>
      <c r="X571">
        <v>0</v>
      </c>
      <c r="Y571" t="s">
        <v>59</v>
      </c>
      <c r="AA571" t="s">
        <v>42</v>
      </c>
      <c r="AB571" t="s">
        <v>43</v>
      </c>
      <c r="AC571" t="s">
        <v>43</v>
      </c>
    </row>
    <row r="572" spans="1:30" x14ac:dyDescent="0.4">
      <c r="A572" t="s">
        <v>27</v>
      </c>
      <c r="B572">
        <v>2038</v>
      </c>
      <c r="C572" t="s">
        <v>2968</v>
      </c>
      <c r="D572">
        <v>178</v>
      </c>
      <c r="E572" t="s">
        <v>68</v>
      </c>
      <c r="F572" t="s">
        <v>238</v>
      </c>
      <c r="G572" t="s">
        <v>1548</v>
      </c>
      <c r="H572" t="s">
        <v>1549</v>
      </c>
      <c r="I572" t="s">
        <v>1550</v>
      </c>
      <c r="J572" t="s">
        <v>1448</v>
      </c>
      <c r="K572" t="s">
        <v>370</v>
      </c>
      <c r="L572" t="s">
        <v>1551</v>
      </c>
      <c r="M572" t="s">
        <v>35</v>
      </c>
      <c r="N572">
        <v>7733214095</v>
      </c>
      <c r="O572" t="s">
        <v>1552</v>
      </c>
      <c r="P572" t="s">
        <v>2968</v>
      </c>
      <c r="R572" t="s">
        <v>1556</v>
      </c>
      <c r="S572" t="s">
        <v>1557</v>
      </c>
      <c r="T572" t="s">
        <v>376</v>
      </c>
      <c r="U572" t="s">
        <v>40</v>
      </c>
      <c r="V572" s="1">
        <v>44354</v>
      </c>
      <c r="W572">
        <v>0</v>
      </c>
      <c r="X572">
        <v>5</v>
      </c>
      <c r="Y572" t="s">
        <v>66</v>
      </c>
      <c r="AA572" t="s">
        <v>42</v>
      </c>
      <c r="AB572" t="s">
        <v>43</v>
      </c>
      <c r="AC572" t="s">
        <v>43</v>
      </c>
    </row>
    <row r="573" spans="1:30" x14ac:dyDescent="0.4">
      <c r="A573" t="s">
        <v>27</v>
      </c>
      <c r="B573">
        <v>2038</v>
      </c>
      <c r="C573" t="s">
        <v>2968</v>
      </c>
      <c r="D573">
        <v>178</v>
      </c>
      <c r="E573" t="s">
        <v>68</v>
      </c>
      <c r="F573" t="s">
        <v>238</v>
      </c>
      <c r="G573" t="s">
        <v>1548</v>
      </c>
      <c r="H573" t="s">
        <v>1549</v>
      </c>
      <c r="I573" t="s">
        <v>1550</v>
      </c>
      <c r="J573" t="s">
        <v>1448</v>
      </c>
      <c r="K573" t="s">
        <v>370</v>
      </c>
      <c r="L573" t="s">
        <v>1551</v>
      </c>
      <c r="M573" t="s">
        <v>35</v>
      </c>
      <c r="N573">
        <v>7733214095</v>
      </c>
      <c r="O573" t="s">
        <v>1552</v>
      </c>
      <c r="P573" t="s">
        <v>2968</v>
      </c>
      <c r="R573" t="s">
        <v>1556</v>
      </c>
      <c r="S573" t="s">
        <v>1557</v>
      </c>
      <c r="T573" t="s">
        <v>376</v>
      </c>
      <c r="U573" t="s">
        <v>40</v>
      </c>
      <c r="V573" s="1">
        <v>44354</v>
      </c>
      <c r="W573">
        <v>0</v>
      </c>
      <c r="X573">
        <v>14</v>
      </c>
      <c r="AA573" t="s">
        <v>42</v>
      </c>
      <c r="AB573" t="s">
        <v>43</v>
      </c>
      <c r="AC573" t="s">
        <v>43</v>
      </c>
    </row>
    <row r="574" spans="1:30" x14ac:dyDescent="0.4">
      <c r="A574" t="s">
        <v>27</v>
      </c>
      <c r="B574">
        <v>758</v>
      </c>
      <c r="C574" t="s">
        <v>2969</v>
      </c>
      <c r="D574">
        <v>179</v>
      </c>
      <c r="E574" t="s">
        <v>68</v>
      </c>
      <c r="F574" t="s">
        <v>1558</v>
      </c>
      <c r="G574" t="s">
        <v>1559</v>
      </c>
      <c r="H574" t="s">
        <v>1560</v>
      </c>
      <c r="J574" t="s">
        <v>1561</v>
      </c>
      <c r="K574" t="s">
        <v>215</v>
      </c>
      <c r="L574" t="s">
        <v>1562</v>
      </c>
      <c r="M574" t="s">
        <v>35</v>
      </c>
      <c r="N574">
        <v>7908842800</v>
      </c>
      <c r="O574" t="s">
        <v>1563</v>
      </c>
      <c r="P574" t="s">
        <v>2969</v>
      </c>
      <c r="R574" t="s">
        <v>1564</v>
      </c>
      <c r="S574" t="s">
        <v>1565</v>
      </c>
      <c r="T574" t="s">
        <v>58</v>
      </c>
      <c r="U574" t="s">
        <v>40</v>
      </c>
      <c r="V574" s="1">
        <v>43675</v>
      </c>
      <c r="W574">
        <v>0</v>
      </c>
      <c r="X574">
        <v>12</v>
      </c>
      <c r="AA574" t="s">
        <v>42</v>
      </c>
      <c r="AB574" t="s">
        <v>43</v>
      </c>
      <c r="AC574" t="s">
        <v>42</v>
      </c>
    </row>
    <row r="575" spans="1:30" x14ac:dyDescent="0.4">
      <c r="A575" t="s">
        <v>27</v>
      </c>
      <c r="B575">
        <v>758</v>
      </c>
      <c r="C575" t="s">
        <v>2969</v>
      </c>
      <c r="D575">
        <v>179</v>
      </c>
      <c r="E575" t="s">
        <v>68</v>
      </c>
      <c r="F575" t="s">
        <v>1558</v>
      </c>
      <c r="G575" t="s">
        <v>1559</v>
      </c>
      <c r="H575" t="s">
        <v>1560</v>
      </c>
      <c r="J575" t="s">
        <v>1561</v>
      </c>
      <c r="K575" t="s">
        <v>215</v>
      </c>
      <c r="L575" t="s">
        <v>1562</v>
      </c>
      <c r="M575" t="s">
        <v>35</v>
      </c>
      <c r="N575">
        <v>7908842800</v>
      </c>
      <c r="O575" t="s">
        <v>1563</v>
      </c>
      <c r="P575" t="s">
        <v>2969</v>
      </c>
      <c r="R575" t="s">
        <v>1564</v>
      </c>
      <c r="S575" t="s">
        <v>1565</v>
      </c>
      <c r="T575" t="s">
        <v>58</v>
      </c>
      <c r="U575" t="s">
        <v>40</v>
      </c>
      <c r="V575" s="1">
        <v>43675</v>
      </c>
      <c r="W575">
        <v>0</v>
      </c>
      <c r="X575">
        <v>14</v>
      </c>
      <c r="AA575" t="s">
        <v>42</v>
      </c>
      <c r="AB575" t="s">
        <v>43</v>
      </c>
      <c r="AC575" t="s">
        <v>42</v>
      </c>
    </row>
    <row r="576" spans="1:30" x14ac:dyDescent="0.4">
      <c r="A576" t="s">
        <v>27</v>
      </c>
      <c r="B576">
        <v>5893</v>
      </c>
      <c r="C576" t="s">
        <v>1572</v>
      </c>
      <c r="D576">
        <v>180</v>
      </c>
      <c r="E576" t="s">
        <v>195</v>
      </c>
      <c r="F576" t="s">
        <v>772</v>
      </c>
      <c r="G576" t="s">
        <v>1566</v>
      </c>
      <c r="H576" t="s">
        <v>1567</v>
      </c>
      <c r="I576" t="s">
        <v>1568</v>
      </c>
      <c r="J576" t="s">
        <v>1569</v>
      </c>
      <c r="K576" t="s">
        <v>51</v>
      </c>
      <c r="L576" t="s">
        <v>1570</v>
      </c>
      <c r="M576" t="s">
        <v>35</v>
      </c>
      <c r="N576">
        <v>7970530026</v>
      </c>
      <c r="O576" t="s">
        <v>1571</v>
      </c>
      <c r="P576" t="s">
        <v>1572</v>
      </c>
      <c r="R576" t="s">
        <v>1573</v>
      </c>
      <c r="S576" t="s">
        <v>1574</v>
      </c>
      <c r="T576" t="s">
        <v>3134</v>
      </c>
      <c r="U576" t="s">
        <v>82</v>
      </c>
      <c r="V576" s="1">
        <v>42752</v>
      </c>
      <c r="W576">
        <v>0</v>
      </c>
      <c r="X576">
        <v>3</v>
      </c>
      <c r="AA576" t="s">
        <v>42</v>
      </c>
      <c r="AB576" t="s">
        <v>43</v>
      </c>
      <c r="AC576" t="s">
        <v>43</v>
      </c>
    </row>
    <row r="577" spans="1:29" x14ac:dyDescent="0.4">
      <c r="A577" t="s">
        <v>27</v>
      </c>
      <c r="B577">
        <v>5893</v>
      </c>
      <c r="C577" t="s">
        <v>1572</v>
      </c>
      <c r="D577">
        <v>183</v>
      </c>
      <c r="E577" t="s">
        <v>195</v>
      </c>
      <c r="F577" t="s">
        <v>772</v>
      </c>
      <c r="G577" t="s">
        <v>1566</v>
      </c>
      <c r="H577" t="s">
        <v>1567</v>
      </c>
      <c r="I577" t="s">
        <v>1568</v>
      </c>
      <c r="J577" t="s">
        <v>1569</v>
      </c>
      <c r="K577" t="s">
        <v>51</v>
      </c>
      <c r="L577" t="s">
        <v>1570</v>
      </c>
      <c r="M577" t="s">
        <v>35</v>
      </c>
      <c r="N577">
        <v>7970530026</v>
      </c>
      <c r="O577" t="s">
        <v>1571</v>
      </c>
      <c r="P577" t="s">
        <v>1572</v>
      </c>
      <c r="R577" t="s">
        <v>1575</v>
      </c>
      <c r="S577" t="s">
        <v>1576</v>
      </c>
      <c r="T577" t="s">
        <v>3134</v>
      </c>
      <c r="U577" t="s">
        <v>82</v>
      </c>
      <c r="V577" s="1">
        <v>44400</v>
      </c>
      <c r="W577">
        <v>0</v>
      </c>
      <c r="X577">
        <v>3</v>
      </c>
      <c r="AA577" t="s">
        <v>42</v>
      </c>
      <c r="AB577" t="s">
        <v>43</v>
      </c>
      <c r="AC577" t="s">
        <v>43</v>
      </c>
    </row>
    <row r="578" spans="1:29" x14ac:dyDescent="0.4">
      <c r="A578" t="s">
        <v>27</v>
      </c>
      <c r="B578">
        <v>5893</v>
      </c>
      <c r="C578" t="s">
        <v>1572</v>
      </c>
      <c r="D578">
        <v>180</v>
      </c>
      <c r="E578" t="s">
        <v>195</v>
      </c>
      <c r="F578" t="s">
        <v>772</v>
      </c>
      <c r="G578" t="s">
        <v>1566</v>
      </c>
      <c r="H578" t="s">
        <v>1567</v>
      </c>
      <c r="I578" t="s">
        <v>1568</v>
      </c>
      <c r="J578" t="s">
        <v>1569</v>
      </c>
      <c r="K578" t="s">
        <v>51</v>
      </c>
      <c r="L578" t="s">
        <v>1570</v>
      </c>
      <c r="M578" t="s">
        <v>35</v>
      </c>
      <c r="N578">
        <v>7970530026</v>
      </c>
      <c r="O578" t="s">
        <v>1571</v>
      </c>
      <c r="P578" t="s">
        <v>1572</v>
      </c>
      <c r="R578" t="s">
        <v>1573</v>
      </c>
      <c r="S578" t="s">
        <v>1574</v>
      </c>
      <c r="T578" t="s">
        <v>3134</v>
      </c>
      <c r="U578" t="s">
        <v>82</v>
      </c>
      <c r="V578" s="1">
        <v>42752</v>
      </c>
      <c r="W578">
        <v>0</v>
      </c>
      <c r="X578">
        <v>11</v>
      </c>
      <c r="AA578" t="s">
        <v>42</v>
      </c>
      <c r="AB578" t="s">
        <v>43</v>
      </c>
      <c r="AC578" t="s">
        <v>43</v>
      </c>
    </row>
    <row r="579" spans="1:29" x14ac:dyDescent="0.4">
      <c r="A579" t="s">
        <v>27</v>
      </c>
      <c r="B579">
        <v>5893</v>
      </c>
      <c r="C579" t="s">
        <v>1572</v>
      </c>
      <c r="D579">
        <v>183</v>
      </c>
      <c r="E579" t="s">
        <v>195</v>
      </c>
      <c r="F579" t="s">
        <v>772</v>
      </c>
      <c r="G579" t="s">
        <v>1566</v>
      </c>
      <c r="H579" t="s">
        <v>1567</v>
      </c>
      <c r="I579" t="s">
        <v>1568</v>
      </c>
      <c r="J579" t="s">
        <v>1569</v>
      </c>
      <c r="K579" t="s">
        <v>51</v>
      </c>
      <c r="L579" t="s">
        <v>1570</v>
      </c>
      <c r="M579" t="s">
        <v>35</v>
      </c>
      <c r="N579">
        <v>7970530026</v>
      </c>
      <c r="O579" t="s">
        <v>1571</v>
      </c>
      <c r="P579" t="s">
        <v>1572</v>
      </c>
      <c r="R579" t="s">
        <v>1575</v>
      </c>
      <c r="S579" t="s">
        <v>1576</v>
      </c>
      <c r="T579" t="s">
        <v>3134</v>
      </c>
      <c r="U579" t="s">
        <v>82</v>
      </c>
      <c r="V579" s="1">
        <v>44400</v>
      </c>
      <c r="W579">
        <v>0</v>
      </c>
      <c r="X579">
        <v>11</v>
      </c>
      <c r="AA579" t="s">
        <v>42</v>
      </c>
      <c r="AB579" t="s">
        <v>43</v>
      </c>
      <c r="AC579" t="s">
        <v>43</v>
      </c>
    </row>
    <row r="580" spans="1:29" x14ac:dyDescent="0.4">
      <c r="A580" t="s">
        <v>27</v>
      </c>
      <c r="B580">
        <v>4538</v>
      </c>
      <c r="C580" t="s">
        <v>1584</v>
      </c>
      <c r="D580">
        <v>182</v>
      </c>
      <c r="E580" t="s">
        <v>68</v>
      </c>
      <c r="F580" t="s">
        <v>1577</v>
      </c>
      <c r="G580" t="s">
        <v>1566</v>
      </c>
      <c r="H580" t="s">
        <v>1578</v>
      </c>
      <c r="I580" t="s">
        <v>1579</v>
      </c>
      <c r="J580" t="s">
        <v>1580</v>
      </c>
      <c r="K580" t="s">
        <v>495</v>
      </c>
      <c r="L580" t="s">
        <v>1581</v>
      </c>
      <c r="M580" t="s">
        <v>35</v>
      </c>
      <c r="N580" t="s">
        <v>1582</v>
      </c>
      <c r="O580" t="s">
        <v>1583</v>
      </c>
      <c r="P580" t="s">
        <v>1584</v>
      </c>
      <c r="R580" t="s">
        <v>1585</v>
      </c>
      <c r="S580" t="s">
        <v>1586</v>
      </c>
      <c r="T580" t="s">
        <v>138</v>
      </c>
      <c r="U580" t="s">
        <v>82</v>
      </c>
      <c r="V580" s="1">
        <v>45064</v>
      </c>
      <c r="W580">
        <v>0</v>
      </c>
      <c r="X580">
        <v>4</v>
      </c>
      <c r="Y580" t="s">
        <v>65</v>
      </c>
      <c r="AA580" t="s">
        <v>42</v>
      </c>
      <c r="AB580" t="s">
        <v>43</v>
      </c>
      <c r="AC580" t="s">
        <v>43</v>
      </c>
    </row>
    <row r="581" spans="1:29" x14ac:dyDescent="0.4">
      <c r="A581" t="s">
        <v>27</v>
      </c>
      <c r="B581">
        <v>4538</v>
      </c>
      <c r="C581" t="s">
        <v>1584</v>
      </c>
      <c r="D581">
        <v>182</v>
      </c>
      <c r="E581" t="s">
        <v>68</v>
      </c>
      <c r="F581" t="s">
        <v>1577</v>
      </c>
      <c r="G581" t="s">
        <v>1566</v>
      </c>
      <c r="H581" t="s">
        <v>1578</v>
      </c>
      <c r="I581" t="s">
        <v>1579</v>
      </c>
      <c r="J581" t="s">
        <v>1580</v>
      </c>
      <c r="K581" t="s">
        <v>495</v>
      </c>
      <c r="L581" t="s">
        <v>1581</v>
      </c>
      <c r="M581" t="s">
        <v>35</v>
      </c>
      <c r="N581" t="s">
        <v>1582</v>
      </c>
      <c r="O581" t="s">
        <v>1583</v>
      </c>
      <c r="P581" t="s">
        <v>1584</v>
      </c>
      <c r="R581" t="s">
        <v>1585</v>
      </c>
      <c r="S581" t="s">
        <v>1586</v>
      </c>
      <c r="T581" t="s">
        <v>138</v>
      </c>
      <c r="U581" t="s">
        <v>82</v>
      </c>
      <c r="V581" s="1">
        <v>45064</v>
      </c>
      <c r="W581">
        <v>0</v>
      </c>
      <c r="X581">
        <v>5</v>
      </c>
      <c r="Y581" t="s">
        <v>66</v>
      </c>
      <c r="AA581" t="s">
        <v>42</v>
      </c>
      <c r="AB581" t="s">
        <v>43</v>
      </c>
      <c r="AC581" t="s">
        <v>43</v>
      </c>
    </row>
    <row r="582" spans="1:29" x14ac:dyDescent="0.4">
      <c r="A582" t="s">
        <v>27</v>
      </c>
      <c r="B582">
        <v>1766</v>
      </c>
      <c r="C582" t="s">
        <v>1592</v>
      </c>
      <c r="D582">
        <v>181</v>
      </c>
      <c r="E582" t="s">
        <v>68</v>
      </c>
      <c r="F582" t="s">
        <v>979</v>
      </c>
      <c r="G582" t="s">
        <v>1566</v>
      </c>
      <c r="H582" t="s">
        <v>1587</v>
      </c>
      <c r="I582" t="s">
        <v>1588</v>
      </c>
      <c r="J582" t="s">
        <v>1589</v>
      </c>
      <c r="K582" t="s">
        <v>426</v>
      </c>
      <c r="L582" t="s">
        <v>1590</v>
      </c>
      <c r="M582" t="s">
        <v>35</v>
      </c>
      <c r="N582">
        <v>1227832759</v>
      </c>
      <c r="O582" t="s">
        <v>1591</v>
      </c>
      <c r="P582" t="s">
        <v>1592</v>
      </c>
      <c r="R582" t="s">
        <v>1593</v>
      </c>
      <c r="S582" t="s">
        <v>1594</v>
      </c>
      <c r="T582" t="s">
        <v>94</v>
      </c>
      <c r="U582" t="s">
        <v>40</v>
      </c>
      <c r="V582" s="1">
        <v>42069</v>
      </c>
      <c r="W582">
        <v>0</v>
      </c>
      <c r="X582">
        <v>20</v>
      </c>
      <c r="AA582" t="s">
        <v>42</v>
      </c>
      <c r="AB582" t="s">
        <v>43</v>
      </c>
      <c r="AC582" t="s">
        <v>42</v>
      </c>
    </row>
    <row r="583" spans="1:29" hidden="1" x14ac:dyDescent="0.4">
      <c r="A583" t="s">
        <v>27</v>
      </c>
      <c r="B583">
        <v>3275</v>
      </c>
      <c r="C583" t="s">
        <v>2869</v>
      </c>
      <c r="E583" t="s">
        <v>68</v>
      </c>
      <c r="F583" t="s">
        <v>160</v>
      </c>
      <c r="G583" t="s">
        <v>1566</v>
      </c>
      <c r="H583" t="s">
        <v>1595</v>
      </c>
      <c r="J583" t="s">
        <v>1596</v>
      </c>
      <c r="K583" t="s">
        <v>1597</v>
      </c>
      <c r="L583" t="s">
        <v>1598</v>
      </c>
      <c r="M583" t="s">
        <v>35</v>
      </c>
      <c r="N583">
        <v>7724748246</v>
      </c>
      <c r="O583" t="s">
        <v>1599</v>
      </c>
      <c r="P583" t="s">
        <v>160</v>
      </c>
      <c r="R583" t="s">
        <v>1600</v>
      </c>
      <c r="S583" t="s">
        <v>1601</v>
      </c>
      <c r="T583" t="s">
        <v>356</v>
      </c>
      <c r="U583" t="s">
        <v>40</v>
      </c>
      <c r="V583" s="1">
        <v>43868</v>
      </c>
      <c r="W583">
        <v>0</v>
      </c>
      <c r="X583">
        <v>0</v>
      </c>
      <c r="Y583" t="s">
        <v>59</v>
      </c>
      <c r="Z583" t="s">
        <v>1602</v>
      </c>
      <c r="AA583" t="s">
        <v>42</v>
      </c>
      <c r="AB583" t="s">
        <v>43</v>
      </c>
      <c r="AC583" t="s">
        <v>42</v>
      </c>
    </row>
    <row r="584" spans="1:29" hidden="1" x14ac:dyDescent="0.4">
      <c r="A584" t="s">
        <v>27</v>
      </c>
      <c r="B584">
        <v>3275</v>
      </c>
      <c r="C584" t="s">
        <v>2869</v>
      </c>
      <c r="E584" t="s">
        <v>68</v>
      </c>
      <c r="F584" t="s">
        <v>160</v>
      </c>
      <c r="G584" t="s">
        <v>1566</v>
      </c>
      <c r="H584" t="s">
        <v>1595</v>
      </c>
      <c r="J584" t="s">
        <v>1596</v>
      </c>
      <c r="K584" t="s">
        <v>1597</v>
      </c>
      <c r="L584" t="s">
        <v>1598</v>
      </c>
      <c r="M584" t="s">
        <v>35</v>
      </c>
      <c r="N584">
        <v>7724748246</v>
      </c>
      <c r="O584" t="s">
        <v>1599</v>
      </c>
      <c r="P584" t="s">
        <v>160</v>
      </c>
      <c r="R584" t="s">
        <v>1600</v>
      </c>
      <c r="S584" t="s">
        <v>1601</v>
      </c>
      <c r="T584" t="s">
        <v>356</v>
      </c>
      <c r="U584" t="s">
        <v>40</v>
      </c>
      <c r="V584" s="1">
        <v>43868</v>
      </c>
      <c r="W584">
        <v>0</v>
      </c>
      <c r="X584">
        <v>0</v>
      </c>
      <c r="Y584" t="s">
        <v>59</v>
      </c>
      <c r="Z584" t="s">
        <v>1602</v>
      </c>
      <c r="AA584" t="s">
        <v>42</v>
      </c>
      <c r="AB584" t="s">
        <v>43</v>
      </c>
      <c r="AC584" t="s">
        <v>42</v>
      </c>
    </row>
    <row r="585" spans="1:29" hidden="1" x14ac:dyDescent="0.4">
      <c r="A585" t="s">
        <v>27</v>
      </c>
      <c r="B585">
        <v>3275</v>
      </c>
      <c r="C585" t="s">
        <v>2869</v>
      </c>
      <c r="E585" t="s">
        <v>68</v>
      </c>
      <c r="F585" t="s">
        <v>160</v>
      </c>
      <c r="G585" t="s">
        <v>1566</v>
      </c>
      <c r="H585" t="s">
        <v>1595</v>
      </c>
      <c r="J585" t="s">
        <v>1596</v>
      </c>
      <c r="K585" t="s">
        <v>1597</v>
      </c>
      <c r="L585" t="s">
        <v>1598</v>
      </c>
      <c r="M585" t="s">
        <v>35</v>
      </c>
      <c r="N585">
        <v>7724748246</v>
      </c>
      <c r="O585" t="s">
        <v>1599</v>
      </c>
      <c r="P585" t="s">
        <v>160</v>
      </c>
      <c r="R585" t="s">
        <v>1603</v>
      </c>
      <c r="S585" t="s">
        <v>1604</v>
      </c>
      <c r="U585" t="s">
        <v>82</v>
      </c>
      <c r="V585" s="1">
        <v>45364</v>
      </c>
      <c r="W585">
        <v>0</v>
      </c>
      <c r="X585">
        <v>0</v>
      </c>
      <c r="Y585" t="s">
        <v>59</v>
      </c>
      <c r="Z585" t="s">
        <v>1602</v>
      </c>
      <c r="AA585" t="s">
        <v>42</v>
      </c>
      <c r="AB585" t="s">
        <v>43</v>
      </c>
      <c r="AC585" t="s">
        <v>42</v>
      </c>
    </row>
    <row r="586" spans="1:29" hidden="1" x14ac:dyDescent="0.4">
      <c r="A586" t="s">
        <v>27</v>
      </c>
      <c r="B586">
        <v>3275</v>
      </c>
      <c r="C586" t="s">
        <v>2869</v>
      </c>
      <c r="E586" t="s">
        <v>68</v>
      </c>
      <c r="F586" t="s">
        <v>160</v>
      </c>
      <c r="G586" t="s">
        <v>1566</v>
      </c>
      <c r="H586" t="s">
        <v>1595</v>
      </c>
      <c r="J586" t="s">
        <v>1596</v>
      </c>
      <c r="K586" t="s">
        <v>1597</v>
      </c>
      <c r="L586" t="s">
        <v>1598</v>
      </c>
      <c r="M586" t="s">
        <v>35</v>
      </c>
      <c r="N586">
        <v>7724748246</v>
      </c>
      <c r="O586" t="s">
        <v>1599</v>
      </c>
      <c r="P586" t="s">
        <v>160</v>
      </c>
      <c r="R586" t="s">
        <v>1603</v>
      </c>
      <c r="S586" t="s">
        <v>1604</v>
      </c>
      <c r="U586" t="s">
        <v>82</v>
      </c>
      <c r="V586" s="1">
        <v>45364</v>
      </c>
      <c r="W586">
        <v>0</v>
      </c>
      <c r="X586">
        <v>0</v>
      </c>
      <c r="Y586" t="s">
        <v>59</v>
      </c>
      <c r="Z586" t="s">
        <v>1602</v>
      </c>
      <c r="AA586" t="s">
        <v>42</v>
      </c>
      <c r="AB586" t="s">
        <v>43</v>
      </c>
      <c r="AC586" t="s">
        <v>42</v>
      </c>
    </row>
    <row r="587" spans="1:29" x14ac:dyDescent="0.4">
      <c r="A587" t="s">
        <v>27</v>
      </c>
      <c r="B587">
        <v>6160</v>
      </c>
      <c r="C587" t="s">
        <v>2900</v>
      </c>
      <c r="D587">
        <v>184</v>
      </c>
      <c r="E587" t="s">
        <v>257</v>
      </c>
      <c r="F587" t="s">
        <v>384</v>
      </c>
      <c r="G587" t="s">
        <v>1605</v>
      </c>
      <c r="H587" t="s">
        <v>1606</v>
      </c>
      <c r="J587" t="s">
        <v>1607</v>
      </c>
      <c r="K587" t="s">
        <v>51</v>
      </c>
      <c r="L587" t="s">
        <v>1608</v>
      </c>
      <c r="M587" t="s">
        <v>35</v>
      </c>
      <c r="N587">
        <v>7815600317</v>
      </c>
      <c r="O587" t="s">
        <v>1609</v>
      </c>
      <c r="P587" t="s">
        <v>2900</v>
      </c>
      <c r="R587" t="s">
        <v>1610</v>
      </c>
      <c r="S587" t="s">
        <v>1611</v>
      </c>
      <c r="T587" t="s">
        <v>534</v>
      </c>
      <c r="U587" t="s">
        <v>82</v>
      </c>
      <c r="V587" s="1">
        <v>44851</v>
      </c>
      <c r="W587">
        <v>0</v>
      </c>
      <c r="X587">
        <v>1</v>
      </c>
      <c r="AA587" t="s">
        <v>42</v>
      </c>
      <c r="AB587" t="s">
        <v>43</v>
      </c>
      <c r="AC587" t="s">
        <v>43</v>
      </c>
    </row>
    <row r="588" spans="1:29" x14ac:dyDescent="0.4">
      <c r="A588" t="s">
        <v>27</v>
      </c>
      <c r="B588">
        <v>6160</v>
      </c>
      <c r="C588" t="s">
        <v>2900</v>
      </c>
      <c r="D588">
        <v>184</v>
      </c>
      <c r="E588" t="s">
        <v>257</v>
      </c>
      <c r="F588" t="s">
        <v>384</v>
      </c>
      <c r="G588" t="s">
        <v>1605</v>
      </c>
      <c r="H588" t="s">
        <v>1606</v>
      </c>
      <c r="J588" t="s">
        <v>1607</v>
      </c>
      <c r="K588" t="s">
        <v>51</v>
      </c>
      <c r="L588" t="s">
        <v>1608</v>
      </c>
      <c r="M588" t="s">
        <v>35</v>
      </c>
      <c r="N588">
        <v>7815600317</v>
      </c>
      <c r="O588" t="s">
        <v>1609</v>
      </c>
      <c r="P588" t="s">
        <v>2900</v>
      </c>
      <c r="R588" t="s">
        <v>1610</v>
      </c>
      <c r="S588" t="s">
        <v>1611</v>
      </c>
      <c r="T588" t="s">
        <v>534</v>
      </c>
      <c r="U588" t="s">
        <v>82</v>
      </c>
      <c r="V588" s="1">
        <v>44851</v>
      </c>
      <c r="W588">
        <v>0</v>
      </c>
      <c r="X588">
        <v>2</v>
      </c>
      <c r="AA588" t="s">
        <v>42</v>
      </c>
      <c r="AB588" t="s">
        <v>43</v>
      </c>
      <c r="AC588" t="s">
        <v>43</v>
      </c>
    </row>
    <row r="589" spans="1:29" x14ac:dyDescent="0.4">
      <c r="A589" t="s">
        <v>27</v>
      </c>
      <c r="B589">
        <v>6160</v>
      </c>
      <c r="C589" t="s">
        <v>2900</v>
      </c>
      <c r="D589">
        <v>184</v>
      </c>
      <c r="E589" t="s">
        <v>257</v>
      </c>
      <c r="F589" t="s">
        <v>384</v>
      </c>
      <c r="G589" t="s">
        <v>1605</v>
      </c>
      <c r="H589" t="s">
        <v>1606</v>
      </c>
      <c r="J589" t="s">
        <v>1607</v>
      </c>
      <c r="K589" t="s">
        <v>51</v>
      </c>
      <c r="L589" t="s">
        <v>1608</v>
      </c>
      <c r="M589" t="s">
        <v>35</v>
      </c>
      <c r="N589">
        <v>7815600317</v>
      </c>
      <c r="O589" t="s">
        <v>1609</v>
      </c>
      <c r="P589" t="s">
        <v>2900</v>
      </c>
      <c r="R589" t="s">
        <v>1610</v>
      </c>
      <c r="S589" t="s">
        <v>1611</v>
      </c>
      <c r="T589" t="s">
        <v>534</v>
      </c>
      <c r="U589" t="s">
        <v>82</v>
      </c>
      <c r="V589" s="1">
        <v>44851</v>
      </c>
      <c r="W589">
        <v>0</v>
      </c>
      <c r="X589">
        <v>3</v>
      </c>
      <c r="AA589" t="s">
        <v>42</v>
      </c>
      <c r="AB589" t="s">
        <v>43</v>
      </c>
      <c r="AC589" t="s">
        <v>43</v>
      </c>
    </row>
    <row r="590" spans="1:29" x14ac:dyDescent="0.4">
      <c r="A590" t="s">
        <v>27</v>
      </c>
      <c r="B590">
        <v>6160</v>
      </c>
      <c r="C590" t="s">
        <v>2900</v>
      </c>
      <c r="D590">
        <v>184</v>
      </c>
      <c r="E590" t="s">
        <v>257</v>
      </c>
      <c r="F590" t="s">
        <v>384</v>
      </c>
      <c r="G590" t="s">
        <v>1605</v>
      </c>
      <c r="H590" t="s">
        <v>1606</v>
      </c>
      <c r="J590" t="s">
        <v>1607</v>
      </c>
      <c r="K590" t="s">
        <v>51</v>
      </c>
      <c r="L590" t="s">
        <v>1608</v>
      </c>
      <c r="M590" t="s">
        <v>35</v>
      </c>
      <c r="N590">
        <v>7815600317</v>
      </c>
      <c r="O590" t="s">
        <v>1609</v>
      </c>
      <c r="P590" t="s">
        <v>2900</v>
      </c>
      <c r="R590" t="s">
        <v>1610</v>
      </c>
      <c r="S590" t="s">
        <v>1611</v>
      </c>
      <c r="T590" t="s">
        <v>534</v>
      </c>
      <c r="U590" t="s">
        <v>82</v>
      </c>
      <c r="V590" s="1">
        <v>44851</v>
      </c>
      <c r="W590">
        <v>0</v>
      </c>
      <c r="X590">
        <v>8</v>
      </c>
      <c r="AA590" t="s">
        <v>42</v>
      </c>
      <c r="AB590" t="s">
        <v>43</v>
      </c>
      <c r="AC590" t="s">
        <v>43</v>
      </c>
    </row>
    <row r="591" spans="1:29" x14ac:dyDescent="0.4">
      <c r="A591" t="s">
        <v>27</v>
      </c>
      <c r="B591">
        <v>6160</v>
      </c>
      <c r="C591" t="s">
        <v>2900</v>
      </c>
      <c r="D591">
        <v>184</v>
      </c>
      <c r="E591" t="s">
        <v>257</v>
      </c>
      <c r="F591" t="s">
        <v>384</v>
      </c>
      <c r="G591" t="s">
        <v>1605</v>
      </c>
      <c r="H591" t="s">
        <v>1606</v>
      </c>
      <c r="J591" t="s">
        <v>1607</v>
      </c>
      <c r="K591" t="s">
        <v>51</v>
      </c>
      <c r="L591" t="s">
        <v>1608</v>
      </c>
      <c r="M591" t="s">
        <v>35</v>
      </c>
      <c r="N591">
        <v>7815600317</v>
      </c>
      <c r="O591" t="s">
        <v>1609</v>
      </c>
      <c r="P591" t="s">
        <v>2900</v>
      </c>
      <c r="R591" t="s">
        <v>1610</v>
      </c>
      <c r="S591" t="s">
        <v>1611</v>
      </c>
      <c r="T591" t="s">
        <v>534</v>
      </c>
      <c r="U591" t="s">
        <v>82</v>
      </c>
      <c r="V591" s="1">
        <v>44851</v>
      </c>
      <c r="W591">
        <v>0</v>
      </c>
      <c r="X591">
        <v>9</v>
      </c>
      <c r="AA591" t="s">
        <v>42</v>
      </c>
      <c r="AB591" t="s">
        <v>43</v>
      </c>
      <c r="AC591" t="s">
        <v>43</v>
      </c>
    </row>
    <row r="592" spans="1:29" x14ac:dyDescent="0.4">
      <c r="A592" t="s">
        <v>27</v>
      </c>
      <c r="B592">
        <v>6160</v>
      </c>
      <c r="C592" t="s">
        <v>2900</v>
      </c>
      <c r="D592">
        <v>184</v>
      </c>
      <c r="E592" t="s">
        <v>257</v>
      </c>
      <c r="F592" t="s">
        <v>384</v>
      </c>
      <c r="G592" t="s">
        <v>1605</v>
      </c>
      <c r="H592" t="s">
        <v>1606</v>
      </c>
      <c r="J592" t="s">
        <v>1607</v>
      </c>
      <c r="K592" t="s">
        <v>51</v>
      </c>
      <c r="L592" t="s">
        <v>1608</v>
      </c>
      <c r="M592" t="s">
        <v>35</v>
      </c>
      <c r="N592">
        <v>7815600317</v>
      </c>
      <c r="O592" t="s">
        <v>1609</v>
      </c>
      <c r="P592" t="s">
        <v>2900</v>
      </c>
      <c r="R592" t="s">
        <v>1610</v>
      </c>
      <c r="S592" t="s">
        <v>1611</v>
      </c>
      <c r="T592" t="s">
        <v>534</v>
      </c>
      <c r="U592" t="s">
        <v>82</v>
      </c>
      <c r="V592" s="1">
        <v>44851</v>
      </c>
      <c r="W592">
        <v>0</v>
      </c>
      <c r="X592">
        <v>10</v>
      </c>
      <c r="AA592" t="s">
        <v>42</v>
      </c>
      <c r="AB592" t="s">
        <v>43</v>
      </c>
      <c r="AC592" t="s">
        <v>43</v>
      </c>
    </row>
    <row r="593" spans="1:31" x14ac:dyDescent="0.4">
      <c r="A593" t="s">
        <v>27</v>
      </c>
      <c r="B593">
        <v>1545</v>
      </c>
      <c r="C593" t="s">
        <v>2970</v>
      </c>
      <c r="D593">
        <v>186</v>
      </c>
      <c r="E593" t="s">
        <v>68</v>
      </c>
      <c r="F593" t="s">
        <v>47</v>
      </c>
      <c r="G593" t="s">
        <v>1612</v>
      </c>
      <c r="H593" t="s">
        <v>1613</v>
      </c>
      <c r="I593" t="s">
        <v>1614</v>
      </c>
      <c r="J593" t="s">
        <v>1615</v>
      </c>
      <c r="K593" t="s">
        <v>330</v>
      </c>
      <c r="L593" t="s">
        <v>1616</v>
      </c>
      <c r="M593" t="s">
        <v>35</v>
      </c>
      <c r="N593" t="s">
        <v>1617</v>
      </c>
      <c r="O593" t="s">
        <v>1618</v>
      </c>
      <c r="P593" t="s">
        <v>2970</v>
      </c>
      <c r="R593" t="s">
        <v>1619</v>
      </c>
      <c r="S593" t="s">
        <v>1620</v>
      </c>
      <c r="T593" t="s">
        <v>474</v>
      </c>
      <c r="U593" t="s">
        <v>40</v>
      </c>
      <c r="V593" s="1">
        <v>43948</v>
      </c>
      <c r="W593">
        <v>0</v>
      </c>
      <c r="X593">
        <v>11</v>
      </c>
      <c r="AA593" t="s">
        <v>42</v>
      </c>
      <c r="AB593" t="s">
        <v>43</v>
      </c>
      <c r="AC593" t="s">
        <v>42</v>
      </c>
      <c r="AE593" t="s">
        <v>1621</v>
      </c>
    </row>
    <row r="594" spans="1:31" x14ac:dyDescent="0.4">
      <c r="A594" t="s">
        <v>27</v>
      </c>
      <c r="B594">
        <v>1545</v>
      </c>
      <c r="C594" t="s">
        <v>2970</v>
      </c>
      <c r="D594">
        <v>185</v>
      </c>
      <c r="E594" t="s">
        <v>68</v>
      </c>
      <c r="F594" t="s">
        <v>47</v>
      </c>
      <c r="G594" t="s">
        <v>1612</v>
      </c>
      <c r="H594" t="s">
        <v>1613</v>
      </c>
      <c r="I594" t="s">
        <v>1614</v>
      </c>
      <c r="J594" t="s">
        <v>1615</v>
      </c>
      <c r="K594" t="s">
        <v>330</v>
      </c>
      <c r="L594" t="s">
        <v>1616</v>
      </c>
      <c r="M594" t="s">
        <v>35</v>
      </c>
      <c r="N594" t="s">
        <v>1617</v>
      </c>
      <c r="O594" t="s">
        <v>1618</v>
      </c>
      <c r="P594" t="s">
        <v>2970</v>
      </c>
      <c r="R594" t="s">
        <v>1622</v>
      </c>
      <c r="S594" t="s">
        <v>1623</v>
      </c>
      <c r="T594" t="s">
        <v>474</v>
      </c>
      <c r="U594" t="s">
        <v>40</v>
      </c>
      <c r="V594" s="1">
        <v>42510</v>
      </c>
      <c r="W594">
        <v>0</v>
      </c>
      <c r="X594">
        <v>12</v>
      </c>
      <c r="AA594" t="s">
        <v>42</v>
      </c>
      <c r="AB594" t="s">
        <v>43</v>
      </c>
      <c r="AC594" t="s">
        <v>42</v>
      </c>
      <c r="AE594" t="s">
        <v>1621</v>
      </c>
    </row>
    <row r="595" spans="1:31" x14ac:dyDescent="0.4">
      <c r="A595" t="s">
        <v>27</v>
      </c>
      <c r="B595">
        <v>1545</v>
      </c>
      <c r="C595" t="s">
        <v>2970</v>
      </c>
      <c r="D595">
        <v>185</v>
      </c>
      <c r="E595" t="s">
        <v>68</v>
      </c>
      <c r="F595" t="s">
        <v>47</v>
      </c>
      <c r="G595" t="s">
        <v>1612</v>
      </c>
      <c r="H595" t="s">
        <v>1613</v>
      </c>
      <c r="I595" t="s">
        <v>1614</v>
      </c>
      <c r="J595" t="s">
        <v>1615</v>
      </c>
      <c r="K595" t="s">
        <v>330</v>
      </c>
      <c r="L595" t="s">
        <v>1616</v>
      </c>
      <c r="M595" t="s">
        <v>35</v>
      </c>
      <c r="N595" t="s">
        <v>1617</v>
      </c>
      <c r="O595" t="s">
        <v>1618</v>
      </c>
      <c r="P595" t="s">
        <v>2970</v>
      </c>
      <c r="R595" t="s">
        <v>1622</v>
      </c>
      <c r="S595" t="s">
        <v>1623</v>
      </c>
      <c r="T595" t="s">
        <v>474</v>
      </c>
      <c r="U595" t="s">
        <v>40</v>
      </c>
      <c r="V595" s="1">
        <v>42510</v>
      </c>
      <c r="W595">
        <v>0</v>
      </c>
      <c r="X595">
        <v>14</v>
      </c>
      <c r="AA595" t="s">
        <v>42</v>
      </c>
      <c r="AB595" t="s">
        <v>43</v>
      </c>
      <c r="AC595" t="s">
        <v>42</v>
      </c>
      <c r="AE595" t="s">
        <v>1621</v>
      </c>
    </row>
    <row r="596" spans="1:31" x14ac:dyDescent="0.4">
      <c r="A596" t="s">
        <v>27</v>
      </c>
      <c r="B596">
        <v>1545</v>
      </c>
      <c r="C596" t="s">
        <v>2970</v>
      </c>
      <c r="D596">
        <v>185</v>
      </c>
      <c r="E596" t="s">
        <v>68</v>
      </c>
      <c r="F596" t="s">
        <v>47</v>
      </c>
      <c r="G596" t="s">
        <v>1612</v>
      </c>
      <c r="H596" t="s">
        <v>1613</v>
      </c>
      <c r="I596" t="s">
        <v>1614</v>
      </c>
      <c r="J596" t="s">
        <v>1615</v>
      </c>
      <c r="K596" t="s">
        <v>330</v>
      </c>
      <c r="L596" t="s">
        <v>1616</v>
      </c>
      <c r="M596" t="s">
        <v>35</v>
      </c>
      <c r="N596" t="s">
        <v>1617</v>
      </c>
      <c r="O596" t="s">
        <v>1618</v>
      </c>
      <c r="P596" t="s">
        <v>2970</v>
      </c>
      <c r="R596" t="s">
        <v>1622</v>
      </c>
      <c r="S596" t="s">
        <v>1623</v>
      </c>
      <c r="T596" t="s">
        <v>474</v>
      </c>
      <c r="U596" t="s">
        <v>40</v>
      </c>
      <c r="V596" s="1">
        <v>42510</v>
      </c>
      <c r="W596">
        <v>0</v>
      </c>
      <c r="X596">
        <v>16</v>
      </c>
      <c r="AA596" t="s">
        <v>42</v>
      </c>
      <c r="AB596" t="s">
        <v>43</v>
      </c>
      <c r="AC596" t="s">
        <v>42</v>
      </c>
      <c r="AE596" t="s">
        <v>1621</v>
      </c>
    </row>
    <row r="597" spans="1:31" x14ac:dyDescent="0.4">
      <c r="A597" t="s">
        <v>27</v>
      </c>
      <c r="B597">
        <v>4697</v>
      </c>
      <c r="C597" t="s">
        <v>2971</v>
      </c>
      <c r="D597">
        <v>187</v>
      </c>
      <c r="E597" t="s">
        <v>257</v>
      </c>
      <c r="F597" t="s">
        <v>1624</v>
      </c>
      <c r="G597" t="s">
        <v>1625</v>
      </c>
      <c r="H597" t="s">
        <v>1626</v>
      </c>
      <c r="I597" t="s">
        <v>1627</v>
      </c>
      <c r="J597" t="s">
        <v>1227</v>
      </c>
      <c r="K597" t="s">
        <v>1628</v>
      </c>
      <c r="L597" t="s">
        <v>1629</v>
      </c>
      <c r="M597" t="s">
        <v>35</v>
      </c>
      <c r="N597">
        <v>7810103919</v>
      </c>
      <c r="O597" t="s">
        <v>1630</v>
      </c>
      <c r="P597" t="s">
        <v>2971</v>
      </c>
      <c r="R597" t="s">
        <v>1632</v>
      </c>
      <c r="S597" t="s">
        <v>1633</v>
      </c>
      <c r="T597" t="s">
        <v>58</v>
      </c>
      <c r="U597" t="s">
        <v>40</v>
      </c>
      <c r="V597" s="1">
        <v>44841</v>
      </c>
      <c r="W597">
        <v>0</v>
      </c>
      <c r="X597">
        <v>4</v>
      </c>
      <c r="Y597" t="s">
        <v>65</v>
      </c>
      <c r="AA597" t="s">
        <v>42</v>
      </c>
      <c r="AB597" t="s">
        <v>43</v>
      </c>
      <c r="AC597" t="s">
        <v>43</v>
      </c>
    </row>
    <row r="598" spans="1:31" x14ac:dyDescent="0.4">
      <c r="A598" t="s">
        <v>27</v>
      </c>
      <c r="B598">
        <v>4697</v>
      </c>
      <c r="C598" t="s">
        <v>2971</v>
      </c>
      <c r="D598">
        <v>187</v>
      </c>
      <c r="E598" t="s">
        <v>257</v>
      </c>
      <c r="F598" t="s">
        <v>1624</v>
      </c>
      <c r="G598" t="s">
        <v>1625</v>
      </c>
      <c r="H598" t="s">
        <v>1626</v>
      </c>
      <c r="I598" t="s">
        <v>1627</v>
      </c>
      <c r="J598" t="s">
        <v>1227</v>
      </c>
      <c r="K598" t="s">
        <v>1628</v>
      </c>
      <c r="L598" t="s">
        <v>1629</v>
      </c>
      <c r="M598" t="s">
        <v>35</v>
      </c>
      <c r="N598">
        <v>7810103919</v>
      </c>
      <c r="O598" t="s">
        <v>1630</v>
      </c>
      <c r="P598" t="s">
        <v>2971</v>
      </c>
      <c r="R598" t="s">
        <v>1632</v>
      </c>
      <c r="S598" t="s">
        <v>1633</v>
      </c>
      <c r="T598" t="s">
        <v>58</v>
      </c>
      <c r="U598" t="s">
        <v>40</v>
      </c>
      <c r="V598" s="1">
        <v>44841</v>
      </c>
      <c r="W598">
        <v>0</v>
      </c>
      <c r="X598">
        <v>5</v>
      </c>
      <c r="Y598" t="s">
        <v>66</v>
      </c>
      <c r="AA598" t="s">
        <v>42</v>
      </c>
      <c r="AB598" t="s">
        <v>43</v>
      </c>
      <c r="AC598" t="s">
        <v>43</v>
      </c>
    </row>
    <row r="599" spans="1:31" x14ac:dyDescent="0.4">
      <c r="A599" t="s">
        <v>27</v>
      </c>
      <c r="B599">
        <v>4697</v>
      </c>
      <c r="C599" t="s">
        <v>2971</v>
      </c>
      <c r="D599">
        <v>188</v>
      </c>
      <c r="E599" t="s">
        <v>257</v>
      </c>
      <c r="F599" t="s">
        <v>1624</v>
      </c>
      <c r="G599" t="s">
        <v>1625</v>
      </c>
      <c r="H599" t="s">
        <v>1626</v>
      </c>
      <c r="I599" t="s">
        <v>1627</v>
      </c>
      <c r="J599" t="s">
        <v>1227</v>
      </c>
      <c r="K599" t="s">
        <v>1628</v>
      </c>
      <c r="L599" t="s">
        <v>1629</v>
      </c>
      <c r="M599" t="s">
        <v>35</v>
      </c>
      <c r="N599">
        <v>7810103919</v>
      </c>
      <c r="O599" t="s">
        <v>1630</v>
      </c>
      <c r="P599" t="s">
        <v>2971</v>
      </c>
      <c r="R599" t="s">
        <v>1634</v>
      </c>
      <c r="S599" t="s">
        <v>1635</v>
      </c>
      <c r="T599" t="s">
        <v>94</v>
      </c>
      <c r="U599" t="s">
        <v>40</v>
      </c>
      <c r="V599" s="1">
        <v>42963</v>
      </c>
      <c r="W599">
        <v>0</v>
      </c>
      <c r="X599">
        <v>6</v>
      </c>
      <c r="Y599" t="s">
        <v>83</v>
      </c>
      <c r="AA599" t="s">
        <v>42</v>
      </c>
      <c r="AB599" t="s">
        <v>43</v>
      </c>
      <c r="AC599" t="s">
        <v>43</v>
      </c>
    </row>
    <row r="600" spans="1:31" x14ac:dyDescent="0.4">
      <c r="A600" t="s">
        <v>27</v>
      </c>
      <c r="B600">
        <v>4697</v>
      </c>
      <c r="C600" t="s">
        <v>2971</v>
      </c>
      <c r="D600">
        <v>188</v>
      </c>
      <c r="E600" t="s">
        <v>257</v>
      </c>
      <c r="F600" t="s">
        <v>1624</v>
      </c>
      <c r="G600" t="s">
        <v>1625</v>
      </c>
      <c r="H600" t="s">
        <v>1626</v>
      </c>
      <c r="I600" t="s">
        <v>1627</v>
      </c>
      <c r="J600" t="s">
        <v>1227</v>
      </c>
      <c r="K600" t="s">
        <v>1628</v>
      </c>
      <c r="L600" t="s">
        <v>1629</v>
      </c>
      <c r="M600" t="s">
        <v>35</v>
      </c>
      <c r="N600">
        <v>7810103919</v>
      </c>
      <c r="O600" t="s">
        <v>1630</v>
      </c>
      <c r="P600" t="s">
        <v>2971</v>
      </c>
      <c r="R600" t="s">
        <v>1634</v>
      </c>
      <c r="S600" t="s">
        <v>1635</v>
      </c>
      <c r="T600" t="s">
        <v>94</v>
      </c>
      <c r="U600" t="s">
        <v>40</v>
      </c>
      <c r="V600" s="1">
        <v>42963</v>
      </c>
      <c r="W600">
        <v>0</v>
      </c>
      <c r="X600">
        <v>7</v>
      </c>
      <c r="AA600" t="s">
        <v>42</v>
      </c>
      <c r="AB600" t="s">
        <v>43</v>
      </c>
      <c r="AC600" t="s">
        <v>43</v>
      </c>
    </row>
    <row r="601" spans="1:31" hidden="1" x14ac:dyDescent="0.4">
      <c r="A601" t="s">
        <v>27</v>
      </c>
      <c r="B601">
        <v>4697</v>
      </c>
      <c r="C601" t="s">
        <v>2971</v>
      </c>
      <c r="E601" t="s">
        <v>257</v>
      </c>
      <c r="F601" t="s">
        <v>1624</v>
      </c>
      <c r="G601" t="s">
        <v>1625</v>
      </c>
      <c r="H601" t="s">
        <v>1626</v>
      </c>
      <c r="I601" t="s">
        <v>1627</v>
      </c>
      <c r="J601" t="s">
        <v>1227</v>
      </c>
      <c r="K601" t="s">
        <v>1628</v>
      </c>
      <c r="L601" t="s">
        <v>1629</v>
      </c>
      <c r="M601" t="s">
        <v>35</v>
      </c>
      <c r="N601">
        <v>7810103919</v>
      </c>
      <c r="O601" t="s">
        <v>1630</v>
      </c>
      <c r="P601" t="s">
        <v>1631</v>
      </c>
      <c r="R601" t="s">
        <v>1636</v>
      </c>
      <c r="S601" t="s">
        <v>1637</v>
      </c>
      <c r="T601" t="s">
        <v>1638</v>
      </c>
      <c r="U601" t="s">
        <v>82</v>
      </c>
      <c r="V601" s="1">
        <v>44380</v>
      </c>
      <c r="W601">
        <v>0</v>
      </c>
      <c r="X601">
        <v>0</v>
      </c>
      <c r="Y601" t="s">
        <v>59</v>
      </c>
      <c r="AA601" t="s">
        <v>42</v>
      </c>
      <c r="AB601" t="s">
        <v>43</v>
      </c>
      <c r="AC601" t="s">
        <v>43</v>
      </c>
    </row>
    <row r="602" spans="1:31" x14ac:dyDescent="0.4">
      <c r="A602" t="s">
        <v>27</v>
      </c>
      <c r="B602">
        <v>4697</v>
      </c>
      <c r="C602" t="s">
        <v>2971</v>
      </c>
      <c r="D602">
        <v>187</v>
      </c>
      <c r="E602" t="s">
        <v>257</v>
      </c>
      <c r="F602" t="s">
        <v>1624</v>
      </c>
      <c r="G602" t="s">
        <v>1625</v>
      </c>
      <c r="H602" t="s">
        <v>1626</v>
      </c>
      <c r="I602" t="s">
        <v>1627</v>
      </c>
      <c r="J602" t="s">
        <v>1227</v>
      </c>
      <c r="K602" t="s">
        <v>1628</v>
      </c>
      <c r="L602" t="s">
        <v>1629</v>
      </c>
      <c r="M602" t="s">
        <v>35</v>
      </c>
      <c r="N602">
        <v>7810103919</v>
      </c>
      <c r="O602" t="s">
        <v>1630</v>
      </c>
      <c r="P602" t="s">
        <v>2971</v>
      </c>
      <c r="R602" t="s">
        <v>1632</v>
      </c>
      <c r="S602" t="s">
        <v>1633</v>
      </c>
      <c r="T602" t="s">
        <v>58</v>
      </c>
      <c r="U602" t="s">
        <v>40</v>
      </c>
      <c r="V602" s="1">
        <v>44841</v>
      </c>
      <c r="W602">
        <v>0</v>
      </c>
      <c r="X602">
        <v>12</v>
      </c>
      <c r="AA602" t="s">
        <v>42</v>
      </c>
      <c r="AB602" t="s">
        <v>43</v>
      </c>
      <c r="AC602" t="s">
        <v>43</v>
      </c>
    </row>
    <row r="603" spans="1:31" x14ac:dyDescent="0.4">
      <c r="A603" t="s">
        <v>27</v>
      </c>
      <c r="B603">
        <v>4697</v>
      </c>
      <c r="C603" t="s">
        <v>2971</v>
      </c>
      <c r="D603">
        <v>187</v>
      </c>
      <c r="E603" t="s">
        <v>257</v>
      </c>
      <c r="F603" t="s">
        <v>1624</v>
      </c>
      <c r="G603" t="s">
        <v>1625</v>
      </c>
      <c r="H603" t="s">
        <v>1626</v>
      </c>
      <c r="I603" t="s">
        <v>1627</v>
      </c>
      <c r="J603" t="s">
        <v>1227</v>
      </c>
      <c r="K603" t="s">
        <v>1628</v>
      </c>
      <c r="L603" t="s">
        <v>1629</v>
      </c>
      <c r="M603" t="s">
        <v>35</v>
      </c>
      <c r="N603">
        <v>7810103919</v>
      </c>
      <c r="O603" t="s">
        <v>1630</v>
      </c>
      <c r="P603" t="s">
        <v>2971</v>
      </c>
      <c r="R603" t="s">
        <v>1632</v>
      </c>
      <c r="S603" t="s">
        <v>1633</v>
      </c>
      <c r="T603" t="s">
        <v>58</v>
      </c>
      <c r="U603" t="s">
        <v>40</v>
      </c>
      <c r="V603" s="1">
        <v>44841</v>
      </c>
      <c r="W603">
        <v>0</v>
      </c>
      <c r="X603">
        <v>14</v>
      </c>
      <c r="AA603" t="s">
        <v>42</v>
      </c>
      <c r="AB603" t="s">
        <v>43</v>
      </c>
      <c r="AC603" t="s">
        <v>43</v>
      </c>
    </row>
    <row r="604" spans="1:31" x14ac:dyDescent="0.4">
      <c r="A604" t="s">
        <v>27</v>
      </c>
      <c r="B604">
        <v>4697</v>
      </c>
      <c r="C604" t="s">
        <v>2971</v>
      </c>
      <c r="D604">
        <v>188</v>
      </c>
      <c r="E604" t="s">
        <v>257</v>
      </c>
      <c r="F604" t="s">
        <v>1624</v>
      </c>
      <c r="G604" t="s">
        <v>1625</v>
      </c>
      <c r="H604" t="s">
        <v>1626</v>
      </c>
      <c r="I604" t="s">
        <v>1627</v>
      </c>
      <c r="J604" t="s">
        <v>1227</v>
      </c>
      <c r="K604" t="s">
        <v>1628</v>
      </c>
      <c r="L604" t="s">
        <v>1629</v>
      </c>
      <c r="M604" t="s">
        <v>35</v>
      </c>
      <c r="N604">
        <v>7810103919</v>
      </c>
      <c r="O604" t="s">
        <v>1630</v>
      </c>
      <c r="P604" t="s">
        <v>2971</v>
      </c>
      <c r="R604" t="s">
        <v>1634</v>
      </c>
      <c r="S604" t="s">
        <v>1635</v>
      </c>
      <c r="T604" t="s">
        <v>94</v>
      </c>
      <c r="U604" t="s">
        <v>40</v>
      </c>
      <c r="V604" s="1">
        <v>42963</v>
      </c>
      <c r="W604">
        <v>0</v>
      </c>
      <c r="X604">
        <v>16</v>
      </c>
      <c r="AA604" t="s">
        <v>42</v>
      </c>
      <c r="AB604" t="s">
        <v>43</v>
      </c>
      <c r="AC604" t="s">
        <v>43</v>
      </c>
    </row>
    <row r="605" spans="1:31" x14ac:dyDescent="0.4">
      <c r="A605" t="s">
        <v>27</v>
      </c>
      <c r="B605">
        <v>4697</v>
      </c>
      <c r="C605" t="s">
        <v>2971</v>
      </c>
      <c r="D605">
        <v>188</v>
      </c>
      <c r="E605" t="s">
        <v>257</v>
      </c>
      <c r="F605" t="s">
        <v>1624</v>
      </c>
      <c r="G605" t="s">
        <v>1625</v>
      </c>
      <c r="H605" t="s">
        <v>1626</v>
      </c>
      <c r="I605" t="s">
        <v>1627</v>
      </c>
      <c r="J605" t="s">
        <v>1227</v>
      </c>
      <c r="K605" t="s">
        <v>1628</v>
      </c>
      <c r="L605" t="s">
        <v>1629</v>
      </c>
      <c r="M605" t="s">
        <v>35</v>
      </c>
      <c r="N605">
        <v>7810103919</v>
      </c>
      <c r="O605" t="s">
        <v>1630</v>
      </c>
      <c r="P605" t="s">
        <v>2971</v>
      </c>
      <c r="R605" t="s">
        <v>1634</v>
      </c>
      <c r="S605" t="s">
        <v>1635</v>
      </c>
      <c r="T605" t="s">
        <v>94</v>
      </c>
      <c r="U605" t="s">
        <v>40</v>
      </c>
      <c r="V605" s="1">
        <v>42963</v>
      </c>
      <c r="W605">
        <v>0</v>
      </c>
      <c r="X605">
        <v>18</v>
      </c>
      <c r="AA605" t="s">
        <v>42</v>
      </c>
      <c r="AB605" t="s">
        <v>43</v>
      </c>
      <c r="AC605" t="s">
        <v>43</v>
      </c>
    </row>
    <row r="606" spans="1:31" hidden="1" x14ac:dyDescent="0.4">
      <c r="A606" t="s">
        <v>27</v>
      </c>
      <c r="B606">
        <v>4697</v>
      </c>
      <c r="C606" t="s">
        <v>2971</v>
      </c>
      <c r="E606" t="s">
        <v>257</v>
      </c>
      <c r="F606" t="s">
        <v>1624</v>
      </c>
      <c r="G606" t="s">
        <v>1625</v>
      </c>
      <c r="H606" t="s">
        <v>1626</v>
      </c>
      <c r="I606" t="s">
        <v>1627</v>
      </c>
      <c r="J606" t="s">
        <v>1227</v>
      </c>
      <c r="K606" t="s">
        <v>1628</v>
      </c>
      <c r="L606" t="s">
        <v>1629</v>
      </c>
      <c r="M606" t="s">
        <v>35</v>
      </c>
      <c r="N606">
        <v>7810103919</v>
      </c>
      <c r="O606" t="s">
        <v>1630</v>
      </c>
      <c r="P606" t="s">
        <v>1631</v>
      </c>
      <c r="R606" t="s">
        <v>1636</v>
      </c>
      <c r="S606" t="s">
        <v>1637</v>
      </c>
      <c r="T606" t="s">
        <v>1638</v>
      </c>
      <c r="U606" t="s">
        <v>82</v>
      </c>
      <c r="V606" s="1">
        <v>44380</v>
      </c>
      <c r="W606">
        <v>0</v>
      </c>
      <c r="X606">
        <v>0</v>
      </c>
      <c r="Y606" t="s">
        <v>59</v>
      </c>
      <c r="AA606" t="s">
        <v>42</v>
      </c>
      <c r="AB606" t="s">
        <v>43</v>
      </c>
      <c r="AC606" t="s">
        <v>43</v>
      </c>
    </row>
    <row r="607" spans="1:31" hidden="1" x14ac:dyDescent="0.4">
      <c r="A607" t="s">
        <v>27</v>
      </c>
      <c r="B607">
        <v>4697</v>
      </c>
      <c r="C607" t="s">
        <v>2971</v>
      </c>
      <c r="E607" t="s">
        <v>257</v>
      </c>
      <c r="F607" t="s">
        <v>1624</v>
      </c>
      <c r="G607" t="s">
        <v>1625</v>
      </c>
      <c r="H607" t="s">
        <v>1626</v>
      </c>
      <c r="I607" t="s">
        <v>1627</v>
      </c>
      <c r="J607" t="s">
        <v>1227</v>
      </c>
      <c r="K607" t="s">
        <v>1628</v>
      </c>
      <c r="L607" t="s">
        <v>1629</v>
      </c>
      <c r="M607" t="s">
        <v>35</v>
      </c>
      <c r="N607">
        <v>7810103919</v>
      </c>
      <c r="O607" t="s">
        <v>1630</v>
      </c>
      <c r="P607" t="s">
        <v>1631</v>
      </c>
      <c r="R607" t="s">
        <v>1639</v>
      </c>
      <c r="S607" t="s">
        <v>1640</v>
      </c>
      <c r="T607" t="s">
        <v>94</v>
      </c>
      <c r="U607" t="s">
        <v>40</v>
      </c>
      <c r="V607" s="1">
        <v>41313</v>
      </c>
      <c r="W607">
        <v>0</v>
      </c>
      <c r="X607">
        <v>0</v>
      </c>
      <c r="Y607" t="s">
        <v>59</v>
      </c>
      <c r="AA607" t="s">
        <v>42</v>
      </c>
      <c r="AB607" t="s">
        <v>43</v>
      </c>
      <c r="AC607" t="s">
        <v>43</v>
      </c>
    </row>
    <row r="608" spans="1:31" hidden="1" x14ac:dyDescent="0.4">
      <c r="A608" t="s">
        <v>27</v>
      </c>
      <c r="B608">
        <v>4697</v>
      </c>
      <c r="C608" t="s">
        <v>2971</v>
      </c>
      <c r="E608" t="s">
        <v>257</v>
      </c>
      <c r="F608" t="s">
        <v>1624</v>
      </c>
      <c r="G608" t="s">
        <v>1625</v>
      </c>
      <c r="H608" t="s">
        <v>1626</v>
      </c>
      <c r="I608" t="s">
        <v>1627</v>
      </c>
      <c r="J608" t="s">
        <v>1227</v>
      </c>
      <c r="K608" t="s">
        <v>1628</v>
      </c>
      <c r="L608" t="s">
        <v>1629</v>
      </c>
      <c r="M608" t="s">
        <v>35</v>
      </c>
      <c r="N608">
        <v>7810103919</v>
      </c>
      <c r="O608" t="s">
        <v>1630</v>
      </c>
      <c r="P608" t="s">
        <v>1631</v>
      </c>
      <c r="R608" t="s">
        <v>1639</v>
      </c>
      <c r="S608" t="s">
        <v>1640</v>
      </c>
      <c r="T608" t="s">
        <v>94</v>
      </c>
      <c r="U608" t="s">
        <v>40</v>
      </c>
      <c r="V608" s="1">
        <v>41313</v>
      </c>
      <c r="W608">
        <v>0</v>
      </c>
      <c r="X608">
        <v>0</v>
      </c>
      <c r="Y608" t="s">
        <v>59</v>
      </c>
      <c r="AA608" t="s">
        <v>42</v>
      </c>
      <c r="AB608" t="s">
        <v>43</v>
      </c>
      <c r="AC608" t="s">
        <v>43</v>
      </c>
    </row>
    <row r="609" spans="1:31" x14ac:dyDescent="0.4">
      <c r="A609" t="s">
        <v>27</v>
      </c>
      <c r="B609">
        <v>1124</v>
      </c>
      <c r="C609" t="s">
        <v>2972</v>
      </c>
      <c r="D609">
        <v>189</v>
      </c>
      <c r="E609" t="s">
        <v>68</v>
      </c>
      <c r="F609" t="s">
        <v>1196</v>
      </c>
      <c r="G609" t="s">
        <v>1625</v>
      </c>
      <c r="H609" t="s">
        <v>1641</v>
      </c>
      <c r="I609" t="s">
        <v>1642</v>
      </c>
      <c r="J609" t="s">
        <v>1643</v>
      </c>
      <c r="K609" t="s">
        <v>73</v>
      </c>
      <c r="L609" t="s">
        <v>1644</v>
      </c>
      <c r="M609" t="s">
        <v>35</v>
      </c>
      <c r="N609">
        <v>1293862758</v>
      </c>
      <c r="O609" t="s">
        <v>1645</v>
      </c>
      <c r="P609" t="s">
        <v>2972</v>
      </c>
      <c r="R609" t="s">
        <v>1646</v>
      </c>
      <c r="S609" t="s">
        <v>1647</v>
      </c>
      <c r="T609" t="s">
        <v>555</v>
      </c>
      <c r="U609" t="s">
        <v>40</v>
      </c>
      <c r="V609" t="s">
        <v>1648</v>
      </c>
      <c r="W609">
        <v>0</v>
      </c>
      <c r="X609">
        <v>12</v>
      </c>
      <c r="AA609" t="s">
        <v>42</v>
      </c>
      <c r="AB609" t="s">
        <v>43</v>
      </c>
      <c r="AC609" t="s">
        <v>43</v>
      </c>
      <c r="AE609" t="s">
        <v>1649</v>
      </c>
    </row>
    <row r="610" spans="1:31" x14ac:dyDescent="0.4">
      <c r="A610" t="s">
        <v>27</v>
      </c>
      <c r="B610">
        <v>1124</v>
      </c>
      <c r="C610" t="s">
        <v>2972</v>
      </c>
      <c r="D610">
        <v>190</v>
      </c>
      <c r="E610" t="s">
        <v>68</v>
      </c>
      <c r="F610" t="s">
        <v>1196</v>
      </c>
      <c r="G610" t="s">
        <v>1625</v>
      </c>
      <c r="H610" t="s">
        <v>1641</v>
      </c>
      <c r="I610" t="s">
        <v>1642</v>
      </c>
      <c r="J610" t="s">
        <v>1643</v>
      </c>
      <c r="K610" t="s">
        <v>73</v>
      </c>
      <c r="L610" t="s">
        <v>1644</v>
      </c>
      <c r="M610" t="s">
        <v>35</v>
      </c>
      <c r="N610">
        <v>1293862758</v>
      </c>
      <c r="O610" t="s">
        <v>1645</v>
      </c>
      <c r="P610" t="s">
        <v>3068</v>
      </c>
      <c r="R610" t="s">
        <v>1650</v>
      </c>
      <c r="S610" t="s">
        <v>1651</v>
      </c>
      <c r="T610" t="s">
        <v>94</v>
      </c>
      <c r="U610" t="s">
        <v>40</v>
      </c>
      <c r="V610" s="1">
        <v>41327</v>
      </c>
      <c r="W610">
        <v>0</v>
      </c>
      <c r="X610">
        <v>16</v>
      </c>
      <c r="AA610" t="s">
        <v>42</v>
      </c>
      <c r="AB610" t="s">
        <v>43</v>
      </c>
      <c r="AC610" t="s">
        <v>43</v>
      </c>
      <c r="AE610" t="s">
        <v>1649</v>
      </c>
    </row>
    <row r="611" spans="1:31" x14ac:dyDescent="0.4">
      <c r="A611" t="s">
        <v>27</v>
      </c>
      <c r="B611">
        <v>377</v>
      </c>
      <c r="C611" t="s">
        <v>2973</v>
      </c>
      <c r="D611">
        <v>191</v>
      </c>
      <c r="E611" t="s">
        <v>68</v>
      </c>
      <c r="F611" t="s">
        <v>883</v>
      </c>
      <c r="G611" t="s">
        <v>1652</v>
      </c>
      <c r="H611" t="s">
        <v>1653</v>
      </c>
      <c r="J611" t="s">
        <v>1654</v>
      </c>
      <c r="K611" t="s">
        <v>1655</v>
      </c>
      <c r="L611" t="s">
        <v>1656</v>
      </c>
      <c r="M611" t="s">
        <v>35</v>
      </c>
      <c r="N611">
        <v>7973737124</v>
      </c>
      <c r="O611" t="s">
        <v>1657</v>
      </c>
      <c r="P611" t="s">
        <v>2973</v>
      </c>
      <c r="R611" t="s">
        <v>1658</v>
      </c>
      <c r="S611" t="s">
        <v>1659</v>
      </c>
      <c r="T611" t="s">
        <v>58</v>
      </c>
      <c r="U611" t="s">
        <v>82</v>
      </c>
      <c r="V611" s="1">
        <v>44109</v>
      </c>
      <c r="W611">
        <v>0</v>
      </c>
      <c r="X611">
        <v>15</v>
      </c>
      <c r="AA611" t="s">
        <v>42</v>
      </c>
      <c r="AB611" t="s">
        <v>43</v>
      </c>
      <c r="AC611" t="s">
        <v>42</v>
      </c>
    </row>
    <row r="612" spans="1:31" x14ac:dyDescent="0.4">
      <c r="A612" t="s">
        <v>27</v>
      </c>
      <c r="B612">
        <v>377</v>
      </c>
      <c r="C612" t="s">
        <v>2973</v>
      </c>
      <c r="D612">
        <v>191</v>
      </c>
      <c r="E612" t="s">
        <v>68</v>
      </c>
      <c r="F612" t="s">
        <v>883</v>
      </c>
      <c r="G612" t="s">
        <v>1652</v>
      </c>
      <c r="H612" t="s">
        <v>1653</v>
      </c>
      <c r="J612" t="s">
        <v>1654</v>
      </c>
      <c r="K612" t="s">
        <v>1655</v>
      </c>
      <c r="L612" t="s">
        <v>1656</v>
      </c>
      <c r="M612" t="s">
        <v>35</v>
      </c>
      <c r="N612">
        <v>7973737124</v>
      </c>
      <c r="O612" t="s">
        <v>1657</v>
      </c>
      <c r="P612" t="s">
        <v>2973</v>
      </c>
      <c r="R612" t="s">
        <v>1658</v>
      </c>
      <c r="S612" t="s">
        <v>1659</v>
      </c>
      <c r="T612" t="s">
        <v>58</v>
      </c>
      <c r="U612" t="s">
        <v>82</v>
      </c>
      <c r="V612" s="1">
        <v>44109</v>
      </c>
      <c r="W612">
        <v>0</v>
      </c>
      <c r="X612">
        <v>17</v>
      </c>
      <c r="AA612" t="s">
        <v>42</v>
      </c>
      <c r="AB612" t="s">
        <v>43</v>
      </c>
      <c r="AC612" t="s">
        <v>42</v>
      </c>
    </row>
    <row r="613" spans="1:31" x14ac:dyDescent="0.4">
      <c r="A613" t="s">
        <v>27</v>
      </c>
      <c r="B613">
        <v>377</v>
      </c>
      <c r="C613" t="s">
        <v>2973</v>
      </c>
      <c r="D613">
        <v>192</v>
      </c>
      <c r="E613" t="s">
        <v>68</v>
      </c>
      <c r="F613" t="s">
        <v>883</v>
      </c>
      <c r="G613" t="s">
        <v>1652</v>
      </c>
      <c r="H613" t="s">
        <v>1653</v>
      </c>
      <c r="J613" t="s">
        <v>1654</v>
      </c>
      <c r="K613" t="s">
        <v>1655</v>
      </c>
      <c r="L613" t="s">
        <v>1656</v>
      </c>
      <c r="M613" t="s">
        <v>35</v>
      </c>
      <c r="N613">
        <v>7973737124</v>
      </c>
      <c r="O613" t="s">
        <v>1657</v>
      </c>
      <c r="P613" t="s">
        <v>2973</v>
      </c>
      <c r="R613" t="s">
        <v>1660</v>
      </c>
      <c r="S613" t="s">
        <v>1661</v>
      </c>
      <c r="T613" t="s">
        <v>94</v>
      </c>
      <c r="U613" t="s">
        <v>82</v>
      </c>
      <c r="V613" s="1">
        <v>42662</v>
      </c>
      <c r="W613">
        <v>0</v>
      </c>
      <c r="X613">
        <v>19</v>
      </c>
      <c r="AA613" t="s">
        <v>42</v>
      </c>
      <c r="AB613" t="s">
        <v>43</v>
      </c>
      <c r="AC613" t="s">
        <v>42</v>
      </c>
    </row>
    <row r="614" spans="1:31" x14ac:dyDescent="0.4">
      <c r="A614" t="s">
        <v>27</v>
      </c>
      <c r="B614">
        <v>377</v>
      </c>
      <c r="C614" t="s">
        <v>2973</v>
      </c>
      <c r="D614">
        <v>192</v>
      </c>
      <c r="E614" t="s">
        <v>68</v>
      </c>
      <c r="F614" t="s">
        <v>883</v>
      </c>
      <c r="G614" t="s">
        <v>1652</v>
      </c>
      <c r="H614" t="s">
        <v>1653</v>
      </c>
      <c r="J614" t="s">
        <v>1654</v>
      </c>
      <c r="K614" t="s">
        <v>1655</v>
      </c>
      <c r="L614" t="s">
        <v>1656</v>
      </c>
      <c r="M614" t="s">
        <v>35</v>
      </c>
      <c r="N614">
        <v>7973737124</v>
      </c>
      <c r="O614" t="s">
        <v>1657</v>
      </c>
      <c r="P614" t="s">
        <v>2973</v>
      </c>
      <c r="R614" t="s">
        <v>1660</v>
      </c>
      <c r="S614" t="s">
        <v>1661</v>
      </c>
      <c r="T614" t="s">
        <v>94</v>
      </c>
      <c r="U614" t="s">
        <v>82</v>
      </c>
      <c r="V614" s="1">
        <v>42662</v>
      </c>
      <c r="W614">
        <v>0</v>
      </c>
      <c r="X614">
        <v>21</v>
      </c>
      <c r="AA614" t="s">
        <v>42</v>
      </c>
      <c r="AB614" t="s">
        <v>43</v>
      </c>
      <c r="AC614" t="s">
        <v>42</v>
      </c>
    </row>
    <row r="615" spans="1:31" x14ac:dyDescent="0.4">
      <c r="A615" t="s">
        <v>27</v>
      </c>
      <c r="B615">
        <v>1577</v>
      </c>
      <c r="C615" t="s">
        <v>1669</v>
      </c>
      <c r="D615">
        <v>193</v>
      </c>
      <c r="E615" t="s">
        <v>28</v>
      </c>
      <c r="F615" t="s">
        <v>1080</v>
      </c>
      <c r="G615" t="s">
        <v>1662</v>
      </c>
      <c r="H615" t="s">
        <v>1663</v>
      </c>
      <c r="I615" t="s">
        <v>1664</v>
      </c>
      <c r="J615" t="s">
        <v>1665</v>
      </c>
      <c r="K615" t="s">
        <v>1666</v>
      </c>
      <c r="L615" t="s">
        <v>1667</v>
      </c>
      <c r="M615" t="s">
        <v>35</v>
      </c>
      <c r="N615">
        <v>7793933194</v>
      </c>
      <c r="O615" t="s">
        <v>1668</v>
      </c>
      <c r="P615" t="s">
        <v>1669</v>
      </c>
      <c r="R615" t="s">
        <v>1670</v>
      </c>
      <c r="S615" t="s">
        <v>1671</v>
      </c>
      <c r="T615" t="s">
        <v>94</v>
      </c>
      <c r="U615" t="s">
        <v>40</v>
      </c>
      <c r="V615" s="1">
        <v>43062</v>
      </c>
      <c r="W615">
        <v>0</v>
      </c>
      <c r="X615">
        <v>20</v>
      </c>
      <c r="AA615" t="s">
        <v>42</v>
      </c>
      <c r="AB615" t="s">
        <v>43</v>
      </c>
      <c r="AC615" t="s">
        <v>43</v>
      </c>
    </row>
    <row r="616" spans="1:31" x14ac:dyDescent="0.4">
      <c r="A616" t="s">
        <v>27</v>
      </c>
      <c r="B616">
        <v>168</v>
      </c>
      <c r="C616" t="s">
        <v>2974</v>
      </c>
      <c r="D616">
        <v>194</v>
      </c>
      <c r="E616" t="s">
        <v>28</v>
      </c>
      <c r="F616" t="s">
        <v>1672</v>
      </c>
      <c r="G616" t="s">
        <v>1673</v>
      </c>
      <c r="H616" t="s">
        <v>1674</v>
      </c>
      <c r="J616" t="s">
        <v>1675</v>
      </c>
      <c r="K616" t="s">
        <v>1676</v>
      </c>
      <c r="L616" t="s">
        <v>1677</v>
      </c>
      <c r="M616" t="s">
        <v>35</v>
      </c>
      <c r="N616">
        <v>7534177163</v>
      </c>
      <c r="O616" t="s">
        <v>1678</v>
      </c>
      <c r="P616" t="s">
        <v>3081</v>
      </c>
      <c r="R616" t="s">
        <v>3115</v>
      </c>
      <c r="S616" t="s">
        <v>1681</v>
      </c>
      <c r="T616" t="s">
        <v>58</v>
      </c>
      <c r="U616" t="s">
        <v>82</v>
      </c>
      <c r="V616" s="1">
        <v>43887</v>
      </c>
      <c r="W616">
        <v>0</v>
      </c>
      <c r="X616">
        <v>6</v>
      </c>
      <c r="Y616" t="s">
        <v>83</v>
      </c>
      <c r="AA616" t="s">
        <v>42</v>
      </c>
      <c r="AB616" t="s">
        <v>43</v>
      </c>
      <c r="AC616" t="s">
        <v>43</v>
      </c>
    </row>
    <row r="617" spans="1:31" x14ac:dyDescent="0.4">
      <c r="A617" t="s">
        <v>27</v>
      </c>
      <c r="B617">
        <v>168</v>
      </c>
      <c r="C617" t="s">
        <v>2974</v>
      </c>
      <c r="D617">
        <v>194</v>
      </c>
      <c r="E617" t="s">
        <v>28</v>
      </c>
      <c r="F617" t="s">
        <v>1672</v>
      </c>
      <c r="G617" t="s">
        <v>1673</v>
      </c>
      <c r="H617" t="s">
        <v>1674</v>
      </c>
      <c r="J617" t="s">
        <v>1675</v>
      </c>
      <c r="K617" t="s">
        <v>1676</v>
      </c>
      <c r="L617" t="s">
        <v>1677</v>
      </c>
      <c r="M617" t="s">
        <v>35</v>
      </c>
      <c r="N617">
        <v>7534177163</v>
      </c>
      <c r="O617" t="s">
        <v>1678</v>
      </c>
      <c r="P617" t="s">
        <v>3081</v>
      </c>
      <c r="R617" t="s">
        <v>3115</v>
      </c>
      <c r="S617" t="s">
        <v>1681</v>
      </c>
      <c r="T617" t="s">
        <v>58</v>
      </c>
      <c r="U617" t="s">
        <v>82</v>
      </c>
      <c r="V617" s="1">
        <v>43887</v>
      </c>
      <c r="W617">
        <v>0</v>
      </c>
      <c r="X617">
        <v>17</v>
      </c>
      <c r="AA617" t="s">
        <v>42</v>
      </c>
      <c r="AB617" t="s">
        <v>43</v>
      </c>
      <c r="AC617" t="s">
        <v>43</v>
      </c>
    </row>
    <row r="618" spans="1:31" hidden="1" x14ac:dyDescent="0.4">
      <c r="A618" t="s">
        <v>27</v>
      </c>
      <c r="B618">
        <v>168</v>
      </c>
      <c r="C618" t="s">
        <v>2974</v>
      </c>
      <c r="E618" t="s">
        <v>28</v>
      </c>
      <c r="F618" t="s">
        <v>1672</v>
      </c>
      <c r="G618" t="s">
        <v>1673</v>
      </c>
      <c r="H618" t="s">
        <v>1674</v>
      </c>
      <c r="J618" t="s">
        <v>1675</v>
      </c>
      <c r="K618" t="s">
        <v>1676</v>
      </c>
      <c r="L618" t="s">
        <v>1677</v>
      </c>
      <c r="M618" t="s">
        <v>35</v>
      </c>
      <c r="N618">
        <v>7534177163</v>
      </c>
      <c r="O618" t="s">
        <v>1678</v>
      </c>
      <c r="P618" t="s">
        <v>1679</v>
      </c>
      <c r="R618" t="s">
        <v>1682</v>
      </c>
      <c r="S618" t="s">
        <v>1683</v>
      </c>
      <c r="T618" t="s">
        <v>1684</v>
      </c>
      <c r="U618" t="s">
        <v>82</v>
      </c>
      <c r="V618" s="1">
        <v>41807</v>
      </c>
      <c r="W618">
        <v>0</v>
      </c>
      <c r="X618">
        <v>0</v>
      </c>
      <c r="Y618" t="s">
        <v>59</v>
      </c>
      <c r="AA618" t="s">
        <v>42</v>
      </c>
      <c r="AB618" t="s">
        <v>43</v>
      </c>
      <c r="AC618" t="s">
        <v>43</v>
      </c>
    </row>
    <row r="619" spans="1:31" hidden="1" x14ac:dyDescent="0.4">
      <c r="A619" t="s">
        <v>27</v>
      </c>
      <c r="B619">
        <v>168</v>
      </c>
      <c r="C619" t="s">
        <v>2974</v>
      </c>
      <c r="E619" t="s">
        <v>28</v>
      </c>
      <c r="F619" t="s">
        <v>1672</v>
      </c>
      <c r="G619" t="s">
        <v>1673</v>
      </c>
      <c r="H619" t="s">
        <v>1674</v>
      </c>
      <c r="J619" t="s">
        <v>1675</v>
      </c>
      <c r="K619" t="s">
        <v>1676</v>
      </c>
      <c r="L619" t="s">
        <v>1677</v>
      </c>
      <c r="M619" t="s">
        <v>35</v>
      </c>
      <c r="N619">
        <v>7534177163</v>
      </c>
      <c r="O619" t="s">
        <v>1678</v>
      </c>
      <c r="P619" t="s">
        <v>1679</v>
      </c>
      <c r="R619" t="s">
        <v>1682</v>
      </c>
      <c r="S619" t="s">
        <v>1683</v>
      </c>
      <c r="T619" t="s">
        <v>1684</v>
      </c>
      <c r="U619" t="s">
        <v>82</v>
      </c>
      <c r="V619" s="1">
        <v>41807</v>
      </c>
      <c r="W619">
        <v>0</v>
      </c>
      <c r="X619">
        <v>0</v>
      </c>
      <c r="Y619" t="s">
        <v>59</v>
      </c>
      <c r="AA619" t="s">
        <v>42</v>
      </c>
      <c r="AB619" t="s">
        <v>43</v>
      </c>
      <c r="AC619" t="s">
        <v>43</v>
      </c>
    </row>
    <row r="620" spans="1:31" hidden="1" x14ac:dyDescent="0.4">
      <c r="A620" t="s">
        <v>27</v>
      </c>
      <c r="B620">
        <v>168</v>
      </c>
      <c r="C620" t="s">
        <v>2974</v>
      </c>
      <c r="E620" t="s">
        <v>28</v>
      </c>
      <c r="F620" t="s">
        <v>1672</v>
      </c>
      <c r="G620" t="s">
        <v>1673</v>
      </c>
      <c r="H620" t="s">
        <v>1674</v>
      </c>
      <c r="J620" t="s">
        <v>1675</v>
      </c>
      <c r="K620" t="s">
        <v>1676</v>
      </c>
      <c r="L620" t="s">
        <v>1677</v>
      </c>
      <c r="M620" t="s">
        <v>35</v>
      </c>
      <c r="N620">
        <v>7534177163</v>
      </c>
      <c r="O620" t="s">
        <v>1678</v>
      </c>
      <c r="P620" t="s">
        <v>1679</v>
      </c>
      <c r="R620" t="s">
        <v>1685</v>
      </c>
      <c r="S620" t="s">
        <v>1686</v>
      </c>
      <c r="T620" t="s">
        <v>1684</v>
      </c>
      <c r="U620" t="s">
        <v>82</v>
      </c>
      <c r="V620" s="1">
        <v>42215</v>
      </c>
      <c r="W620">
        <v>0</v>
      </c>
      <c r="X620">
        <v>0</v>
      </c>
      <c r="Y620" t="s">
        <v>59</v>
      </c>
      <c r="AA620" t="s">
        <v>42</v>
      </c>
      <c r="AB620" t="s">
        <v>43</v>
      </c>
      <c r="AC620" t="s">
        <v>43</v>
      </c>
    </row>
    <row r="621" spans="1:31" hidden="1" x14ac:dyDescent="0.4">
      <c r="A621" t="s">
        <v>27</v>
      </c>
      <c r="B621">
        <v>168</v>
      </c>
      <c r="C621" t="s">
        <v>2974</v>
      </c>
      <c r="E621" t="s">
        <v>28</v>
      </c>
      <c r="F621" t="s">
        <v>1672</v>
      </c>
      <c r="G621" t="s">
        <v>1673</v>
      </c>
      <c r="H621" t="s">
        <v>1674</v>
      </c>
      <c r="J621" t="s">
        <v>1675</v>
      </c>
      <c r="K621" t="s">
        <v>1676</v>
      </c>
      <c r="L621" t="s">
        <v>1677</v>
      </c>
      <c r="M621" t="s">
        <v>35</v>
      </c>
      <c r="N621">
        <v>7534177163</v>
      </c>
      <c r="O621" t="s">
        <v>1678</v>
      </c>
      <c r="P621" t="s">
        <v>1679</v>
      </c>
      <c r="R621" t="s">
        <v>1685</v>
      </c>
      <c r="S621" t="s">
        <v>1686</v>
      </c>
      <c r="T621" t="s">
        <v>1684</v>
      </c>
      <c r="U621" t="s">
        <v>82</v>
      </c>
      <c r="V621" s="1">
        <v>42215</v>
      </c>
      <c r="W621">
        <v>0</v>
      </c>
      <c r="X621">
        <v>0</v>
      </c>
      <c r="Y621" t="s">
        <v>59</v>
      </c>
      <c r="AA621" t="s">
        <v>42</v>
      </c>
      <c r="AB621" t="s">
        <v>43</v>
      </c>
      <c r="AC621" t="s">
        <v>43</v>
      </c>
    </row>
    <row r="622" spans="1:31" hidden="1" x14ac:dyDescent="0.4">
      <c r="A622" t="s">
        <v>27</v>
      </c>
      <c r="B622">
        <v>168</v>
      </c>
      <c r="C622" t="s">
        <v>2974</v>
      </c>
      <c r="E622" t="s">
        <v>28</v>
      </c>
      <c r="F622" t="s">
        <v>1672</v>
      </c>
      <c r="G622" t="s">
        <v>1673</v>
      </c>
      <c r="H622" t="s">
        <v>1674</v>
      </c>
      <c r="J622" t="s">
        <v>1675</v>
      </c>
      <c r="K622" t="s">
        <v>1676</v>
      </c>
      <c r="L622" t="s">
        <v>1677</v>
      </c>
      <c r="M622" t="s">
        <v>35</v>
      </c>
      <c r="N622">
        <v>7534177163</v>
      </c>
      <c r="O622" t="s">
        <v>1678</v>
      </c>
      <c r="P622" t="s">
        <v>1679</v>
      </c>
      <c r="R622" t="s">
        <v>1687</v>
      </c>
      <c r="S622" t="s">
        <v>1688</v>
      </c>
      <c r="T622" t="s">
        <v>1684</v>
      </c>
      <c r="U622" t="s">
        <v>82</v>
      </c>
      <c r="V622" s="1">
        <v>43342</v>
      </c>
      <c r="W622">
        <v>0</v>
      </c>
      <c r="X622">
        <v>0</v>
      </c>
      <c r="Y622" t="s">
        <v>59</v>
      </c>
      <c r="AA622" t="s">
        <v>42</v>
      </c>
      <c r="AB622" t="s">
        <v>43</v>
      </c>
      <c r="AC622" t="s">
        <v>43</v>
      </c>
    </row>
    <row r="623" spans="1:31" hidden="1" x14ac:dyDescent="0.4">
      <c r="A623" t="s">
        <v>27</v>
      </c>
      <c r="B623">
        <v>168</v>
      </c>
      <c r="C623" t="s">
        <v>2974</v>
      </c>
      <c r="E623" t="s">
        <v>28</v>
      </c>
      <c r="F623" t="s">
        <v>1672</v>
      </c>
      <c r="G623" t="s">
        <v>1673</v>
      </c>
      <c r="H623" t="s">
        <v>1674</v>
      </c>
      <c r="J623" t="s">
        <v>1675</v>
      </c>
      <c r="K623" t="s">
        <v>1676</v>
      </c>
      <c r="L623" t="s">
        <v>1677</v>
      </c>
      <c r="M623" t="s">
        <v>35</v>
      </c>
      <c r="N623">
        <v>7534177163</v>
      </c>
      <c r="O623" t="s">
        <v>1678</v>
      </c>
      <c r="P623" t="s">
        <v>1679</v>
      </c>
      <c r="R623" t="s">
        <v>1687</v>
      </c>
      <c r="S623" t="s">
        <v>1688</v>
      </c>
      <c r="T623" t="s">
        <v>1684</v>
      </c>
      <c r="U623" t="s">
        <v>82</v>
      </c>
      <c r="V623" s="1">
        <v>43342</v>
      </c>
      <c r="W623">
        <v>0</v>
      </c>
      <c r="X623">
        <v>0</v>
      </c>
      <c r="Y623" t="s">
        <v>59</v>
      </c>
      <c r="AA623" t="s">
        <v>42</v>
      </c>
      <c r="AB623" t="s">
        <v>43</v>
      </c>
      <c r="AC623" t="s">
        <v>43</v>
      </c>
    </row>
    <row r="624" spans="1:31" hidden="1" x14ac:dyDescent="0.4">
      <c r="A624" t="s">
        <v>27</v>
      </c>
      <c r="B624">
        <v>168</v>
      </c>
      <c r="C624" t="s">
        <v>2974</v>
      </c>
      <c r="E624" t="s">
        <v>28</v>
      </c>
      <c r="F624" t="s">
        <v>1672</v>
      </c>
      <c r="G624" t="s">
        <v>1673</v>
      </c>
      <c r="H624" t="s">
        <v>1674</v>
      </c>
      <c r="J624" t="s">
        <v>1675</v>
      </c>
      <c r="K624" t="s">
        <v>1676</v>
      </c>
      <c r="L624" t="s">
        <v>1677</v>
      </c>
      <c r="M624" t="s">
        <v>35</v>
      </c>
      <c r="N624">
        <v>7534177163</v>
      </c>
      <c r="O624" t="s">
        <v>1678</v>
      </c>
      <c r="P624" t="s">
        <v>1679</v>
      </c>
      <c r="R624" t="s">
        <v>1689</v>
      </c>
      <c r="S624" t="s">
        <v>1690</v>
      </c>
      <c r="T624" t="s">
        <v>1684</v>
      </c>
      <c r="U624" t="s">
        <v>82</v>
      </c>
      <c r="V624" s="1">
        <v>43968</v>
      </c>
      <c r="W624">
        <v>0</v>
      </c>
      <c r="X624">
        <v>0</v>
      </c>
      <c r="Y624" t="s">
        <v>59</v>
      </c>
      <c r="AA624" t="s">
        <v>42</v>
      </c>
      <c r="AB624" t="s">
        <v>43</v>
      </c>
      <c r="AC624" t="s">
        <v>43</v>
      </c>
    </row>
    <row r="625" spans="1:29" hidden="1" x14ac:dyDescent="0.4">
      <c r="A625" t="s">
        <v>27</v>
      </c>
      <c r="B625">
        <v>168</v>
      </c>
      <c r="C625" t="s">
        <v>2974</v>
      </c>
      <c r="E625" t="s">
        <v>28</v>
      </c>
      <c r="F625" t="s">
        <v>1672</v>
      </c>
      <c r="G625" t="s">
        <v>1673</v>
      </c>
      <c r="H625" t="s">
        <v>1674</v>
      </c>
      <c r="J625" t="s">
        <v>1675</v>
      </c>
      <c r="K625" t="s">
        <v>1676</v>
      </c>
      <c r="L625" t="s">
        <v>1677</v>
      </c>
      <c r="M625" t="s">
        <v>35</v>
      </c>
      <c r="N625">
        <v>7534177163</v>
      </c>
      <c r="O625" t="s">
        <v>1678</v>
      </c>
      <c r="P625" t="s">
        <v>1679</v>
      </c>
      <c r="R625" t="s">
        <v>1689</v>
      </c>
      <c r="S625" t="s">
        <v>1690</v>
      </c>
      <c r="T625" t="s">
        <v>1684</v>
      </c>
      <c r="U625" t="s">
        <v>82</v>
      </c>
      <c r="V625" s="1">
        <v>43968</v>
      </c>
      <c r="W625">
        <v>0</v>
      </c>
      <c r="X625">
        <v>0</v>
      </c>
      <c r="Y625" t="s">
        <v>59</v>
      </c>
      <c r="AA625" t="s">
        <v>42</v>
      </c>
      <c r="AB625" t="s">
        <v>43</v>
      </c>
      <c r="AC625" t="s">
        <v>43</v>
      </c>
    </row>
    <row r="626" spans="1:29" x14ac:dyDescent="0.4">
      <c r="A626" t="s">
        <v>27</v>
      </c>
      <c r="B626">
        <v>974</v>
      </c>
      <c r="C626" t="s">
        <v>1700</v>
      </c>
      <c r="D626">
        <v>195</v>
      </c>
      <c r="E626" t="s">
        <v>28</v>
      </c>
      <c r="F626" t="s">
        <v>1691</v>
      </c>
      <c r="G626" t="s">
        <v>1692</v>
      </c>
      <c r="H626" t="s">
        <v>1693</v>
      </c>
      <c r="I626" t="s">
        <v>1694</v>
      </c>
      <c r="J626" t="s">
        <v>1695</v>
      </c>
      <c r="K626" t="s">
        <v>1696</v>
      </c>
      <c r="L626" t="s">
        <v>1697</v>
      </c>
      <c r="M626" t="s">
        <v>35</v>
      </c>
      <c r="N626" t="s">
        <v>1698</v>
      </c>
      <c r="O626" t="s">
        <v>1699</v>
      </c>
      <c r="P626" t="s">
        <v>1700</v>
      </c>
      <c r="R626" t="s">
        <v>1701</v>
      </c>
      <c r="S626" t="s">
        <v>1702</v>
      </c>
      <c r="T626" t="s">
        <v>94</v>
      </c>
      <c r="U626" t="s">
        <v>40</v>
      </c>
      <c r="V626" s="1">
        <v>45038</v>
      </c>
      <c r="W626">
        <v>0</v>
      </c>
      <c r="X626">
        <v>12</v>
      </c>
      <c r="AA626" t="s">
        <v>42</v>
      </c>
      <c r="AB626" t="s">
        <v>43</v>
      </c>
      <c r="AC626" t="s">
        <v>43</v>
      </c>
    </row>
    <row r="627" spans="1:29" x14ac:dyDescent="0.4">
      <c r="A627" t="s">
        <v>27</v>
      </c>
      <c r="B627">
        <v>974</v>
      </c>
      <c r="C627" t="s">
        <v>1700</v>
      </c>
      <c r="D627">
        <v>195</v>
      </c>
      <c r="E627" t="s">
        <v>28</v>
      </c>
      <c r="F627" t="s">
        <v>1691</v>
      </c>
      <c r="G627" t="s">
        <v>1692</v>
      </c>
      <c r="H627" t="s">
        <v>1693</v>
      </c>
      <c r="I627" t="s">
        <v>1694</v>
      </c>
      <c r="J627" t="s">
        <v>1695</v>
      </c>
      <c r="K627" t="s">
        <v>1696</v>
      </c>
      <c r="L627" t="s">
        <v>1697</v>
      </c>
      <c r="M627" t="s">
        <v>35</v>
      </c>
      <c r="N627" t="s">
        <v>1698</v>
      </c>
      <c r="O627" t="s">
        <v>1699</v>
      </c>
      <c r="P627" t="s">
        <v>1700</v>
      </c>
      <c r="R627" t="s">
        <v>1701</v>
      </c>
      <c r="S627" t="s">
        <v>1702</v>
      </c>
      <c r="T627" t="s">
        <v>94</v>
      </c>
      <c r="U627" t="s">
        <v>40</v>
      </c>
      <c r="V627" s="1">
        <v>45038</v>
      </c>
      <c r="W627">
        <v>0</v>
      </c>
      <c r="X627">
        <v>14</v>
      </c>
      <c r="AA627" t="s">
        <v>42</v>
      </c>
      <c r="AB627" t="s">
        <v>43</v>
      </c>
      <c r="AC627" t="s">
        <v>43</v>
      </c>
    </row>
    <row r="628" spans="1:29" hidden="1" x14ac:dyDescent="0.4">
      <c r="A628" t="s">
        <v>27</v>
      </c>
      <c r="B628">
        <v>1340</v>
      </c>
      <c r="C628" t="s">
        <v>2870</v>
      </c>
      <c r="E628" t="s">
        <v>195</v>
      </c>
      <c r="F628" t="s">
        <v>858</v>
      </c>
      <c r="G628" t="s">
        <v>1703</v>
      </c>
      <c r="H628" t="s">
        <v>1704</v>
      </c>
      <c r="I628" t="s">
        <v>86</v>
      </c>
      <c r="J628" t="s">
        <v>1705</v>
      </c>
      <c r="K628" t="s">
        <v>1706</v>
      </c>
      <c r="L628" t="s">
        <v>1707</v>
      </c>
      <c r="M628" t="s">
        <v>35</v>
      </c>
      <c r="N628">
        <v>1922452976</v>
      </c>
      <c r="O628" t="s">
        <v>1708</v>
      </c>
      <c r="P628" t="s">
        <v>1709</v>
      </c>
      <c r="R628" t="s">
        <v>1710</v>
      </c>
      <c r="S628" t="s">
        <v>1711</v>
      </c>
      <c r="T628" t="s">
        <v>94</v>
      </c>
      <c r="U628" t="s">
        <v>82</v>
      </c>
      <c r="V628" s="1">
        <v>44809</v>
      </c>
      <c r="W628">
        <v>0</v>
      </c>
      <c r="X628">
        <v>0</v>
      </c>
      <c r="Y628" t="s">
        <v>59</v>
      </c>
      <c r="Z628" t="s">
        <v>135</v>
      </c>
      <c r="AA628" t="s">
        <v>42</v>
      </c>
      <c r="AB628" t="s">
        <v>43</v>
      </c>
      <c r="AC628" t="s">
        <v>43</v>
      </c>
    </row>
    <row r="629" spans="1:29" hidden="1" x14ac:dyDescent="0.4">
      <c r="A629" t="s">
        <v>27</v>
      </c>
      <c r="B629">
        <v>1340</v>
      </c>
      <c r="C629" t="s">
        <v>2870</v>
      </c>
      <c r="E629" t="s">
        <v>195</v>
      </c>
      <c r="F629" t="s">
        <v>858</v>
      </c>
      <c r="G629" t="s">
        <v>1703</v>
      </c>
      <c r="H629" t="s">
        <v>1704</v>
      </c>
      <c r="I629" t="s">
        <v>86</v>
      </c>
      <c r="J629" t="s">
        <v>1705</v>
      </c>
      <c r="K629" t="s">
        <v>1706</v>
      </c>
      <c r="L629" t="s">
        <v>1707</v>
      </c>
      <c r="M629" t="s">
        <v>35</v>
      </c>
      <c r="N629">
        <v>1922452976</v>
      </c>
      <c r="O629" t="s">
        <v>1708</v>
      </c>
      <c r="P629" t="s">
        <v>1709</v>
      </c>
      <c r="R629" t="s">
        <v>1712</v>
      </c>
      <c r="S629" t="s">
        <v>1713</v>
      </c>
      <c r="T629" t="s">
        <v>94</v>
      </c>
      <c r="U629" t="s">
        <v>40</v>
      </c>
      <c r="V629" s="1">
        <v>40726</v>
      </c>
      <c r="W629">
        <v>0</v>
      </c>
      <c r="X629">
        <v>0</v>
      </c>
      <c r="Y629" t="s">
        <v>59</v>
      </c>
      <c r="Z629" t="s">
        <v>135</v>
      </c>
      <c r="AA629" t="s">
        <v>42</v>
      </c>
      <c r="AB629" t="s">
        <v>43</v>
      </c>
      <c r="AC629" t="s">
        <v>43</v>
      </c>
    </row>
    <row r="630" spans="1:29" hidden="1" x14ac:dyDescent="0.4">
      <c r="A630" t="s">
        <v>27</v>
      </c>
      <c r="B630">
        <v>1340</v>
      </c>
      <c r="C630" t="s">
        <v>2870</v>
      </c>
      <c r="E630" t="s">
        <v>195</v>
      </c>
      <c r="F630" t="s">
        <v>858</v>
      </c>
      <c r="G630" t="s">
        <v>1703</v>
      </c>
      <c r="H630" t="s">
        <v>1704</v>
      </c>
      <c r="I630" t="s">
        <v>86</v>
      </c>
      <c r="J630" t="s">
        <v>1705</v>
      </c>
      <c r="K630" t="s">
        <v>1706</v>
      </c>
      <c r="L630" t="s">
        <v>1707</v>
      </c>
      <c r="M630" t="s">
        <v>35</v>
      </c>
      <c r="N630">
        <v>1922452976</v>
      </c>
      <c r="O630" t="s">
        <v>1708</v>
      </c>
      <c r="P630" t="s">
        <v>1709</v>
      </c>
      <c r="R630" t="s">
        <v>1712</v>
      </c>
      <c r="S630" t="s">
        <v>1713</v>
      </c>
      <c r="T630" t="s">
        <v>94</v>
      </c>
      <c r="U630" t="s">
        <v>40</v>
      </c>
      <c r="V630" s="1">
        <v>40726</v>
      </c>
      <c r="W630">
        <v>0</v>
      </c>
      <c r="X630">
        <v>0</v>
      </c>
      <c r="Y630" t="s">
        <v>59</v>
      </c>
      <c r="Z630" t="s">
        <v>135</v>
      </c>
      <c r="AA630" t="s">
        <v>42</v>
      </c>
      <c r="AB630" t="s">
        <v>43</v>
      </c>
      <c r="AC630" t="s">
        <v>43</v>
      </c>
    </row>
    <row r="631" spans="1:29" hidden="1" x14ac:dyDescent="0.4">
      <c r="A631" t="s">
        <v>27</v>
      </c>
      <c r="B631">
        <v>1340</v>
      </c>
      <c r="C631" t="s">
        <v>2870</v>
      </c>
      <c r="E631" t="s">
        <v>195</v>
      </c>
      <c r="F631" t="s">
        <v>858</v>
      </c>
      <c r="G631" t="s">
        <v>1703</v>
      </c>
      <c r="H631" t="s">
        <v>1704</v>
      </c>
      <c r="I631" t="s">
        <v>86</v>
      </c>
      <c r="J631" t="s">
        <v>1705</v>
      </c>
      <c r="K631" t="s">
        <v>1706</v>
      </c>
      <c r="L631" t="s">
        <v>1707</v>
      </c>
      <c r="M631" t="s">
        <v>35</v>
      </c>
      <c r="N631">
        <v>1922452976</v>
      </c>
      <c r="O631" t="s">
        <v>1708</v>
      </c>
      <c r="P631" t="s">
        <v>1709</v>
      </c>
      <c r="R631" t="s">
        <v>1710</v>
      </c>
      <c r="S631" t="s">
        <v>1711</v>
      </c>
      <c r="T631" t="s">
        <v>94</v>
      </c>
      <c r="U631" t="s">
        <v>82</v>
      </c>
      <c r="V631" s="1">
        <v>44809</v>
      </c>
      <c r="W631">
        <v>0</v>
      </c>
      <c r="X631">
        <v>0</v>
      </c>
      <c r="Y631" t="s">
        <v>59</v>
      </c>
      <c r="Z631" t="s">
        <v>135</v>
      </c>
      <c r="AA631" t="s">
        <v>42</v>
      </c>
      <c r="AB631" t="s">
        <v>43</v>
      </c>
      <c r="AC631" t="s">
        <v>43</v>
      </c>
    </row>
    <row r="632" spans="1:29" x14ac:dyDescent="0.4">
      <c r="A632" t="s">
        <v>27</v>
      </c>
      <c r="B632">
        <v>1340</v>
      </c>
      <c r="C632" t="s">
        <v>2870</v>
      </c>
      <c r="D632">
        <v>196</v>
      </c>
      <c r="E632" t="s">
        <v>195</v>
      </c>
      <c r="F632" t="s">
        <v>858</v>
      </c>
      <c r="G632" t="s">
        <v>1703</v>
      </c>
      <c r="H632" t="s">
        <v>1704</v>
      </c>
      <c r="I632" t="s">
        <v>86</v>
      </c>
      <c r="J632" t="s">
        <v>1705</v>
      </c>
      <c r="K632" t="s">
        <v>1706</v>
      </c>
      <c r="L632" t="s">
        <v>1707</v>
      </c>
      <c r="M632" t="s">
        <v>35</v>
      </c>
      <c r="N632">
        <v>1922452976</v>
      </c>
      <c r="O632" t="s">
        <v>1708</v>
      </c>
      <c r="P632" t="s">
        <v>2870</v>
      </c>
      <c r="R632" t="s">
        <v>1714</v>
      </c>
      <c r="S632" t="s">
        <v>1715</v>
      </c>
      <c r="T632" t="s">
        <v>94</v>
      </c>
      <c r="U632" t="s">
        <v>40</v>
      </c>
      <c r="V632" s="1">
        <v>43907</v>
      </c>
      <c r="W632">
        <v>0</v>
      </c>
      <c r="X632">
        <v>7</v>
      </c>
      <c r="Z632" t="s">
        <v>135</v>
      </c>
      <c r="AA632" t="s">
        <v>42</v>
      </c>
      <c r="AB632" t="s">
        <v>43</v>
      </c>
      <c r="AC632" t="s">
        <v>43</v>
      </c>
    </row>
    <row r="633" spans="1:29" x14ac:dyDescent="0.4">
      <c r="A633" t="s">
        <v>27</v>
      </c>
      <c r="B633">
        <v>1340</v>
      </c>
      <c r="C633" t="s">
        <v>2870</v>
      </c>
      <c r="D633">
        <v>196</v>
      </c>
      <c r="E633" t="s">
        <v>195</v>
      </c>
      <c r="F633" t="s">
        <v>858</v>
      </c>
      <c r="G633" t="s">
        <v>1703</v>
      </c>
      <c r="H633" t="s">
        <v>1704</v>
      </c>
      <c r="I633" t="s">
        <v>86</v>
      </c>
      <c r="J633" t="s">
        <v>1705</v>
      </c>
      <c r="K633" t="s">
        <v>1706</v>
      </c>
      <c r="L633" t="s">
        <v>1707</v>
      </c>
      <c r="M633" t="s">
        <v>35</v>
      </c>
      <c r="N633">
        <v>1922452976</v>
      </c>
      <c r="O633" t="s">
        <v>1708</v>
      </c>
      <c r="P633" t="s">
        <v>2870</v>
      </c>
      <c r="R633" t="s">
        <v>1714</v>
      </c>
      <c r="S633" t="s">
        <v>1715</v>
      </c>
      <c r="T633" t="s">
        <v>94</v>
      </c>
      <c r="U633" t="s">
        <v>40</v>
      </c>
      <c r="V633" s="1">
        <v>43907</v>
      </c>
      <c r="W633">
        <v>0</v>
      </c>
      <c r="X633">
        <v>18</v>
      </c>
      <c r="Z633" t="s">
        <v>135</v>
      </c>
      <c r="AA633" t="s">
        <v>42</v>
      </c>
      <c r="AB633" t="s">
        <v>43</v>
      </c>
      <c r="AC633" t="s">
        <v>43</v>
      </c>
    </row>
    <row r="634" spans="1:29" x14ac:dyDescent="0.4">
      <c r="A634" t="s">
        <v>27</v>
      </c>
      <c r="B634">
        <v>2584</v>
      </c>
      <c r="C634" t="s">
        <v>2871</v>
      </c>
      <c r="D634">
        <v>197</v>
      </c>
      <c r="E634" t="s">
        <v>68</v>
      </c>
      <c r="F634" t="s">
        <v>105</v>
      </c>
      <c r="G634" t="s">
        <v>1716</v>
      </c>
      <c r="H634" t="s">
        <v>1717</v>
      </c>
      <c r="J634" t="s">
        <v>1718</v>
      </c>
      <c r="K634" t="s">
        <v>73</v>
      </c>
      <c r="L634" t="s">
        <v>1719</v>
      </c>
      <c r="M634" t="s">
        <v>35</v>
      </c>
      <c r="N634" t="s">
        <v>1720</v>
      </c>
      <c r="O634" t="s">
        <v>1721</v>
      </c>
      <c r="P634" t="s">
        <v>2871</v>
      </c>
      <c r="R634" t="s">
        <v>1722</v>
      </c>
      <c r="S634" t="s">
        <v>1723</v>
      </c>
      <c r="T634" t="s">
        <v>94</v>
      </c>
      <c r="U634" t="s">
        <v>40</v>
      </c>
      <c r="V634" s="1">
        <v>45087</v>
      </c>
      <c r="W634">
        <v>0</v>
      </c>
      <c r="X634">
        <v>4</v>
      </c>
      <c r="Y634" t="s">
        <v>65</v>
      </c>
      <c r="Z634" t="s">
        <v>135</v>
      </c>
      <c r="AA634" t="s">
        <v>42</v>
      </c>
      <c r="AB634" t="s">
        <v>43</v>
      </c>
      <c r="AC634" t="s">
        <v>43</v>
      </c>
    </row>
    <row r="635" spans="1:29" x14ac:dyDescent="0.4">
      <c r="A635" t="s">
        <v>27</v>
      </c>
      <c r="B635">
        <v>2584</v>
      </c>
      <c r="C635" t="s">
        <v>2871</v>
      </c>
      <c r="D635">
        <v>198</v>
      </c>
      <c r="E635" t="s">
        <v>68</v>
      </c>
      <c r="F635" t="s">
        <v>105</v>
      </c>
      <c r="G635" t="s">
        <v>1716</v>
      </c>
      <c r="H635" t="s">
        <v>1717</v>
      </c>
      <c r="J635" t="s">
        <v>1718</v>
      </c>
      <c r="K635" t="s">
        <v>73</v>
      </c>
      <c r="L635" t="s">
        <v>1719</v>
      </c>
      <c r="M635" t="s">
        <v>35</v>
      </c>
      <c r="N635" t="s">
        <v>1720</v>
      </c>
      <c r="O635" t="s">
        <v>1721</v>
      </c>
      <c r="P635" t="s">
        <v>2871</v>
      </c>
      <c r="R635" t="s">
        <v>3116</v>
      </c>
      <c r="S635" t="s">
        <v>1725</v>
      </c>
      <c r="T635" t="s">
        <v>94</v>
      </c>
      <c r="U635" t="s">
        <v>40</v>
      </c>
      <c r="V635" s="1">
        <v>42129</v>
      </c>
      <c r="W635">
        <v>0</v>
      </c>
      <c r="X635">
        <v>5</v>
      </c>
      <c r="Y635" t="s">
        <v>66</v>
      </c>
      <c r="Z635" t="s">
        <v>135</v>
      </c>
      <c r="AA635" t="s">
        <v>42</v>
      </c>
      <c r="AB635" t="s">
        <v>43</v>
      </c>
      <c r="AC635" t="s">
        <v>43</v>
      </c>
    </row>
    <row r="636" spans="1:29" x14ac:dyDescent="0.4">
      <c r="A636" t="s">
        <v>27</v>
      </c>
      <c r="B636">
        <v>2584</v>
      </c>
      <c r="C636" t="s">
        <v>2871</v>
      </c>
      <c r="D636">
        <v>197</v>
      </c>
      <c r="E636" t="s">
        <v>68</v>
      </c>
      <c r="F636" t="s">
        <v>105</v>
      </c>
      <c r="G636" t="s">
        <v>1716</v>
      </c>
      <c r="H636" t="s">
        <v>1717</v>
      </c>
      <c r="J636" t="s">
        <v>1718</v>
      </c>
      <c r="K636" t="s">
        <v>73</v>
      </c>
      <c r="L636" t="s">
        <v>1719</v>
      </c>
      <c r="M636" t="s">
        <v>35</v>
      </c>
      <c r="N636" t="s">
        <v>1720</v>
      </c>
      <c r="O636" t="s">
        <v>1721</v>
      </c>
      <c r="P636" t="s">
        <v>2871</v>
      </c>
      <c r="R636" t="s">
        <v>1722</v>
      </c>
      <c r="S636" t="s">
        <v>1723</v>
      </c>
      <c r="T636" t="s">
        <v>94</v>
      </c>
      <c r="U636" t="s">
        <v>40</v>
      </c>
      <c r="V636" s="1">
        <v>45087</v>
      </c>
      <c r="W636">
        <v>0</v>
      </c>
      <c r="X636">
        <v>12</v>
      </c>
      <c r="Z636" t="s">
        <v>135</v>
      </c>
      <c r="AA636" t="s">
        <v>42</v>
      </c>
      <c r="AB636" t="s">
        <v>43</v>
      </c>
      <c r="AC636" t="s">
        <v>43</v>
      </c>
    </row>
    <row r="637" spans="1:29" x14ac:dyDescent="0.4">
      <c r="A637" t="s">
        <v>27</v>
      </c>
      <c r="B637">
        <v>2584</v>
      </c>
      <c r="C637" t="s">
        <v>2871</v>
      </c>
      <c r="D637">
        <v>198</v>
      </c>
      <c r="E637" t="s">
        <v>68</v>
      </c>
      <c r="F637" t="s">
        <v>105</v>
      </c>
      <c r="G637" t="s">
        <v>1716</v>
      </c>
      <c r="H637" t="s">
        <v>1717</v>
      </c>
      <c r="J637" t="s">
        <v>1718</v>
      </c>
      <c r="K637" t="s">
        <v>73</v>
      </c>
      <c r="L637" t="s">
        <v>1719</v>
      </c>
      <c r="M637" t="s">
        <v>35</v>
      </c>
      <c r="N637" t="s">
        <v>1720</v>
      </c>
      <c r="O637" t="s">
        <v>1721</v>
      </c>
      <c r="P637" t="s">
        <v>2871</v>
      </c>
      <c r="R637" t="s">
        <v>3116</v>
      </c>
      <c r="S637" t="s">
        <v>1725</v>
      </c>
      <c r="T637" t="s">
        <v>94</v>
      </c>
      <c r="U637" t="s">
        <v>40</v>
      </c>
      <c r="V637" s="1">
        <v>42129</v>
      </c>
      <c r="W637">
        <v>0</v>
      </c>
      <c r="X637">
        <v>14</v>
      </c>
      <c r="Z637" t="s">
        <v>135</v>
      </c>
      <c r="AA637" t="s">
        <v>42</v>
      </c>
      <c r="AB637" t="s">
        <v>43</v>
      </c>
      <c r="AC637" t="s">
        <v>43</v>
      </c>
    </row>
    <row r="638" spans="1:29" x14ac:dyDescent="0.4">
      <c r="A638" t="s">
        <v>27</v>
      </c>
      <c r="B638">
        <v>2052</v>
      </c>
      <c r="C638" t="s">
        <v>2975</v>
      </c>
      <c r="D638">
        <v>199</v>
      </c>
      <c r="E638" t="s">
        <v>257</v>
      </c>
      <c r="F638" t="s">
        <v>1726</v>
      </c>
      <c r="G638" t="s">
        <v>1727</v>
      </c>
      <c r="H638" t="s">
        <v>1717</v>
      </c>
      <c r="J638" t="s">
        <v>1718</v>
      </c>
      <c r="K638" t="s">
        <v>73</v>
      </c>
      <c r="L638" t="s">
        <v>1719</v>
      </c>
      <c r="M638" t="s">
        <v>35</v>
      </c>
      <c r="N638" t="s">
        <v>1720</v>
      </c>
      <c r="O638" t="s">
        <v>1721</v>
      </c>
      <c r="P638" t="s">
        <v>3044</v>
      </c>
      <c r="R638" t="s">
        <v>3052</v>
      </c>
      <c r="S638" t="s">
        <v>1729</v>
      </c>
      <c r="T638" t="s">
        <v>94</v>
      </c>
      <c r="U638" t="s">
        <v>40</v>
      </c>
      <c r="V638" s="1">
        <v>43199</v>
      </c>
      <c r="W638">
        <v>0</v>
      </c>
      <c r="X638">
        <v>4</v>
      </c>
      <c r="Y638" t="s">
        <v>65</v>
      </c>
      <c r="AA638" t="s">
        <v>42</v>
      </c>
      <c r="AB638" t="s">
        <v>43</v>
      </c>
      <c r="AC638" t="s">
        <v>43</v>
      </c>
    </row>
    <row r="639" spans="1:29" x14ac:dyDescent="0.4">
      <c r="A639" t="s">
        <v>27</v>
      </c>
      <c r="B639">
        <v>2052</v>
      </c>
      <c r="C639" t="s">
        <v>2975</v>
      </c>
      <c r="D639">
        <v>199</v>
      </c>
      <c r="E639" t="s">
        <v>257</v>
      </c>
      <c r="F639" t="s">
        <v>1726</v>
      </c>
      <c r="G639" t="s">
        <v>1727</v>
      </c>
      <c r="H639" t="s">
        <v>1717</v>
      </c>
      <c r="J639" t="s">
        <v>1718</v>
      </c>
      <c r="K639" t="s">
        <v>73</v>
      </c>
      <c r="L639" t="s">
        <v>1719</v>
      </c>
      <c r="M639" t="s">
        <v>35</v>
      </c>
      <c r="N639" t="s">
        <v>1720</v>
      </c>
      <c r="O639" t="s">
        <v>1721</v>
      </c>
      <c r="P639" t="s">
        <v>3044</v>
      </c>
      <c r="R639" t="s">
        <v>3052</v>
      </c>
      <c r="S639" t="s">
        <v>1729</v>
      </c>
      <c r="T639" t="s">
        <v>94</v>
      </c>
      <c r="U639" t="s">
        <v>40</v>
      </c>
      <c r="V639" s="1">
        <v>43199</v>
      </c>
      <c r="W639">
        <v>0</v>
      </c>
      <c r="X639">
        <v>5</v>
      </c>
      <c r="Y639" t="s">
        <v>66</v>
      </c>
      <c r="AA639" t="s">
        <v>42</v>
      </c>
      <c r="AB639" t="s">
        <v>43</v>
      </c>
      <c r="AC639" t="s">
        <v>43</v>
      </c>
    </row>
    <row r="640" spans="1:29" x14ac:dyDescent="0.4">
      <c r="A640" t="s">
        <v>27</v>
      </c>
      <c r="B640">
        <v>2052</v>
      </c>
      <c r="C640" t="s">
        <v>2975</v>
      </c>
      <c r="D640">
        <v>199</v>
      </c>
      <c r="E640" t="s">
        <v>257</v>
      </c>
      <c r="F640" t="s">
        <v>1726</v>
      </c>
      <c r="G640" t="s">
        <v>1727</v>
      </c>
      <c r="H640" t="s">
        <v>1717</v>
      </c>
      <c r="J640" t="s">
        <v>1718</v>
      </c>
      <c r="K640" t="s">
        <v>73</v>
      </c>
      <c r="L640" t="s">
        <v>1719</v>
      </c>
      <c r="M640" t="s">
        <v>35</v>
      </c>
      <c r="N640" t="s">
        <v>1720</v>
      </c>
      <c r="O640" t="s">
        <v>1721</v>
      </c>
      <c r="P640" t="s">
        <v>3044</v>
      </c>
      <c r="R640" t="s">
        <v>3052</v>
      </c>
      <c r="S640" t="s">
        <v>1729</v>
      </c>
      <c r="T640" t="s">
        <v>94</v>
      </c>
      <c r="U640" t="s">
        <v>40</v>
      </c>
      <c r="V640" s="1">
        <v>43199</v>
      </c>
      <c r="W640">
        <v>0</v>
      </c>
      <c r="X640">
        <v>12</v>
      </c>
      <c r="AA640" t="s">
        <v>42</v>
      </c>
      <c r="AB640" t="s">
        <v>43</v>
      </c>
      <c r="AC640" t="s">
        <v>43</v>
      </c>
    </row>
    <row r="641" spans="1:29" x14ac:dyDescent="0.4">
      <c r="A641" t="s">
        <v>27</v>
      </c>
      <c r="B641">
        <v>2052</v>
      </c>
      <c r="C641" t="s">
        <v>2975</v>
      </c>
      <c r="D641">
        <v>199</v>
      </c>
      <c r="E641" t="s">
        <v>257</v>
      </c>
      <c r="F641" t="s">
        <v>1726</v>
      </c>
      <c r="G641" t="s">
        <v>1727</v>
      </c>
      <c r="H641" t="s">
        <v>1717</v>
      </c>
      <c r="J641" t="s">
        <v>1718</v>
      </c>
      <c r="K641" t="s">
        <v>73</v>
      </c>
      <c r="L641" t="s">
        <v>1719</v>
      </c>
      <c r="M641" t="s">
        <v>35</v>
      </c>
      <c r="N641" t="s">
        <v>1720</v>
      </c>
      <c r="O641" t="s">
        <v>1721</v>
      </c>
      <c r="P641" t="s">
        <v>3044</v>
      </c>
      <c r="R641" t="s">
        <v>3052</v>
      </c>
      <c r="S641" t="s">
        <v>1729</v>
      </c>
      <c r="T641" t="s">
        <v>94</v>
      </c>
      <c r="U641" t="s">
        <v>40</v>
      </c>
      <c r="V641" s="1">
        <v>43199</v>
      </c>
      <c r="W641">
        <v>0</v>
      </c>
      <c r="X641">
        <v>14</v>
      </c>
      <c r="AA641" t="s">
        <v>42</v>
      </c>
      <c r="AB641" t="s">
        <v>43</v>
      </c>
      <c r="AC641" t="s">
        <v>43</v>
      </c>
    </row>
    <row r="642" spans="1:29" x14ac:dyDescent="0.4">
      <c r="A642" t="s">
        <v>27</v>
      </c>
      <c r="B642">
        <v>5405</v>
      </c>
      <c r="C642" t="s">
        <v>2872</v>
      </c>
      <c r="D642">
        <v>200</v>
      </c>
      <c r="E642" t="s">
        <v>195</v>
      </c>
      <c r="F642" t="s">
        <v>1577</v>
      </c>
      <c r="G642" t="s">
        <v>1730</v>
      </c>
      <c r="H642" t="s">
        <v>1731</v>
      </c>
      <c r="J642" t="s">
        <v>1732</v>
      </c>
      <c r="K642" t="s">
        <v>1733</v>
      </c>
      <c r="L642" t="s">
        <v>1734</v>
      </c>
      <c r="M642" t="s">
        <v>35</v>
      </c>
      <c r="N642">
        <v>7842075908</v>
      </c>
      <c r="O642" t="s">
        <v>1735</v>
      </c>
      <c r="P642" t="s">
        <v>2872</v>
      </c>
      <c r="R642" t="s">
        <v>1736</v>
      </c>
      <c r="S642" t="s">
        <v>1737</v>
      </c>
      <c r="T642" t="s">
        <v>376</v>
      </c>
      <c r="U642" t="s">
        <v>40</v>
      </c>
      <c r="V642" s="1">
        <v>44284</v>
      </c>
      <c r="W642">
        <v>0</v>
      </c>
      <c r="X642">
        <v>4</v>
      </c>
      <c r="Y642" t="s">
        <v>65</v>
      </c>
      <c r="Z642" t="s">
        <v>135</v>
      </c>
      <c r="AA642" t="s">
        <v>42</v>
      </c>
      <c r="AB642" t="s">
        <v>43</v>
      </c>
      <c r="AC642" t="s">
        <v>43</v>
      </c>
    </row>
    <row r="643" spans="1:29" x14ac:dyDescent="0.4">
      <c r="A643" t="s">
        <v>27</v>
      </c>
      <c r="B643">
        <v>5405</v>
      </c>
      <c r="C643" t="s">
        <v>2872</v>
      </c>
      <c r="D643">
        <v>200</v>
      </c>
      <c r="E643" t="s">
        <v>195</v>
      </c>
      <c r="F643" t="s">
        <v>1577</v>
      </c>
      <c r="G643" t="s">
        <v>1730</v>
      </c>
      <c r="H643" t="s">
        <v>1731</v>
      </c>
      <c r="J643" t="s">
        <v>1732</v>
      </c>
      <c r="K643" t="s">
        <v>1733</v>
      </c>
      <c r="L643" t="s">
        <v>1734</v>
      </c>
      <c r="M643" t="s">
        <v>35</v>
      </c>
      <c r="N643">
        <v>7842075908</v>
      </c>
      <c r="O643" t="s">
        <v>1735</v>
      </c>
      <c r="P643" t="s">
        <v>2872</v>
      </c>
      <c r="R643" t="s">
        <v>1736</v>
      </c>
      <c r="S643" t="s">
        <v>1737</v>
      </c>
      <c r="T643" t="s">
        <v>376</v>
      </c>
      <c r="U643" t="s">
        <v>40</v>
      </c>
      <c r="V643" s="1">
        <v>44284</v>
      </c>
      <c r="W643">
        <v>0</v>
      </c>
      <c r="X643">
        <v>5</v>
      </c>
      <c r="Y643" t="s">
        <v>66</v>
      </c>
      <c r="Z643" t="s">
        <v>135</v>
      </c>
      <c r="AA643" t="s">
        <v>42</v>
      </c>
      <c r="AB643" t="s">
        <v>43</v>
      </c>
      <c r="AC643" t="s">
        <v>43</v>
      </c>
    </row>
    <row r="644" spans="1:29" x14ac:dyDescent="0.4">
      <c r="A644" t="s">
        <v>27</v>
      </c>
      <c r="B644">
        <v>5405</v>
      </c>
      <c r="C644" t="s">
        <v>2872</v>
      </c>
      <c r="D644">
        <v>200</v>
      </c>
      <c r="E644" t="s">
        <v>195</v>
      </c>
      <c r="F644" t="s">
        <v>1577</v>
      </c>
      <c r="G644" t="s">
        <v>1730</v>
      </c>
      <c r="H644" t="s">
        <v>1731</v>
      </c>
      <c r="J644" t="s">
        <v>1732</v>
      </c>
      <c r="K644" t="s">
        <v>1733</v>
      </c>
      <c r="L644" t="s">
        <v>1734</v>
      </c>
      <c r="M644" t="s">
        <v>35</v>
      </c>
      <c r="N644">
        <v>7842075908</v>
      </c>
      <c r="O644" t="s">
        <v>1735</v>
      </c>
      <c r="P644" t="s">
        <v>2872</v>
      </c>
      <c r="R644" t="s">
        <v>1736</v>
      </c>
      <c r="S644" t="s">
        <v>1737</v>
      </c>
      <c r="T644" t="s">
        <v>376</v>
      </c>
      <c r="U644" t="s">
        <v>40</v>
      </c>
      <c r="V644" s="1">
        <v>44284</v>
      </c>
      <c r="W644">
        <v>0</v>
      </c>
      <c r="X644">
        <v>12</v>
      </c>
      <c r="Z644" t="s">
        <v>135</v>
      </c>
      <c r="AA644" t="s">
        <v>42</v>
      </c>
      <c r="AB644" t="s">
        <v>43</v>
      </c>
      <c r="AC644" t="s">
        <v>43</v>
      </c>
    </row>
    <row r="645" spans="1:29" x14ac:dyDescent="0.4">
      <c r="A645" t="s">
        <v>27</v>
      </c>
      <c r="B645">
        <v>5405</v>
      </c>
      <c r="C645" t="s">
        <v>2872</v>
      </c>
      <c r="D645">
        <v>200</v>
      </c>
      <c r="E645" t="s">
        <v>195</v>
      </c>
      <c r="F645" t="s">
        <v>1577</v>
      </c>
      <c r="G645" t="s">
        <v>1730</v>
      </c>
      <c r="H645" t="s">
        <v>1731</v>
      </c>
      <c r="J645" t="s">
        <v>1732</v>
      </c>
      <c r="K645" t="s">
        <v>1733</v>
      </c>
      <c r="L645" t="s">
        <v>1734</v>
      </c>
      <c r="M645" t="s">
        <v>35</v>
      </c>
      <c r="N645">
        <v>7842075908</v>
      </c>
      <c r="O645" t="s">
        <v>1735</v>
      </c>
      <c r="P645" t="s">
        <v>2872</v>
      </c>
      <c r="R645" t="s">
        <v>1736</v>
      </c>
      <c r="S645" t="s">
        <v>1737</v>
      </c>
      <c r="T645" t="s">
        <v>376</v>
      </c>
      <c r="U645" t="s">
        <v>40</v>
      </c>
      <c r="V645" s="1">
        <v>44284</v>
      </c>
      <c r="W645">
        <v>0</v>
      </c>
      <c r="X645">
        <v>14</v>
      </c>
      <c r="Z645" t="s">
        <v>135</v>
      </c>
      <c r="AA645" t="s">
        <v>42</v>
      </c>
      <c r="AB645" t="s">
        <v>43</v>
      </c>
      <c r="AC645" t="s">
        <v>43</v>
      </c>
    </row>
    <row r="646" spans="1:29" x14ac:dyDescent="0.4">
      <c r="A646" t="s">
        <v>27</v>
      </c>
      <c r="B646">
        <v>1066</v>
      </c>
      <c r="C646" t="s">
        <v>2976</v>
      </c>
      <c r="D646">
        <v>201</v>
      </c>
      <c r="E646" t="s">
        <v>68</v>
      </c>
      <c r="F646" t="s">
        <v>47</v>
      </c>
      <c r="G646" t="s">
        <v>1738</v>
      </c>
      <c r="H646" t="s">
        <v>1739</v>
      </c>
      <c r="I646" t="s">
        <v>1740</v>
      </c>
      <c r="J646" t="s">
        <v>1741</v>
      </c>
      <c r="K646" t="s">
        <v>73</v>
      </c>
      <c r="L646" t="s">
        <v>1742</v>
      </c>
      <c r="M646" t="s">
        <v>35</v>
      </c>
      <c r="N646" t="s">
        <v>1743</v>
      </c>
      <c r="O646" t="s">
        <v>1744</v>
      </c>
      <c r="P646" t="s">
        <v>2976</v>
      </c>
      <c r="R646" t="s">
        <v>1745</v>
      </c>
      <c r="S646" t="s">
        <v>1746</v>
      </c>
      <c r="T646" t="s">
        <v>1747</v>
      </c>
      <c r="U646" t="s">
        <v>82</v>
      </c>
      <c r="V646" s="1">
        <v>44638</v>
      </c>
      <c r="W646">
        <v>0</v>
      </c>
      <c r="X646">
        <v>11</v>
      </c>
      <c r="AA646" t="s">
        <v>42</v>
      </c>
      <c r="AB646" t="s">
        <v>43</v>
      </c>
      <c r="AC646" t="s">
        <v>43</v>
      </c>
    </row>
    <row r="647" spans="1:29" x14ac:dyDescent="0.4">
      <c r="A647" t="s">
        <v>27</v>
      </c>
      <c r="B647">
        <v>5695</v>
      </c>
      <c r="C647" t="s">
        <v>1756</v>
      </c>
      <c r="D647">
        <v>202</v>
      </c>
      <c r="E647" t="s">
        <v>28</v>
      </c>
      <c r="F647" t="s">
        <v>1748</v>
      </c>
      <c r="G647" t="s">
        <v>1749</v>
      </c>
      <c r="H647" t="s">
        <v>1750</v>
      </c>
      <c r="I647" t="s">
        <v>1751</v>
      </c>
      <c r="J647" t="s">
        <v>1752</v>
      </c>
      <c r="K647" t="s">
        <v>1753</v>
      </c>
      <c r="L647" t="s">
        <v>1754</v>
      </c>
      <c r="M647" t="s">
        <v>35</v>
      </c>
      <c r="N647">
        <v>7845059975</v>
      </c>
      <c r="O647" t="s">
        <v>1755</v>
      </c>
      <c r="P647" t="s">
        <v>1756</v>
      </c>
      <c r="R647" t="s">
        <v>1757</v>
      </c>
      <c r="S647" t="s">
        <v>1758</v>
      </c>
      <c r="T647" t="s">
        <v>1759</v>
      </c>
      <c r="U647" t="s">
        <v>40</v>
      </c>
      <c r="V647" s="1">
        <v>41489</v>
      </c>
      <c r="W647">
        <v>0</v>
      </c>
      <c r="X647">
        <v>8</v>
      </c>
      <c r="AA647" t="s">
        <v>42</v>
      </c>
      <c r="AB647" t="s">
        <v>43</v>
      </c>
      <c r="AC647" t="s">
        <v>43</v>
      </c>
    </row>
    <row r="648" spans="1:29" x14ac:dyDescent="0.4">
      <c r="A648" t="s">
        <v>27</v>
      </c>
      <c r="B648">
        <v>5695</v>
      </c>
      <c r="C648" t="s">
        <v>1756</v>
      </c>
      <c r="D648">
        <v>202</v>
      </c>
      <c r="E648" t="s">
        <v>28</v>
      </c>
      <c r="F648" t="s">
        <v>1748</v>
      </c>
      <c r="G648" t="s">
        <v>1749</v>
      </c>
      <c r="H648" t="s">
        <v>1750</v>
      </c>
      <c r="I648" t="s">
        <v>1751</v>
      </c>
      <c r="J648" t="s">
        <v>1752</v>
      </c>
      <c r="K648" t="s">
        <v>1753</v>
      </c>
      <c r="L648" t="s">
        <v>1754</v>
      </c>
      <c r="M648" t="s">
        <v>35</v>
      </c>
      <c r="N648">
        <v>7845059975</v>
      </c>
      <c r="O648" t="s">
        <v>1755</v>
      </c>
      <c r="P648" t="s">
        <v>1756</v>
      </c>
      <c r="R648" t="s">
        <v>1757</v>
      </c>
      <c r="S648" t="s">
        <v>1758</v>
      </c>
      <c r="T648" t="s">
        <v>1759</v>
      </c>
      <c r="U648" t="s">
        <v>40</v>
      </c>
      <c r="V648" s="1">
        <v>41489</v>
      </c>
      <c r="W648">
        <v>0</v>
      </c>
      <c r="X648">
        <v>10</v>
      </c>
      <c r="AA648" t="s">
        <v>42</v>
      </c>
      <c r="AB648" t="s">
        <v>43</v>
      </c>
      <c r="AC648" t="s">
        <v>43</v>
      </c>
    </row>
    <row r="649" spans="1:29" hidden="1" x14ac:dyDescent="0.4">
      <c r="A649" t="s">
        <v>27</v>
      </c>
      <c r="B649">
        <v>3020</v>
      </c>
      <c r="C649" t="s">
        <v>2977</v>
      </c>
      <c r="E649" t="s">
        <v>195</v>
      </c>
      <c r="F649" t="s">
        <v>481</v>
      </c>
      <c r="G649" t="s">
        <v>1760</v>
      </c>
      <c r="H649" t="s">
        <v>1381</v>
      </c>
      <c r="I649" t="s">
        <v>1382</v>
      </c>
      <c r="J649" t="s">
        <v>1383</v>
      </c>
      <c r="K649" t="s">
        <v>426</v>
      </c>
      <c r="L649" t="s">
        <v>1384</v>
      </c>
      <c r="M649" t="s">
        <v>35</v>
      </c>
      <c r="N649" t="s">
        <v>1761</v>
      </c>
      <c r="O649" t="s">
        <v>1385</v>
      </c>
      <c r="P649" t="s">
        <v>1762</v>
      </c>
      <c r="R649" t="s">
        <v>1763</v>
      </c>
      <c r="S649" t="s">
        <v>1764</v>
      </c>
      <c r="T649" t="s">
        <v>413</v>
      </c>
      <c r="U649" t="s">
        <v>40</v>
      </c>
      <c r="V649" s="1">
        <v>45476</v>
      </c>
      <c r="W649">
        <v>0</v>
      </c>
      <c r="X649">
        <v>0</v>
      </c>
      <c r="Y649" t="s">
        <v>59</v>
      </c>
      <c r="AA649" t="s">
        <v>42</v>
      </c>
      <c r="AB649" t="s">
        <v>43</v>
      </c>
      <c r="AC649" t="s">
        <v>43</v>
      </c>
    </row>
    <row r="650" spans="1:29" hidden="1" x14ac:dyDescent="0.4">
      <c r="A650" t="s">
        <v>27</v>
      </c>
      <c r="B650">
        <v>3020</v>
      </c>
      <c r="C650" t="s">
        <v>2977</v>
      </c>
      <c r="E650" t="s">
        <v>195</v>
      </c>
      <c r="F650" t="s">
        <v>481</v>
      </c>
      <c r="G650" t="s">
        <v>1760</v>
      </c>
      <c r="H650" t="s">
        <v>1381</v>
      </c>
      <c r="I650" t="s">
        <v>1382</v>
      </c>
      <c r="J650" t="s">
        <v>1383</v>
      </c>
      <c r="K650" t="s">
        <v>426</v>
      </c>
      <c r="L650" t="s">
        <v>1384</v>
      </c>
      <c r="M650" t="s">
        <v>35</v>
      </c>
      <c r="N650" t="s">
        <v>1761</v>
      </c>
      <c r="O650" t="s">
        <v>1385</v>
      </c>
      <c r="P650" t="s">
        <v>1762</v>
      </c>
      <c r="R650" t="s">
        <v>1763</v>
      </c>
      <c r="S650" t="s">
        <v>1764</v>
      </c>
      <c r="T650" t="s">
        <v>413</v>
      </c>
      <c r="U650" t="s">
        <v>40</v>
      </c>
      <c r="V650" s="1">
        <v>45476</v>
      </c>
      <c r="W650">
        <v>0</v>
      </c>
      <c r="X650">
        <v>0</v>
      </c>
      <c r="Y650" t="s">
        <v>59</v>
      </c>
      <c r="AA650" t="s">
        <v>42</v>
      </c>
      <c r="AB650" t="s">
        <v>43</v>
      </c>
      <c r="AC650" t="s">
        <v>43</v>
      </c>
    </row>
    <row r="651" spans="1:29" hidden="1" x14ac:dyDescent="0.4">
      <c r="A651" t="s">
        <v>27</v>
      </c>
      <c r="B651">
        <v>3020</v>
      </c>
      <c r="C651" t="s">
        <v>2977</v>
      </c>
      <c r="E651" t="s">
        <v>195</v>
      </c>
      <c r="F651" t="s">
        <v>481</v>
      </c>
      <c r="G651" t="s">
        <v>1760</v>
      </c>
      <c r="H651" t="s">
        <v>1381</v>
      </c>
      <c r="I651" t="s">
        <v>1382</v>
      </c>
      <c r="J651" t="s">
        <v>1383</v>
      </c>
      <c r="K651" t="s">
        <v>426</v>
      </c>
      <c r="L651" t="s">
        <v>1384</v>
      </c>
      <c r="M651" t="s">
        <v>35</v>
      </c>
      <c r="N651" t="s">
        <v>1761</v>
      </c>
      <c r="O651" t="s">
        <v>1385</v>
      </c>
      <c r="P651" t="s">
        <v>1762</v>
      </c>
      <c r="R651" t="s">
        <v>1765</v>
      </c>
      <c r="S651" t="s">
        <v>1766</v>
      </c>
      <c r="T651" t="s">
        <v>1767</v>
      </c>
      <c r="U651" t="s">
        <v>40</v>
      </c>
      <c r="V651" s="1">
        <v>42625</v>
      </c>
      <c r="W651">
        <v>0</v>
      </c>
      <c r="X651">
        <v>0</v>
      </c>
      <c r="Y651" t="s">
        <v>59</v>
      </c>
      <c r="AA651" t="s">
        <v>42</v>
      </c>
      <c r="AB651" t="s">
        <v>43</v>
      </c>
      <c r="AC651" t="s">
        <v>43</v>
      </c>
    </row>
    <row r="652" spans="1:29" hidden="1" x14ac:dyDescent="0.4">
      <c r="A652" t="s">
        <v>27</v>
      </c>
      <c r="B652">
        <v>3020</v>
      </c>
      <c r="C652" t="s">
        <v>2977</v>
      </c>
      <c r="E652" t="s">
        <v>195</v>
      </c>
      <c r="F652" t="s">
        <v>481</v>
      </c>
      <c r="G652" t="s">
        <v>1760</v>
      </c>
      <c r="H652" t="s">
        <v>1381</v>
      </c>
      <c r="I652" t="s">
        <v>1382</v>
      </c>
      <c r="J652" t="s">
        <v>1383</v>
      </c>
      <c r="K652" t="s">
        <v>426</v>
      </c>
      <c r="L652" t="s">
        <v>1384</v>
      </c>
      <c r="M652" t="s">
        <v>35</v>
      </c>
      <c r="N652" t="s">
        <v>1761</v>
      </c>
      <c r="O652" t="s">
        <v>1385</v>
      </c>
      <c r="P652" t="s">
        <v>1762</v>
      </c>
      <c r="R652" t="s">
        <v>1765</v>
      </c>
      <c r="S652" t="s">
        <v>1766</v>
      </c>
      <c r="T652" t="s">
        <v>1767</v>
      </c>
      <c r="U652" t="s">
        <v>40</v>
      </c>
      <c r="V652" s="1">
        <v>42625</v>
      </c>
      <c r="W652">
        <v>0</v>
      </c>
      <c r="X652">
        <v>0</v>
      </c>
      <c r="Y652" t="s">
        <v>59</v>
      </c>
      <c r="AA652" t="s">
        <v>42</v>
      </c>
      <c r="AB652" t="s">
        <v>43</v>
      </c>
      <c r="AC652" t="s">
        <v>43</v>
      </c>
    </row>
    <row r="653" spans="1:29" hidden="1" x14ac:dyDescent="0.4">
      <c r="A653" t="s">
        <v>27</v>
      </c>
      <c r="B653">
        <v>3020</v>
      </c>
      <c r="C653" t="s">
        <v>2977</v>
      </c>
      <c r="E653" t="s">
        <v>195</v>
      </c>
      <c r="F653" t="s">
        <v>481</v>
      </c>
      <c r="G653" t="s">
        <v>1760</v>
      </c>
      <c r="H653" t="s">
        <v>1381</v>
      </c>
      <c r="I653" t="s">
        <v>1382</v>
      </c>
      <c r="J653" t="s">
        <v>1383</v>
      </c>
      <c r="K653" t="s">
        <v>426</v>
      </c>
      <c r="L653" t="s">
        <v>1384</v>
      </c>
      <c r="M653" t="s">
        <v>35</v>
      </c>
      <c r="N653" t="s">
        <v>1761</v>
      </c>
      <c r="O653" t="s">
        <v>1385</v>
      </c>
      <c r="P653" t="s">
        <v>1762</v>
      </c>
      <c r="R653" t="s">
        <v>1768</v>
      </c>
      <c r="S653" t="s">
        <v>1769</v>
      </c>
      <c r="T653" t="s">
        <v>580</v>
      </c>
      <c r="U653" t="s">
        <v>40</v>
      </c>
      <c r="V653" s="1">
        <v>43277</v>
      </c>
      <c r="W653">
        <v>0</v>
      </c>
      <c r="X653">
        <v>0</v>
      </c>
      <c r="Y653" t="s">
        <v>59</v>
      </c>
      <c r="AA653" t="s">
        <v>42</v>
      </c>
      <c r="AB653" t="s">
        <v>43</v>
      </c>
      <c r="AC653" t="s">
        <v>43</v>
      </c>
    </row>
    <row r="654" spans="1:29" hidden="1" x14ac:dyDescent="0.4">
      <c r="A654" t="s">
        <v>27</v>
      </c>
      <c r="B654">
        <v>3020</v>
      </c>
      <c r="C654" t="s">
        <v>2977</v>
      </c>
      <c r="E654" t="s">
        <v>195</v>
      </c>
      <c r="F654" t="s">
        <v>481</v>
      </c>
      <c r="G654" t="s">
        <v>1760</v>
      </c>
      <c r="H654" t="s">
        <v>1381</v>
      </c>
      <c r="I654" t="s">
        <v>1382</v>
      </c>
      <c r="J654" t="s">
        <v>1383</v>
      </c>
      <c r="K654" t="s">
        <v>426</v>
      </c>
      <c r="L654" t="s">
        <v>1384</v>
      </c>
      <c r="M654" t="s">
        <v>35</v>
      </c>
      <c r="N654" t="s">
        <v>1761</v>
      </c>
      <c r="O654" t="s">
        <v>1385</v>
      </c>
      <c r="P654" t="s">
        <v>1762</v>
      </c>
      <c r="R654" t="s">
        <v>1768</v>
      </c>
      <c r="S654" t="s">
        <v>1769</v>
      </c>
      <c r="T654" t="s">
        <v>580</v>
      </c>
      <c r="U654" t="s">
        <v>40</v>
      </c>
      <c r="V654" s="1">
        <v>43277</v>
      </c>
      <c r="W654">
        <v>0</v>
      </c>
      <c r="X654">
        <v>0</v>
      </c>
      <c r="Y654" t="s">
        <v>59</v>
      </c>
      <c r="AA654" t="s">
        <v>42</v>
      </c>
      <c r="AB654" t="s">
        <v>43</v>
      </c>
      <c r="AC654" t="s">
        <v>43</v>
      </c>
    </row>
    <row r="655" spans="1:29" x14ac:dyDescent="0.4">
      <c r="A655" t="s">
        <v>27</v>
      </c>
      <c r="B655">
        <v>633</v>
      </c>
      <c r="C655" t="s">
        <v>2978</v>
      </c>
      <c r="D655">
        <v>204</v>
      </c>
      <c r="E655" t="s">
        <v>68</v>
      </c>
      <c r="F655" t="s">
        <v>858</v>
      </c>
      <c r="G655" t="s">
        <v>1770</v>
      </c>
      <c r="H655" t="s">
        <v>1771</v>
      </c>
      <c r="I655" t="s">
        <v>1772</v>
      </c>
      <c r="J655" t="s">
        <v>1773</v>
      </c>
      <c r="K655" t="s">
        <v>242</v>
      </c>
      <c r="L655" t="s">
        <v>1774</v>
      </c>
      <c r="M655" t="s">
        <v>35</v>
      </c>
      <c r="N655" t="s">
        <v>1775</v>
      </c>
      <c r="O655" t="s">
        <v>1776</v>
      </c>
      <c r="P655" t="s">
        <v>2978</v>
      </c>
      <c r="R655" t="s">
        <v>1777</v>
      </c>
      <c r="S655" t="s">
        <v>1778</v>
      </c>
      <c r="T655" t="s">
        <v>58</v>
      </c>
      <c r="U655" t="s">
        <v>82</v>
      </c>
      <c r="V655" s="1">
        <v>45353</v>
      </c>
      <c r="W655">
        <v>0</v>
      </c>
      <c r="X655">
        <v>4</v>
      </c>
      <c r="Y655" t="s">
        <v>65</v>
      </c>
      <c r="AA655" t="s">
        <v>42</v>
      </c>
      <c r="AB655" t="s">
        <v>43</v>
      </c>
      <c r="AC655" t="s">
        <v>43</v>
      </c>
    </row>
    <row r="656" spans="1:29" x14ac:dyDescent="0.4">
      <c r="A656" t="s">
        <v>27</v>
      </c>
      <c r="B656">
        <v>633</v>
      </c>
      <c r="C656" t="s">
        <v>2978</v>
      </c>
      <c r="D656">
        <v>205</v>
      </c>
      <c r="E656" t="s">
        <v>68</v>
      </c>
      <c r="F656" t="s">
        <v>858</v>
      </c>
      <c r="G656" t="s">
        <v>1770</v>
      </c>
      <c r="H656" t="s">
        <v>1771</v>
      </c>
      <c r="I656" t="s">
        <v>1772</v>
      </c>
      <c r="J656" t="s">
        <v>1773</v>
      </c>
      <c r="K656" t="s">
        <v>242</v>
      </c>
      <c r="L656" t="s">
        <v>1774</v>
      </c>
      <c r="M656" t="s">
        <v>35</v>
      </c>
      <c r="N656" t="s">
        <v>1775</v>
      </c>
      <c r="O656" t="s">
        <v>1776</v>
      </c>
      <c r="P656" t="s">
        <v>2978</v>
      </c>
      <c r="R656" t="s">
        <v>1779</v>
      </c>
      <c r="S656" t="s">
        <v>1780</v>
      </c>
      <c r="T656" t="s">
        <v>58</v>
      </c>
      <c r="U656" t="s">
        <v>40</v>
      </c>
      <c r="V656" s="1">
        <v>43954</v>
      </c>
      <c r="W656">
        <v>0</v>
      </c>
      <c r="X656">
        <v>5</v>
      </c>
      <c r="Y656" t="s">
        <v>66</v>
      </c>
      <c r="AA656" t="s">
        <v>42</v>
      </c>
      <c r="AB656" t="s">
        <v>43</v>
      </c>
      <c r="AC656" t="s">
        <v>43</v>
      </c>
    </row>
    <row r="657" spans="1:30" x14ac:dyDescent="0.4">
      <c r="A657" t="s">
        <v>27</v>
      </c>
      <c r="B657">
        <v>633</v>
      </c>
      <c r="C657" t="s">
        <v>2978</v>
      </c>
      <c r="D657">
        <v>206</v>
      </c>
      <c r="E657" t="s">
        <v>68</v>
      </c>
      <c r="F657" t="s">
        <v>858</v>
      </c>
      <c r="G657" t="s">
        <v>1770</v>
      </c>
      <c r="H657" t="s">
        <v>1771</v>
      </c>
      <c r="I657" t="s">
        <v>1772</v>
      </c>
      <c r="J657" t="s">
        <v>1773</v>
      </c>
      <c r="K657" t="s">
        <v>242</v>
      </c>
      <c r="L657" t="s">
        <v>1774</v>
      </c>
      <c r="M657" t="s">
        <v>35</v>
      </c>
      <c r="N657" t="s">
        <v>1775</v>
      </c>
      <c r="O657" t="s">
        <v>1776</v>
      </c>
      <c r="P657" t="s">
        <v>2978</v>
      </c>
      <c r="R657" t="s">
        <v>1781</v>
      </c>
      <c r="S657" t="s">
        <v>1782</v>
      </c>
      <c r="T657" t="s">
        <v>58</v>
      </c>
      <c r="U657" t="s">
        <v>82</v>
      </c>
      <c r="V657" s="1">
        <v>43954</v>
      </c>
      <c r="W657">
        <v>0</v>
      </c>
      <c r="X657">
        <v>5</v>
      </c>
      <c r="Y657" t="s">
        <v>66</v>
      </c>
      <c r="AA657" t="s">
        <v>42</v>
      </c>
      <c r="AB657" t="s">
        <v>43</v>
      </c>
      <c r="AC657" t="s">
        <v>43</v>
      </c>
    </row>
    <row r="658" spans="1:30" x14ac:dyDescent="0.4">
      <c r="A658" t="s">
        <v>27</v>
      </c>
      <c r="B658">
        <v>633</v>
      </c>
      <c r="C658" t="s">
        <v>2978</v>
      </c>
      <c r="D658">
        <v>203</v>
      </c>
      <c r="E658" t="s">
        <v>68</v>
      </c>
      <c r="F658" t="s">
        <v>858</v>
      </c>
      <c r="G658" t="s">
        <v>1770</v>
      </c>
      <c r="H658" t="s">
        <v>1771</v>
      </c>
      <c r="I658" t="s">
        <v>1772</v>
      </c>
      <c r="J658" t="s">
        <v>1773</v>
      </c>
      <c r="K658" t="s">
        <v>242</v>
      </c>
      <c r="L658" t="s">
        <v>1774</v>
      </c>
      <c r="M658" t="s">
        <v>35</v>
      </c>
      <c r="N658" t="s">
        <v>1775</v>
      </c>
      <c r="O658" t="s">
        <v>1776</v>
      </c>
      <c r="P658" t="s">
        <v>2978</v>
      </c>
      <c r="R658" t="s">
        <v>1783</v>
      </c>
      <c r="S658" t="s">
        <v>1784</v>
      </c>
      <c r="T658" t="s">
        <v>58</v>
      </c>
      <c r="U658" t="s">
        <v>82</v>
      </c>
      <c r="V658" s="1">
        <v>43108</v>
      </c>
      <c r="W658">
        <v>0</v>
      </c>
      <c r="X658">
        <v>7</v>
      </c>
      <c r="AA658" t="s">
        <v>42</v>
      </c>
      <c r="AB658" t="s">
        <v>43</v>
      </c>
      <c r="AC658" t="s">
        <v>43</v>
      </c>
    </row>
    <row r="659" spans="1:30" x14ac:dyDescent="0.4">
      <c r="A659" t="s">
        <v>27</v>
      </c>
      <c r="B659">
        <v>633</v>
      </c>
      <c r="C659" t="s">
        <v>2978</v>
      </c>
      <c r="D659">
        <v>204</v>
      </c>
      <c r="E659" t="s">
        <v>68</v>
      </c>
      <c r="F659" t="s">
        <v>858</v>
      </c>
      <c r="G659" t="s">
        <v>1770</v>
      </c>
      <c r="H659" t="s">
        <v>1771</v>
      </c>
      <c r="I659" t="s">
        <v>1772</v>
      </c>
      <c r="J659" t="s">
        <v>1773</v>
      </c>
      <c r="K659" t="s">
        <v>242</v>
      </c>
      <c r="L659" t="s">
        <v>1774</v>
      </c>
      <c r="M659" t="s">
        <v>35</v>
      </c>
      <c r="N659" t="s">
        <v>1775</v>
      </c>
      <c r="O659" t="s">
        <v>1776</v>
      </c>
      <c r="P659" t="s">
        <v>2978</v>
      </c>
      <c r="R659" t="s">
        <v>1777</v>
      </c>
      <c r="S659" t="s">
        <v>1778</v>
      </c>
      <c r="T659" t="s">
        <v>58</v>
      </c>
      <c r="U659" t="s">
        <v>82</v>
      </c>
      <c r="V659" s="1">
        <v>45353</v>
      </c>
      <c r="W659">
        <v>0</v>
      </c>
      <c r="X659">
        <v>13</v>
      </c>
      <c r="AA659" t="s">
        <v>42</v>
      </c>
      <c r="AB659" t="s">
        <v>43</v>
      </c>
      <c r="AC659" t="s">
        <v>43</v>
      </c>
    </row>
    <row r="660" spans="1:30" x14ac:dyDescent="0.4">
      <c r="A660" t="s">
        <v>27</v>
      </c>
      <c r="B660">
        <v>633</v>
      </c>
      <c r="C660" t="s">
        <v>2978</v>
      </c>
      <c r="D660">
        <v>205</v>
      </c>
      <c r="E660" t="s">
        <v>68</v>
      </c>
      <c r="F660" t="s">
        <v>858</v>
      </c>
      <c r="G660" t="s">
        <v>1770</v>
      </c>
      <c r="H660" t="s">
        <v>1771</v>
      </c>
      <c r="I660" t="s">
        <v>1772</v>
      </c>
      <c r="J660" t="s">
        <v>1773</v>
      </c>
      <c r="K660" t="s">
        <v>242</v>
      </c>
      <c r="L660" t="s">
        <v>1774</v>
      </c>
      <c r="M660" t="s">
        <v>35</v>
      </c>
      <c r="N660" t="s">
        <v>1775</v>
      </c>
      <c r="O660" t="s">
        <v>1776</v>
      </c>
      <c r="P660" t="s">
        <v>2978</v>
      </c>
      <c r="R660" t="s">
        <v>1779</v>
      </c>
      <c r="S660" t="s">
        <v>1780</v>
      </c>
      <c r="T660" t="s">
        <v>58</v>
      </c>
      <c r="U660" t="s">
        <v>40</v>
      </c>
      <c r="V660" s="1">
        <v>43954</v>
      </c>
      <c r="W660">
        <v>0</v>
      </c>
      <c r="X660">
        <v>14</v>
      </c>
      <c r="AA660" t="s">
        <v>42</v>
      </c>
      <c r="AB660" t="s">
        <v>43</v>
      </c>
      <c r="AC660" t="s">
        <v>43</v>
      </c>
    </row>
    <row r="661" spans="1:30" x14ac:dyDescent="0.4">
      <c r="A661" t="s">
        <v>27</v>
      </c>
      <c r="B661">
        <v>633</v>
      </c>
      <c r="C661" t="s">
        <v>2978</v>
      </c>
      <c r="D661">
        <v>206</v>
      </c>
      <c r="E661" t="s">
        <v>68</v>
      </c>
      <c r="F661" t="s">
        <v>858</v>
      </c>
      <c r="G661" t="s">
        <v>1770</v>
      </c>
      <c r="H661" t="s">
        <v>1771</v>
      </c>
      <c r="I661" t="s">
        <v>1772</v>
      </c>
      <c r="J661" t="s">
        <v>1773</v>
      </c>
      <c r="K661" t="s">
        <v>242</v>
      </c>
      <c r="L661" t="s">
        <v>1774</v>
      </c>
      <c r="M661" t="s">
        <v>35</v>
      </c>
      <c r="N661" t="s">
        <v>1775</v>
      </c>
      <c r="O661" t="s">
        <v>1776</v>
      </c>
      <c r="P661" t="s">
        <v>2978</v>
      </c>
      <c r="R661" t="s">
        <v>1781</v>
      </c>
      <c r="S661" t="s">
        <v>1782</v>
      </c>
      <c r="T661" t="s">
        <v>58</v>
      </c>
      <c r="U661" t="s">
        <v>82</v>
      </c>
      <c r="V661" s="1">
        <v>43954</v>
      </c>
      <c r="W661">
        <v>0</v>
      </c>
      <c r="X661">
        <v>15</v>
      </c>
      <c r="AA661" t="s">
        <v>42</v>
      </c>
      <c r="AB661" t="s">
        <v>43</v>
      </c>
      <c r="AC661" t="s">
        <v>43</v>
      </c>
    </row>
    <row r="662" spans="1:30" x14ac:dyDescent="0.4">
      <c r="A662" t="s">
        <v>27</v>
      </c>
      <c r="B662">
        <v>633</v>
      </c>
      <c r="C662" t="s">
        <v>2978</v>
      </c>
      <c r="D662">
        <v>203</v>
      </c>
      <c r="E662" t="s">
        <v>68</v>
      </c>
      <c r="F662" t="s">
        <v>858</v>
      </c>
      <c r="G662" t="s">
        <v>1770</v>
      </c>
      <c r="H662" t="s">
        <v>1771</v>
      </c>
      <c r="I662" t="s">
        <v>1772</v>
      </c>
      <c r="J662" t="s">
        <v>1773</v>
      </c>
      <c r="K662" t="s">
        <v>242</v>
      </c>
      <c r="L662" t="s">
        <v>1774</v>
      </c>
      <c r="M662" t="s">
        <v>35</v>
      </c>
      <c r="N662" t="s">
        <v>1775</v>
      </c>
      <c r="O662" t="s">
        <v>1776</v>
      </c>
      <c r="P662" t="s">
        <v>2978</v>
      </c>
      <c r="R662" t="s">
        <v>1783</v>
      </c>
      <c r="S662" t="s">
        <v>1784</v>
      </c>
      <c r="T662" t="s">
        <v>58</v>
      </c>
      <c r="U662" t="s">
        <v>82</v>
      </c>
      <c r="V662" s="1">
        <v>43108</v>
      </c>
      <c r="W662">
        <v>0</v>
      </c>
      <c r="X662">
        <v>19</v>
      </c>
      <c r="AA662" t="s">
        <v>42</v>
      </c>
      <c r="AB662" t="s">
        <v>43</v>
      </c>
      <c r="AC662" t="s">
        <v>43</v>
      </c>
    </row>
    <row r="663" spans="1:30" x14ac:dyDescent="0.4">
      <c r="A663" t="s">
        <v>27</v>
      </c>
      <c r="B663">
        <v>5874</v>
      </c>
      <c r="C663" t="s">
        <v>1790</v>
      </c>
      <c r="D663">
        <v>207</v>
      </c>
      <c r="E663" t="s">
        <v>28</v>
      </c>
      <c r="F663" t="s">
        <v>1785</v>
      </c>
      <c r="G663" t="s">
        <v>1786</v>
      </c>
      <c r="H663" t="s">
        <v>1787</v>
      </c>
      <c r="J663" t="s">
        <v>559</v>
      </c>
      <c r="K663" t="s">
        <v>51</v>
      </c>
      <c r="L663" t="s">
        <v>1788</v>
      </c>
      <c r="M663" t="s">
        <v>35</v>
      </c>
      <c r="N663">
        <v>7917033788</v>
      </c>
      <c r="O663" t="s">
        <v>1789</v>
      </c>
      <c r="P663" t="s">
        <v>1790</v>
      </c>
      <c r="R663" t="s">
        <v>1791</v>
      </c>
      <c r="S663" t="s">
        <v>1792</v>
      </c>
      <c r="U663" t="s">
        <v>40</v>
      </c>
      <c r="V663" s="1">
        <v>43569</v>
      </c>
      <c r="W663">
        <v>0</v>
      </c>
      <c r="X663">
        <v>9</v>
      </c>
      <c r="AA663" t="s">
        <v>42</v>
      </c>
      <c r="AB663" t="s">
        <v>43</v>
      </c>
      <c r="AC663" t="s">
        <v>43</v>
      </c>
    </row>
    <row r="664" spans="1:30" x14ac:dyDescent="0.4">
      <c r="A664" t="s">
        <v>27</v>
      </c>
      <c r="B664">
        <v>5874</v>
      </c>
      <c r="C664" t="s">
        <v>1790</v>
      </c>
      <c r="D664">
        <v>207</v>
      </c>
      <c r="E664" t="s">
        <v>28</v>
      </c>
      <c r="F664" t="s">
        <v>1785</v>
      </c>
      <c r="G664" t="s">
        <v>1786</v>
      </c>
      <c r="H664" t="s">
        <v>1787</v>
      </c>
      <c r="J664" t="s">
        <v>559</v>
      </c>
      <c r="K664" t="s">
        <v>51</v>
      </c>
      <c r="L664" t="s">
        <v>1788</v>
      </c>
      <c r="M664" t="s">
        <v>35</v>
      </c>
      <c r="N664">
        <v>7917033788</v>
      </c>
      <c r="O664" t="s">
        <v>1789</v>
      </c>
      <c r="P664" t="s">
        <v>1790</v>
      </c>
      <c r="R664" t="s">
        <v>1791</v>
      </c>
      <c r="S664" t="s">
        <v>1792</v>
      </c>
      <c r="U664" t="s">
        <v>40</v>
      </c>
      <c r="V664" s="1">
        <v>43569</v>
      </c>
      <c r="W664">
        <v>0</v>
      </c>
      <c r="X664">
        <v>10</v>
      </c>
      <c r="AA664" t="s">
        <v>42</v>
      </c>
      <c r="AB664" t="s">
        <v>43</v>
      </c>
      <c r="AC664" t="s">
        <v>43</v>
      </c>
    </row>
    <row r="665" spans="1:30" x14ac:dyDescent="0.4">
      <c r="A665" t="s">
        <v>27</v>
      </c>
      <c r="B665">
        <v>5874</v>
      </c>
      <c r="C665" t="s">
        <v>1790</v>
      </c>
      <c r="D665">
        <v>207</v>
      </c>
      <c r="E665" t="s">
        <v>28</v>
      </c>
      <c r="F665" t="s">
        <v>1785</v>
      </c>
      <c r="G665" t="s">
        <v>1786</v>
      </c>
      <c r="H665" t="s">
        <v>1787</v>
      </c>
      <c r="J665" t="s">
        <v>559</v>
      </c>
      <c r="K665" t="s">
        <v>51</v>
      </c>
      <c r="L665" t="s">
        <v>1788</v>
      </c>
      <c r="M665" t="s">
        <v>35</v>
      </c>
      <c r="N665">
        <v>7917033788</v>
      </c>
      <c r="O665" t="s">
        <v>1789</v>
      </c>
      <c r="P665" t="s">
        <v>1790</v>
      </c>
      <c r="R665" t="s">
        <v>1791</v>
      </c>
      <c r="S665" t="s">
        <v>1792</v>
      </c>
      <c r="U665" t="s">
        <v>40</v>
      </c>
      <c r="V665" s="1">
        <v>43569</v>
      </c>
      <c r="W665">
        <v>0</v>
      </c>
      <c r="X665">
        <v>11</v>
      </c>
      <c r="AA665" t="s">
        <v>42</v>
      </c>
      <c r="AB665" t="s">
        <v>43</v>
      </c>
      <c r="AC665" t="s">
        <v>43</v>
      </c>
    </row>
    <row r="666" spans="1:30" x14ac:dyDescent="0.4">
      <c r="A666" t="s">
        <v>27</v>
      </c>
      <c r="B666">
        <v>6078</v>
      </c>
      <c r="C666" t="s">
        <v>2901</v>
      </c>
      <c r="D666">
        <v>209</v>
      </c>
      <c r="E666" t="s">
        <v>195</v>
      </c>
      <c r="F666" t="s">
        <v>1793</v>
      </c>
      <c r="G666" t="s">
        <v>1794</v>
      </c>
      <c r="H666" t="s">
        <v>1795</v>
      </c>
      <c r="I666" t="s">
        <v>1796</v>
      </c>
      <c r="J666" t="s">
        <v>50</v>
      </c>
      <c r="K666" t="s">
        <v>51</v>
      </c>
      <c r="L666" t="s">
        <v>1797</v>
      </c>
      <c r="M666" t="s">
        <v>35</v>
      </c>
      <c r="N666">
        <v>7769677841</v>
      </c>
      <c r="O666" t="s">
        <v>1798</v>
      </c>
      <c r="P666" t="s">
        <v>2905</v>
      </c>
      <c r="R666" t="s">
        <v>1799</v>
      </c>
      <c r="S666" t="s">
        <v>1800</v>
      </c>
      <c r="T666" t="s">
        <v>169</v>
      </c>
      <c r="U666" t="s">
        <v>40</v>
      </c>
      <c r="V666" s="1">
        <v>44158</v>
      </c>
      <c r="W666">
        <v>0</v>
      </c>
      <c r="X666">
        <v>1</v>
      </c>
      <c r="AA666" t="s">
        <v>42</v>
      </c>
      <c r="AB666" t="s">
        <v>43</v>
      </c>
      <c r="AC666" t="s">
        <v>43</v>
      </c>
    </row>
    <row r="667" spans="1:30" x14ac:dyDescent="0.4">
      <c r="A667" t="s">
        <v>27</v>
      </c>
      <c r="B667">
        <v>6078</v>
      </c>
      <c r="C667" t="s">
        <v>2901</v>
      </c>
      <c r="D667">
        <v>209</v>
      </c>
      <c r="E667" t="s">
        <v>195</v>
      </c>
      <c r="F667" t="s">
        <v>1793</v>
      </c>
      <c r="G667" t="s">
        <v>1794</v>
      </c>
      <c r="H667" t="s">
        <v>1795</v>
      </c>
      <c r="I667" t="s">
        <v>1796</v>
      </c>
      <c r="J667" t="s">
        <v>50</v>
      </c>
      <c r="K667" t="s">
        <v>51</v>
      </c>
      <c r="L667" t="s">
        <v>1797</v>
      </c>
      <c r="M667" t="s">
        <v>35</v>
      </c>
      <c r="N667">
        <v>7769677841</v>
      </c>
      <c r="O667" t="s">
        <v>1798</v>
      </c>
      <c r="P667" t="s">
        <v>2901</v>
      </c>
      <c r="R667" t="s">
        <v>1799</v>
      </c>
      <c r="S667" t="s">
        <v>1800</v>
      </c>
      <c r="T667" t="s">
        <v>169</v>
      </c>
      <c r="U667" t="s">
        <v>40</v>
      </c>
      <c r="V667" s="1">
        <v>44158</v>
      </c>
      <c r="W667">
        <v>0</v>
      </c>
      <c r="X667">
        <v>2</v>
      </c>
      <c r="AA667" t="s">
        <v>42</v>
      </c>
      <c r="AB667" t="s">
        <v>43</v>
      </c>
      <c r="AC667" t="s">
        <v>43</v>
      </c>
    </row>
    <row r="668" spans="1:30" x14ac:dyDescent="0.4">
      <c r="A668" t="s">
        <v>27</v>
      </c>
      <c r="B668">
        <v>6078</v>
      </c>
      <c r="C668" t="s">
        <v>2901</v>
      </c>
      <c r="D668">
        <v>209</v>
      </c>
      <c r="E668" t="s">
        <v>195</v>
      </c>
      <c r="F668" t="s">
        <v>1793</v>
      </c>
      <c r="G668" t="s">
        <v>1794</v>
      </c>
      <c r="H668" t="s">
        <v>1795</v>
      </c>
      <c r="I668" t="s">
        <v>1796</v>
      </c>
      <c r="J668" t="s">
        <v>50</v>
      </c>
      <c r="K668" t="s">
        <v>51</v>
      </c>
      <c r="L668" t="s">
        <v>1797</v>
      </c>
      <c r="M668" t="s">
        <v>35</v>
      </c>
      <c r="N668">
        <v>7769677841</v>
      </c>
      <c r="O668" t="s">
        <v>1798</v>
      </c>
      <c r="P668" t="s">
        <v>2901</v>
      </c>
      <c r="R668" t="s">
        <v>1799</v>
      </c>
      <c r="S668" t="s">
        <v>1800</v>
      </c>
      <c r="T668" t="s">
        <v>169</v>
      </c>
      <c r="U668" t="s">
        <v>40</v>
      </c>
      <c r="V668" s="1">
        <v>44158</v>
      </c>
      <c r="W668">
        <v>0</v>
      </c>
      <c r="X668">
        <v>8</v>
      </c>
      <c r="AA668" t="s">
        <v>42</v>
      </c>
      <c r="AB668" t="s">
        <v>43</v>
      </c>
      <c r="AC668" t="s">
        <v>43</v>
      </c>
    </row>
    <row r="669" spans="1:30" x14ac:dyDescent="0.4">
      <c r="A669" t="s">
        <v>27</v>
      </c>
      <c r="B669">
        <v>6078</v>
      </c>
      <c r="C669" t="s">
        <v>2901</v>
      </c>
      <c r="D669">
        <v>209</v>
      </c>
      <c r="E669" t="s">
        <v>195</v>
      </c>
      <c r="F669" t="s">
        <v>1793</v>
      </c>
      <c r="G669" t="s">
        <v>1794</v>
      </c>
      <c r="H669" t="s">
        <v>1795</v>
      </c>
      <c r="I669" t="s">
        <v>1796</v>
      </c>
      <c r="J669" t="s">
        <v>50</v>
      </c>
      <c r="K669" t="s">
        <v>51</v>
      </c>
      <c r="L669" t="s">
        <v>1797</v>
      </c>
      <c r="M669" t="s">
        <v>35</v>
      </c>
      <c r="N669">
        <v>7769677841</v>
      </c>
      <c r="O669" t="s">
        <v>1798</v>
      </c>
      <c r="P669" t="s">
        <v>2901</v>
      </c>
      <c r="R669" t="s">
        <v>1799</v>
      </c>
      <c r="S669" t="s">
        <v>1800</v>
      </c>
      <c r="T669" t="s">
        <v>169</v>
      </c>
      <c r="U669" t="s">
        <v>40</v>
      </c>
      <c r="V669" s="1">
        <v>44158</v>
      </c>
      <c r="W669">
        <v>0</v>
      </c>
      <c r="X669">
        <v>9</v>
      </c>
      <c r="AA669" t="s">
        <v>42</v>
      </c>
      <c r="AB669" t="s">
        <v>43</v>
      </c>
      <c r="AC669" t="s">
        <v>43</v>
      </c>
    </row>
    <row r="670" spans="1:30" x14ac:dyDescent="0.4">
      <c r="A670" t="s">
        <v>27</v>
      </c>
      <c r="B670">
        <v>4711</v>
      </c>
      <c r="C670" t="s">
        <v>2979</v>
      </c>
      <c r="D670">
        <v>210</v>
      </c>
      <c r="E670" t="s">
        <v>68</v>
      </c>
      <c r="F670" t="s">
        <v>950</v>
      </c>
      <c r="G670" t="s">
        <v>1801</v>
      </c>
      <c r="H670" t="s">
        <v>1802</v>
      </c>
      <c r="I670" t="s">
        <v>1803</v>
      </c>
      <c r="J670" t="s">
        <v>1804</v>
      </c>
      <c r="K670" t="s">
        <v>426</v>
      </c>
      <c r="L670" t="s">
        <v>1805</v>
      </c>
      <c r="M670" t="s">
        <v>35</v>
      </c>
      <c r="N670">
        <v>7801499913</v>
      </c>
      <c r="O670" t="s">
        <v>1806</v>
      </c>
      <c r="P670" t="s">
        <v>1807</v>
      </c>
      <c r="R670" t="s">
        <v>1808</v>
      </c>
      <c r="S670" t="s">
        <v>1809</v>
      </c>
      <c r="T670" t="s">
        <v>555</v>
      </c>
      <c r="U670" t="s">
        <v>82</v>
      </c>
      <c r="V670" s="1">
        <v>43182</v>
      </c>
      <c r="W670">
        <v>0</v>
      </c>
      <c r="X670">
        <v>2</v>
      </c>
      <c r="AA670" t="s">
        <v>42</v>
      </c>
      <c r="AB670" t="s">
        <v>43</v>
      </c>
      <c r="AC670" t="s">
        <v>43</v>
      </c>
      <c r="AD670" t="s">
        <v>1810</v>
      </c>
    </row>
    <row r="671" spans="1:30" x14ac:dyDescent="0.4">
      <c r="A671" t="s">
        <v>27</v>
      </c>
      <c r="B671">
        <v>4711</v>
      </c>
      <c r="C671" t="s">
        <v>2979</v>
      </c>
      <c r="D671">
        <v>210</v>
      </c>
      <c r="E671" t="s">
        <v>68</v>
      </c>
      <c r="F671" t="s">
        <v>950</v>
      </c>
      <c r="G671" t="s">
        <v>1801</v>
      </c>
      <c r="H671" t="s">
        <v>1802</v>
      </c>
      <c r="I671" t="s">
        <v>1803</v>
      </c>
      <c r="J671" t="s">
        <v>1804</v>
      </c>
      <c r="K671" t="s">
        <v>426</v>
      </c>
      <c r="L671" t="s">
        <v>1805</v>
      </c>
      <c r="M671" t="s">
        <v>35</v>
      </c>
      <c r="N671">
        <v>7801499913</v>
      </c>
      <c r="O671" t="s">
        <v>1806</v>
      </c>
      <c r="P671" t="s">
        <v>1807</v>
      </c>
      <c r="R671" t="s">
        <v>1808</v>
      </c>
      <c r="S671" t="s">
        <v>1809</v>
      </c>
      <c r="T671" t="s">
        <v>555</v>
      </c>
      <c r="U671" t="s">
        <v>82</v>
      </c>
      <c r="V671" s="1">
        <v>43182</v>
      </c>
      <c r="W671">
        <v>0</v>
      </c>
      <c r="X671">
        <v>3</v>
      </c>
      <c r="AA671" t="s">
        <v>42</v>
      </c>
      <c r="AB671" t="s">
        <v>43</v>
      </c>
      <c r="AC671" t="s">
        <v>43</v>
      </c>
      <c r="AD671" t="s">
        <v>1810</v>
      </c>
    </row>
    <row r="672" spans="1:30" x14ac:dyDescent="0.4">
      <c r="A672" t="s">
        <v>27</v>
      </c>
      <c r="B672">
        <v>5484</v>
      </c>
      <c r="C672" t="s">
        <v>2980</v>
      </c>
      <c r="D672">
        <v>211</v>
      </c>
      <c r="E672" t="s">
        <v>28</v>
      </c>
      <c r="F672" t="s">
        <v>1811</v>
      </c>
      <c r="G672" t="s">
        <v>1812</v>
      </c>
      <c r="H672" t="s">
        <v>1813</v>
      </c>
      <c r="J672" t="s">
        <v>775</v>
      </c>
      <c r="K672" t="s">
        <v>51</v>
      </c>
      <c r="L672" t="s">
        <v>1814</v>
      </c>
      <c r="M672" t="s">
        <v>35</v>
      </c>
      <c r="N672">
        <v>7809202699</v>
      </c>
      <c r="O672" t="s">
        <v>1815</v>
      </c>
      <c r="P672" t="s">
        <v>2980</v>
      </c>
      <c r="R672" t="s">
        <v>1816</v>
      </c>
      <c r="S672" t="s">
        <v>1817</v>
      </c>
      <c r="T672" t="s">
        <v>1818</v>
      </c>
      <c r="U672" t="s">
        <v>82</v>
      </c>
      <c r="V672" s="1">
        <v>45362</v>
      </c>
      <c r="W672">
        <v>0</v>
      </c>
      <c r="X672">
        <v>9</v>
      </c>
      <c r="AA672" t="s">
        <v>42</v>
      </c>
      <c r="AB672" t="s">
        <v>43</v>
      </c>
      <c r="AC672" t="s">
        <v>43</v>
      </c>
    </row>
    <row r="673" spans="1:30" x14ac:dyDescent="0.4">
      <c r="A673" t="s">
        <v>27</v>
      </c>
      <c r="B673">
        <v>5484</v>
      </c>
      <c r="C673" t="s">
        <v>2980</v>
      </c>
      <c r="D673">
        <v>211</v>
      </c>
      <c r="E673" t="s">
        <v>28</v>
      </c>
      <c r="F673" t="s">
        <v>1811</v>
      </c>
      <c r="G673" t="s">
        <v>1812</v>
      </c>
      <c r="H673" t="s">
        <v>1813</v>
      </c>
      <c r="J673" t="s">
        <v>775</v>
      </c>
      <c r="K673" t="s">
        <v>51</v>
      </c>
      <c r="L673" t="s">
        <v>1814</v>
      </c>
      <c r="M673" t="s">
        <v>35</v>
      </c>
      <c r="N673">
        <v>7809202699</v>
      </c>
      <c r="O673" t="s">
        <v>1815</v>
      </c>
      <c r="P673" t="s">
        <v>2980</v>
      </c>
      <c r="R673" t="s">
        <v>1816</v>
      </c>
      <c r="S673" t="s">
        <v>1817</v>
      </c>
      <c r="T673" t="s">
        <v>1818</v>
      </c>
      <c r="U673" t="s">
        <v>82</v>
      </c>
      <c r="V673" s="1">
        <v>45362</v>
      </c>
      <c r="W673">
        <v>0</v>
      </c>
      <c r="X673">
        <v>8</v>
      </c>
      <c r="AA673" t="s">
        <v>42</v>
      </c>
      <c r="AB673" t="s">
        <v>43</v>
      </c>
      <c r="AC673" t="s">
        <v>43</v>
      </c>
    </row>
    <row r="674" spans="1:30" x14ac:dyDescent="0.4">
      <c r="A674" t="s">
        <v>27</v>
      </c>
      <c r="B674">
        <v>520</v>
      </c>
      <c r="C674" t="s">
        <v>2981</v>
      </c>
      <c r="D674">
        <v>212</v>
      </c>
      <c r="E674" t="s">
        <v>68</v>
      </c>
      <c r="F674" t="s">
        <v>1062</v>
      </c>
      <c r="G674" t="s">
        <v>1819</v>
      </c>
      <c r="H674" t="s">
        <v>1820</v>
      </c>
      <c r="J674" t="s">
        <v>1004</v>
      </c>
      <c r="K674" t="s">
        <v>1821</v>
      </c>
      <c r="L674" t="s">
        <v>1822</v>
      </c>
      <c r="M674" t="s">
        <v>35</v>
      </c>
      <c r="N674" t="s">
        <v>1823</v>
      </c>
      <c r="O674" t="s">
        <v>1824</v>
      </c>
      <c r="P674" t="s">
        <v>2981</v>
      </c>
      <c r="R674" t="s">
        <v>1825</v>
      </c>
      <c r="S674" t="s">
        <v>1826</v>
      </c>
      <c r="T674" t="s">
        <v>284</v>
      </c>
      <c r="U674" t="s">
        <v>40</v>
      </c>
      <c r="V674" s="1">
        <v>45013</v>
      </c>
      <c r="W674">
        <v>0</v>
      </c>
      <c r="X674">
        <v>12</v>
      </c>
      <c r="AA674" t="s">
        <v>42</v>
      </c>
      <c r="AB674" t="s">
        <v>43</v>
      </c>
      <c r="AC674" t="s">
        <v>42</v>
      </c>
      <c r="AD674" t="s">
        <v>1827</v>
      </c>
    </row>
    <row r="675" spans="1:30" x14ac:dyDescent="0.4">
      <c r="A675" t="s">
        <v>27</v>
      </c>
      <c r="B675">
        <v>520</v>
      </c>
      <c r="C675" t="s">
        <v>2981</v>
      </c>
      <c r="D675">
        <v>212</v>
      </c>
      <c r="E675" t="s">
        <v>68</v>
      </c>
      <c r="F675" t="s">
        <v>1062</v>
      </c>
      <c r="G675" t="s">
        <v>1819</v>
      </c>
      <c r="H675" t="s">
        <v>1820</v>
      </c>
      <c r="J675" t="s">
        <v>1004</v>
      </c>
      <c r="K675" t="s">
        <v>1821</v>
      </c>
      <c r="L675" t="s">
        <v>1822</v>
      </c>
      <c r="M675" t="s">
        <v>35</v>
      </c>
      <c r="N675" t="s">
        <v>1823</v>
      </c>
      <c r="O675" t="s">
        <v>1824</v>
      </c>
      <c r="P675" t="s">
        <v>2981</v>
      </c>
      <c r="R675" t="s">
        <v>1825</v>
      </c>
      <c r="S675" t="s">
        <v>1826</v>
      </c>
      <c r="T675" t="s">
        <v>284</v>
      </c>
      <c r="U675" t="s">
        <v>40</v>
      </c>
      <c r="V675" s="1">
        <v>45013</v>
      </c>
      <c r="W675">
        <v>0</v>
      </c>
      <c r="X675">
        <v>14</v>
      </c>
      <c r="AA675" t="s">
        <v>42</v>
      </c>
      <c r="AB675" t="s">
        <v>43</v>
      </c>
      <c r="AC675" t="s">
        <v>42</v>
      </c>
      <c r="AD675" t="s">
        <v>1827</v>
      </c>
    </row>
    <row r="676" spans="1:30" x14ac:dyDescent="0.4">
      <c r="A676" t="s">
        <v>27</v>
      </c>
      <c r="B676">
        <v>520</v>
      </c>
      <c r="C676" t="s">
        <v>2981</v>
      </c>
      <c r="D676">
        <v>213</v>
      </c>
      <c r="E676" t="s">
        <v>68</v>
      </c>
      <c r="F676" t="s">
        <v>1062</v>
      </c>
      <c r="G676" t="s">
        <v>1819</v>
      </c>
      <c r="H676" t="s">
        <v>1820</v>
      </c>
      <c r="J676" t="s">
        <v>1004</v>
      </c>
      <c r="K676" t="s">
        <v>1821</v>
      </c>
      <c r="L676" t="s">
        <v>1822</v>
      </c>
      <c r="M676" t="s">
        <v>35</v>
      </c>
      <c r="N676" t="s">
        <v>1823</v>
      </c>
      <c r="O676" t="s">
        <v>1824</v>
      </c>
      <c r="P676" t="s">
        <v>2981</v>
      </c>
      <c r="R676" t="s">
        <v>1828</v>
      </c>
      <c r="S676" t="s">
        <v>1829</v>
      </c>
      <c r="T676" t="s">
        <v>284</v>
      </c>
      <c r="U676" t="s">
        <v>82</v>
      </c>
      <c r="V676" s="1">
        <v>43532</v>
      </c>
      <c r="W676">
        <v>0</v>
      </c>
      <c r="X676">
        <v>17</v>
      </c>
      <c r="AA676" t="s">
        <v>42</v>
      </c>
      <c r="AB676" t="s">
        <v>43</v>
      </c>
      <c r="AC676" t="s">
        <v>42</v>
      </c>
      <c r="AD676" t="s">
        <v>1827</v>
      </c>
    </row>
    <row r="677" spans="1:30" x14ac:dyDescent="0.4">
      <c r="A677" t="s">
        <v>27</v>
      </c>
      <c r="B677">
        <v>738</v>
      </c>
      <c r="C677" t="s">
        <v>1837</v>
      </c>
      <c r="D677">
        <v>214</v>
      </c>
      <c r="E677" t="s">
        <v>68</v>
      </c>
      <c r="F677" t="s">
        <v>1830</v>
      </c>
      <c r="G677" t="s">
        <v>1831</v>
      </c>
      <c r="H677" t="s">
        <v>1832</v>
      </c>
      <c r="J677" t="s">
        <v>1833</v>
      </c>
      <c r="K677" t="s">
        <v>813</v>
      </c>
      <c r="L677" t="s">
        <v>1834</v>
      </c>
      <c r="M677" t="s">
        <v>35</v>
      </c>
      <c r="N677" t="s">
        <v>1835</v>
      </c>
      <c r="O677" t="s">
        <v>1836</v>
      </c>
      <c r="P677" t="s">
        <v>3043</v>
      </c>
      <c r="R677" t="s">
        <v>1838</v>
      </c>
      <c r="S677" t="s">
        <v>1839</v>
      </c>
      <c r="T677" t="s">
        <v>284</v>
      </c>
      <c r="U677" t="s">
        <v>40</v>
      </c>
      <c r="V677" s="1">
        <v>44680</v>
      </c>
      <c r="W677">
        <v>0</v>
      </c>
      <c r="X677">
        <v>4</v>
      </c>
      <c r="Y677" t="s">
        <v>65</v>
      </c>
      <c r="AA677" t="s">
        <v>42</v>
      </c>
      <c r="AB677" t="s">
        <v>43</v>
      </c>
      <c r="AC677" t="s">
        <v>42</v>
      </c>
    </row>
    <row r="678" spans="1:30" x14ac:dyDescent="0.4">
      <c r="A678" t="s">
        <v>27</v>
      </c>
      <c r="B678">
        <v>738</v>
      </c>
      <c r="C678" t="s">
        <v>1837</v>
      </c>
      <c r="D678">
        <v>214</v>
      </c>
      <c r="E678" t="s">
        <v>68</v>
      </c>
      <c r="F678" t="s">
        <v>1830</v>
      </c>
      <c r="G678" t="s">
        <v>1831</v>
      </c>
      <c r="H678" t="s">
        <v>1832</v>
      </c>
      <c r="J678" t="s">
        <v>1833</v>
      </c>
      <c r="K678" t="s">
        <v>813</v>
      </c>
      <c r="L678" t="s">
        <v>1834</v>
      </c>
      <c r="M678" t="s">
        <v>35</v>
      </c>
      <c r="N678" t="s">
        <v>1835</v>
      </c>
      <c r="O678" t="s">
        <v>1836</v>
      </c>
      <c r="P678" t="s">
        <v>3043</v>
      </c>
      <c r="R678" t="s">
        <v>1838</v>
      </c>
      <c r="S678" t="s">
        <v>1839</v>
      </c>
      <c r="T678" t="s">
        <v>284</v>
      </c>
      <c r="U678" t="s">
        <v>40</v>
      </c>
      <c r="V678" s="1">
        <v>44680</v>
      </c>
      <c r="W678">
        <v>0</v>
      </c>
      <c r="X678">
        <v>5</v>
      </c>
      <c r="Y678" t="s">
        <v>66</v>
      </c>
      <c r="AA678" t="s">
        <v>42</v>
      </c>
      <c r="AB678" t="s">
        <v>43</v>
      </c>
      <c r="AC678" t="s">
        <v>42</v>
      </c>
    </row>
    <row r="679" spans="1:30" x14ac:dyDescent="0.4">
      <c r="A679" t="s">
        <v>27</v>
      </c>
      <c r="B679">
        <v>3792</v>
      </c>
      <c r="C679" t="s">
        <v>2982</v>
      </c>
      <c r="D679">
        <v>215</v>
      </c>
      <c r="E679" t="s">
        <v>68</v>
      </c>
      <c r="F679" t="s">
        <v>1840</v>
      </c>
      <c r="G679" t="s">
        <v>1841</v>
      </c>
      <c r="H679" t="s">
        <v>1842</v>
      </c>
      <c r="J679" t="s">
        <v>1843</v>
      </c>
      <c r="K679" t="s">
        <v>528</v>
      </c>
      <c r="L679" t="s">
        <v>1844</v>
      </c>
      <c r="M679" t="s">
        <v>35</v>
      </c>
      <c r="N679" t="s">
        <v>1845</v>
      </c>
      <c r="O679" t="s">
        <v>1846</v>
      </c>
      <c r="P679" t="s">
        <v>3042</v>
      </c>
      <c r="R679" t="s">
        <v>1847</v>
      </c>
      <c r="S679" t="s">
        <v>1848</v>
      </c>
      <c r="T679" t="s">
        <v>169</v>
      </c>
      <c r="U679" t="s">
        <v>40</v>
      </c>
      <c r="V679" s="1">
        <v>44159</v>
      </c>
      <c r="W679">
        <v>0</v>
      </c>
      <c r="X679">
        <v>4</v>
      </c>
      <c r="Y679" t="s">
        <v>65</v>
      </c>
      <c r="AA679" t="s">
        <v>42</v>
      </c>
      <c r="AB679" t="s">
        <v>43</v>
      </c>
      <c r="AC679" t="s">
        <v>43</v>
      </c>
    </row>
    <row r="680" spans="1:30" x14ac:dyDescent="0.4">
      <c r="A680" t="s">
        <v>27</v>
      </c>
      <c r="B680">
        <v>3792</v>
      </c>
      <c r="C680" t="s">
        <v>2982</v>
      </c>
      <c r="D680">
        <v>215</v>
      </c>
      <c r="E680" t="s">
        <v>68</v>
      </c>
      <c r="F680" t="s">
        <v>1840</v>
      </c>
      <c r="G680" t="s">
        <v>1841</v>
      </c>
      <c r="H680" t="s">
        <v>1842</v>
      </c>
      <c r="J680" t="s">
        <v>1843</v>
      </c>
      <c r="K680" t="s">
        <v>528</v>
      </c>
      <c r="L680" t="s">
        <v>1844</v>
      </c>
      <c r="M680" t="s">
        <v>35</v>
      </c>
      <c r="N680" t="s">
        <v>1845</v>
      </c>
      <c r="O680" t="s">
        <v>1846</v>
      </c>
      <c r="P680" t="s">
        <v>3042</v>
      </c>
      <c r="R680" t="s">
        <v>1847</v>
      </c>
      <c r="S680" t="s">
        <v>1848</v>
      </c>
      <c r="T680" t="s">
        <v>169</v>
      </c>
      <c r="U680" t="s">
        <v>40</v>
      </c>
      <c r="V680" s="1">
        <v>44159</v>
      </c>
      <c r="W680">
        <v>0</v>
      </c>
      <c r="X680">
        <v>5</v>
      </c>
      <c r="Y680" t="s">
        <v>66</v>
      </c>
      <c r="AA680" t="s">
        <v>42</v>
      </c>
      <c r="AB680" t="s">
        <v>43</v>
      </c>
      <c r="AC680" t="s">
        <v>43</v>
      </c>
    </row>
    <row r="681" spans="1:30" x14ac:dyDescent="0.4">
      <c r="A681" t="s">
        <v>27</v>
      </c>
      <c r="B681">
        <v>3792</v>
      </c>
      <c r="C681" t="s">
        <v>2982</v>
      </c>
      <c r="D681">
        <v>215</v>
      </c>
      <c r="E681" t="s">
        <v>68</v>
      </c>
      <c r="F681" t="s">
        <v>1840</v>
      </c>
      <c r="G681" t="s">
        <v>1841</v>
      </c>
      <c r="H681" t="s">
        <v>1842</v>
      </c>
      <c r="J681" t="s">
        <v>1843</v>
      </c>
      <c r="K681" t="s">
        <v>528</v>
      </c>
      <c r="L681" t="s">
        <v>1844</v>
      </c>
      <c r="M681" t="s">
        <v>35</v>
      </c>
      <c r="N681" t="s">
        <v>1845</v>
      </c>
      <c r="O681" t="s">
        <v>1846</v>
      </c>
      <c r="P681" t="s">
        <v>3042</v>
      </c>
      <c r="R681" t="s">
        <v>1847</v>
      </c>
      <c r="S681" t="s">
        <v>1848</v>
      </c>
      <c r="T681" t="s">
        <v>169</v>
      </c>
      <c r="U681" t="s">
        <v>40</v>
      </c>
      <c r="V681" s="1">
        <v>44159</v>
      </c>
      <c r="W681">
        <v>0</v>
      </c>
      <c r="X681">
        <v>12</v>
      </c>
      <c r="AA681" t="s">
        <v>42</v>
      </c>
      <c r="AB681" t="s">
        <v>43</v>
      </c>
      <c r="AC681" t="s">
        <v>43</v>
      </c>
    </row>
    <row r="682" spans="1:30" x14ac:dyDescent="0.4">
      <c r="A682" t="s">
        <v>27</v>
      </c>
      <c r="B682">
        <v>3792</v>
      </c>
      <c r="C682" t="s">
        <v>2982</v>
      </c>
      <c r="D682">
        <v>215</v>
      </c>
      <c r="E682" t="s">
        <v>68</v>
      </c>
      <c r="F682" t="s">
        <v>1840</v>
      </c>
      <c r="G682" t="s">
        <v>1841</v>
      </c>
      <c r="H682" t="s">
        <v>1842</v>
      </c>
      <c r="J682" t="s">
        <v>1843</v>
      </c>
      <c r="K682" t="s">
        <v>528</v>
      </c>
      <c r="L682" t="s">
        <v>1844</v>
      </c>
      <c r="M682" t="s">
        <v>35</v>
      </c>
      <c r="N682" t="s">
        <v>1845</v>
      </c>
      <c r="O682" t="s">
        <v>1846</v>
      </c>
      <c r="P682" t="s">
        <v>3042</v>
      </c>
      <c r="R682" t="s">
        <v>1847</v>
      </c>
      <c r="S682" t="s">
        <v>1848</v>
      </c>
      <c r="T682" t="s">
        <v>169</v>
      </c>
      <c r="U682" t="s">
        <v>40</v>
      </c>
      <c r="V682" s="1">
        <v>44159</v>
      </c>
      <c r="W682">
        <v>0</v>
      </c>
      <c r="X682">
        <v>14</v>
      </c>
      <c r="AA682" t="s">
        <v>42</v>
      </c>
      <c r="AB682" t="s">
        <v>43</v>
      </c>
      <c r="AC682" t="s">
        <v>43</v>
      </c>
    </row>
    <row r="683" spans="1:30" x14ac:dyDescent="0.4">
      <c r="A683" t="s">
        <v>27</v>
      </c>
      <c r="B683">
        <v>6280</v>
      </c>
      <c r="C683" t="s">
        <v>2983</v>
      </c>
      <c r="D683">
        <v>216</v>
      </c>
      <c r="E683" t="s">
        <v>28</v>
      </c>
      <c r="F683" t="s">
        <v>1849</v>
      </c>
      <c r="G683" t="s">
        <v>1850</v>
      </c>
      <c r="H683" t="s">
        <v>1851</v>
      </c>
      <c r="J683" t="s">
        <v>623</v>
      </c>
      <c r="K683" t="s">
        <v>1852</v>
      </c>
      <c r="L683" t="s">
        <v>1853</v>
      </c>
      <c r="M683" t="s">
        <v>35</v>
      </c>
      <c r="N683">
        <v>7859050081</v>
      </c>
      <c r="O683" t="s">
        <v>1854</v>
      </c>
      <c r="P683" t="s">
        <v>2983</v>
      </c>
      <c r="R683" t="s">
        <v>3117</v>
      </c>
      <c r="S683" t="s">
        <v>1856</v>
      </c>
      <c r="T683" t="s">
        <v>1857</v>
      </c>
      <c r="U683" t="s">
        <v>40</v>
      </c>
      <c r="V683" s="1">
        <v>44797</v>
      </c>
      <c r="W683">
        <v>0</v>
      </c>
      <c r="X683">
        <v>9</v>
      </c>
      <c r="AA683" t="s">
        <v>42</v>
      </c>
      <c r="AB683" t="s">
        <v>43</v>
      </c>
      <c r="AC683" t="s">
        <v>42</v>
      </c>
    </row>
    <row r="684" spans="1:30" x14ac:dyDescent="0.4">
      <c r="A684" t="s">
        <v>27</v>
      </c>
      <c r="B684">
        <v>6280</v>
      </c>
      <c r="C684" t="s">
        <v>2983</v>
      </c>
      <c r="D684">
        <v>216</v>
      </c>
      <c r="E684" t="s">
        <v>28</v>
      </c>
      <c r="F684" t="s">
        <v>1849</v>
      </c>
      <c r="G684" t="s">
        <v>1850</v>
      </c>
      <c r="H684" t="s">
        <v>1851</v>
      </c>
      <c r="J684" t="s">
        <v>623</v>
      </c>
      <c r="K684" t="s">
        <v>1852</v>
      </c>
      <c r="L684" t="s">
        <v>1853</v>
      </c>
      <c r="M684" t="s">
        <v>35</v>
      </c>
      <c r="N684">
        <v>7859050081</v>
      </c>
      <c r="O684" t="s">
        <v>1854</v>
      </c>
      <c r="P684" t="s">
        <v>2983</v>
      </c>
      <c r="R684" t="s">
        <v>3117</v>
      </c>
      <c r="S684" t="s">
        <v>1856</v>
      </c>
      <c r="T684" t="s">
        <v>1857</v>
      </c>
      <c r="U684" t="s">
        <v>40</v>
      </c>
      <c r="V684" s="1">
        <v>44797</v>
      </c>
      <c r="W684">
        <v>0</v>
      </c>
      <c r="X684">
        <v>10</v>
      </c>
      <c r="AA684" t="s">
        <v>42</v>
      </c>
      <c r="AB684" t="s">
        <v>43</v>
      </c>
      <c r="AC684" t="s">
        <v>42</v>
      </c>
    </row>
    <row r="685" spans="1:30" x14ac:dyDescent="0.4">
      <c r="A685" t="s">
        <v>27</v>
      </c>
      <c r="B685">
        <v>1439</v>
      </c>
      <c r="C685" t="s">
        <v>83</v>
      </c>
      <c r="D685">
        <v>217</v>
      </c>
      <c r="E685" t="s">
        <v>68</v>
      </c>
      <c r="F685" t="s">
        <v>896</v>
      </c>
      <c r="G685" t="s">
        <v>1858</v>
      </c>
      <c r="H685" t="s">
        <v>1859</v>
      </c>
      <c r="I685" t="s">
        <v>1860</v>
      </c>
      <c r="J685" t="s">
        <v>200</v>
      </c>
      <c r="K685" t="s">
        <v>201</v>
      </c>
      <c r="L685" t="s">
        <v>1861</v>
      </c>
      <c r="M685" t="s">
        <v>35</v>
      </c>
      <c r="N685" t="s">
        <v>1862</v>
      </c>
      <c r="O685" t="s">
        <v>1863</v>
      </c>
      <c r="P685" t="s">
        <v>83</v>
      </c>
      <c r="R685" t="s">
        <v>1864</v>
      </c>
      <c r="S685" t="s">
        <v>1865</v>
      </c>
      <c r="T685" t="s">
        <v>376</v>
      </c>
      <c r="U685" t="s">
        <v>40</v>
      </c>
      <c r="V685" s="1">
        <v>44128</v>
      </c>
      <c r="W685">
        <v>0</v>
      </c>
      <c r="X685">
        <v>20</v>
      </c>
      <c r="AA685" t="s">
        <v>42</v>
      </c>
      <c r="AB685" t="s">
        <v>43</v>
      </c>
      <c r="AC685" t="s">
        <v>42</v>
      </c>
    </row>
    <row r="686" spans="1:30" x14ac:dyDescent="0.4">
      <c r="A686" t="s">
        <v>27</v>
      </c>
      <c r="B686">
        <v>1439</v>
      </c>
      <c r="C686" t="s">
        <v>83</v>
      </c>
      <c r="D686">
        <v>218</v>
      </c>
      <c r="E686" t="s">
        <v>68</v>
      </c>
      <c r="F686" t="s">
        <v>896</v>
      </c>
      <c r="G686" t="s">
        <v>1858</v>
      </c>
      <c r="H686" t="s">
        <v>1859</v>
      </c>
      <c r="I686" t="s">
        <v>1860</v>
      </c>
      <c r="J686" t="s">
        <v>200</v>
      </c>
      <c r="K686" t="s">
        <v>201</v>
      </c>
      <c r="L686" t="s">
        <v>1861</v>
      </c>
      <c r="M686" t="s">
        <v>35</v>
      </c>
      <c r="N686" t="s">
        <v>1862</v>
      </c>
      <c r="O686" t="s">
        <v>1863</v>
      </c>
      <c r="P686" t="s">
        <v>83</v>
      </c>
      <c r="R686" t="s">
        <v>1866</v>
      </c>
      <c r="S686" t="s">
        <v>1867</v>
      </c>
      <c r="T686" t="s">
        <v>58</v>
      </c>
      <c r="U686" t="s">
        <v>82</v>
      </c>
      <c r="V686" s="1">
        <v>42681</v>
      </c>
      <c r="W686">
        <v>0</v>
      </c>
      <c r="X686">
        <v>21</v>
      </c>
      <c r="AA686" t="s">
        <v>42</v>
      </c>
      <c r="AB686" t="s">
        <v>43</v>
      </c>
      <c r="AC686" t="s">
        <v>42</v>
      </c>
    </row>
    <row r="687" spans="1:30" x14ac:dyDescent="0.4">
      <c r="A687" t="s">
        <v>27</v>
      </c>
      <c r="B687">
        <v>1752</v>
      </c>
      <c r="C687" t="s">
        <v>2984</v>
      </c>
      <c r="D687">
        <v>219</v>
      </c>
      <c r="E687" t="s">
        <v>28</v>
      </c>
      <c r="F687" t="s">
        <v>47</v>
      </c>
      <c r="G687" t="s">
        <v>1868</v>
      </c>
      <c r="H687" t="s">
        <v>1869</v>
      </c>
      <c r="I687" t="s">
        <v>1870</v>
      </c>
      <c r="J687" t="s">
        <v>752</v>
      </c>
      <c r="K687" t="s">
        <v>370</v>
      </c>
      <c r="L687" t="s">
        <v>1871</v>
      </c>
      <c r="M687" t="s">
        <v>35</v>
      </c>
      <c r="N687" t="s">
        <v>1872</v>
      </c>
      <c r="O687" t="s">
        <v>1873</v>
      </c>
      <c r="P687" t="s">
        <v>2984</v>
      </c>
      <c r="R687" t="s">
        <v>1875</v>
      </c>
      <c r="S687" t="s">
        <v>1876</v>
      </c>
      <c r="T687" t="s">
        <v>534</v>
      </c>
      <c r="U687" t="s">
        <v>82</v>
      </c>
      <c r="V687" s="1">
        <v>44723</v>
      </c>
      <c r="W687">
        <v>0</v>
      </c>
      <c r="X687">
        <v>4</v>
      </c>
      <c r="Y687" t="s">
        <v>65</v>
      </c>
      <c r="AA687" t="s">
        <v>42</v>
      </c>
      <c r="AB687" t="s">
        <v>43</v>
      </c>
      <c r="AC687" t="s">
        <v>43</v>
      </c>
    </row>
    <row r="688" spans="1:30" x14ac:dyDescent="0.4">
      <c r="A688" t="s">
        <v>27</v>
      </c>
      <c r="B688">
        <v>1752</v>
      </c>
      <c r="C688" t="s">
        <v>2984</v>
      </c>
      <c r="D688">
        <v>219</v>
      </c>
      <c r="E688" t="s">
        <v>28</v>
      </c>
      <c r="F688" t="s">
        <v>47</v>
      </c>
      <c r="G688" t="s">
        <v>1868</v>
      </c>
      <c r="H688" t="s">
        <v>1869</v>
      </c>
      <c r="I688" t="s">
        <v>1870</v>
      </c>
      <c r="J688" t="s">
        <v>752</v>
      </c>
      <c r="K688" t="s">
        <v>370</v>
      </c>
      <c r="L688" t="s">
        <v>1871</v>
      </c>
      <c r="M688" t="s">
        <v>35</v>
      </c>
      <c r="N688" t="s">
        <v>1872</v>
      </c>
      <c r="O688" t="s">
        <v>1873</v>
      </c>
      <c r="P688" t="s">
        <v>2984</v>
      </c>
      <c r="R688" t="s">
        <v>1875</v>
      </c>
      <c r="S688" t="s">
        <v>1876</v>
      </c>
      <c r="T688" t="s">
        <v>534</v>
      </c>
      <c r="U688" t="s">
        <v>82</v>
      </c>
      <c r="V688" s="1">
        <v>44723</v>
      </c>
      <c r="W688">
        <v>0</v>
      </c>
      <c r="X688">
        <v>5</v>
      </c>
      <c r="Y688" t="s">
        <v>66</v>
      </c>
      <c r="AA688" t="s">
        <v>42</v>
      </c>
      <c r="AB688" t="s">
        <v>43</v>
      </c>
      <c r="AC688" t="s">
        <v>43</v>
      </c>
    </row>
    <row r="689" spans="1:29" x14ac:dyDescent="0.4">
      <c r="A689" t="s">
        <v>27</v>
      </c>
      <c r="B689">
        <v>1752</v>
      </c>
      <c r="C689" t="s">
        <v>2984</v>
      </c>
      <c r="D689">
        <v>219</v>
      </c>
      <c r="E689" t="s">
        <v>28</v>
      </c>
      <c r="F689" t="s">
        <v>47</v>
      </c>
      <c r="G689" t="s">
        <v>1868</v>
      </c>
      <c r="H689" t="s">
        <v>1869</v>
      </c>
      <c r="I689" t="s">
        <v>1870</v>
      </c>
      <c r="J689" t="s">
        <v>752</v>
      </c>
      <c r="K689" t="s">
        <v>370</v>
      </c>
      <c r="L689" t="s">
        <v>1871</v>
      </c>
      <c r="M689" t="s">
        <v>35</v>
      </c>
      <c r="N689" t="s">
        <v>1872</v>
      </c>
      <c r="O689" t="s">
        <v>1873</v>
      </c>
      <c r="P689" t="s">
        <v>2984</v>
      </c>
      <c r="R689" t="s">
        <v>1875</v>
      </c>
      <c r="S689" t="s">
        <v>1876</v>
      </c>
      <c r="T689" t="s">
        <v>534</v>
      </c>
      <c r="U689" t="s">
        <v>82</v>
      </c>
      <c r="V689" s="1">
        <v>44723</v>
      </c>
      <c r="W689">
        <v>0</v>
      </c>
      <c r="X689">
        <v>13</v>
      </c>
      <c r="AA689" t="s">
        <v>42</v>
      </c>
      <c r="AB689" t="s">
        <v>43</v>
      </c>
      <c r="AC689" t="s">
        <v>43</v>
      </c>
    </row>
    <row r="690" spans="1:29" x14ac:dyDescent="0.4">
      <c r="A690" t="s">
        <v>27</v>
      </c>
      <c r="B690">
        <v>1752</v>
      </c>
      <c r="C690" t="s">
        <v>2984</v>
      </c>
      <c r="D690">
        <v>219</v>
      </c>
      <c r="E690" t="s">
        <v>28</v>
      </c>
      <c r="F690" t="s">
        <v>47</v>
      </c>
      <c r="G690" t="s">
        <v>1868</v>
      </c>
      <c r="H690" t="s">
        <v>1869</v>
      </c>
      <c r="I690" t="s">
        <v>1870</v>
      </c>
      <c r="J690" t="s">
        <v>752</v>
      </c>
      <c r="K690" t="s">
        <v>370</v>
      </c>
      <c r="L690" t="s">
        <v>1871</v>
      </c>
      <c r="M690" t="s">
        <v>35</v>
      </c>
      <c r="N690" t="s">
        <v>1872</v>
      </c>
      <c r="O690" t="s">
        <v>1873</v>
      </c>
      <c r="P690" t="s">
        <v>2984</v>
      </c>
      <c r="R690" t="s">
        <v>1875</v>
      </c>
      <c r="S690" t="s">
        <v>1876</v>
      </c>
      <c r="T690" t="s">
        <v>534</v>
      </c>
      <c r="U690" t="s">
        <v>82</v>
      </c>
      <c r="V690" s="1">
        <v>44723</v>
      </c>
      <c r="W690">
        <v>0</v>
      </c>
      <c r="X690">
        <v>15</v>
      </c>
      <c r="AA690" t="s">
        <v>42</v>
      </c>
      <c r="AB690" t="s">
        <v>43</v>
      </c>
      <c r="AC690" t="s">
        <v>43</v>
      </c>
    </row>
    <row r="691" spans="1:29" hidden="1" x14ac:dyDescent="0.4">
      <c r="A691" t="s">
        <v>27</v>
      </c>
      <c r="B691">
        <v>1752</v>
      </c>
      <c r="C691" t="s">
        <v>2984</v>
      </c>
      <c r="E691" t="s">
        <v>28</v>
      </c>
      <c r="F691" t="s">
        <v>47</v>
      </c>
      <c r="G691" t="s">
        <v>1868</v>
      </c>
      <c r="H691" t="s">
        <v>1869</v>
      </c>
      <c r="I691" t="s">
        <v>1870</v>
      </c>
      <c r="J691" t="s">
        <v>752</v>
      </c>
      <c r="K691" t="s">
        <v>370</v>
      </c>
      <c r="L691" t="s">
        <v>1871</v>
      </c>
      <c r="M691" t="s">
        <v>35</v>
      </c>
      <c r="N691" t="s">
        <v>1872</v>
      </c>
      <c r="O691" t="s">
        <v>1873</v>
      </c>
      <c r="P691" t="s">
        <v>1874</v>
      </c>
      <c r="R691" t="s">
        <v>1877</v>
      </c>
      <c r="S691" t="s">
        <v>1878</v>
      </c>
      <c r="T691" t="s">
        <v>94</v>
      </c>
      <c r="U691" t="s">
        <v>82</v>
      </c>
      <c r="V691" s="1">
        <v>43270</v>
      </c>
      <c r="W691">
        <v>0</v>
      </c>
      <c r="X691">
        <v>0</v>
      </c>
      <c r="Y691" t="s">
        <v>59</v>
      </c>
      <c r="AA691" t="s">
        <v>42</v>
      </c>
      <c r="AB691" t="s">
        <v>43</v>
      </c>
      <c r="AC691" t="s">
        <v>43</v>
      </c>
    </row>
    <row r="692" spans="1:29" hidden="1" x14ac:dyDescent="0.4">
      <c r="A692" t="s">
        <v>27</v>
      </c>
      <c r="B692">
        <v>1752</v>
      </c>
      <c r="C692" t="s">
        <v>2984</v>
      </c>
      <c r="E692" t="s">
        <v>28</v>
      </c>
      <c r="F692" t="s">
        <v>47</v>
      </c>
      <c r="G692" t="s">
        <v>1868</v>
      </c>
      <c r="H692" t="s">
        <v>1869</v>
      </c>
      <c r="I692" t="s">
        <v>1870</v>
      </c>
      <c r="J692" t="s">
        <v>752</v>
      </c>
      <c r="K692" t="s">
        <v>370</v>
      </c>
      <c r="L692" t="s">
        <v>1871</v>
      </c>
      <c r="M692" t="s">
        <v>35</v>
      </c>
      <c r="N692" t="s">
        <v>1872</v>
      </c>
      <c r="O692" t="s">
        <v>1873</v>
      </c>
      <c r="P692" t="s">
        <v>1874</v>
      </c>
      <c r="R692" t="s">
        <v>1879</v>
      </c>
      <c r="S692" t="s">
        <v>1880</v>
      </c>
      <c r="T692" t="s">
        <v>376</v>
      </c>
      <c r="U692" t="s">
        <v>40</v>
      </c>
      <c r="V692" s="1">
        <v>41683</v>
      </c>
      <c r="W692">
        <v>0</v>
      </c>
      <c r="X692">
        <v>0</v>
      </c>
      <c r="Y692" t="s">
        <v>59</v>
      </c>
      <c r="AA692" t="s">
        <v>42</v>
      </c>
      <c r="AB692" t="s">
        <v>43</v>
      </c>
      <c r="AC692" t="s">
        <v>43</v>
      </c>
    </row>
    <row r="693" spans="1:29" hidden="1" x14ac:dyDescent="0.4">
      <c r="A693" t="s">
        <v>27</v>
      </c>
      <c r="B693">
        <v>1752</v>
      </c>
      <c r="C693" t="s">
        <v>2984</v>
      </c>
      <c r="E693" t="s">
        <v>28</v>
      </c>
      <c r="F693" t="s">
        <v>47</v>
      </c>
      <c r="G693" t="s">
        <v>1868</v>
      </c>
      <c r="H693" t="s">
        <v>1869</v>
      </c>
      <c r="I693" t="s">
        <v>1870</v>
      </c>
      <c r="J693" t="s">
        <v>752</v>
      </c>
      <c r="K693" t="s">
        <v>370</v>
      </c>
      <c r="L693" t="s">
        <v>1871</v>
      </c>
      <c r="M693" t="s">
        <v>35</v>
      </c>
      <c r="N693" t="s">
        <v>1872</v>
      </c>
      <c r="O693" t="s">
        <v>1873</v>
      </c>
      <c r="P693" t="s">
        <v>1874</v>
      </c>
      <c r="R693" t="s">
        <v>1877</v>
      </c>
      <c r="S693" t="s">
        <v>1878</v>
      </c>
      <c r="T693" t="s">
        <v>94</v>
      </c>
      <c r="U693" t="s">
        <v>82</v>
      </c>
      <c r="V693" s="1">
        <v>43270</v>
      </c>
      <c r="W693">
        <v>0</v>
      </c>
      <c r="X693">
        <v>0</v>
      </c>
      <c r="Y693" t="s">
        <v>59</v>
      </c>
      <c r="AA693" t="s">
        <v>42</v>
      </c>
      <c r="AB693" t="s">
        <v>43</v>
      </c>
      <c r="AC693" t="s">
        <v>43</v>
      </c>
    </row>
    <row r="694" spans="1:29" hidden="1" x14ac:dyDescent="0.4">
      <c r="A694" t="s">
        <v>27</v>
      </c>
      <c r="B694">
        <v>1752</v>
      </c>
      <c r="C694" t="s">
        <v>2984</v>
      </c>
      <c r="E694" t="s">
        <v>28</v>
      </c>
      <c r="F694" t="s">
        <v>47</v>
      </c>
      <c r="G694" t="s">
        <v>1868</v>
      </c>
      <c r="H694" t="s">
        <v>1869</v>
      </c>
      <c r="I694" t="s">
        <v>1870</v>
      </c>
      <c r="J694" t="s">
        <v>752</v>
      </c>
      <c r="K694" t="s">
        <v>370</v>
      </c>
      <c r="L694" t="s">
        <v>1871</v>
      </c>
      <c r="M694" t="s">
        <v>35</v>
      </c>
      <c r="N694" t="s">
        <v>1872</v>
      </c>
      <c r="O694" t="s">
        <v>1873</v>
      </c>
      <c r="P694" t="s">
        <v>1874</v>
      </c>
      <c r="R694" t="s">
        <v>1879</v>
      </c>
      <c r="S694" t="s">
        <v>1880</v>
      </c>
      <c r="T694" t="s">
        <v>376</v>
      </c>
      <c r="U694" t="s">
        <v>40</v>
      </c>
      <c r="V694" s="1">
        <v>41683</v>
      </c>
      <c r="W694">
        <v>0</v>
      </c>
      <c r="X694">
        <v>0</v>
      </c>
      <c r="Y694" t="s">
        <v>59</v>
      </c>
      <c r="AA694" t="s">
        <v>42</v>
      </c>
      <c r="AB694" t="s">
        <v>43</v>
      </c>
      <c r="AC694" t="s">
        <v>43</v>
      </c>
    </row>
    <row r="695" spans="1:29" x14ac:dyDescent="0.4">
      <c r="A695" t="s">
        <v>27</v>
      </c>
      <c r="B695">
        <v>682</v>
      </c>
      <c r="C695" t="s">
        <v>2985</v>
      </c>
      <c r="D695">
        <v>220</v>
      </c>
      <c r="E695" t="s">
        <v>68</v>
      </c>
      <c r="F695" t="s">
        <v>1881</v>
      </c>
      <c r="G695" t="s">
        <v>1882</v>
      </c>
      <c r="H695" t="s">
        <v>1883</v>
      </c>
      <c r="I695" t="s">
        <v>1884</v>
      </c>
      <c r="J695" t="s">
        <v>1885</v>
      </c>
      <c r="K695" t="s">
        <v>1886</v>
      </c>
      <c r="L695" t="s">
        <v>1887</v>
      </c>
      <c r="M695" t="s">
        <v>35</v>
      </c>
      <c r="N695" t="s">
        <v>1888</v>
      </c>
      <c r="O695" t="s">
        <v>1889</v>
      </c>
      <c r="P695" t="s">
        <v>3082</v>
      </c>
      <c r="R695" t="s">
        <v>3118</v>
      </c>
      <c r="S695" t="s">
        <v>1891</v>
      </c>
      <c r="T695" t="s">
        <v>94</v>
      </c>
      <c r="U695" t="s">
        <v>40</v>
      </c>
      <c r="V695" s="1">
        <v>43337</v>
      </c>
      <c r="W695">
        <v>0</v>
      </c>
      <c r="X695">
        <v>20</v>
      </c>
      <c r="AA695" t="s">
        <v>42</v>
      </c>
      <c r="AB695" t="s">
        <v>43</v>
      </c>
      <c r="AC695" t="s">
        <v>43</v>
      </c>
    </row>
    <row r="696" spans="1:29" hidden="1" x14ac:dyDescent="0.4">
      <c r="A696" t="s">
        <v>27</v>
      </c>
      <c r="B696">
        <v>1316</v>
      </c>
      <c r="C696" t="s">
        <v>2986</v>
      </c>
      <c r="E696" t="s">
        <v>257</v>
      </c>
      <c r="F696" t="s">
        <v>1893</v>
      </c>
      <c r="G696" t="s">
        <v>1882</v>
      </c>
      <c r="H696" t="s">
        <v>1883</v>
      </c>
      <c r="I696" t="s">
        <v>1884</v>
      </c>
      <c r="J696" t="s">
        <v>1885</v>
      </c>
      <c r="K696" t="s">
        <v>1886</v>
      </c>
      <c r="L696" t="s">
        <v>1887</v>
      </c>
      <c r="M696" t="s">
        <v>35</v>
      </c>
      <c r="N696" t="s">
        <v>1888</v>
      </c>
      <c r="O696" t="s">
        <v>1889</v>
      </c>
      <c r="P696" t="s">
        <v>1894</v>
      </c>
      <c r="R696" t="s">
        <v>1895</v>
      </c>
      <c r="S696" t="s">
        <v>1896</v>
      </c>
      <c r="T696" t="s">
        <v>1892</v>
      </c>
      <c r="U696" t="s">
        <v>40</v>
      </c>
      <c r="V696" s="1">
        <v>41130</v>
      </c>
      <c r="W696">
        <v>0</v>
      </c>
      <c r="X696">
        <v>0</v>
      </c>
      <c r="Y696" t="s">
        <v>59</v>
      </c>
      <c r="AA696" t="s">
        <v>42</v>
      </c>
      <c r="AB696" t="s">
        <v>43</v>
      </c>
      <c r="AC696" t="s">
        <v>43</v>
      </c>
    </row>
    <row r="697" spans="1:29" x14ac:dyDescent="0.4">
      <c r="A697" t="s">
        <v>27</v>
      </c>
      <c r="B697">
        <v>4670</v>
      </c>
      <c r="C697" t="s">
        <v>2987</v>
      </c>
      <c r="D697">
        <v>221</v>
      </c>
      <c r="E697" t="s">
        <v>68</v>
      </c>
      <c r="F697" t="s">
        <v>979</v>
      </c>
      <c r="G697" t="s">
        <v>1016</v>
      </c>
      <c r="H697" t="s">
        <v>1897</v>
      </c>
      <c r="I697" t="s">
        <v>1898</v>
      </c>
      <c r="J697" t="s">
        <v>50</v>
      </c>
      <c r="K697" t="s">
        <v>51</v>
      </c>
      <c r="L697" t="s">
        <v>1899</v>
      </c>
      <c r="M697" t="s">
        <v>35</v>
      </c>
      <c r="N697">
        <v>7962925771</v>
      </c>
      <c r="O697" t="s">
        <v>1900</v>
      </c>
      <c r="P697" t="s">
        <v>2987</v>
      </c>
      <c r="R697" t="s">
        <v>3119</v>
      </c>
      <c r="S697" t="s">
        <v>1902</v>
      </c>
      <c r="T697" t="s">
        <v>1903</v>
      </c>
      <c r="U697" t="s">
        <v>82</v>
      </c>
      <c r="V697" s="1">
        <v>43007</v>
      </c>
      <c r="W697">
        <v>0</v>
      </c>
      <c r="X697">
        <v>2</v>
      </c>
      <c r="AA697" t="s">
        <v>42</v>
      </c>
      <c r="AB697" t="s">
        <v>43</v>
      </c>
      <c r="AC697" t="s">
        <v>43</v>
      </c>
    </row>
    <row r="698" spans="1:29" x14ac:dyDescent="0.4">
      <c r="A698" t="s">
        <v>27</v>
      </c>
      <c r="B698">
        <v>4670</v>
      </c>
      <c r="C698" t="s">
        <v>2987</v>
      </c>
      <c r="D698">
        <v>222</v>
      </c>
      <c r="E698" t="s">
        <v>68</v>
      </c>
      <c r="F698" t="s">
        <v>979</v>
      </c>
      <c r="G698" t="s">
        <v>1016</v>
      </c>
      <c r="H698" t="s">
        <v>1897</v>
      </c>
      <c r="I698" t="s">
        <v>1898</v>
      </c>
      <c r="J698" t="s">
        <v>50</v>
      </c>
      <c r="K698" t="s">
        <v>51</v>
      </c>
      <c r="L698" t="s">
        <v>1899</v>
      </c>
      <c r="M698" t="s">
        <v>35</v>
      </c>
      <c r="N698">
        <v>7962925771</v>
      </c>
      <c r="O698" t="s">
        <v>1900</v>
      </c>
      <c r="P698" t="s">
        <v>2987</v>
      </c>
      <c r="R698" t="s">
        <v>1904</v>
      </c>
      <c r="S698" t="s">
        <v>1905</v>
      </c>
      <c r="T698" t="s">
        <v>1903</v>
      </c>
      <c r="U698" t="s">
        <v>82</v>
      </c>
      <c r="V698" s="1">
        <v>44440</v>
      </c>
      <c r="W698">
        <v>0</v>
      </c>
      <c r="X698">
        <v>2</v>
      </c>
      <c r="AA698" t="s">
        <v>42</v>
      </c>
      <c r="AB698" t="s">
        <v>43</v>
      </c>
      <c r="AC698" t="s">
        <v>43</v>
      </c>
    </row>
    <row r="699" spans="1:29" x14ac:dyDescent="0.4">
      <c r="A699" t="s">
        <v>27</v>
      </c>
      <c r="B699">
        <v>4670</v>
      </c>
      <c r="C699" t="s">
        <v>2987</v>
      </c>
      <c r="D699">
        <v>221</v>
      </c>
      <c r="E699" t="s">
        <v>68</v>
      </c>
      <c r="F699" t="s">
        <v>979</v>
      </c>
      <c r="G699" t="s">
        <v>1016</v>
      </c>
      <c r="H699" t="s">
        <v>1897</v>
      </c>
      <c r="I699" t="s">
        <v>1898</v>
      </c>
      <c r="J699" t="s">
        <v>50</v>
      </c>
      <c r="K699" t="s">
        <v>51</v>
      </c>
      <c r="L699" t="s">
        <v>1899</v>
      </c>
      <c r="M699" t="s">
        <v>35</v>
      </c>
      <c r="N699">
        <v>7962925771</v>
      </c>
      <c r="O699" t="s">
        <v>1900</v>
      </c>
      <c r="P699" t="s">
        <v>2987</v>
      </c>
      <c r="R699" t="s">
        <v>3119</v>
      </c>
      <c r="S699" t="s">
        <v>1902</v>
      </c>
      <c r="T699" t="s">
        <v>1903</v>
      </c>
      <c r="U699" t="s">
        <v>82</v>
      </c>
      <c r="V699" s="1">
        <v>43007</v>
      </c>
      <c r="W699">
        <v>0</v>
      </c>
      <c r="X699">
        <v>8</v>
      </c>
      <c r="AA699" t="s">
        <v>42</v>
      </c>
      <c r="AB699" t="s">
        <v>43</v>
      </c>
      <c r="AC699" t="s">
        <v>43</v>
      </c>
    </row>
    <row r="700" spans="1:29" x14ac:dyDescent="0.4">
      <c r="A700" t="s">
        <v>27</v>
      </c>
      <c r="B700">
        <v>4670</v>
      </c>
      <c r="C700" t="s">
        <v>2987</v>
      </c>
      <c r="D700">
        <v>222</v>
      </c>
      <c r="E700" t="s">
        <v>68</v>
      </c>
      <c r="F700" t="s">
        <v>979</v>
      </c>
      <c r="G700" t="s">
        <v>1016</v>
      </c>
      <c r="H700" t="s">
        <v>1897</v>
      </c>
      <c r="I700" t="s">
        <v>1898</v>
      </c>
      <c r="J700" t="s">
        <v>50</v>
      </c>
      <c r="K700" t="s">
        <v>51</v>
      </c>
      <c r="L700" t="s">
        <v>1899</v>
      </c>
      <c r="M700" t="s">
        <v>35</v>
      </c>
      <c r="N700">
        <v>7962925771</v>
      </c>
      <c r="O700" t="s">
        <v>1900</v>
      </c>
      <c r="P700" t="s">
        <v>2987</v>
      </c>
      <c r="R700" t="s">
        <v>1904</v>
      </c>
      <c r="S700" t="s">
        <v>1905</v>
      </c>
      <c r="T700" t="s">
        <v>1903</v>
      </c>
      <c r="U700" t="s">
        <v>82</v>
      </c>
      <c r="V700" s="1">
        <v>44440</v>
      </c>
      <c r="W700">
        <v>0</v>
      </c>
      <c r="X700">
        <v>8</v>
      </c>
      <c r="AA700" t="s">
        <v>42</v>
      </c>
      <c r="AB700" t="s">
        <v>43</v>
      </c>
      <c r="AC700" t="s">
        <v>43</v>
      </c>
    </row>
    <row r="701" spans="1:29" x14ac:dyDescent="0.4">
      <c r="A701" t="s">
        <v>27</v>
      </c>
      <c r="B701">
        <v>4670</v>
      </c>
      <c r="C701" t="s">
        <v>2987</v>
      </c>
      <c r="D701">
        <v>221</v>
      </c>
      <c r="E701" t="s">
        <v>68</v>
      </c>
      <c r="F701" t="s">
        <v>979</v>
      </c>
      <c r="G701" t="s">
        <v>1016</v>
      </c>
      <c r="H701" t="s">
        <v>1897</v>
      </c>
      <c r="I701" t="s">
        <v>1898</v>
      </c>
      <c r="J701" t="s">
        <v>50</v>
      </c>
      <c r="K701" t="s">
        <v>51</v>
      </c>
      <c r="L701" t="s">
        <v>1899</v>
      </c>
      <c r="M701" t="s">
        <v>35</v>
      </c>
      <c r="N701">
        <v>7962925771</v>
      </c>
      <c r="O701" t="s">
        <v>1900</v>
      </c>
      <c r="P701" t="s">
        <v>2987</v>
      </c>
      <c r="R701" t="s">
        <v>3119</v>
      </c>
      <c r="S701" t="s">
        <v>1902</v>
      </c>
      <c r="T701" t="s">
        <v>1903</v>
      </c>
      <c r="U701" t="s">
        <v>82</v>
      </c>
      <c r="V701" s="1">
        <v>43007</v>
      </c>
      <c r="W701">
        <v>0</v>
      </c>
      <c r="X701">
        <v>10</v>
      </c>
      <c r="AA701" t="s">
        <v>42</v>
      </c>
      <c r="AB701" t="s">
        <v>43</v>
      </c>
      <c r="AC701" t="s">
        <v>43</v>
      </c>
    </row>
    <row r="702" spans="1:29" x14ac:dyDescent="0.4">
      <c r="A702" t="s">
        <v>27</v>
      </c>
      <c r="B702">
        <v>4670</v>
      </c>
      <c r="C702" t="s">
        <v>2987</v>
      </c>
      <c r="D702">
        <v>222</v>
      </c>
      <c r="E702" t="s">
        <v>68</v>
      </c>
      <c r="F702" t="s">
        <v>979</v>
      </c>
      <c r="G702" t="s">
        <v>1016</v>
      </c>
      <c r="H702" t="s">
        <v>1897</v>
      </c>
      <c r="I702" t="s">
        <v>1898</v>
      </c>
      <c r="J702" t="s">
        <v>50</v>
      </c>
      <c r="K702" t="s">
        <v>51</v>
      </c>
      <c r="L702" t="s">
        <v>1899</v>
      </c>
      <c r="M702" t="s">
        <v>35</v>
      </c>
      <c r="N702">
        <v>7962925771</v>
      </c>
      <c r="O702" t="s">
        <v>1900</v>
      </c>
      <c r="P702" t="s">
        <v>2987</v>
      </c>
      <c r="R702" t="s">
        <v>1904</v>
      </c>
      <c r="S702" t="s">
        <v>1905</v>
      </c>
      <c r="T702" t="s">
        <v>1903</v>
      </c>
      <c r="U702" t="s">
        <v>82</v>
      </c>
      <c r="V702" s="1">
        <v>44440</v>
      </c>
      <c r="W702">
        <v>0</v>
      </c>
      <c r="X702">
        <v>10</v>
      </c>
      <c r="AA702" t="s">
        <v>42</v>
      </c>
      <c r="AB702" t="s">
        <v>43</v>
      </c>
      <c r="AC702" t="s">
        <v>43</v>
      </c>
    </row>
    <row r="703" spans="1:29" x14ac:dyDescent="0.4">
      <c r="A703" t="s">
        <v>27</v>
      </c>
      <c r="B703">
        <v>5027</v>
      </c>
      <c r="C703" t="s">
        <v>2988</v>
      </c>
      <c r="D703">
        <v>223</v>
      </c>
      <c r="E703" t="s">
        <v>68</v>
      </c>
      <c r="F703" t="s">
        <v>300</v>
      </c>
      <c r="G703" t="s">
        <v>1906</v>
      </c>
      <c r="H703" t="s">
        <v>1907</v>
      </c>
      <c r="J703" t="s">
        <v>458</v>
      </c>
      <c r="K703" t="s">
        <v>73</v>
      </c>
      <c r="L703" t="s">
        <v>1908</v>
      </c>
      <c r="M703" t="s">
        <v>35</v>
      </c>
      <c r="N703" t="s">
        <v>1909</v>
      </c>
      <c r="O703" t="s">
        <v>1910</v>
      </c>
      <c r="P703" t="s">
        <v>2988</v>
      </c>
      <c r="R703" t="s">
        <v>1911</v>
      </c>
      <c r="S703" t="s">
        <v>1912</v>
      </c>
      <c r="T703" t="s">
        <v>58</v>
      </c>
      <c r="U703" t="s">
        <v>82</v>
      </c>
      <c r="V703" s="1">
        <v>43886</v>
      </c>
      <c r="W703">
        <v>0</v>
      </c>
      <c r="X703">
        <v>4</v>
      </c>
      <c r="Y703" t="s">
        <v>65</v>
      </c>
      <c r="AA703" t="s">
        <v>42</v>
      </c>
      <c r="AB703" t="s">
        <v>43</v>
      </c>
      <c r="AC703" t="s">
        <v>43</v>
      </c>
    </row>
    <row r="704" spans="1:29" x14ac:dyDescent="0.4">
      <c r="A704" t="s">
        <v>27</v>
      </c>
      <c r="B704">
        <v>5027</v>
      </c>
      <c r="C704" t="s">
        <v>2988</v>
      </c>
      <c r="D704">
        <v>223</v>
      </c>
      <c r="E704" t="s">
        <v>68</v>
      </c>
      <c r="F704" t="s">
        <v>300</v>
      </c>
      <c r="G704" t="s">
        <v>1906</v>
      </c>
      <c r="H704" t="s">
        <v>1907</v>
      </c>
      <c r="J704" t="s">
        <v>458</v>
      </c>
      <c r="K704" t="s">
        <v>73</v>
      </c>
      <c r="L704" t="s">
        <v>1908</v>
      </c>
      <c r="M704" t="s">
        <v>35</v>
      </c>
      <c r="N704" t="s">
        <v>1909</v>
      </c>
      <c r="O704" t="s">
        <v>1910</v>
      </c>
      <c r="P704" t="s">
        <v>2988</v>
      </c>
      <c r="R704" t="s">
        <v>1911</v>
      </c>
      <c r="S704" t="s">
        <v>1912</v>
      </c>
      <c r="T704" t="s">
        <v>58</v>
      </c>
      <c r="U704" t="s">
        <v>82</v>
      </c>
      <c r="V704" s="1">
        <v>43886</v>
      </c>
      <c r="W704">
        <v>0</v>
      </c>
      <c r="X704">
        <v>5</v>
      </c>
      <c r="Y704" t="s">
        <v>66</v>
      </c>
      <c r="AA704" t="s">
        <v>42</v>
      </c>
      <c r="AB704" t="s">
        <v>43</v>
      </c>
      <c r="AC704" t="s">
        <v>43</v>
      </c>
    </row>
    <row r="705" spans="1:31" x14ac:dyDescent="0.4">
      <c r="A705" t="s">
        <v>27</v>
      </c>
      <c r="B705">
        <v>3188</v>
      </c>
      <c r="C705" t="s">
        <v>2989</v>
      </c>
      <c r="D705">
        <v>225</v>
      </c>
      <c r="E705" t="s">
        <v>257</v>
      </c>
      <c r="F705" t="s">
        <v>1913</v>
      </c>
      <c r="G705" t="s">
        <v>1914</v>
      </c>
      <c r="H705" t="s">
        <v>1915</v>
      </c>
      <c r="J705" t="s">
        <v>1916</v>
      </c>
      <c r="K705" t="s">
        <v>189</v>
      </c>
      <c r="L705" t="s">
        <v>1917</v>
      </c>
      <c r="M705" t="s">
        <v>35</v>
      </c>
      <c r="N705">
        <v>7525124905</v>
      </c>
      <c r="O705" t="s">
        <v>1918</v>
      </c>
      <c r="P705" t="s">
        <v>2989</v>
      </c>
      <c r="R705" t="s">
        <v>3053</v>
      </c>
      <c r="S705" t="s">
        <v>1920</v>
      </c>
      <c r="T705" t="s">
        <v>58</v>
      </c>
      <c r="U705" t="s">
        <v>82</v>
      </c>
      <c r="V705" s="1">
        <v>45310</v>
      </c>
      <c r="W705">
        <v>0</v>
      </c>
      <c r="X705">
        <v>4</v>
      </c>
      <c r="Y705" t="s">
        <v>65</v>
      </c>
      <c r="AA705" t="s">
        <v>42</v>
      </c>
      <c r="AB705" t="s">
        <v>43</v>
      </c>
      <c r="AC705" t="s">
        <v>43</v>
      </c>
    </row>
    <row r="706" spans="1:31" x14ac:dyDescent="0.4">
      <c r="A706" t="s">
        <v>27</v>
      </c>
      <c r="B706">
        <v>3188</v>
      </c>
      <c r="C706" t="s">
        <v>2989</v>
      </c>
      <c r="D706">
        <v>225</v>
      </c>
      <c r="E706" t="s">
        <v>257</v>
      </c>
      <c r="F706" t="s">
        <v>1913</v>
      </c>
      <c r="G706" t="s">
        <v>1914</v>
      </c>
      <c r="H706" t="s">
        <v>1915</v>
      </c>
      <c r="J706" t="s">
        <v>1916</v>
      </c>
      <c r="K706" t="s">
        <v>189</v>
      </c>
      <c r="L706" t="s">
        <v>1917</v>
      </c>
      <c r="M706" t="s">
        <v>35</v>
      </c>
      <c r="N706">
        <v>7525124905</v>
      </c>
      <c r="O706" t="s">
        <v>1918</v>
      </c>
      <c r="P706" t="s">
        <v>2989</v>
      </c>
      <c r="R706" t="s">
        <v>3053</v>
      </c>
      <c r="S706" t="s">
        <v>1920</v>
      </c>
      <c r="T706" t="s">
        <v>58</v>
      </c>
      <c r="U706" t="s">
        <v>82</v>
      </c>
      <c r="V706" s="1">
        <v>45310</v>
      </c>
      <c r="W706">
        <v>0</v>
      </c>
      <c r="X706">
        <v>5</v>
      </c>
      <c r="Y706" t="s">
        <v>66</v>
      </c>
      <c r="AA706" t="s">
        <v>42</v>
      </c>
      <c r="AB706" t="s">
        <v>43</v>
      </c>
      <c r="AC706" t="s">
        <v>43</v>
      </c>
    </row>
    <row r="707" spans="1:31" x14ac:dyDescent="0.4">
      <c r="A707" t="s">
        <v>27</v>
      </c>
      <c r="B707">
        <v>3188</v>
      </c>
      <c r="C707" t="s">
        <v>2989</v>
      </c>
      <c r="D707">
        <v>224</v>
      </c>
      <c r="E707" t="s">
        <v>257</v>
      </c>
      <c r="F707" t="s">
        <v>1913</v>
      </c>
      <c r="G707" t="s">
        <v>1914</v>
      </c>
      <c r="H707" t="s">
        <v>1915</v>
      </c>
      <c r="J707" t="s">
        <v>1916</v>
      </c>
      <c r="K707" t="s">
        <v>189</v>
      </c>
      <c r="L707" t="s">
        <v>1917</v>
      </c>
      <c r="M707" t="s">
        <v>35</v>
      </c>
      <c r="N707">
        <v>7525124905</v>
      </c>
      <c r="O707" t="s">
        <v>1918</v>
      </c>
      <c r="P707" t="s">
        <v>2989</v>
      </c>
      <c r="R707" t="s">
        <v>1921</v>
      </c>
      <c r="S707" t="s">
        <v>1922</v>
      </c>
      <c r="T707" t="s">
        <v>58</v>
      </c>
      <c r="U707" t="s">
        <v>82</v>
      </c>
      <c r="V707" s="1">
        <v>43790</v>
      </c>
      <c r="W707">
        <v>0</v>
      </c>
      <c r="X707">
        <v>7</v>
      </c>
      <c r="AA707" t="s">
        <v>42</v>
      </c>
      <c r="AB707" t="s">
        <v>43</v>
      </c>
      <c r="AC707" t="s">
        <v>43</v>
      </c>
    </row>
    <row r="708" spans="1:31" x14ac:dyDescent="0.4">
      <c r="A708" t="s">
        <v>27</v>
      </c>
      <c r="B708">
        <v>3188</v>
      </c>
      <c r="C708" t="s">
        <v>2989</v>
      </c>
      <c r="D708">
        <v>226</v>
      </c>
      <c r="E708" t="s">
        <v>257</v>
      </c>
      <c r="F708" t="s">
        <v>1913</v>
      </c>
      <c r="G708" t="s">
        <v>1914</v>
      </c>
      <c r="H708" t="s">
        <v>1915</v>
      </c>
      <c r="J708" t="s">
        <v>1916</v>
      </c>
      <c r="K708" t="s">
        <v>189</v>
      </c>
      <c r="L708" t="s">
        <v>1917</v>
      </c>
      <c r="M708" t="s">
        <v>35</v>
      </c>
      <c r="N708">
        <v>7525124905</v>
      </c>
      <c r="O708" t="s">
        <v>1918</v>
      </c>
      <c r="P708" t="s">
        <v>2989</v>
      </c>
      <c r="R708" t="s">
        <v>1923</v>
      </c>
      <c r="S708" t="s">
        <v>1924</v>
      </c>
      <c r="T708" t="s">
        <v>58</v>
      </c>
      <c r="U708" t="s">
        <v>82</v>
      </c>
      <c r="V708" s="1">
        <v>42557</v>
      </c>
      <c r="W708">
        <v>0</v>
      </c>
      <c r="X708">
        <v>7</v>
      </c>
      <c r="AA708" t="s">
        <v>42</v>
      </c>
      <c r="AB708" t="s">
        <v>43</v>
      </c>
      <c r="AC708" t="s">
        <v>43</v>
      </c>
    </row>
    <row r="709" spans="1:31" x14ac:dyDescent="0.4">
      <c r="A709" t="s">
        <v>27</v>
      </c>
      <c r="B709">
        <v>3188</v>
      </c>
      <c r="C709" t="s">
        <v>2989</v>
      </c>
      <c r="D709">
        <v>225</v>
      </c>
      <c r="E709" t="s">
        <v>257</v>
      </c>
      <c r="F709" t="s">
        <v>1913</v>
      </c>
      <c r="G709" t="s">
        <v>1914</v>
      </c>
      <c r="H709" t="s">
        <v>1915</v>
      </c>
      <c r="J709" t="s">
        <v>1916</v>
      </c>
      <c r="K709" t="s">
        <v>189</v>
      </c>
      <c r="L709" t="s">
        <v>1917</v>
      </c>
      <c r="M709" t="s">
        <v>35</v>
      </c>
      <c r="N709">
        <v>7525124905</v>
      </c>
      <c r="O709" t="s">
        <v>1918</v>
      </c>
      <c r="P709" t="s">
        <v>2989</v>
      </c>
      <c r="R709" t="s">
        <v>3053</v>
      </c>
      <c r="S709" t="s">
        <v>1920</v>
      </c>
      <c r="T709" t="s">
        <v>58</v>
      </c>
      <c r="U709" t="s">
        <v>82</v>
      </c>
      <c r="V709" s="1">
        <v>45310</v>
      </c>
      <c r="W709">
        <v>0</v>
      </c>
      <c r="X709">
        <v>13</v>
      </c>
      <c r="AA709" t="s">
        <v>42</v>
      </c>
      <c r="AB709" t="s">
        <v>43</v>
      </c>
      <c r="AC709" t="s">
        <v>43</v>
      </c>
    </row>
    <row r="710" spans="1:31" x14ac:dyDescent="0.4">
      <c r="A710" t="s">
        <v>27</v>
      </c>
      <c r="B710">
        <v>3188</v>
      </c>
      <c r="C710" t="s">
        <v>2989</v>
      </c>
      <c r="D710">
        <v>225</v>
      </c>
      <c r="E710" t="s">
        <v>257</v>
      </c>
      <c r="F710" t="s">
        <v>1913</v>
      </c>
      <c r="G710" t="s">
        <v>1914</v>
      </c>
      <c r="H710" t="s">
        <v>1915</v>
      </c>
      <c r="J710" t="s">
        <v>1916</v>
      </c>
      <c r="K710" t="s">
        <v>189</v>
      </c>
      <c r="L710" t="s">
        <v>1917</v>
      </c>
      <c r="M710" t="s">
        <v>35</v>
      </c>
      <c r="N710">
        <v>7525124905</v>
      </c>
      <c r="O710" t="s">
        <v>1918</v>
      </c>
      <c r="P710" t="s">
        <v>2989</v>
      </c>
      <c r="R710" t="s">
        <v>3053</v>
      </c>
      <c r="S710" t="s">
        <v>1920</v>
      </c>
      <c r="T710" t="s">
        <v>58</v>
      </c>
      <c r="U710" t="s">
        <v>82</v>
      </c>
      <c r="V710" s="1">
        <v>45310</v>
      </c>
      <c r="W710">
        <v>0</v>
      </c>
      <c r="X710">
        <v>15</v>
      </c>
      <c r="AA710" t="s">
        <v>42</v>
      </c>
      <c r="AB710" t="s">
        <v>43</v>
      </c>
      <c r="AC710" t="s">
        <v>43</v>
      </c>
    </row>
    <row r="711" spans="1:31" x14ac:dyDescent="0.4">
      <c r="A711" t="s">
        <v>27</v>
      </c>
      <c r="B711">
        <v>3188</v>
      </c>
      <c r="C711" t="s">
        <v>2989</v>
      </c>
      <c r="D711">
        <v>224</v>
      </c>
      <c r="E711" t="s">
        <v>257</v>
      </c>
      <c r="F711" t="s">
        <v>1913</v>
      </c>
      <c r="G711" t="s">
        <v>1914</v>
      </c>
      <c r="H711" t="s">
        <v>1915</v>
      </c>
      <c r="J711" t="s">
        <v>1916</v>
      </c>
      <c r="K711" t="s">
        <v>189</v>
      </c>
      <c r="L711" t="s">
        <v>1917</v>
      </c>
      <c r="M711" t="s">
        <v>35</v>
      </c>
      <c r="N711">
        <v>7525124905</v>
      </c>
      <c r="O711" t="s">
        <v>1918</v>
      </c>
      <c r="P711" t="s">
        <v>2989</v>
      </c>
      <c r="R711" t="s">
        <v>1921</v>
      </c>
      <c r="S711" t="s">
        <v>1922</v>
      </c>
      <c r="T711" t="s">
        <v>58</v>
      </c>
      <c r="U711" t="s">
        <v>82</v>
      </c>
      <c r="V711" s="1">
        <v>43790</v>
      </c>
      <c r="W711">
        <v>0</v>
      </c>
      <c r="X711">
        <v>19</v>
      </c>
      <c r="AA711" t="s">
        <v>42</v>
      </c>
      <c r="AB711" t="s">
        <v>43</v>
      </c>
      <c r="AC711" t="s">
        <v>43</v>
      </c>
    </row>
    <row r="712" spans="1:31" x14ac:dyDescent="0.4">
      <c r="A712" t="s">
        <v>27</v>
      </c>
      <c r="B712">
        <v>3188</v>
      </c>
      <c r="C712" t="s">
        <v>2989</v>
      </c>
      <c r="D712">
        <v>226</v>
      </c>
      <c r="E712" t="s">
        <v>257</v>
      </c>
      <c r="F712" t="s">
        <v>1913</v>
      </c>
      <c r="G712" t="s">
        <v>1914</v>
      </c>
      <c r="H712" t="s">
        <v>1915</v>
      </c>
      <c r="J712" t="s">
        <v>1916</v>
      </c>
      <c r="K712" t="s">
        <v>189</v>
      </c>
      <c r="L712" t="s">
        <v>1917</v>
      </c>
      <c r="M712" t="s">
        <v>35</v>
      </c>
      <c r="N712">
        <v>7525124905</v>
      </c>
      <c r="O712" t="s">
        <v>1918</v>
      </c>
      <c r="P712" t="s">
        <v>2989</v>
      </c>
      <c r="R712" t="s">
        <v>1923</v>
      </c>
      <c r="S712" t="s">
        <v>1924</v>
      </c>
      <c r="T712" t="s">
        <v>58</v>
      </c>
      <c r="U712" t="s">
        <v>82</v>
      </c>
      <c r="V712" s="1">
        <v>42557</v>
      </c>
      <c r="W712">
        <v>0</v>
      </c>
      <c r="X712">
        <v>21</v>
      </c>
      <c r="AA712" t="s">
        <v>42</v>
      </c>
      <c r="AB712" t="s">
        <v>43</v>
      </c>
      <c r="AC712" t="s">
        <v>43</v>
      </c>
    </row>
    <row r="713" spans="1:31" hidden="1" x14ac:dyDescent="0.4">
      <c r="A713" t="s">
        <v>27</v>
      </c>
      <c r="B713">
        <v>4545</v>
      </c>
      <c r="C713" t="s">
        <v>2990</v>
      </c>
      <c r="E713" t="s">
        <v>257</v>
      </c>
      <c r="F713" t="s">
        <v>1096</v>
      </c>
      <c r="G713" t="s">
        <v>1925</v>
      </c>
      <c r="H713" t="s">
        <v>1926</v>
      </c>
      <c r="J713" t="s">
        <v>850</v>
      </c>
      <c r="K713" t="s">
        <v>330</v>
      </c>
      <c r="L713" t="s">
        <v>1927</v>
      </c>
      <c r="M713" t="s">
        <v>35</v>
      </c>
      <c r="N713">
        <v>2380255329</v>
      </c>
      <c r="O713" t="s">
        <v>1928</v>
      </c>
      <c r="P713" t="s">
        <v>1929</v>
      </c>
      <c r="R713" t="s">
        <v>1930</v>
      </c>
      <c r="S713" t="s">
        <v>1931</v>
      </c>
      <c r="T713" t="s">
        <v>1111</v>
      </c>
      <c r="U713" t="s">
        <v>82</v>
      </c>
      <c r="V713" s="1">
        <v>45351</v>
      </c>
      <c r="W713">
        <v>0</v>
      </c>
      <c r="X713">
        <v>0</v>
      </c>
      <c r="Y713" t="s">
        <v>59</v>
      </c>
      <c r="AA713" t="s">
        <v>42</v>
      </c>
      <c r="AB713" t="s">
        <v>43</v>
      </c>
      <c r="AC713" t="s">
        <v>43</v>
      </c>
      <c r="AD713" t="s">
        <v>1932</v>
      </c>
    </row>
    <row r="714" spans="1:31" x14ac:dyDescent="0.4">
      <c r="A714" t="s">
        <v>27</v>
      </c>
      <c r="B714">
        <v>4545</v>
      </c>
      <c r="C714" t="s">
        <v>2990</v>
      </c>
      <c r="D714">
        <v>230</v>
      </c>
      <c r="E714" t="s">
        <v>257</v>
      </c>
      <c r="F714" t="s">
        <v>1096</v>
      </c>
      <c r="G714" t="s">
        <v>1925</v>
      </c>
      <c r="H714" t="s">
        <v>1926</v>
      </c>
      <c r="J714" t="s">
        <v>850</v>
      </c>
      <c r="K714" t="s">
        <v>330</v>
      </c>
      <c r="L714" t="s">
        <v>1927</v>
      </c>
      <c r="M714" t="s">
        <v>35</v>
      </c>
      <c r="N714">
        <v>2380255329</v>
      </c>
      <c r="O714" t="s">
        <v>1928</v>
      </c>
      <c r="P714" t="s">
        <v>3066</v>
      </c>
      <c r="R714" t="s">
        <v>1933</v>
      </c>
      <c r="S714" t="s">
        <v>1934</v>
      </c>
      <c r="T714" t="s">
        <v>94</v>
      </c>
      <c r="U714" t="s">
        <v>82</v>
      </c>
      <c r="V714" s="1">
        <v>42743</v>
      </c>
      <c r="W714">
        <v>0</v>
      </c>
      <c r="X714">
        <v>5</v>
      </c>
      <c r="Y714" t="s">
        <v>66</v>
      </c>
      <c r="AA714" t="s">
        <v>42</v>
      </c>
      <c r="AB714" t="s">
        <v>43</v>
      </c>
      <c r="AC714" t="s">
        <v>43</v>
      </c>
      <c r="AE714" t="s">
        <v>1932</v>
      </c>
    </row>
    <row r="715" spans="1:31" x14ac:dyDescent="0.4">
      <c r="A715" t="s">
        <v>27</v>
      </c>
      <c r="B715">
        <v>4545</v>
      </c>
      <c r="C715" t="s">
        <v>2990</v>
      </c>
      <c r="D715">
        <v>230</v>
      </c>
      <c r="E715" t="s">
        <v>257</v>
      </c>
      <c r="F715" t="s">
        <v>1096</v>
      </c>
      <c r="G715" t="s">
        <v>1925</v>
      </c>
      <c r="H715" t="s">
        <v>1926</v>
      </c>
      <c r="J715" t="s">
        <v>850</v>
      </c>
      <c r="K715" t="s">
        <v>330</v>
      </c>
      <c r="L715" t="s">
        <v>1927</v>
      </c>
      <c r="M715" t="s">
        <v>35</v>
      </c>
      <c r="N715">
        <v>2380255329</v>
      </c>
      <c r="O715" t="s">
        <v>1928</v>
      </c>
      <c r="P715" t="s">
        <v>3066</v>
      </c>
      <c r="R715" t="s">
        <v>1933</v>
      </c>
      <c r="S715" t="s">
        <v>1934</v>
      </c>
      <c r="T715" t="s">
        <v>94</v>
      </c>
      <c r="U715" t="s">
        <v>82</v>
      </c>
      <c r="V715" s="1">
        <v>42743</v>
      </c>
      <c r="W715">
        <v>0</v>
      </c>
      <c r="X715">
        <v>6</v>
      </c>
      <c r="Y715" t="s">
        <v>83</v>
      </c>
      <c r="AA715" t="s">
        <v>42</v>
      </c>
      <c r="AB715" t="s">
        <v>43</v>
      </c>
      <c r="AC715" t="s">
        <v>43</v>
      </c>
      <c r="AE715" t="s">
        <v>1932</v>
      </c>
    </row>
    <row r="716" spans="1:31" x14ac:dyDescent="0.4">
      <c r="A716" t="s">
        <v>27</v>
      </c>
      <c r="B716">
        <v>4545</v>
      </c>
      <c r="C716" t="s">
        <v>2990</v>
      </c>
      <c r="D716">
        <v>230</v>
      </c>
      <c r="E716" t="s">
        <v>257</v>
      </c>
      <c r="F716" t="s">
        <v>1096</v>
      </c>
      <c r="G716" t="s">
        <v>1925</v>
      </c>
      <c r="H716" t="s">
        <v>1926</v>
      </c>
      <c r="J716" t="s">
        <v>850</v>
      </c>
      <c r="K716" t="s">
        <v>330</v>
      </c>
      <c r="L716" t="s">
        <v>1927</v>
      </c>
      <c r="M716" t="s">
        <v>35</v>
      </c>
      <c r="N716">
        <v>2380255329</v>
      </c>
      <c r="O716" t="s">
        <v>1928</v>
      </c>
      <c r="P716" t="s">
        <v>3066</v>
      </c>
      <c r="R716" t="s">
        <v>1933</v>
      </c>
      <c r="S716" t="s">
        <v>1934</v>
      </c>
      <c r="T716" t="s">
        <v>94</v>
      </c>
      <c r="U716" t="s">
        <v>82</v>
      </c>
      <c r="V716" s="1">
        <v>42743</v>
      </c>
      <c r="W716">
        <v>0</v>
      </c>
      <c r="X716">
        <v>7</v>
      </c>
      <c r="AA716" t="s">
        <v>42</v>
      </c>
      <c r="AB716" t="s">
        <v>43</v>
      </c>
      <c r="AC716" t="s">
        <v>43</v>
      </c>
      <c r="AE716" t="s">
        <v>1932</v>
      </c>
    </row>
    <row r="717" spans="1:31" hidden="1" x14ac:dyDescent="0.4">
      <c r="A717" t="s">
        <v>27</v>
      </c>
      <c r="B717">
        <v>4545</v>
      </c>
      <c r="C717" t="s">
        <v>2990</v>
      </c>
      <c r="E717" t="s">
        <v>257</v>
      </c>
      <c r="F717" t="s">
        <v>1096</v>
      </c>
      <c r="G717" t="s">
        <v>1925</v>
      </c>
      <c r="H717" t="s">
        <v>1926</v>
      </c>
      <c r="J717" t="s">
        <v>850</v>
      </c>
      <c r="K717" t="s">
        <v>330</v>
      </c>
      <c r="L717" t="s">
        <v>1927</v>
      </c>
      <c r="M717" t="s">
        <v>35</v>
      </c>
      <c r="N717">
        <v>2380255329</v>
      </c>
      <c r="O717" t="s">
        <v>1928</v>
      </c>
      <c r="P717" t="s">
        <v>1929</v>
      </c>
      <c r="R717" t="s">
        <v>1930</v>
      </c>
      <c r="S717" t="s">
        <v>1931</v>
      </c>
      <c r="T717" t="s">
        <v>1111</v>
      </c>
      <c r="U717" t="s">
        <v>82</v>
      </c>
      <c r="V717" s="1">
        <v>45351</v>
      </c>
      <c r="W717">
        <v>0</v>
      </c>
      <c r="X717">
        <v>0</v>
      </c>
      <c r="Y717" t="s">
        <v>59</v>
      </c>
      <c r="AA717" t="s">
        <v>42</v>
      </c>
      <c r="AB717" t="s">
        <v>43</v>
      </c>
      <c r="AC717" t="s">
        <v>43</v>
      </c>
      <c r="AE717" t="s">
        <v>1932</v>
      </c>
    </row>
    <row r="718" spans="1:31" x14ac:dyDescent="0.4">
      <c r="A718" t="s">
        <v>27</v>
      </c>
      <c r="B718">
        <v>4545</v>
      </c>
      <c r="C718" t="s">
        <v>2990</v>
      </c>
      <c r="D718">
        <v>230</v>
      </c>
      <c r="E718" t="s">
        <v>257</v>
      </c>
      <c r="F718" t="s">
        <v>1096</v>
      </c>
      <c r="G718" t="s">
        <v>1925</v>
      </c>
      <c r="H718" t="s">
        <v>1926</v>
      </c>
      <c r="J718" t="s">
        <v>850</v>
      </c>
      <c r="K718" t="s">
        <v>330</v>
      </c>
      <c r="L718" t="s">
        <v>1927</v>
      </c>
      <c r="M718" t="s">
        <v>35</v>
      </c>
      <c r="N718">
        <v>2380255329</v>
      </c>
      <c r="O718" t="s">
        <v>1928</v>
      </c>
      <c r="P718" t="s">
        <v>3066</v>
      </c>
      <c r="R718" t="s">
        <v>1933</v>
      </c>
      <c r="S718" t="s">
        <v>1934</v>
      </c>
      <c r="T718" t="s">
        <v>94</v>
      </c>
      <c r="U718" t="s">
        <v>82</v>
      </c>
      <c r="V718" s="1">
        <v>42743</v>
      </c>
      <c r="W718">
        <v>0</v>
      </c>
      <c r="X718">
        <v>15</v>
      </c>
      <c r="AA718" t="s">
        <v>42</v>
      </c>
      <c r="AB718" t="s">
        <v>43</v>
      </c>
      <c r="AC718" t="s">
        <v>43</v>
      </c>
      <c r="AE718" t="s">
        <v>1932</v>
      </c>
    </row>
    <row r="719" spans="1:31" x14ac:dyDescent="0.4">
      <c r="A719" t="s">
        <v>27</v>
      </c>
      <c r="B719">
        <v>4545</v>
      </c>
      <c r="C719" t="s">
        <v>2990</v>
      </c>
      <c r="D719">
        <v>230</v>
      </c>
      <c r="E719" t="s">
        <v>257</v>
      </c>
      <c r="F719" t="s">
        <v>1096</v>
      </c>
      <c r="G719" t="s">
        <v>1925</v>
      </c>
      <c r="H719" t="s">
        <v>1926</v>
      </c>
      <c r="J719" t="s">
        <v>850</v>
      </c>
      <c r="K719" t="s">
        <v>330</v>
      </c>
      <c r="L719" t="s">
        <v>1927</v>
      </c>
      <c r="M719" t="s">
        <v>35</v>
      </c>
      <c r="N719">
        <v>2380255329</v>
      </c>
      <c r="O719" t="s">
        <v>1928</v>
      </c>
      <c r="P719" t="s">
        <v>3066</v>
      </c>
      <c r="R719" t="s">
        <v>1933</v>
      </c>
      <c r="S719" t="s">
        <v>1934</v>
      </c>
      <c r="T719" t="s">
        <v>94</v>
      </c>
      <c r="U719" t="s">
        <v>82</v>
      </c>
      <c r="V719" s="1">
        <v>42743</v>
      </c>
      <c r="W719">
        <v>0</v>
      </c>
      <c r="X719">
        <v>19</v>
      </c>
      <c r="AA719" t="s">
        <v>42</v>
      </c>
      <c r="AB719" t="s">
        <v>43</v>
      </c>
      <c r="AC719" t="s">
        <v>43</v>
      </c>
      <c r="AE719" t="s">
        <v>1932</v>
      </c>
    </row>
    <row r="720" spans="1:31" hidden="1" x14ac:dyDescent="0.4">
      <c r="A720" t="s">
        <v>27</v>
      </c>
      <c r="B720">
        <v>4544</v>
      </c>
      <c r="C720" t="s">
        <v>2991</v>
      </c>
      <c r="E720" t="s">
        <v>68</v>
      </c>
      <c r="F720" t="s">
        <v>836</v>
      </c>
      <c r="G720" t="s">
        <v>1935</v>
      </c>
      <c r="H720" t="s">
        <v>1926</v>
      </c>
      <c r="J720" t="s">
        <v>850</v>
      </c>
      <c r="K720" t="s">
        <v>330</v>
      </c>
      <c r="L720" t="s">
        <v>1927</v>
      </c>
      <c r="M720" t="s">
        <v>35</v>
      </c>
      <c r="N720">
        <v>2380255329</v>
      </c>
      <c r="O720" t="s">
        <v>1928</v>
      </c>
      <c r="P720" t="s">
        <v>1936</v>
      </c>
      <c r="R720" t="s">
        <v>1937</v>
      </c>
      <c r="S720" t="s">
        <v>1938</v>
      </c>
      <c r="T720" t="s">
        <v>58</v>
      </c>
      <c r="U720" t="s">
        <v>82</v>
      </c>
      <c r="V720" s="1">
        <v>42201</v>
      </c>
      <c r="W720">
        <v>0</v>
      </c>
      <c r="X720">
        <v>0</v>
      </c>
      <c r="Y720" t="s">
        <v>59</v>
      </c>
      <c r="AA720" t="s">
        <v>42</v>
      </c>
      <c r="AB720" t="s">
        <v>43</v>
      </c>
      <c r="AC720" t="s">
        <v>43</v>
      </c>
      <c r="AE720" t="s">
        <v>1939</v>
      </c>
    </row>
    <row r="721" spans="1:31" x14ac:dyDescent="0.4">
      <c r="A721" t="s">
        <v>27</v>
      </c>
      <c r="B721">
        <v>4544</v>
      </c>
      <c r="C721" t="s">
        <v>2991</v>
      </c>
      <c r="D721">
        <v>227</v>
      </c>
      <c r="E721" t="s">
        <v>68</v>
      </c>
      <c r="F721" t="s">
        <v>836</v>
      </c>
      <c r="G721" t="s">
        <v>1935</v>
      </c>
      <c r="H721" t="s">
        <v>1926</v>
      </c>
      <c r="J721" t="s">
        <v>850</v>
      </c>
      <c r="K721" t="s">
        <v>330</v>
      </c>
      <c r="L721" t="s">
        <v>1927</v>
      </c>
      <c r="M721" t="s">
        <v>35</v>
      </c>
      <c r="N721">
        <v>2380255329</v>
      </c>
      <c r="O721" t="s">
        <v>1928</v>
      </c>
      <c r="P721" t="s">
        <v>2991</v>
      </c>
      <c r="R721" t="s">
        <v>1940</v>
      </c>
      <c r="S721" t="s">
        <v>1941</v>
      </c>
      <c r="T721" t="s">
        <v>169</v>
      </c>
      <c r="U721" t="s">
        <v>40</v>
      </c>
      <c r="V721" s="1">
        <v>43792</v>
      </c>
      <c r="W721">
        <v>0</v>
      </c>
      <c r="X721">
        <v>4</v>
      </c>
      <c r="Y721" t="s">
        <v>65</v>
      </c>
      <c r="AA721" t="s">
        <v>42</v>
      </c>
      <c r="AB721" t="s">
        <v>43</v>
      </c>
      <c r="AC721" t="s">
        <v>43</v>
      </c>
      <c r="AE721" t="s">
        <v>1939</v>
      </c>
    </row>
    <row r="722" spans="1:31" x14ac:dyDescent="0.4">
      <c r="A722" t="s">
        <v>27</v>
      </c>
      <c r="B722">
        <v>4544</v>
      </c>
      <c r="C722" t="s">
        <v>2991</v>
      </c>
      <c r="D722">
        <v>227</v>
      </c>
      <c r="E722" t="s">
        <v>68</v>
      </c>
      <c r="F722" t="s">
        <v>836</v>
      </c>
      <c r="G722" t="s">
        <v>1935</v>
      </c>
      <c r="H722" t="s">
        <v>1926</v>
      </c>
      <c r="J722" t="s">
        <v>850</v>
      </c>
      <c r="K722" t="s">
        <v>330</v>
      </c>
      <c r="L722" t="s">
        <v>1927</v>
      </c>
      <c r="M722" t="s">
        <v>35</v>
      </c>
      <c r="N722">
        <v>2380255329</v>
      </c>
      <c r="O722" t="s">
        <v>1928</v>
      </c>
      <c r="P722" t="s">
        <v>2991</v>
      </c>
      <c r="R722" t="s">
        <v>1940</v>
      </c>
      <c r="S722" t="s">
        <v>1941</v>
      </c>
      <c r="T722" t="s">
        <v>169</v>
      </c>
      <c r="U722" t="s">
        <v>40</v>
      </c>
      <c r="V722" s="1">
        <v>43792</v>
      </c>
      <c r="W722">
        <v>0</v>
      </c>
      <c r="X722">
        <v>5</v>
      </c>
      <c r="Y722" t="s">
        <v>66</v>
      </c>
      <c r="AA722" t="s">
        <v>42</v>
      </c>
      <c r="AB722" t="s">
        <v>43</v>
      </c>
      <c r="AC722" t="s">
        <v>43</v>
      </c>
      <c r="AE722" t="s">
        <v>1939</v>
      </c>
    </row>
    <row r="723" spans="1:31" hidden="1" x14ac:dyDescent="0.4">
      <c r="A723" t="s">
        <v>27</v>
      </c>
      <c r="B723">
        <v>4544</v>
      </c>
      <c r="C723" t="s">
        <v>2991</v>
      </c>
      <c r="E723" t="s">
        <v>68</v>
      </c>
      <c r="F723" t="s">
        <v>836</v>
      </c>
      <c r="G723" t="s">
        <v>1935</v>
      </c>
      <c r="H723" t="s">
        <v>1926</v>
      </c>
      <c r="J723" t="s">
        <v>850</v>
      </c>
      <c r="K723" t="s">
        <v>330</v>
      </c>
      <c r="L723" t="s">
        <v>1927</v>
      </c>
      <c r="M723" t="s">
        <v>35</v>
      </c>
      <c r="N723">
        <v>2380255329</v>
      </c>
      <c r="O723" t="s">
        <v>1928</v>
      </c>
      <c r="P723" t="s">
        <v>1936</v>
      </c>
      <c r="R723" t="s">
        <v>1937</v>
      </c>
      <c r="S723" t="s">
        <v>1938</v>
      </c>
      <c r="T723" t="s">
        <v>58</v>
      </c>
      <c r="U723" t="s">
        <v>82</v>
      </c>
      <c r="V723" s="1">
        <v>42201</v>
      </c>
      <c r="W723">
        <v>0</v>
      </c>
      <c r="X723">
        <v>0</v>
      </c>
      <c r="Y723" t="s">
        <v>59</v>
      </c>
      <c r="AA723" t="s">
        <v>42</v>
      </c>
      <c r="AB723" t="s">
        <v>43</v>
      </c>
      <c r="AC723" t="s">
        <v>43</v>
      </c>
      <c r="AE723" t="s">
        <v>1939</v>
      </c>
    </row>
    <row r="724" spans="1:31" x14ac:dyDescent="0.4">
      <c r="A724" t="s">
        <v>27</v>
      </c>
      <c r="B724">
        <v>4544</v>
      </c>
      <c r="C724" t="s">
        <v>2991</v>
      </c>
      <c r="D724">
        <v>227</v>
      </c>
      <c r="E724" t="s">
        <v>68</v>
      </c>
      <c r="F724" t="s">
        <v>836</v>
      </c>
      <c r="G724" t="s">
        <v>1935</v>
      </c>
      <c r="H724" t="s">
        <v>1926</v>
      </c>
      <c r="J724" t="s">
        <v>850</v>
      </c>
      <c r="K724" t="s">
        <v>330</v>
      </c>
      <c r="L724" t="s">
        <v>1927</v>
      </c>
      <c r="M724" t="s">
        <v>35</v>
      </c>
      <c r="N724">
        <v>2380255329</v>
      </c>
      <c r="O724" t="s">
        <v>1928</v>
      </c>
      <c r="P724" t="s">
        <v>2991</v>
      </c>
      <c r="R724" t="s">
        <v>1940</v>
      </c>
      <c r="S724" t="s">
        <v>1941</v>
      </c>
      <c r="T724" t="s">
        <v>169</v>
      </c>
      <c r="U724" t="s">
        <v>40</v>
      </c>
      <c r="V724" s="1">
        <v>43792</v>
      </c>
      <c r="W724">
        <v>0</v>
      </c>
      <c r="X724">
        <v>12</v>
      </c>
      <c r="AA724" t="s">
        <v>42</v>
      </c>
      <c r="AB724" t="s">
        <v>43</v>
      </c>
      <c r="AC724" t="s">
        <v>43</v>
      </c>
      <c r="AE724" t="s">
        <v>1939</v>
      </c>
    </row>
    <row r="725" spans="1:31" x14ac:dyDescent="0.4">
      <c r="A725" t="s">
        <v>27</v>
      </c>
      <c r="B725">
        <v>4544</v>
      </c>
      <c r="C725" t="s">
        <v>2991</v>
      </c>
      <c r="D725">
        <v>227</v>
      </c>
      <c r="E725" t="s">
        <v>68</v>
      </c>
      <c r="F725" t="s">
        <v>836</v>
      </c>
      <c r="G725" t="s">
        <v>1935</v>
      </c>
      <c r="H725" t="s">
        <v>1926</v>
      </c>
      <c r="J725" t="s">
        <v>850</v>
      </c>
      <c r="K725" t="s">
        <v>330</v>
      </c>
      <c r="L725" t="s">
        <v>1927</v>
      </c>
      <c r="M725" t="s">
        <v>35</v>
      </c>
      <c r="N725">
        <v>2380255329</v>
      </c>
      <c r="O725" t="s">
        <v>1928</v>
      </c>
      <c r="P725" t="s">
        <v>2991</v>
      </c>
      <c r="R725" t="s">
        <v>1940</v>
      </c>
      <c r="S725" t="s">
        <v>1941</v>
      </c>
      <c r="T725" t="s">
        <v>169</v>
      </c>
      <c r="U725" t="s">
        <v>40</v>
      </c>
      <c r="V725" s="1">
        <v>43792</v>
      </c>
      <c r="W725">
        <v>0</v>
      </c>
      <c r="X725">
        <v>14</v>
      </c>
      <c r="AA725" t="s">
        <v>42</v>
      </c>
      <c r="AB725" t="s">
        <v>43</v>
      </c>
      <c r="AC725" t="s">
        <v>43</v>
      </c>
      <c r="AE725" t="s">
        <v>1939</v>
      </c>
    </row>
    <row r="726" spans="1:31" x14ac:dyDescent="0.4">
      <c r="A726" t="s">
        <v>27</v>
      </c>
      <c r="B726">
        <v>4498</v>
      </c>
      <c r="C726" t="s">
        <v>2992</v>
      </c>
      <c r="D726">
        <v>228</v>
      </c>
      <c r="E726" t="s">
        <v>1039</v>
      </c>
      <c r="F726" t="s">
        <v>1942</v>
      </c>
      <c r="G726" t="s">
        <v>1935</v>
      </c>
      <c r="H726" t="s">
        <v>1943</v>
      </c>
      <c r="J726" t="s">
        <v>1944</v>
      </c>
      <c r="K726" t="s">
        <v>426</v>
      </c>
      <c r="L726" t="s">
        <v>1945</v>
      </c>
      <c r="M726" t="s">
        <v>35</v>
      </c>
      <c r="N726" t="s">
        <v>1946</v>
      </c>
      <c r="O726" t="s">
        <v>1947</v>
      </c>
      <c r="P726" t="s">
        <v>2992</v>
      </c>
      <c r="R726" t="s">
        <v>1948</v>
      </c>
      <c r="S726" t="s">
        <v>1949</v>
      </c>
      <c r="T726" t="s">
        <v>58</v>
      </c>
      <c r="U726" t="s">
        <v>82</v>
      </c>
      <c r="V726" s="1">
        <v>43480</v>
      </c>
      <c r="W726">
        <v>0</v>
      </c>
      <c r="X726">
        <v>19</v>
      </c>
      <c r="AA726" t="s">
        <v>42</v>
      </c>
      <c r="AB726" t="s">
        <v>43</v>
      </c>
      <c r="AC726" t="s">
        <v>42</v>
      </c>
    </row>
    <row r="727" spans="1:31" x14ac:dyDescent="0.4">
      <c r="A727" t="s">
        <v>27</v>
      </c>
      <c r="B727">
        <v>4498</v>
      </c>
      <c r="C727" t="s">
        <v>2992</v>
      </c>
      <c r="D727">
        <v>229</v>
      </c>
      <c r="E727" t="s">
        <v>1039</v>
      </c>
      <c r="F727" t="s">
        <v>1942</v>
      </c>
      <c r="G727" t="s">
        <v>1935</v>
      </c>
      <c r="H727" t="s">
        <v>1943</v>
      </c>
      <c r="J727" t="s">
        <v>1944</v>
      </c>
      <c r="K727" t="s">
        <v>426</v>
      </c>
      <c r="L727" t="s">
        <v>1945</v>
      </c>
      <c r="M727" t="s">
        <v>35</v>
      </c>
      <c r="N727" t="s">
        <v>1946</v>
      </c>
      <c r="O727" t="s">
        <v>1947</v>
      </c>
      <c r="P727" t="s">
        <v>2992</v>
      </c>
      <c r="R727" t="s">
        <v>1950</v>
      </c>
      <c r="S727" t="s">
        <v>1951</v>
      </c>
      <c r="T727" t="s">
        <v>58</v>
      </c>
      <c r="U727" t="s">
        <v>82</v>
      </c>
      <c r="V727" s="1">
        <v>42036</v>
      </c>
      <c r="W727">
        <v>0</v>
      </c>
      <c r="X727">
        <v>19</v>
      </c>
      <c r="AA727" t="s">
        <v>42</v>
      </c>
      <c r="AB727" t="s">
        <v>43</v>
      </c>
      <c r="AC727" t="s">
        <v>42</v>
      </c>
    </row>
    <row r="728" spans="1:31" x14ac:dyDescent="0.4">
      <c r="A728" t="s">
        <v>27</v>
      </c>
      <c r="B728">
        <v>4498</v>
      </c>
      <c r="C728" t="s">
        <v>2992</v>
      </c>
      <c r="D728">
        <v>228</v>
      </c>
      <c r="E728" t="s">
        <v>1039</v>
      </c>
      <c r="F728" t="s">
        <v>1942</v>
      </c>
      <c r="G728" t="s">
        <v>1935</v>
      </c>
      <c r="H728" t="s">
        <v>1943</v>
      </c>
      <c r="J728" t="s">
        <v>1944</v>
      </c>
      <c r="K728" t="s">
        <v>426</v>
      </c>
      <c r="L728" t="s">
        <v>1945</v>
      </c>
      <c r="M728" t="s">
        <v>35</v>
      </c>
      <c r="N728" t="s">
        <v>1946</v>
      </c>
      <c r="O728" t="s">
        <v>1947</v>
      </c>
      <c r="P728" t="s">
        <v>2992</v>
      </c>
      <c r="R728" t="s">
        <v>1948</v>
      </c>
      <c r="S728" t="s">
        <v>1949</v>
      </c>
      <c r="T728" t="s">
        <v>58</v>
      </c>
      <c r="U728" t="s">
        <v>82</v>
      </c>
      <c r="V728" s="1">
        <v>43480</v>
      </c>
      <c r="W728">
        <v>0</v>
      </c>
      <c r="X728">
        <v>21</v>
      </c>
      <c r="AA728" t="s">
        <v>42</v>
      </c>
      <c r="AB728" t="s">
        <v>43</v>
      </c>
      <c r="AC728" t="s">
        <v>42</v>
      </c>
    </row>
    <row r="729" spans="1:31" x14ac:dyDescent="0.4">
      <c r="A729" t="s">
        <v>27</v>
      </c>
      <c r="B729">
        <v>4498</v>
      </c>
      <c r="C729" t="s">
        <v>2992</v>
      </c>
      <c r="D729">
        <v>229</v>
      </c>
      <c r="E729" t="s">
        <v>1039</v>
      </c>
      <c r="F729" t="s">
        <v>1942</v>
      </c>
      <c r="G729" t="s">
        <v>1935</v>
      </c>
      <c r="H729" t="s">
        <v>1943</v>
      </c>
      <c r="J729" t="s">
        <v>1944</v>
      </c>
      <c r="K729" t="s">
        <v>426</v>
      </c>
      <c r="L729" t="s">
        <v>1945</v>
      </c>
      <c r="M729" t="s">
        <v>35</v>
      </c>
      <c r="N729" t="s">
        <v>1946</v>
      </c>
      <c r="O729" t="s">
        <v>1947</v>
      </c>
      <c r="P729" t="s">
        <v>2992</v>
      </c>
      <c r="R729" t="s">
        <v>1950</v>
      </c>
      <c r="S729" t="s">
        <v>1951</v>
      </c>
      <c r="T729" t="s">
        <v>58</v>
      </c>
      <c r="U729" t="s">
        <v>82</v>
      </c>
      <c r="V729" s="1">
        <v>42036</v>
      </c>
      <c r="W729">
        <v>0</v>
      </c>
      <c r="X729">
        <v>21</v>
      </c>
      <c r="AA729" t="s">
        <v>42</v>
      </c>
      <c r="AB729" t="s">
        <v>43</v>
      </c>
      <c r="AC729" t="s">
        <v>42</v>
      </c>
    </row>
    <row r="730" spans="1:31" x14ac:dyDescent="0.4">
      <c r="A730" t="s">
        <v>27</v>
      </c>
      <c r="B730">
        <v>5023</v>
      </c>
      <c r="C730" t="s">
        <v>2993</v>
      </c>
      <c r="D730">
        <v>231</v>
      </c>
      <c r="E730" t="s">
        <v>195</v>
      </c>
      <c r="F730" t="s">
        <v>238</v>
      </c>
      <c r="G730" t="s">
        <v>1952</v>
      </c>
      <c r="H730" t="s">
        <v>1953</v>
      </c>
      <c r="J730" t="s">
        <v>633</v>
      </c>
      <c r="K730" t="s">
        <v>1753</v>
      </c>
      <c r="L730" t="s">
        <v>1954</v>
      </c>
      <c r="M730" t="s">
        <v>35</v>
      </c>
      <c r="N730">
        <v>7871306533</v>
      </c>
      <c r="O730" t="s">
        <v>1955</v>
      </c>
      <c r="P730" t="s">
        <v>2993</v>
      </c>
      <c r="R730" t="s">
        <v>1956</v>
      </c>
      <c r="S730" t="s">
        <v>1957</v>
      </c>
      <c r="T730" t="s">
        <v>94</v>
      </c>
      <c r="U730" t="s">
        <v>82</v>
      </c>
      <c r="V730" s="1">
        <v>42082</v>
      </c>
      <c r="W730">
        <v>0</v>
      </c>
      <c r="X730">
        <v>4</v>
      </c>
      <c r="Y730" t="s">
        <v>65</v>
      </c>
      <c r="AA730" t="s">
        <v>42</v>
      </c>
      <c r="AB730" t="s">
        <v>43</v>
      </c>
      <c r="AC730" t="s">
        <v>43</v>
      </c>
    </row>
    <row r="731" spans="1:31" x14ac:dyDescent="0.4">
      <c r="A731" t="s">
        <v>27</v>
      </c>
      <c r="B731">
        <v>5023</v>
      </c>
      <c r="C731" t="s">
        <v>2993</v>
      </c>
      <c r="D731">
        <v>232</v>
      </c>
      <c r="E731" t="s">
        <v>195</v>
      </c>
      <c r="F731" t="s">
        <v>238</v>
      </c>
      <c r="G731" t="s">
        <v>1952</v>
      </c>
      <c r="H731" t="s">
        <v>1953</v>
      </c>
      <c r="J731" t="s">
        <v>633</v>
      </c>
      <c r="K731" t="s">
        <v>1753</v>
      </c>
      <c r="L731" t="s">
        <v>1954</v>
      </c>
      <c r="M731" t="s">
        <v>35</v>
      </c>
      <c r="N731">
        <v>7871306533</v>
      </c>
      <c r="O731" t="s">
        <v>1955</v>
      </c>
      <c r="P731" t="s">
        <v>2993</v>
      </c>
      <c r="R731" t="s">
        <v>1958</v>
      </c>
      <c r="S731" t="s">
        <v>1959</v>
      </c>
      <c r="T731" t="s">
        <v>94</v>
      </c>
      <c r="U731" t="s">
        <v>40</v>
      </c>
      <c r="V731" s="1">
        <v>45030</v>
      </c>
      <c r="W731">
        <v>0</v>
      </c>
      <c r="X731">
        <v>4</v>
      </c>
      <c r="Y731" t="s">
        <v>65</v>
      </c>
      <c r="AA731" t="s">
        <v>42</v>
      </c>
      <c r="AB731" t="s">
        <v>43</v>
      </c>
      <c r="AC731" t="s">
        <v>43</v>
      </c>
    </row>
    <row r="732" spans="1:31" x14ac:dyDescent="0.4">
      <c r="A732" t="s">
        <v>27</v>
      </c>
      <c r="B732">
        <v>6111</v>
      </c>
      <c r="C732" t="s">
        <v>1965</v>
      </c>
      <c r="D732">
        <v>234</v>
      </c>
      <c r="E732" t="s">
        <v>28</v>
      </c>
      <c r="F732" t="s">
        <v>524</v>
      </c>
      <c r="G732" t="s">
        <v>1960</v>
      </c>
      <c r="H732" t="s">
        <v>1961</v>
      </c>
      <c r="I732" t="s">
        <v>1962</v>
      </c>
      <c r="J732" t="s">
        <v>1962</v>
      </c>
      <c r="K732" t="s">
        <v>528</v>
      </c>
      <c r="L732" t="s">
        <v>1963</v>
      </c>
      <c r="M732" t="s">
        <v>35</v>
      </c>
      <c r="N732">
        <v>7502412357</v>
      </c>
      <c r="O732" t="s">
        <v>1964</v>
      </c>
      <c r="P732" t="s">
        <v>1965</v>
      </c>
      <c r="R732" t="s">
        <v>1966</v>
      </c>
      <c r="S732" t="s">
        <v>1967</v>
      </c>
      <c r="T732" t="s">
        <v>3136</v>
      </c>
      <c r="U732" t="s">
        <v>40</v>
      </c>
      <c r="V732" s="1">
        <v>45050</v>
      </c>
      <c r="W732">
        <v>0</v>
      </c>
      <c r="X732">
        <v>11</v>
      </c>
      <c r="AA732" t="s">
        <v>42</v>
      </c>
      <c r="AB732" t="s">
        <v>43</v>
      </c>
      <c r="AC732" t="s">
        <v>43</v>
      </c>
    </row>
    <row r="733" spans="1:31" x14ac:dyDescent="0.4">
      <c r="A733" t="s">
        <v>27</v>
      </c>
      <c r="B733">
        <v>6467</v>
      </c>
      <c r="C733" t="s">
        <v>1970</v>
      </c>
      <c r="D733">
        <v>235</v>
      </c>
      <c r="E733" t="s">
        <v>257</v>
      </c>
      <c r="F733" t="s">
        <v>1968</v>
      </c>
      <c r="G733" t="s">
        <v>1960</v>
      </c>
      <c r="H733" t="s">
        <v>1961</v>
      </c>
      <c r="J733" t="s">
        <v>1962</v>
      </c>
      <c r="K733" t="s">
        <v>528</v>
      </c>
      <c r="L733" t="s">
        <v>1963</v>
      </c>
      <c r="M733" t="s">
        <v>35</v>
      </c>
      <c r="N733">
        <v>7412710041</v>
      </c>
      <c r="O733" t="s">
        <v>1969</v>
      </c>
      <c r="P733" t="s">
        <v>1970</v>
      </c>
      <c r="R733" t="s">
        <v>1971</v>
      </c>
      <c r="S733" t="s">
        <v>1972</v>
      </c>
      <c r="T733" t="s">
        <v>376</v>
      </c>
      <c r="U733" t="s">
        <v>82</v>
      </c>
      <c r="V733" s="1">
        <v>43550</v>
      </c>
      <c r="W733">
        <v>0</v>
      </c>
      <c r="X733">
        <v>8</v>
      </c>
      <c r="AA733" t="s">
        <v>42</v>
      </c>
      <c r="AB733" t="s">
        <v>43</v>
      </c>
      <c r="AC733" t="s">
        <v>43</v>
      </c>
    </row>
    <row r="734" spans="1:31" x14ac:dyDescent="0.4">
      <c r="A734" t="s">
        <v>27</v>
      </c>
      <c r="B734">
        <v>6467</v>
      </c>
      <c r="C734" t="s">
        <v>1970</v>
      </c>
      <c r="D734">
        <v>235</v>
      </c>
      <c r="E734" t="s">
        <v>257</v>
      </c>
      <c r="F734" t="s">
        <v>1968</v>
      </c>
      <c r="G734" t="s">
        <v>1960</v>
      </c>
      <c r="H734" t="s">
        <v>1961</v>
      </c>
      <c r="J734" t="s">
        <v>1962</v>
      </c>
      <c r="K734" t="s">
        <v>528</v>
      </c>
      <c r="L734" t="s">
        <v>1963</v>
      </c>
      <c r="M734" t="s">
        <v>35</v>
      </c>
      <c r="N734">
        <v>7412710041</v>
      </c>
      <c r="O734" t="s">
        <v>1969</v>
      </c>
      <c r="P734" t="s">
        <v>1970</v>
      </c>
      <c r="R734" t="s">
        <v>1971</v>
      </c>
      <c r="S734" t="s">
        <v>1972</v>
      </c>
      <c r="T734" t="s">
        <v>376</v>
      </c>
      <c r="U734" t="s">
        <v>82</v>
      </c>
      <c r="V734" s="1">
        <v>43550</v>
      </c>
      <c r="W734">
        <v>0</v>
      </c>
      <c r="X734">
        <v>10</v>
      </c>
      <c r="AA734" t="s">
        <v>42</v>
      </c>
      <c r="AB734" t="s">
        <v>43</v>
      </c>
      <c r="AC734" t="s">
        <v>43</v>
      </c>
    </row>
    <row r="735" spans="1:31" x14ac:dyDescent="0.4">
      <c r="A735" t="s">
        <v>27</v>
      </c>
      <c r="B735">
        <v>5924</v>
      </c>
      <c r="C735" t="s">
        <v>2994</v>
      </c>
      <c r="D735">
        <v>233</v>
      </c>
      <c r="E735" t="s">
        <v>68</v>
      </c>
      <c r="F735" t="s">
        <v>1341</v>
      </c>
      <c r="G735" t="s">
        <v>1973</v>
      </c>
      <c r="H735" t="s">
        <v>1974</v>
      </c>
      <c r="I735" t="s">
        <v>1975</v>
      </c>
      <c r="J735" t="s">
        <v>1004</v>
      </c>
      <c r="K735" t="s">
        <v>495</v>
      </c>
      <c r="L735" t="s">
        <v>1976</v>
      </c>
      <c r="M735" t="s">
        <v>35</v>
      </c>
      <c r="N735" t="s">
        <v>1977</v>
      </c>
      <c r="O735" t="s">
        <v>1978</v>
      </c>
      <c r="P735" t="s">
        <v>2994</v>
      </c>
      <c r="R735" t="s">
        <v>1979</v>
      </c>
      <c r="S735" t="s">
        <v>1980</v>
      </c>
      <c r="T735" t="s">
        <v>58</v>
      </c>
      <c r="U735" t="s">
        <v>82</v>
      </c>
      <c r="V735" s="1">
        <v>44166</v>
      </c>
      <c r="W735">
        <v>0</v>
      </c>
      <c r="X735">
        <v>7</v>
      </c>
      <c r="AA735" t="s">
        <v>42</v>
      </c>
      <c r="AB735" t="s">
        <v>43</v>
      </c>
      <c r="AC735" t="s">
        <v>43</v>
      </c>
    </row>
    <row r="736" spans="1:31" x14ac:dyDescent="0.4">
      <c r="A736" t="s">
        <v>27</v>
      </c>
      <c r="B736">
        <v>5924</v>
      </c>
      <c r="C736" t="s">
        <v>2994</v>
      </c>
      <c r="D736">
        <v>233</v>
      </c>
      <c r="E736" t="s">
        <v>68</v>
      </c>
      <c r="F736" t="s">
        <v>1341</v>
      </c>
      <c r="G736" t="s">
        <v>1973</v>
      </c>
      <c r="H736" t="s">
        <v>1974</v>
      </c>
      <c r="I736" t="s">
        <v>1975</v>
      </c>
      <c r="J736" t="s">
        <v>1004</v>
      </c>
      <c r="K736" t="s">
        <v>495</v>
      </c>
      <c r="L736" t="s">
        <v>1976</v>
      </c>
      <c r="M736" t="s">
        <v>35</v>
      </c>
      <c r="N736" t="s">
        <v>1977</v>
      </c>
      <c r="O736" t="s">
        <v>1978</v>
      </c>
      <c r="P736" t="s">
        <v>2994</v>
      </c>
      <c r="R736" t="s">
        <v>1979</v>
      </c>
      <c r="S736" t="s">
        <v>1980</v>
      </c>
      <c r="T736" t="s">
        <v>58</v>
      </c>
      <c r="U736" t="s">
        <v>82</v>
      </c>
      <c r="V736" s="1">
        <v>44166</v>
      </c>
      <c r="W736">
        <v>0</v>
      </c>
      <c r="X736">
        <v>19</v>
      </c>
      <c r="AA736" t="s">
        <v>42</v>
      </c>
      <c r="AB736" t="s">
        <v>43</v>
      </c>
      <c r="AC736" t="s">
        <v>43</v>
      </c>
    </row>
    <row r="737" spans="1:31" x14ac:dyDescent="0.4">
      <c r="A737" t="s">
        <v>27</v>
      </c>
      <c r="B737">
        <v>5924</v>
      </c>
      <c r="C737" t="s">
        <v>2994</v>
      </c>
      <c r="D737">
        <v>233</v>
      </c>
      <c r="E737" t="s">
        <v>68</v>
      </c>
      <c r="F737" t="s">
        <v>1341</v>
      </c>
      <c r="G737" t="s">
        <v>1973</v>
      </c>
      <c r="H737" t="s">
        <v>1974</v>
      </c>
      <c r="I737" t="s">
        <v>1975</v>
      </c>
      <c r="J737" t="s">
        <v>1004</v>
      </c>
      <c r="K737" t="s">
        <v>495</v>
      </c>
      <c r="L737" t="s">
        <v>1976</v>
      </c>
      <c r="M737" t="s">
        <v>35</v>
      </c>
      <c r="N737" t="s">
        <v>1977</v>
      </c>
      <c r="O737" t="s">
        <v>1978</v>
      </c>
      <c r="P737" t="s">
        <v>2994</v>
      </c>
      <c r="R737" t="s">
        <v>1979</v>
      </c>
      <c r="S737" t="s">
        <v>1980</v>
      </c>
      <c r="T737" t="s">
        <v>58</v>
      </c>
      <c r="U737" t="s">
        <v>82</v>
      </c>
      <c r="V737" s="1">
        <v>44166</v>
      </c>
      <c r="W737">
        <v>0</v>
      </c>
      <c r="X737">
        <v>21</v>
      </c>
      <c r="AA737" t="s">
        <v>42</v>
      </c>
      <c r="AB737" t="s">
        <v>43</v>
      </c>
      <c r="AC737" t="s">
        <v>43</v>
      </c>
    </row>
    <row r="738" spans="1:31" hidden="1" x14ac:dyDescent="0.4">
      <c r="A738" t="s">
        <v>27</v>
      </c>
      <c r="B738">
        <v>202</v>
      </c>
      <c r="C738" t="s">
        <v>2873</v>
      </c>
      <c r="E738" t="s">
        <v>195</v>
      </c>
      <c r="F738" t="s">
        <v>160</v>
      </c>
      <c r="G738" t="s">
        <v>1981</v>
      </c>
      <c r="H738" t="s">
        <v>1982</v>
      </c>
      <c r="J738" t="s">
        <v>175</v>
      </c>
      <c r="K738" t="s">
        <v>215</v>
      </c>
      <c r="L738" t="s">
        <v>1983</v>
      </c>
      <c r="M738" t="s">
        <v>35</v>
      </c>
      <c r="N738">
        <v>1494445004</v>
      </c>
      <c r="O738" t="s">
        <v>1984</v>
      </c>
      <c r="P738" t="s">
        <v>1985</v>
      </c>
      <c r="R738" t="s">
        <v>1986</v>
      </c>
      <c r="S738" t="s">
        <v>1987</v>
      </c>
      <c r="T738" t="s">
        <v>376</v>
      </c>
      <c r="U738" t="s">
        <v>40</v>
      </c>
      <c r="V738" s="1">
        <v>43301</v>
      </c>
      <c r="W738">
        <v>0</v>
      </c>
      <c r="X738">
        <v>0</v>
      </c>
      <c r="Y738" t="s">
        <v>59</v>
      </c>
      <c r="Z738" t="s">
        <v>464</v>
      </c>
      <c r="AA738" t="s">
        <v>42</v>
      </c>
      <c r="AB738" t="s">
        <v>43</v>
      </c>
      <c r="AC738" t="s">
        <v>42</v>
      </c>
    </row>
    <row r="739" spans="1:31" hidden="1" x14ac:dyDescent="0.4">
      <c r="A739" t="s">
        <v>27</v>
      </c>
      <c r="B739">
        <v>202</v>
      </c>
      <c r="C739" t="s">
        <v>2873</v>
      </c>
      <c r="E739" t="s">
        <v>195</v>
      </c>
      <c r="F739" t="s">
        <v>160</v>
      </c>
      <c r="G739" t="s">
        <v>1981</v>
      </c>
      <c r="H739" t="s">
        <v>1982</v>
      </c>
      <c r="J739" t="s">
        <v>175</v>
      </c>
      <c r="K739" t="s">
        <v>215</v>
      </c>
      <c r="L739" t="s">
        <v>1983</v>
      </c>
      <c r="M739" t="s">
        <v>35</v>
      </c>
      <c r="N739">
        <v>1494445004</v>
      </c>
      <c r="O739" t="s">
        <v>1984</v>
      </c>
      <c r="P739" t="s">
        <v>1985</v>
      </c>
      <c r="R739" t="s">
        <v>1986</v>
      </c>
      <c r="S739" t="s">
        <v>1987</v>
      </c>
      <c r="T739" t="s">
        <v>376</v>
      </c>
      <c r="U739" t="s">
        <v>40</v>
      </c>
      <c r="V739" s="1">
        <v>43301</v>
      </c>
      <c r="W739">
        <v>0</v>
      </c>
      <c r="X739">
        <v>0</v>
      </c>
      <c r="Y739" t="s">
        <v>59</v>
      </c>
      <c r="Z739" t="s">
        <v>464</v>
      </c>
      <c r="AA739" t="s">
        <v>42</v>
      </c>
      <c r="AB739" t="s">
        <v>43</v>
      </c>
      <c r="AC739" t="s">
        <v>42</v>
      </c>
    </row>
    <row r="740" spans="1:31" hidden="1" x14ac:dyDescent="0.4">
      <c r="A740" t="s">
        <v>27</v>
      </c>
      <c r="B740">
        <v>202</v>
      </c>
      <c r="C740" t="s">
        <v>2873</v>
      </c>
      <c r="E740" t="s">
        <v>195</v>
      </c>
      <c r="F740" t="s">
        <v>160</v>
      </c>
      <c r="G740" t="s">
        <v>1981</v>
      </c>
      <c r="H740" t="s">
        <v>1982</v>
      </c>
      <c r="J740" t="s">
        <v>175</v>
      </c>
      <c r="K740" t="s">
        <v>215</v>
      </c>
      <c r="L740" t="s">
        <v>1983</v>
      </c>
      <c r="M740" t="s">
        <v>35</v>
      </c>
      <c r="N740">
        <v>1494445004</v>
      </c>
      <c r="O740" t="s">
        <v>1984</v>
      </c>
      <c r="P740" t="s">
        <v>1985</v>
      </c>
      <c r="R740" t="s">
        <v>1988</v>
      </c>
      <c r="S740" t="s">
        <v>1989</v>
      </c>
      <c r="T740" t="s">
        <v>58</v>
      </c>
      <c r="U740" t="s">
        <v>82</v>
      </c>
      <c r="V740" s="1">
        <v>41218</v>
      </c>
      <c r="W740">
        <v>0</v>
      </c>
      <c r="X740">
        <v>0</v>
      </c>
      <c r="Y740" t="s">
        <v>59</v>
      </c>
      <c r="Z740" t="s">
        <v>464</v>
      </c>
      <c r="AA740" t="s">
        <v>42</v>
      </c>
      <c r="AB740" t="s">
        <v>43</v>
      </c>
      <c r="AC740" t="s">
        <v>42</v>
      </c>
    </row>
    <row r="741" spans="1:31" hidden="1" x14ac:dyDescent="0.4">
      <c r="A741" t="s">
        <v>27</v>
      </c>
      <c r="B741">
        <v>202</v>
      </c>
      <c r="C741" t="s">
        <v>2873</v>
      </c>
      <c r="E741" t="s">
        <v>195</v>
      </c>
      <c r="F741" t="s">
        <v>160</v>
      </c>
      <c r="G741" t="s">
        <v>1981</v>
      </c>
      <c r="H741" t="s">
        <v>1982</v>
      </c>
      <c r="J741" t="s">
        <v>175</v>
      </c>
      <c r="K741" t="s">
        <v>215</v>
      </c>
      <c r="L741" t="s">
        <v>1983</v>
      </c>
      <c r="M741" t="s">
        <v>35</v>
      </c>
      <c r="N741">
        <v>1494445004</v>
      </c>
      <c r="O741" t="s">
        <v>1984</v>
      </c>
      <c r="P741" t="s">
        <v>1985</v>
      </c>
      <c r="R741" t="s">
        <v>1988</v>
      </c>
      <c r="S741" t="s">
        <v>1989</v>
      </c>
      <c r="T741" t="s">
        <v>58</v>
      </c>
      <c r="U741" t="s">
        <v>82</v>
      </c>
      <c r="V741" s="1">
        <v>41218</v>
      </c>
      <c r="W741">
        <v>0</v>
      </c>
      <c r="X741">
        <v>0</v>
      </c>
      <c r="Y741" t="s">
        <v>59</v>
      </c>
      <c r="Z741" t="s">
        <v>464</v>
      </c>
      <c r="AA741" t="s">
        <v>42</v>
      </c>
      <c r="AB741" t="s">
        <v>43</v>
      </c>
      <c r="AC741" t="s">
        <v>42</v>
      </c>
    </row>
    <row r="742" spans="1:31" x14ac:dyDescent="0.4">
      <c r="A742" t="s">
        <v>27</v>
      </c>
      <c r="B742">
        <v>202</v>
      </c>
      <c r="C742" t="s">
        <v>2873</v>
      </c>
      <c r="D742">
        <v>237</v>
      </c>
      <c r="E742" t="s">
        <v>195</v>
      </c>
      <c r="F742" t="s">
        <v>160</v>
      </c>
      <c r="G742" t="s">
        <v>1981</v>
      </c>
      <c r="H742" t="s">
        <v>1982</v>
      </c>
      <c r="J742" t="s">
        <v>175</v>
      </c>
      <c r="K742" t="s">
        <v>215</v>
      </c>
      <c r="L742" t="s">
        <v>1983</v>
      </c>
      <c r="M742" t="s">
        <v>35</v>
      </c>
      <c r="N742">
        <v>1494445004</v>
      </c>
      <c r="O742" t="s">
        <v>1984</v>
      </c>
      <c r="P742" t="s">
        <v>2873</v>
      </c>
      <c r="R742" t="s">
        <v>1990</v>
      </c>
      <c r="S742" t="s">
        <v>1991</v>
      </c>
      <c r="T742" t="s">
        <v>94</v>
      </c>
      <c r="U742" t="s">
        <v>82</v>
      </c>
      <c r="V742" s="1">
        <v>44690</v>
      </c>
      <c r="W742">
        <v>0</v>
      </c>
      <c r="X742">
        <v>4</v>
      </c>
      <c r="Y742" t="s">
        <v>65</v>
      </c>
      <c r="Z742" t="s">
        <v>464</v>
      </c>
      <c r="AA742" t="s">
        <v>42</v>
      </c>
      <c r="AB742" t="s">
        <v>43</v>
      </c>
      <c r="AC742" t="s">
        <v>42</v>
      </c>
    </row>
    <row r="743" spans="1:31" x14ac:dyDescent="0.4">
      <c r="A743" t="s">
        <v>27</v>
      </c>
      <c r="B743">
        <v>202</v>
      </c>
      <c r="C743" t="s">
        <v>2873</v>
      </c>
      <c r="D743">
        <v>237</v>
      </c>
      <c r="E743" t="s">
        <v>195</v>
      </c>
      <c r="F743" t="s">
        <v>160</v>
      </c>
      <c r="G743" t="s">
        <v>1981</v>
      </c>
      <c r="H743" t="s">
        <v>1982</v>
      </c>
      <c r="J743" t="s">
        <v>175</v>
      </c>
      <c r="K743" t="s">
        <v>215</v>
      </c>
      <c r="L743" t="s">
        <v>1983</v>
      </c>
      <c r="M743" t="s">
        <v>35</v>
      </c>
      <c r="N743">
        <v>1494445004</v>
      </c>
      <c r="O743" t="s">
        <v>1984</v>
      </c>
      <c r="P743" t="s">
        <v>2873</v>
      </c>
      <c r="R743" t="s">
        <v>1990</v>
      </c>
      <c r="S743" t="s">
        <v>1991</v>
      </c>
      <c r="T743" t="s">
        <v>94</v>
      </c>
      <c r="U743" t="s">
        <v>82</v>
      </c>
      <c r="V743" s="1">
        <v>44690</v>
      </c>
      <c r="W743">
        <v>0</v>
      </c>
      <c r="X743">
        <v>13</v>
      </c>
      <c r="Z743" t="s">
        <v>464</v>
      </c>
      <c r="AA743" t="s">
        <v>42</v>
      </c>
      <c r="AB743" t="s">
        <v>43</v>
      </c>
      <c r="AC743" t="s">
        <v>42</v>
      </c>
    </row>
    <row r="744" spans="1:31" x14ac:dyDescent="0.4">
      <c r="A744" t="s">
        <v>27</v>
      </c>
      <c r="B744">
        <v>202</v>
      </c>
      <c r="C744" t="s">
        <v>2873</v>
      </c>
      <c r="D744">
        <v>236</v>
      </c>
      <c r="E744" t="s">
        <v>195</v>
      </c>
      <c r="F744" t="s">
        <v>160</v>
      </c>
      <c r="G744" t="s">
        <v>1981</v>
      </c>
      <c r="H744" t="s">
        <v>1982</v>
      </c>
      <c r="J744" t="s">
        <v>175</v>
      </c>
      <c r="K744" t="s">
        <v>215</v>
      </c>
      <c r="L744" t="s">
        <v>1983</v>
      </c>
      <c r="M744" t="s">
        <v>35</v>
      </c>
      <c r="N744">
        <v>1494445004</v>
      </c>
      <c r="O744" t="s">
        <v>1984</v>
      </c>
      <c r="P744" t="s">
        <v>2873</v>
      </c>
      <c r="R744" t="s">
        <v>1992</v>
      </c>
      <c r="S744" t="s">
        <v>1993</v>
      </c>
      <c r="T744" t="s">
        <v>94</v>
      </c>
      <c r="U744" t="s">
        <v>82</v>
      </c>
      <c r="V744" s="1">
        <v>43116</v>
      </c>
      <c r="W744">
        <v>0</v>
      </c>
      <c r="X744">
        <v>6</v>
      </c>
      <c r="Y744" t="s">
        <v>83</v>
      </c>
      <c r="Z744" t="s">
        <v>464</v>
      </c>
      <c r="AA744" t="s">
        <v>42</v>
      </c>
      <c r="AB744" t="s">
        <v>43</v>
      </c>
      <c r="AC744" t="s">
        <v>42</v>
      </c>
    </row>
    <row r="745" spans="1:31" x14ac:dyDescent="0.4">
      <c r="A745" t="s">
        <v>27</v>
      </c>
      <c r="B745">
        <v>202</v>
      </c>
      <c r="C745" t="s">
        <v>2873</v>
      </c>
      <c r="D745">
        <v>236</v>
      </c>
      <c r="E745" t="s">
        <v>195</v>
      </c>
      <c r="F745" t="s">
        <v>160</v>
      </c>
      <c r="G745" t="s">
        <v>1981</v>
      </c>
      <c r="H745" t="s">
        <v>1982</v>
      </c>
      <c r="J745" t="s">
        <v>175</v>
      </c>
      <c r="K745" t="s">
        <v>215</v>
      </c>
      <c r="L745" t="s">
        <v>1983</v>
      </c>
      <c r="M745" t="s">
        <v>35</v>
      </c>
      <c r="N745">
        <v>1494445004</v>
      </c>
      <c r="O745" t="s">
        <v>1984</v>
      </c>
      <c r="P745" t="s">
        <v>2873</v>
      </c>
      <c r="R745" t="s">
        <v>1992</v>
      </c>
      <c r="S745" t="s">
        <v>1993</v>
      </c>
      <c r="T745" t="s">
        <v>94</v>
      </c>
      <c r="U745" t="s">
        <v>82</v>
      </c>
      <c r="V745" s="1">
        <v>43116</v>
      </c>
      <c r="W745">
        <v>0</v>
      </c>
      <c r="X745">
        <v>17</v>
      </c>
      <c r="Z745" t="s">
        <v>464</v>
      </c>
      <c r="AA745" t="s">
        <v>42</v>
      </c>
      <c r="AB745" t="s">
        <v>43</v>
      </c>
      <c r="AC745" t="s">
        <v>42</v>
      </c>
    </row>
    <row r="746" spans="1:31" x14ac:dyDescent="0.4">
      <c r="A746" t="s">
        <v>27</v>
      </c>
      <c r="B746">
        <v>711</v>
      </c>
      <c r="C746" t="s">
        <v>1999</v>
      </c>
      <c r="D746">
        <v>238</v>
      </c>
      <c r="E746" t="s">
        <v>68</v>
      </c>
      <c r="F746" t="s">
        <v>1994</v>
      </c>
      <c r="G746" t="s">
        <v>1995</v>
      </c>
      <c r="H746" t="s">
        <v>1996</v>
      </c>
      <c r="J746" t="s">
        <v>623</v>
      </c>
      <c r="K746" t="s">
        <v>33</v>
      </c>
      <c r="L746" t="s">
        <v>1997</v>
      </c>
      <c r="M746" t="s">
        <v>35</v>
      </c>
      <c r="N746">
        <v>7825777279</v>
      </c>
      <c r="O746" t="s">
        <v>1998</v>
      </c>
      <c r="P746" t="s">
        <v>1999</v>
      </c>
      <c r="R746" t="s">
        <v>2000</v>
      </c>
      <c r="S746" t="s">
        <v>2001</v>
      </c>
      <c r="T746" t="s">
        <v>3063</v>
      </c>
      <c r="U746" t="s">
        <v>82</v>
      </c>
      <c r="V746" s="1">
        <v>44785</v>
      </c>
      <c r="W746">
        <v>0</v>
      </c>
      <c r="X746">
        <v>2</v>
      </c>
      <c r="AA746" t="s">
        <v>42</v>
      </c>
      <c r="AB746" t="s">
        <v>43</v>
      </c>
      <c r="AC746" t="s">
        <v>43</v>
      </c>
      <c r="AE746" t="s">
        <v>2002</v>
      </c>
    </row>
    <row r="747" spans="1:31" hidden="1" x14ac:dyDescent="0.4">
      <c r="A747" t="s">
        <v>27</v>
      </c>
      <c r="B747">
        <v>711</v>
      </c>
      <c r="C747" t="s">
        <v>1999</v>
      </c>
      <c r="E747" t="s">
        <v>68</v>
      </c>
      <c r="F747" t="s">
        <v>1994</v>
      </c>
      <c r="G747" t="s">
        <v>1995</v>
      </c>
      <c r="H747" t="s">
        <v>1996</v>
      </c>
      <c r="J747" t="s">
        <v>623</v>
      </c>
      <c r="K747" t="s">
        <v>33</v>
      </c>
      <c r="L747" t="s">
        <v>1997</v>
      </c>
      <c r="M747" t="s">
        <v>35</v>
      </c>
      <c r="N747">
        <v>7825777279</v>
      </c>
      <c r="O747" t="s">
        <v>1998</v>
      </c>
      <c r="P747" t="s">
        <v>1999</v>
      </c>
      <c r="R747" t="s">
        <v>2003</v>
      </c>
      <c r="S747" t="s">
        <v>2004</v>
      </c>
      <c r="T747" t="s">
        <v>2005</v>
      </c>
      <c r="U747" t="s">
        <v>82</v>
      </c>
      <c r="V747" s="1">
        <v>45711</v>
      </c>
      <c r="W747">
        <v>0</v>
      </c>
      <c r="X747">
        <v>0</v>
      </c>
      <c r="Y747" t="s">
        <v>59</v>
      </c>
      <c r="AA747" t="s">
        <v>42</v>
      </c>
      <c r="AB747" t="s">
        <v>43</v>
      </c>
      <c r="AC747" t="s">
        <v>43</v>
      </c>
      <c r="AE747" t="s">
        <v>2002</v>
      </c>
    </row>
    <row r="748" spans="1:31" x14ac:dyDescent="0.4">
      <c r="A748" t="s">
        <v>27</v>
      </c>
      <c r="B748">
        <v>711</v>
      </c>
      <c r="C748" t="s">
        <v>1999</v>
      </c>
      <c r="D748">
        <v>238</v>
      </c>
      <c r="E748" t="s">
        <v>68</v>
      </c>
      <c r="F748" t="s">
        <v>1994</v>
      </c>
      <c r="G748" t="s">
        <v>1995</v>
      </c>
      <c r="H748" t="s">
        <v>1996</v>
      </c>
      <c r="J748" t="s">
        <v>623</v>
      </c>
      <c r="K748" t="s">
        <v>33</v>
      </c>
      <c r="L748" t="s">
        <v>1997</v>
      </c>
      <c r="M748" t="s">
        <v>35</v>
      </c>
      <c r="N748">
        <v>7825777279</v>
      </c>
      <c r="O748" t="s">
        <v>1998</v>
      </c>
      <c r="P748" t="s">
        <v>1999</v>
      </c>
      <c r="R748" t="s">
        <v>2000</v>
      </c>
      <c r="S748" t="s">
        <v>2001</v>
      </c>
      <c r="T748" t="s">
        <v>3063</v>
      </c>
      <c r="U748" t="s">
        <v>82</v>
      </c>
      <c r="V748" s="1">
        <v>44785</v>
      </c>
      <c r="W748">
        <v>0</v>
      </c>
      <c r="X748">
        <v>3</v>
      </c>
      <c r="AA748" t="s">
        <v>42</v>
      </c>
      <c r="AB748" t="s">
        <v>43</v>
      </c>
      <c r="AC748" t="s">
        <v>43</v>
      </c>
      <c r="AE748" t="s">
        <v>2002</v>
      </c>
    </row>
    <row r="749" spans="1:31" hidden="1" x14ac:dyDescent="0.4">
      <c r="A749" t="s">
        <v>27</v>
      </c>
      <c r="B749">
        <v>711</v>
      </c>
      <c r="C749" t="s">
        <v>1999</v>
      </c>
      <c r="E749" t="s">
        <v>68</v>
      </c>
      <c r="F749" t="s">
        <v>1994</v>
      </c>
      <c r="G749" t="s">
        <v>1995</v>
      </c>
      <c r="H749" t="s">
        <v>1996</v>
      </c>
      <c r="J749" t="s">
        <v>623</v>
      </c>
      <c r="K749" t="s">
        <v>33</v>
      </c>
      <c r="L749" t="s">
        <v>1997</v>
      </c>
      <c r="M749" t="s">
        <v>35</v>
      </c>
      <c r="N749">
        <v>7825777279</v>
      </c>
      <c r="O749" t="s">
        <v>1998</v>
      </c>
      <c r="P749" t="s">
        <v>1999</v>
      </c>
      <c r="R749" t="s">
        <v>2003</v>
      </c>
      <c r="S749" t="s">
        <v>2004</v>
      </c>
      <c r="T749" t="s">
        <v>2005</v>
      </c>
      <c r="U749" t="s">
        <v>82</v>
      </c>
      <c r="V749" s="1">
        <v>45711</v>
      </c>
      <c r="W749">
        <v>0</v>
      </c>
      <c r="X749">
        <v>0</v>
      </c>
      <c r="Y749" t="s">
        <v>59</v>
      </c>
      <c r="AA749" t="s">
        <v>42</v>
      </c>
      <c r="AB749" t="s">
        <v>43</v>
      </c>
      <c r="AC749" t="s">
        <v>43</v>
      </c>
      <c r="AD749" t="s">
        <v>2002</v>
      </c>
    </row>
    <row r="750" spans="1:31" hidden="1" x14ac:dyDescent="0.4">
      <c r="A750" t="s">
        <v>27</v>
      </c>
      <c r="B750">
        <v>711</v>
      </c>
      <c r="C750" t="s">
        <v>1999</v>
      </c>
      <c r="E750" t="s">
        <v>68</v>
      </c>
      <c r="F750" t="s">
        <v>1994</v>
      </c>
      <c r="G750" t="s">
        <v>1995</v>
      </c>
      <c r="H750" t="s">
        <v>1996</v>
      </c>
      <c r="J750" t="s">
        <v>623</v>
      </c>
      <c r="K750" t="s">
        <v>33</v>
      </c>
      <c r="L750" t="s">
        <v>1997</v>
      </c>
      <c r="M750" t="s">
        <v>35</v>
      </c>
      <c r="N750">
        <v>7825777279</v>
      </c>
      <c r="O750" t="s">
        <v>1998</v>
      </c>
      <c r="P750" t="s">
        <v>1999</v>
      </c>
      <c r="R750" t="s">
        <v>2000</v>
      </c>
      <c r="S750" t="s">
        <v>2001</v>
      </c>
      <c r="T750" t="s">
        <v>3063</v>
      </c>
      <c r="U750" t="s">
        <v>82</v>
      </c>
      <c r="V750" s="1">
        <v>44785</v>
      </c>
      <c r="W750">
        <v>0</v>
      </c>
      <c r="X750">
        <v>0</v>
      </c>
      <c r="Y750" t="s">
        <v>59</v>
      </c>
      <c r="AA750" t="s">
        <v>42</v>
      </c>
      <c r="AB750" t="s">
        <v>43</v>
      </c>
      <c r="AC750" t="s">
        <v>43</v>
      </c>
      <c r="AD750" t="s">
        <v>2002</v>
      </c>
    </row>
    <row r="751" spans="1:31" x14ac:dyDescent="0.4">
      <c r="A751" t="s">
        <v>27</v>
      </c>
      <c r="B751">
        <v>2375</v>
      </c>
      <c r="C751" t="s">
        <v>2995</v>
      </c>
      <c r="D751">
        <v>239</v>
      </c>
      <c r="E751" t="s">
        <v>257</v>
      </c>
      <c r="F751" t="s">
        <v>2006</v>
      </c>
      <c r="G751" t="s">
        <v>2007</v>
      </c>
      <c r="H751" t="s">
        <v>2008</v>
      </c>
      <c r="J751" t="s">
        <v>2009</v>
      </c>
      <c r="K751" t="s">
        <v>2010</v>
      </c>
      <c r="L751" t="s">
        <v>2011</v>
      </c>
      <c r="M751" t="s">
        <v>35</v>
      </c>
      <c r="N751">
        <v>1932348810</v>
      </c>
      <c r="O751" t="s">
        <v>2012</v>
      </c>
      <c r="P751" t="s">
        <v>2013</v>
      </c>
      <c r="R751" t="s">
        <v>2014</v>
      </c>
      <c r="S751" t="s">
        <v>2015</v>
      </c>
      <c r="T751" t="s">
        <v>169</v>
      </c>
      <c r="U751" t="s">
        <v>82</v>
      </c>
      <c r="V751" s="1">
        <v>44066</v>
      </c>
      <c r="W751">
        <v>0</v>
      </c>
      <c r="X751">
        <v>5</v>
      </c>
      <c r="Y751" t="s">
        <v>66</v>
      </c>
      <c r="AA751" t="s">
        <v>42</v>
      </c>
      <c r="AB751" t="s">
        <v>43</v>
      </c>
      <c r="AC751" t="s">
        <v>43</v>
      </c>
    </row>
    <row r="752" spans="1:31" x14ac:dyDescent="0.4">
      <c r="A752" t="s">
        <v>27</v>
      </c>
      <c r="B752">
        <v>2375</v>
      </c>
      <c r="C752" t="s">
        <v>2995</v>
      </c>
      <c r="D752">
        <v>239</v>
      </c>
      <c r="E752" t="s">
        <v>257</v>
      </c>
      <c r="F752" t="s">
        <v>2006</v>
      </c>
      <c r="G752" t="s">
        <v>2007</v>
      </c>
      <c r="H752" t="s">
        <v>2008</v>
      </c>
      <c r="J752" t="s">
        <v>2009</v>
      </c>
      <c r="K752" t="s">
        <v>2010</v>
      </c>
      <c r="L752" t="s">
        <v>2011</v>
      </c>
      <c r="M752" t="s">
        <v>35</v>
      </c>
      <c r="N752">
        <v>1932348810</v>
      </c>
      <c r="O752" t="s">
        <v>2012</v>
      </c>
      <c r="P752" t="s">
        <v>2013</v>
      </c>
      <c r="R752" t="s">
        <v>2014</v>
      </c>
      <c r="S752" t="s">
        <v>2015</v>
      </c>
      <c r="T752" t="s">
        <v>169</v>
      </c>
      <c r="U752" t="s">
        <v>82</v>
      </c>
      <c r="V752" s="1">
        <v>44066</v>
      </c>
      <c r="W752">
        <v>0</v>
      </c>
      <c r="X752">
        <v>6</v>
      </c>
      <c r="Y752" t="s">
        <v>83</v>
      </c>
      <c r="AA752" t="s">
        <v>42</v>
      </c>
      <c r="AB752" t="s">
        <v>43</v>
      </c>
      <c r="AC752" t="s">
        <v>43</v>
      </c>
    </row>
    <row r="753" spans="1:29" x14ac:dyDescent="0.4">
      <c r="A753" t="s">
        <v>27</v>
      </c>
      <c r="B753">
        <v>2375</v>
      </c>
      <c r="C753" t="s">
        <v>2995</v>
      </c>
      <c r="D753">
        <v>239</v>
      </c>
      <c r="E753" t="s">
        <v>257</v>
      </c>
      <c r="F753" t="s">
        <v>2006</v>
      </c>
      <c r="G753" t="s">
        <v>2007</v>
      </c>
      <c r="H753" t="s">
        <v>2008</v>
      </c>
      <c r="J753" t="s">
        <v>2009</v>
      </c>
      <c r="K753" t="s">
        <v>2010</v>
      </c>
      <c r="L753" t="s">
        <v>2011</v>
      </c>
      <c r="M753" t="s">
        <v>35</v>
      </c>
      <c r="N753">
        <v>1932348810</v>
      </c>
      <c r="O753" t="s">
        <v>2012</v>
      </c>
      <c r="P753" t="s">
        <v>2013</v>
      </c>
      <c r="R753" t="s">
        <v>2014</v>
      </c>
      <c r="S753" t="s">
        <v>2015</v>
      </c>
      <c r="T753" t="s">
        <v>169</v>
      </c>
      <c r="U753" t="s">
        <v>82</v>
      </c>
      <c r="V753" s="1">
        <v>44066</v>
      </c>
      <c r="W753">
        <v>0</v>
      </c>
      <c r="X753">
        <v>15</v>
      </c>
      <c r="AA753" t="s">
        <v>42</v>
      </c>
      <c r="AB753" t="s">
        <v>43</v>
      </c>
      <c r="AC753" t="s">
        <v>43</v>
      </c>
    </row>
    <row r="754" spans="1:29" x14ac:dyDescent="0.4">
      <c r="A754" t="s">
        <v>27</v>
      </c>
      <c r="B754">
        <v>2375</v>
      </c>
      <c r="C754" t="s">
        <v>2995</v>
      </c>
      <c r="D754">
        <v>239</v>
      </c>
      <c r="E754" t="s">
        <v>257</v>
      </c>
      <c r="F754" t="s">
        <v>2006</v>
      </c>
      <c r="G754" t="s">
        <v>2007</v>
      </c>
      <c r="H754" t="s">
        <v>2008</v>
      </c>
      <c r="J754" t="s">
        <v>2009</v>
      </c>
      <c r="K754" t="s">
        <v>2010</v>
      </c>
      <c r="L754" t="s">
        <v>2011</v>
      </c>
      <c r="M754" t="s">
        <v>35</v>
      </c>
      <c r="N754">
        <v>1932348810</v>
      </c>
      <c r="O754" t="s">
        <v>2012</v>
      </c>
      <c r="P754" t="s">
        <v>2013</v>
      </c>
      <c r="R754" t="s">
        <v>2014</v>
      </c>
      <c r="S754" t="s">
        <v>2015</v>
      </c>
      <c r="T754" t="s">
        <v>169</v>
      </c>
      <c r="U754" t="s">
        <v>82</v>
      </c>
      <c r="V754" s="1">
        <v>44066</v>
      </c>
      <c r="W754">
        <v>0</v>
      </c>
      <c r="X754">
        <v>17</v>
      </c>
      <c r="AA754" t="s">
        <v>42</v>
      </c>
      <c r="AB754" t="s">
        <v>43</v>
      </c>
      <c r="AC754" t="s">
        <v>43</v>
      </c>
    </row>
    <row r="755" spans="1:29" hidden="1" x14ac:dyDescent="0.4">
      <c r="A755" t="s">
        <v>27</v>
      </c>
      <c r="B755">
        <v>680</v>
      </c>
      <c r="C755" t="s">
        <v>2996</v>
      </c>
      <c r="E755" t="s">
        <v>28</v>
      </c>
      <c r="F755" t="s">
        <v>2016</v>
      </c>
      <c r="G755" t="s">
        <v>2017</v>
      </c>
      <c r="H755" t="s">
        <v>2018</v>
      </c>
      <c r="J755" t="s">
        <v>623</v>
      </c>
      <c r="K755" t="s">
        <v>33</v>
      </c>
      <c r="L755" t="s">
        <v>2019</v>
      </c>
      <c r="M755" t="s">
        <v>35</v>
      </c>
      <c r="N755" t="s">
        <v>2020</v>
      </c>
      <c r="O755" t="s">
        <v>2021</v>
      </c>
      <c r="P755" t="s">
        <v>2022</v>
      </c>
      <c r="R755" t="s">
        <v>2023</v>
      </c>
      <c r="S755" t="s">
        <v>2024</v>
      </c>
      <c r="T755" t="s">
        <v>356</v>
      </c>
      <c r="U755" t="s">
        <v>82</v>
      </c>
      <c r="V755" s="1">
        <v>43492</v>
      </c>
      <c r="W755">
        <v>0</v>
      </c>
      <c r="X755">
        <v>0</v>
      </c>
      <c r="Y755" t="s">
        <v>59</v>
      </c>
      <c r="AA755" t="s">
        <v>42</v>
      </c>
      <c r="AB755" t="s">
        <v>43</v>
      </c>
      <c r="AC755" t="s">
        <v>43</v>
      </c>
    </row>
    <row r="756" spans="1:29" hidden="1" x14ac:dyDescent="0.4">
      <c r="A756" t="s">
        <v>27</v>
      </c>
      <c r="B756">
        <v>680</v>
      </c>
      <c r="C756" t="s">
        <v>2996</v>
      </c>
      <c r="E756" t="s">
        <v>28</v>
      </c>
      <c r="F756" t="s">
        <v>2016</v>
      </c>
      <c r="G756" t="s">
        <v>2017</v>
      </c>
      <c r="H756" t="s">
        <v>2018</v>
      </c>
      <c r="J756" t="s">
        <v>623</v>
      </c>
      <c r="K756" t="s">
        <v>33</v>
      </c>
      <c r="L756" t="s">
        <v>2019</v>
      </c>
      <c r="M756" t="s">
        <v>35</v>
      </c>
      <c r="N756" t="s">
        <v>2020</v>
      </c>
      <c r="O756" t="s">
        <v>2021</v>
      </c>
      <c r="P756" t="s">
        <v>2022</v>
      </c>
      <c r="R756" t="s">
        <v>2025</v>
      </c>
      <c r="S756" t="s">
        <v>2026</v>
      </c>
      <c r="T756" t="s">
        <v>356</v>
      </c>
      <c r="U756" t="s">
        <v>40</v>
      </c>
      <c r="V756" s="1">
        <v>42210</v>
      </c>
      <c r="W756">
        <v>0</v>
      </c>
      <c r="X756">
        <v>0</v>
      </c>
      <c r="Y756" t="s">
        <v>59</v>
      </c>
      <c r="AA756" t="s">
        <v>42</v>
      </c>
      <c r="AB756" t="s">
        <v>43</v>
      </c>
      <c r="AC756" t="s">
        <v>43</v>
      </c>
    </row>
    <row r="757" spans="1:29" hidden="1" x14ac:dyDescent="0.4">
      <c r="A757" t="s">
        <v>27</v>
      </c>
      <c r="B757">
        <v>680</v>
      </c>
      <c r="C757" t="s">
        <v>2996</v>
      </c>
      <c r="E757" t="s">
        <v>28</v>
      </c>
      <c r="F757" t="s">
        <v>2016</v>
      </c>
      <c r="G757" t="s">
        <v>2017</v>
      </c>
      <c r="H757" t="s">
        <v>2018</v>
      </c>
      <c r="J757" t="s">
        <v>623</v>
      </c>
      <c r="K757" t="s">
        <v>33</v>
      </c>
      <c r="L757" t="s">
        <v>2019</v>
      </c>
      <c r="M757" t="s">
        <v>35</v>
      </c>
      <c r="N757" t="s">
        <v>2020</v>
      </c>
      <c r="O757" t="s">
        <v>2021</v>
      </c>
      <c r="P757" t="s">
        <v>2022</v>
      </c>
      <c r="R757" t="s">
        <v>2027</v>
      </c>
      <c r="S757" t="s">
        <v>2028</v>
      </c>
      <c r="T757" t="s">
        <v>500</v>
      </c>
      <c r="U757" t="s">
        <v>82</v>
      </c>
      <c r="V757" s="1">
        <v>41418</v>
      </c>
      <c r="W757">
        <v>0</v>
      </c>
      <c r="X757">
        <v>0</v>
      </c>
      <c r="Y757" t="s">
        <v>59</v>
      </c>
      <c r="AA757" t="s">
        <v>42</v>
      </c>
      <c r="AB757" t="s">
        <v>43</v>
      </c>
      <c r="AC757" t="s">
        <v>43</v>
      </c>
    </row>
    <row r="758" spans="1:29" hidden="1" x14ac:dyDescent="0.4">
      <c r="A758" t="s">
        <v>27</v>
      </c>
      <c r="B758">
        <v>680</v>
      </c>
      <c r="C758" t="s">
        <v>2996</v>
      </c>
      <c r="E758" t="s">
        <v>28</v>
      </c>
      <c r="F758" t="s">
        <v>2016</v>
      </c>
      <c r="G758" t="s">
        <v>2017</v>
      </c>
      <c r="H758" t="s">
        <v>2018</v>
      </c>
      <c r="J758" t="s">
        <v>623</v>
      </c>
      <c r="K758" t="s">
        <v>33</v>
      </c>
      <c r="L758" t="s">
        <v>2019</v>
      </c>
      <c r="M758" t="s">
        <v>35</v>
      </c>
      <c r="N758" t="s">
        <v>2020</v>
      </c>
      <c r="O758" t="s">
        <v>2021</v>
      </c>
      <c r="P758" t="s">
        <v>2022</v>
      </c>
      <c r="R758" t="s">
        <v>2023</v>
      </c>
      <c r="S758" t="s">
        <v>2024</v>
      </c>
      <c r="T758" t="s">
        <v>356</v>
      </c>
      <c r="U758" t="s">
        <v>82</v>
      </c>
      <c r="V758" s="1">
        <v>43492</v>
      </c>
      <c r="W758">
        <v>0</v>
      </c>
      <c r="X758">
        <v>0</v>
      </c>
      <c r="Y758" t="s">
        <v>59</v>
      </c>
      <c r="AA758" t="s">
        <v>42</v>
      </c>
      <c r="AB758" t="s">
        <v>43</v>
      </c>
      <c r="AC758" t="s">
        <v>43</v>
      </c>
    </row>
    <row r="759" spans="1:29" hidden="1" x14ac:dyDescent="0.4">
      <c r="A759" t="s">
        <v>27</v>
      </c>
      <c r="B759">
        <v>680</v>
      </c>
      <c r="C759" t="s">
        <v>2996</v>
      </c>
      <c r="E759" t="s">
        <v>28</v>
      </c>
      <c r="F759" t="s">
        <v>2016</v>
      </c>
      <c r="G759" t="s">
        <v>2017</v>
      </c>
      <c r="H759" t="s">
        <v>2018</v>
      </c>
      <c r="J759" t="s">
        <v>623</v>
      </c>
      <c r="K759" t="s">
        <v>33</v>
      </c>
      <c r="L759" t="s">
        <v>2019</v>
      </c>
      <c r="M759" t="s">
        <v>35</v>
      </c>
      <c r="N759" t="s">
        <v>2020</v>
      </c>
      <c r="O759" t="s">
        <v>2021</v>
      </c>
      <c r="P759" t="s">
        <v>2022</v>
      </c>
      <c r="R759" t="s">
        <v>2025</v>
      </c>
      <c r="S759" t="s">
        <v>2026</v>
      </c>
      <c r="T759" t="s">
        <v>356</v>
      </c>
      <c r="U759" t="s">
        <v>40</v>
      </c>
      <c r="V759" s="1">
        <v>42210</v>
      </c>
      <c r="W759">
        <v>0</v>
      </c>
      <c r="X759">
        <v>0</v>
      </c>
      <c r="Y759" t="s">
        <v>59</v>
      </c>
      <c r="AA759" t="s">
        <v>42</v>
      </c>
      <c r="AB759" t="s">
        <v>43</v>
      </c>
      <c r="AC759" t="s">
        <v>43</v>
      </c>
    </row>
    <row r="760" spans="1:29" hidden="1" x14ac:dyDescent="0.4">
      <c r="A760" t="s">
        <v>27</v>
      </c>
      <c r="B760">
        <v>680</v>
      </c>
      <c r="C760" t="s">
        <v>2996</v>
      </c>
      <c r="E760" t="s">
        <v>28</v>
      </c>
      <c r="F760" t="s">
        <v>2016</v>
      </c>
      <c r="G760" t="s">
        <v>2017</v>
      </c>
      <c r="H760" t="s">
        <v>2018</v>
      </c>
      <c r="J760" t="s">
        <v>623</v>
      </c>
      <c r="K760" t="s">
        <v>33</v>
      </c>
      <c r="L760" t="s">
        <v>2019</v>
      </c>
      <c r="M760" t="s">
        <v>35</v>
      </c>
      <c r="N760" t="s">
        <v>2020</v>
      </c>
      <c r="O760" t="s">
        <v>2021</v>
      </c>
      <c r="P760" t="s">
        <v>2022</v>
      </c>
      <c r="R760" t="s">
        <v>2027</v>
      </c>
      <c r="S760" t="s">
        <v>2028</v>
      </c>
      <c r="T760" t="s">
        <v>500</v>
      </c>
      <c r="U760" t="s">
        <v>82</v>
      </c>
      <c r="V760" s="1">
        <v>41418</v>
      </c>
      <c r="W760">
        <v>0</v>
      </c>
      <c r="X760">
        <v>0</v>
      </c>
      <c r="Y760" t="s">
        <v>59</v>
      </c>
      <c r="AA760" t="s">
        <v>42</v>
      </c>
      <c r="AB760" t="s">
        <v>43</v>
      </c>
      <c r="AC760" t="s">
        <v>43</v>
      </c>
    </row>
    <row r="761" spans="1:29" x14ac:dyDescent="0.4">
      <c r="A761" t="s">
        <v>27</v>
      </c>
      <c r="B761">
        <v>2518</v>
      </c>
      <c r="C761" t="s">
        <v>2997</v>
      </c>
      <c r="D761">
        <v>240</v>
      </c>
      <c r="E761" t="s">
        <v>257</v>
      </c>
      <c r="F761" t="s">
        <v>2029</v>
      </c>
      <c r="G761" t="s">
        <v>2030</v>
      </c>
      <c r="H761" t="s">
        <v>2031</v>
      </c>
      <c r="J761" t="s">
        <v>2032</v>
      </c>
      <c r="K761" t="s">
        <v>2033</v>
      </c>
      <c r="L761" t="s">
        <v>2034</v>
      </c>
      <c r="M761" t="s">
        <v>35</v>
      </c>
      <c r="N761" t="s">
        <v>2035</v>
      </c>
      <c r="O761" t="s">
        <v>2036</v>
      </c>
      <c r="P761" t="s">
        <v>2997</v>
      </c>
      <c r="R761" t="s">
        <v>2037</v>
      </c>
      <c r="S761" t="s">
        <v>2038</v>
      </c>
      <c r="T761" t="s">
        <v>284</v>
      </c>
      <c r="U761" t="s">
        <v>40</v>
      </c>
      <c r="V761" s="1">
        <v>43665</v>
      </c>
      <c r="W761">
        <v>0</v>
      </c>
      <c r="X761">
        <v>20</v>
      </c>
      <c r="AA761" t="s">
        <v>42</v>
      </c>
      <c r="AB761" t="s">
        <v>43</v>
      </c>
      <c r="AC761" t="s">
        <v>43</v>
      </c>
    </row>
    <row r="762" spans="1:29" x14ac:dyDescent="0.4">
      <c r="A762" t="s">
        <v>27</v>
      </c>
      <c r="B762">
        <v>1795</v>
      </c>
      <c r="C762" t="s">
        <v>2045</v>
      </c>
      <c r="D762">
        <v>241</v>
      </c>
      <c r="E762" t="s">
        <v>68</v>
      </c>
      <c r="F762" t="s">
        <v>896</v>
      </c>
      <c r="G762" t="s">
        <v>2039</v>
      </c>
      <c r="H762" t="s">
        <v>2040</v>
      </c>
      <c r="J762" t="s">
        <v>2041</v>
      </c>
      <c r="K762" t="s">
        <v>495</v>
      </c>
      <c r="L762" t="s">
        <v>2042</v>
      </c>
      <c r="M762" t="s">
        <v>35</v>
      </c>
      <c r="N762" t="s">
        <v>2043</v>
      </c>
      <c r="O762" t="s">
        <v>2044</v>
      </c>
      <c r="P762" t="s">
        <v>2045</v>
      </c>
      <c r="R762" t="s">
        <v>2046</v>
      </c>
      <c r="S762" t="s">
        <v>2047</v>
      </c>
      <c r="T762" t="s">
        <v>169</v>
      </c>
      <c r="U762" t="s">
        <v>82</v>
      </c>
      <c r="V762" s="1">
        <v>42635</v>
      </c>
      <c r="W762">
        <v>0</v>
      </c>
      <c r="X762">
        <v>13</v>
      </c>
      <c r="AA762" t="s">
        <v>42</v>
      </c>
      <c r="AB762" t="s">
        <v>43</v>
      </c>
      <c r="AC762" t="s">
        <v>42</v>
      </c>
    </row>
    <row r="763" spans="1:29" x14ac:dyDescent="0.4">
      <c r="A763" t="s">
        <v>27</v>
      </c>
      <c r="B763">
        <v>1795</v>
      </c>
      <c r="C763" t="s">
        <v>2045</v>
      </c>
      <c r="D763">
        <v>241</v>
      </c>
      <c r="E763" t="s">
        <v>68</v>
      </c>
      <c r="F763" t="s">
        <v>896</v>
      </c>
      <c r="G763" t="s">
        <v>2039</v>
      </c>
      <c r="H763" t="s">
        <v>2040</v>
      </c>
      <c r="J763" t="s">
        <v>2041</v>
      </c>
      <c r="K763" t="s">
        <v>495</v>
      </c>
      <c r="L763" t="s">
        <v>2042</v>
      </c>
      <c r="M763" t="s">
        <v>35</v>
      </c>
      <c r="N763" t="s">
        <v>2043</v>
      </c>
      <c r="O763" t="s">
        <v>2044</v>
      </c>
      <c r="P763" t="s">
        <v>2045</v>
      </c>
      <c r="R763" t="s">
        <v>2046</v>
      </c>
      <c r="S763" t="s">
        <v>2047</v>
      </c>
      <c r="T763" t="s">
        <v>169</v>
      </c>
      <c r="U763" t="s">
        <v>82</v>
      </c>
      <c r="V763" s="1">
        <v>42635</v>
      </c>
      <c r="W763">
        <v>0</v>
      </c>
      <c r="X763">
        <v>15</v>
      </c>
      <c r="AA763" t="s">
        <v>42</v>
      </c>
      <c r="AB763" t="s">
        <v>43</v>
      </c>
      <c r="AC763" t="s">
        <v>42</v>
      </c>
    </row>
    <row r="764" spans="1:29" hidden="1" x14ac:dyDescent="0.4">
      <c r="A764" t="s">
        <v>27</v>
      </c>
      <c r="B764">
        <v>1795</v>
      </c>
      <c r="C764" t="s">
        <v>2045</v>
      </c>
      <c r="E764" t="s">
        <v>68</v>
      </c>
      <c r="F764" t="s">
        <v>896</v>
      </c>
      <c r="G764" t="s">
        <v>2039</v>
      </c>
      <c r="H764" t="s">
        <v>2040</v>
      </c>
      <c r="J764" t="s">
        <v>2041</v>
      </c>
      <c r="K764" t="s">
        <v>495</v>
      </c>
      <c r="L764" t="s">
        <v>2042</v>
      </c>
      <c r="M764" t="s">
        <v>35</v>
      </c>
      <c r="N764" t="s">
        <v>2043</v>
      </c>
      <c r="O764" t="s">
        <v>2044</v>
      </c>
      <c r="P764" t="s">
        <v>2045</v>
      </c>
      <c r="R764" t="s">
        <v>2048</v>
      </c>
      <c r="S764" t="s">
        <v>2049</v>
      </c>
      <c r="T764" t="s">
        <v>169</v>
      </c>
      <c r="U764" t="s">
        <v>82</v>
      </c>
      <c r="V764" s="1">
        <v>40912</v>
      </c>
      <c r="W764">
        <v>0</v>
      </c>
      <c r="X764">
        <v>0</v>
      </c>
      <c r="Y764" t="s">
        <v>59</v>
      </c>
      <c r="AA764" t="s">
        <v>42</v>
      </c>
      <c r="AB764" t="s">
        <v>43</v>
      </c>
      <c r="AC764" t="s">
        <v>42</v>
      </c>
    </row>
    <row r="765" spans="1:29" hidden="1" x14ac:dyDescent="0.4">
      <c r="A765" t="s">
        <v>27</v>
      </c>
      <c r="B765">
        <v>1795</v>
      </c>
      <c r="C765" t="s">
        <v>2045</v>
      </c>
      <c r="E765" t="s">
        <v>68</v>
      </c>
      <c r="F765" t="s">
        <v>896</v>
      </c>
      <c r="G765" t="s">
        <v>2039</v>
      </c>
      <c r="H765" t="s">
        <v>2040</v>
      </c>
      <c r="J765" t="s">
        <v>2041</v>
      </c>
      <c r="K765" t="s">
        <v>495</v>
      </c>
      <c r="L765" t="s">
        <v>2042</v>
      </c>
      <c r="M765" t="s">
        <v>35</v>
      </c>
      <c r="N765" t="s">
        <v>2043</v>
      </c>
      <c r="O765" t="s">
        <v>2044</v>
      </c>
      <c r="P765" t="s">
        <v>2045</v>
      </c>
      <c r="R765" t="s">
        <v>2050</v>
      </c>
      <c r="S765" t="s">
        <v>2051</v>
      </c>
      <c r="T765" t="s">
        <v>169</v>
      </c>
      <c r="U765" t="s">
        <v>82</v>
      </c>
      <c r="V765" s="1">
        <v>44737</v>
      </c>
      <c r="W765">
        <v>0</v>
      </c>
      <c r="X765">
        <v>0</v>
      </c>
      <c r="Y765" t="s">
        <v>59</v>
      </c>
      <c r="AA765" t="s">
        <v>42</v>
      </c>
      <c r="AB765" t="s">
        <v>43</v>
      </c>
      <c r="AC765" t="s">
        <v>42</v>
      </c>
    </row>
    <row r="766" spans="1:29" x14ac:dyDescent="0.4">
      <c r="A766" t="s">
        <v>27</v>
      </c>
      <c r="B766">
        <v>3907</v>
      </c>
      <c r="C766" t="s">
        <v>2058</v>
      </c>
      <c r="D766">
        <v>242</v>
      </c>
      <c r="E766" t="s">
        <v>28</v>
      </c>
      <c r="F766" t="s">
        <v>2052</v>
      </c>
      <c r="G766" t="s">
        <v>2053</v>
      </c>
      <c r="H766" t="s">
        <v>2054</v>
      </c>
      <c r="J766" t="s">
        <v>623</v>
      </c>
      <c r="K766" t="s">
        <v>33</v>
      </c>
      <c r="L766" t="s">
        <v>2055</v>
      </c>
      <c r="M766" t="s">
        <v>35</v>
      </c>
      <c r="N766" t="s">
        <v>2056</v>
      </c>
      <c r="O766" t="s">
        <v>2057</v>
      </c>
      <c r="P766" t="s">
        <v>2058</v>
      </c>
      <c r="R766" t="s">
        <v>3056</v>
      </c>
      <c r="S766" t="s">
        <v>2060</v>
      </c>
      <c r="T766" t="s">
        <v>2061</v>
      </c>
      <c r="U766" t="s">
        <v>40</v>
      </c>
      <c r="V766" s="1">
        <v>44463</v>
      </c>
      <c r="W766">
        <v>0</v>
      </c>
      <c r="X766">
        <v>4</v>
      </c>
      <c r="Y766" t="s">
        <v>65</v>
      </c>
      <c r="AA766" t="s">
        <v>42</v>
      </c>
      <c r="AB766" t="s">
        <v>43</v>
      </c>
      <c r="AC766" t="s">
        <v>43</v>
      </c>
    </row>
    <row r="767" spans="1:29" x14ac:dyDescent="0.4">
      <c r="A767" t="s">
        <v>27</v>
      </c>
      <c r="B767">
        <v>3907</v>
      </c>
      <c r="C767" t="s">
        <v>2058</v>
      </c>
      <c r="D767">
        <v>242</v>
      </c>
      <c r="E767" t="s">
        <v>28</v>
      </c>
      <c r="F767" t="s">
        <v>2052</v>
      </c>
      <c r="G767" t="s">
        <v>2053</v>
      </c>
      <c r="H767" t="s">
        <v>2054</v>
      </c>
      <c r="J767" t="s">
        <v>623</v>
      </c>
      <c r="K767" t="s">
        <v>33</v>
      </c>
      <c r="L767" t="s">
        <v>2055</v>
      </c>
      <c r="M767" t="s">
        <v>35</v>
      </c>
      <c r="N767" t="s">
        <v>2056</v>
      </c>
      <c r="O767" t="s">
        <v>2057</v>
      </c>
      <c r="P767" t="s">
        <v>2058</v>
      </c>
      <c r="R767" t="s">
        <v>3056</v>
      </c>
      <c r="S767" t="s">
        <v>2060</v>
      </c>
      <c r="T767" t="s">
        <v>2061</v>
      </c>
      <c r="U767" t="s">
        <v>40</v>
      </c>
      <c r="V767" s="1">
        <v>44463</v>
      </c>
      <c r="W767">
        <v>0</v>
      </c>
      <c r="X767">
        <v>5</v>
      </c>
      <c r="Y767" t="s">
        <v>66</v>
      </c>
      <c r="AA767" t="s">
        <v>42</v>
      </c>
      <c r="AB767" t="s">
        <v>43</v>
      </c>
      <c r="AC767" t="s">
        <v>43</v>
      </c>
    </row>
    <row r="768" spans="1:29" x14ac:dyDescent="0.4">
      <c r="A768" t="s">
        <v>27</v>
      </c>
      <c r="B768">
        <v>3907</v>
      </c>
      <c r="C768" t="s">
        <v>2058</v>
      </c>
      <c r="D768">
        <v>242</v>
      </c>
      <c r="E768" t="s">
        <v>28</v>
      </c>
      <c r="F768" t="s">
        <v>2052</v>
      </c>
      <c r="G768" t="s">
        <v>2053</v>
      </c>
      <c r="H768" t="s">
        <v>2054</v>
      </c>
      <c r="J768" t="s">
        <v>623</v>
      </c>
      <c r="K768" t="s">
        <v>33</v>
      </c>
      <c r="L768" t="s">
        <v>2055</v>
      </c>
      <c r="M768" t="s">
        <v>35</v>
      </c>
      <c r="N768" t="s">
        <v>2056</v>
      </c>
      <c r="O768" t="s">
        <v>2057</v>
      </c>
      <c r="P768" t="s">
        <v>2058</v>
      </c>
      <c r="R768" t="s">
        <v>3056</v>
      </c>
      <c r="S768" t="s">
        <v>2060</v>
      </c>
      <c r="T768" t="s">
        <v>2061</v>
      </c>
      <c r="U768" t="s">
        <v>40</v>
      </c>
      <c r="V768" s="1">
        <v>44463</v>
      </c>
      <c r="W768">
        <v>0</v>
      </c>
      <c r="X768">
        <v>12</v>
      </c>
      <c r="AA768" t="s">
        <v>42</v>
      </c>
      <c r="AB768" t="s">
        <v>43</v>
      </c>
      <c r="AC768" t="s">
        <v>43</v>
      </c>
    </row>
    <row r="769" spans="1:30" x14ac:dyDescent="0.4">
      <c r="A769" t="s">
        <v>27</v>
      </c>
      <c r="B769">
        <v>3907</v>
      </c>
      <c r="C769" t="s">
        <v>2058</v>
      </c>
      <c r="D769">
        <v>242</v>
      </c>
      <c r="E769" t="s">
        <v>28</v>
      </c>
      <c r="F769" t="s">
        <v>2052</v>
      </c>
      <c r="G769" t="s">
        <v>2053</v>
      </c>
      <c r="H769" t="s">
        <v>2054</v>
      </c>
      <c r="J769" t="s">
        <v>623</v>
      </c>
      <c r="K769" t="s">
        <v>33</v>
      </c>
      <c r="L769" t="s">
        <v>2055</v>
      </c>
      <c r="M769" t="s">
        <v>35</v>
      </c>
      <c r="N769" t="s">
        <v>2056</v>
      </c>
      <c r="O769" t="s">
        <v>2057</v>
      </c>
      <c r="P769" t="s">
        <v>2058</v>
      </c>
      <c r="R769" t="s">
        <v>3056</v>
      </c>
      <c r="S769" t="s">
        <v>2060</v>
      </c>
      <c r="T769" t="s">
        <v>2061</v>
      </c>
      <c r="U769" t="s">
        <v>40</v>
      </c>
      <c r="V769" s="1">
        <v>44463</v>
      </c>
      <c r="W769">
        <v>0</v>
      </c>
      <c r="X769">
        <v>16</v>
      </c>
      <c r="AA769" t="s">
        <v>42</v>
      </c>
      <c r="AB769" t="s">
        <v>43</v>
      </c>
      <c r="AC769" t="s">
        <v>43</v>
      </c>
    </row>
    <row r="770" spans="1:30" hidden="1" x14ac:dyDescent="0.4">
      <c r="A770" t="s">
        <v>27</v>
      </c>
      <c r="B770">
        <v>4432</v>
      </c>
      <c r="C770" t="s">
        <v>2066</v>
      </c>
      <c r="E770" t="s">
        <v>28</v>
      </c>
      <c r="F770" t="s">
        <v>535</v>
      </c>
      <c r="G770" t="s">
        <v>2062</v>
      </c>
      <c r="H770" t="s">
        <v>2063</v>
      </c>
      <c r="J770" t="s">
        <v>152</v>
      </c>
      <c r="K770" t="s">
        <v>73</v>
      </c>
      <c r="L770" t="s">
        <v>2064</v>
      </c>
      <c r="M770" t="s">
        <v>35</v>
      </c>
      <c r="N770">
        <v>7803365872</v>
      </c>
      <c r="O770" t="s">
        <v>2065</v>
      </c>
      <c r="P770" t="s">
        <v>2066</v>
      </c>
      <c r="R770" t="s">
        <v>2067</v>
      </c>
      <c r="S770" t="s">
        <v>2068</v>
      </c>
      <c r="T770" t="s">
        <v>79</v>
      </c>
      <c r="U770" t="s">
        <v>40</v>
      </c>
      <c r="V770" s="1">
        <v>41171</v>
      </c>
      <c r="W770">
        <v>0</v>
      </c>
      <c r="X770">
        <v>0</v>
      </c>
      <c r="Y770" t="s">
        <v>59</v>
      </c>
      <c r="Z770" t="s">
        <v>135</v>
      </c>
      <c r="AA770" t="s">
        <v>42</v>
      </c>
      <c r="AB770" t="s">
        <v>43</v>
      </c>
      <c r="AC770" t="s">
        <v>42</v>
      </c>
    </row>
    <row r="771" spans="1:30" hidden="1" x14ac:dyDescent="0.4">
      <c r="A771" t="s">
        <v>27</v>
      </c>
      <c r="B771">
        <v>4432</v>
      </c>
      <c r="C771" t="s">
        <v>2066</v>
      </c>
      <c r="E771" t="s">
        <v>28</v>
      </c>
      <c r="F771" t="s">
        <v>535</v>
      </c>
      <c r="G771" t="s">
        <v>2062</v>
      </c>
      <c r="H771" t="s">
        <v>2063</v>
      </c>
      <c r="J771" t="s">
        <v>152</v>
      </c>
      <c r="K771" t="s">
        <v>73</v>
      </c>
      <c r="L771" t="s">
        <v>2064</v>
      </c>
      <c r="M771" t="s">
        <v>35</v>
      </c>
      <c r="N771">
        <v>7803365872</v>
      </c>
      <c r="O771" t="s">
        <v>2065</v>
      </c>
      <c r="P771" t="s">
        <v>2066</v>
      </c>
      <c r="R771" t="s">
        <v>2067</v>
      </c>
      <c r="S771" t="s">
        <v>2068</v>
      </c>
      <c r="T771" t="s">
        <v>79</v>
      </c>
      <c r="U771" t="s">
        <v>40</v>
      </c>
      <c r="V771" s="1">
        <v>41171</v>
      </c>
      <c r="W771">
        <v>0</v>
      </c>
      <c r="X771">
        <v>0</v>
      </c>
      <c r="Y771" t="s">
        <v>59</v>
      </c>
      <c r="Z771" t="s">
        <v>135</v>
      </c>
      <c r="AA771" t="s">
        <v>42</v>
      </c>
      <c r="AB771" t="s">
        <v>43</v>
      </c>
      <c r="AC771" t="s">
        <v>42</v>
      </c>
    </row>
    <row r="772" spans="1:30" x14ac:dyDescent="0.4">
      <c r="A772" t="s">
        <v>27</v>
      </c>
      <c r="B772">
        <v>4432</v>
      </c>
      <c r="C772" t="s">
        <v>2066</v>
      </c>
      <c r="D772">
        <v>243</v>
      </c>
      <c r="E772" t="s">
        <v>28</v>
      </c>
      <c r="F772" t="s">
        <v>535</v>
      </c>
      <c r="G772" t="s">
        <v>2062</v>
      </c>
      <c r="H772" t="s">
        <v>2063</v>
      </c>
      <c r="J772" t="s">
        <v>152</v>
      </c>
      <c r="K772" t="s">
        <v>73</v>
      </c>
      <c r="L772" t="s">
        <v>2064</v>
      </c>
      <c r="M772" t="s">
        <v>35</v>
      </c>
      <c r="N772">
        <v>7803365872</v>
      </c>
      <c r="O772" t="s">
        <v>2065</v>
      </c>
      <c r="P772" t="s">
        <v>2066</v>
      </c>
      <c r="R772" t="s">
        <v>2069</v>
      </c>
      <c r="S772" t="s">
        <v>2070</v>
      </c>
      <c r="T772" t="s">
        <v>94</v>
      </c>
      <c r="U772" t="s">
        <v>40</v>
      </c>
      <c r="V772" s="1">
        <v>44671</v>
      </c>
      <c r="W772">
        <v>0</v>
      </c>
      <c r="X772">
        <v>5</v>
      </c>
      <c r="Y772" t="s">
        <v>66</v>
      </c>
      <c r="Z772" t="s">
        <v>135</v>
      </c>
      <c r="AA772" t="s">
        <v>42</v>
      </c>
      <c r="AB772" t="s">
        <v>43</v>
      </c>
      <c r="AC772" t="s">
        <v>42</v>
      </c>
    </row>
    <row r="773" spans="1:30" x14ac:dyDescent="0.4">
      <c r="A773" t="s">
        <v>27</v>
      </c>
      <c r="B773">
        <v>4432</v>
      </c>
      <c r="C773" t="s">
        <v>2066</v>
      </c>
      <c r="D773">
        <v>243</v>
      </c>
      <c r="E773" t="s">
        <v>28</v>
      </c>
      <c r="F773" t="s">
        <v>535</v>
      </c>
      <c r="G773" t="s">
        <v>2062</v>
      </c>
      <c r="H773" t="s">
        <v>2063</v>
      </c>
      <c r="J773" t="s">
        <v>152</v>
      </c>
      <c r="K773" t="s">
        <v>73</v>
      </c>
      <c r="L773" t="s">
        <v>2064</v>
      </c>
      <c r="M773" t="s">
        <v>35</v>
      </c>
      <c r="N773">
        <v>7803365872</v>
      </c>
      <c r="O773" t="s">
        <v>2065</v>
      </c>
      <c r="P773" t="s">
        <v>2066</v>
      </c>
      <c r="R773" t="s">
        <v>2069</v>
      </c>
      <c r="S773" t="s">
        <v>2070</v>
      </c>
      <c r="T773" t="s">
        <v>94</v>
      </c>
      <c r="U773" t="s">
        <v>40</v>
      </c>
      <c r="V773" s="1">
        <v>44671</v>
      </c>
      <c r="W773">
        <v>0</v>
      </c>
      <c r="X773">
        <v>14</v>
      </c>
      <c r="Z773" t="s">
        <v>135</v>
      </c>
      <c r="AA773" t="s">
        <v>42</v>
      </c>
      <c r="AB773" t="s">
        <v>43</v>
      </c>
      <c r="AC773" t="s">
        <v>42</v>
      </c>
    </row>
    <row r="774" spans="1:30" x14ac:dyDescent="0.4">
      <c r="A774" t="s">
        <v>27</v>
      </c>
      <c r="B774">
        <v>4432</v>
      </c>
      <c r="C774" t="s">
        <v>2066</v>
      </c>
      <c r="D774">
        <v>243</v>
      </c>
      <c r="E774" t="s">
        <v>28</v>
      </c>
      <c r="F774" t="s">
        <v>535</v>
      </c>
      <c r="G774" t="s">
        <v>2062</v>
      </c>
      <c r="H774" t="s">
        <v>2063</v>
      </c>
      <c r="J774" t="s">
        <v>152</v>
      </c>
      <c r="K774" t="s">
        <v>73</v>
      </c>
      <c r="L774" t="s">
        <v>2064</v>
      </c>
      <c r="M774" t="s">
        <v>35</v>
      </c>
      <c r="N774">
        <v>7803365872</v>
      </c>
      <c r="O774" t="s">
        <v>2065</v>
      </c>
      <c r="P774" t="s">
        <v>2066</v>
      </c>
      <c r="R774" t="s">
        <v>2069</v>
      </c>
      <c r="S774" t="s">
        <v>2070</v>
      </c>
      <c r="T774" t="s">
        <v>94</v>
      </c>
      <c r="U774" t="s">
        <v>40</v>
      </c>
      <c r="V774" s="1">
        <v>44671</v>
      </c>
      <c r="W774">
        <v>0</v>
      </c>
      <c r="X774">
        <v>6</v>
      </c>
      <c r="Y774" t="s">
        <v>83</v>
      </c>
      <c r="Z774" t="s">
        <v>135</v>
      </c>
      <c r="AA774" t="s">
        <v>42</v>
      </c>
      <c r="AB774" t="s">
        <v>43</v>
      </c>
      <c r="AC774" t="s">
        <v>42</v>
      </c>
    </row>
    <row r="775" spans="1:30" x14ac:dyDescent="0.4">
      <c r="A775" t="s">
        <v>27</v>
      </c>
      <c r="B775">
        <v>608</v>
      </c>
      <c r="C775" t="s">
        <v>2998</v>
      </c>
      <c r="D775">
        <v>244</v>
      </c>
      <c r="E775" t="s">
        <v>68</v>
      </c>
      <c r="F775" t="s">
        <v>2071</v>
      </c>
      <c r="G775" t="s">
        <v>2072</v>
      </c>
      <c r="H775" t="s">
        <v>2073</v>
      </c>
      <c r="J775" t="s">
        <v>175</v>
      </c>
      <c r="K775" t="s">
        <v>215</v>
      </c>
      <c r="L775" t="s">
        <v>2074</v>
      </c>
      <c r="M775" t="s">
        <v>35</v>
      </c>
      <c r="N775" t="s">
        <v>2075</v>
      </c>
      <c r="O775" t="s">
        <v>2076</v>
      </c>
      <c r="P775" t="s">
        <v>2998</v>
      </c>
      <c r="R775" t="s">
        <v>2077</v>
      </c>
      <c r="S775" t="s">
        <v>2078</v>
      </c>
      <c r="T775" t="s">
        <v>58</v>
      </c>
      <c r="U775" t="s">
        <v>40</v>
      </c>
      <c r="V775" s="1">
        <v>44743</v>
      </c>
      <c r="W775">
        <v>0</v>
      </c>
      <c r="X775">
        <v>4</v>
      </c>
      <c r="Y775" t="s">
        <v>65</v>
      </c>
      <c r="AA775" t="s">
        <v>42</v>
      </c>
      <c r="AB775" t="s">
        <v>43</v>
      </c>
      <c r="AC775" t="s">
        <v>42</v>
      </c>
    </row>
    <row r="776" spans="1:30" x14ac:dyDescent="0.4">
      <c r="A776" t="s">
        <v>27</v>
      </c>
      <c r="B776">
        <v>608</v>
      </c>
      <c r="C776" t="s">
        <v>2998</v>
      </c>
      <c r="D776">
        <v>244</v>
      </c>
      <c r="E776" t="s">
        <v>68</v>
      </c>
      <c r="F776" t="s">
        <v>2071</v>
      </c>
      <c r="G776" t="s">
        <v>2072</v>
      </c>
      <c r="H776" t="s">
        <v>2073</v>
      </c>
      <c r="J776" t="s">
        <v>175</v>
      </c>
      <c r="K776" t="s">
        <v>215</v>
      </c>
      <c r="L776" t="s">
        <v>2074</v>
      </c>
      <c r="M776" t="s">
        <v>35</v>
      </c>
      <c r="N776" t="s">
        <v>2075</v>
      </c>
      <c r="O776" t="s">
        <v>2076</v>
      </c>
      <c r="P776" t="s">
        <v>2998</v>
      </c>
      <c r="R776" t="s">
        <v>2077</v>
      </c>
      <c r="S776" t="s">
        <v>2078</v>
      </c>
      <c r="T776" t="s">
        <v>58</v>
      </c>
      <c r="U776" t="s">
        <v>40</v>
      </c>
      <c r="V776" s="1">
        <v>44743</v>
      </c>
      <c r="W776">
        <v>0</v>
      </c>
      <c r="X776">
        <v>5</v>
      </c>
      <c r="Y776" t="s">
        <v>66</v>
      </c>
      <c r="AA776" t="s">
        <v>42</v>
      </c>
      <c r="AB776" t="s">
        <v>43</v>
      </c>
      <c r="AC776" t="s">
        <v>42</v>
      </c>
    </row>
    <row r="777" spans="1:30" x14ac:dyDescent="0.4">
      <c r="A777" t="s">
        <v>27</v>
      </c>
      <c r="B777">
        <v>608</v>
      </c>
      <c r="C777" t="s">
        <v>2998</v>
      </c>
      <c r="D777">
        <v>244</v>
      </c>
      <c r="E777" t="s">
        <v>68</v>
      </c>
      <c r="F777" t="s">
        <v>2071</v>
      </c>
      <c r="G777" t="s">
        <v>2072</v>
      </c>
      <c r="H777" t="s">
        <v>2073</v>
      </c>
      <c r="J777" t="s">
        <v>175</v>
      </c>
      <c r="K777" t="s">
        <v>215</v>
      </c>
      <c r="L777" t="s">
        <v>2074</v>
      </c>
      <c r="M777" t="s">
        <v>35</v>
      </c>
      <c r="N777" t="s">
        <v>2075</v>
      </c>
      <c r="O777" t="s">
        <v>2076</v>
      </c>
      <c r="P777" t="s">
        <v>2998</v>
      </c>
      <c r="R777" t="s">
        <v>2077</v>
      </c>
      <c r="S777" t="s">
        <v>2078</v>
      </c>
      <c r="T777" t="s">
        <v>58</v>
      </c>
      <c r="U777" t="s">
        <v>40</v>
      </c>
      <c r="V777" s="1">
        <v>44743</v>
      </c>
      <c r="W777">
        <v>0</v>
      </c>
      <c r="X777">
        <v>12</v>
      </c>
      <c r="AA777" t="s">
        <v>42</v>
      </c>
      <c r="AB777" t="s">
        <v>43</v>
      </c>
      <c r="AC777" t="s">
        <v>42</v>
      </c>
    </row>
    <row r="778" spans="1:30" x14ac:dyDescent="0.4">
      <c r="A778" t="s">
        <v>27</v>
      </c>
      <c r="B778">
        <v>608</v>
      </c>
      <c r="C778" t="s">
        <v>2998</v>
      </c>
      <c r="D778">
        <v>244</v>
      </c>
      <c r="E778" t="s">
        <v>68</v>
      </c>
      <c r="F778" t="s">
        <v>2071</v>
      </c>
      <c r="G778" t="s">
        <v>2072</v>
      </c>
      <c r="H778" t="s">
        <v>2073</v>
      </c>
      <c r="J778" t="s">
        <v>175</v>
      </c>
      <c r="K778" t="s">
        <v>215</v>
      </c>
      <c r="L778" t="s">
        <v>2074</v>
      </c>
      <c r="M778" t="s">
        <v>35</v>
      </c>
      <c r="N778" t="s">
        <v>2075</v>
      </c>
      <c r="O778" t="s">
        <v>2076</v>
      </c>
      <c r="P778" t="s">
        <v>2998</v>
      </c>
      <c r="R778" t="s">
        <v>2077</v>
      </c>
      <c r="S778" t="s">
        <v>2078</v>
      </c>
      <c r="T778" t="s">
        <v>58</v>
      </c>
      <c r="U778" t="s">
        <v>40</v>
      </c>
      <c r="V778" s="1">
        <v>44743</v>
      </c>
      <c r="W778">
        <v>0</v>
      </c>
      <c r="X778">
        <v>14</v>
      </c>
      <c r="AA778" t="s">
        <v>42</v>
      </c>
      <c r="AB778" t="s">
        <v>43</v>
      </c>
      <c r="AC778" t="s">
        <v>42</v>
      </c>
    </row>
    <row r="779" spans="1:30" x14ac:dyDescent="0.4">
      <c r="A779" t="s">
        <v>27</v>
      </c>
      <c r="B779">
        <v>280</v>
      </c>
      <c r="C779" t="s">
        <v>2999</v>
      </c>
      <c r="D779">
        <v>245</v>
      </c>
      <c r="E779" t="s">
        <v>68</v>
      </c>
      <c r="F779" t="s">
        <v>2079</v>
      </c>
      <c r="G779" t="s">
        <v>2080</v>
      </c>
      <c r="H779" t="s">
        <v>2081</v>
      </c>
      <c r="J779" t="s">
        <v>2082</v>
      </c>
      <c r="K779" t="s">
        <v>73</v>
      </c>
      <c r="L779" t="s">
        <v>2083</v>
      </c>
      <c r="M779" t="s">
        <v>35</v>
      </c>
      <c r="N779">
        <v>1293411945</v>
      </c>
      <c r="O779" t="s">
        <v>2084</v>
      </c>
      <c r="P779" t="s">
        <v>2999</v>
      </c>
      <c r="R779" t="s">
        <v>2085</v>
      </c>
      <c r="S779" t="s">
        <v>2086</v>
      </c>
      <c r="T779" t="s">
        <v>58</v>
      </c>
      <c r="U779" t="s">
        <v>40</v>
      </c>
      <c r="V779" s="1">
        <v>41487</v>
      </c>
      <c r="W779">
        <v>0</v>
      </c>
      <c r="X779">
        <v>4</v>
      </c>
      <c r="Y779" t="s">
        <v>65</v>
      </c>
      <c r="AA779" t="s">
        <v>42</v>
      </c>
      <c r="AB779" t="s">
        <v>43</v>
      </c>
      <c r="AC779" t="s">
        <v>43</v>
      </c>
    </row>
    <row r="780" spans="1:30" x14ac:dyDescent="0.4">
      <c r="A780" t="s">
        <v>27</v>
      </c>
      <c r="B780">
        <v>280</v>
      </c>
      <c r="C780" t="s">
        <v>2999</v>
      </c>
      <c r="D780">
        <v>245</v>
      </c>
      <c r="E780" t="s">
        <v>68</v>
      </c>
      <c r="F780" t="s">
        <v>2079</v>
      </c>
      <c r="G780" t="s">
        <v>2080</v>
      </c>
      <c r="H780" t="s">
        <v>2081</v>
      </c>
      <c r="J780" t="s">
        <v>2082</v>
      </c>
      <c r="K780" t="s">
        <v>73</v>
      </c>
      <c r="L780" t="s">
        <v>2083</v>
      </c>
      <c r="M780" t="s">
        <v>35</v>
      </c>
      <c r="N780">
        <v>1293411945</v>
      </c>
      <c r="O780" t="s">
        <v>2084</v>
      </c>
      <c r="P780" t="s">
        <v>2999</v>
      </c>
      <c r="R780" t="s">
        <v>2085</v>
      </c>
      <c r="S780" t="s">
        <v>2086</v>
      </c>
      <c r="T780" t="s">
        <v>58</v>
      </c>
      <c r="U780" t="s">
        <v>40</v>
      </c>
      <c r="V780" s="1">
        <v>41487</v>
      </c>
      <c r="W780">
        <v>0</v>
      </c>
      <c r="X780">
        <v>5</v>
      </c>
      <c r="Y780" t="s">
        <v>66</v>
      </c>
      <c r="AA780" t="s">
        <v>42</v>
      </c>
      <c r="AB780" t="s">
        <v>43</v>
      </c>
      <c r="AC780" t="s">
        <v>43</v>
      </c>
    </row>
    <row r="781" spans="1:30" x14ac:dyDescent="0.4">
      <c r="A781" t="s">
        <v>27</v>
      </c>
      <c r="B781">
        <v>280</v>
      </c>
      <c r="C781" t="s">
        <v>2999</v>
      </c>
      <c r="D781">
        <v>245</v>
      </c>
      <c r="E781" t="s">
        <v>68</v>
      </c>
      <c r="F781" t="s">
        <v>2079</v>
      </c>
      <c r="G781" t="s">
        <v>2080</v>
      </c>
      <c r="H781" t="s">
        <v>2081</v>
      </c>
      <c r="J781" t="s">
        <v>2082</v>
      </c>
      <c r="K781" t="s">
        <v>73</v>
      </c>
      <c r="L781" t="s">
        <v>2083</v>
      </c>
      <c r="M781" t="s">
        <v>35</v>
      </c>
      <c r="N781">
        <v>1293411945</v>
      </c>
      <c r="O781" t="s">
        <v>2084</v>
      </c>
      <c r="P781" t="s">
        <v>2999</v>
      </c>
      <c r="R781" t="s">
        <v>2085</v>
      </c>
      <c r="S781" t="s">
        <v>2086</v>
      </c>
      <c r="T781" t="s">
        <v>58</v>
      </c>
      <c r="U781" t="s">
        <v>40</v>
      </c>
      <c r="V781" s="1">
        <v>41487</v>
      </c>
      <c r="W781">
        <v>0</v>
      </c>
      <c r="X781">
        <v>12</v>
      </c>
      <c r="AA781" t="s">
        <v>42</v>
      </c>
      <c r="AB781" t="s">
        <v>43</v>
      </c>
      <c r="AC781" t="s">
        <v>43</v>
      </c>
    </row>
    <row r="782" spans="1:30" x14ac:dyDescent="0.4">
      <c r="A782" t="s">
        <v>27</v>
      </c>
      <c r="B782">
        <v>280</v>
      </c>
      <c r="C782" t="s">
        <v>2999</v>
      </c>
      <c r="D782">
        <v>245</v>
      </c>
      <c r="E782" t="s">
        <v>68</v>
      </c>
      <c r="F782" t="s">
        <v>2079</v>
      </c>
      <c r="G782" t="s">
        <v>2080</v>
      </c>
      <c r="H782" t="s">
        <v>2081</v>
      </c>
      <c r="J782" t="s">
        <v>2082</v>
      </c>
      <c r="K782" t="s">
        <v>73</v>
      </c>
      <c r="L782" t="s">
        <v>2083</v>
      </c>
      <c r="M782" t="s">
        <v>35</v>
      </c>
      <c r="N782">
        <v>1293411945</v>
      </c>
      <c r="O782" t="s">
        <v>2084</v>
      </c>
      <c r="P782" t="s">
        <v>2999</v>
      </c>
      <c r="R782" t="s">
        <v>2085</v>
      </c>
      <c r="S782" t="s">
        <v>2086</v>
      </c>
      <c r="T782" t="s">
        <v>58</v>
      </c>
      <c r="U782" t="s">
        <v>40</v>
      </c>
      <c r="V782" s="1">
        <v>41487</v>
      </c>
      <c r="W782">
        <v>0</v>
      </c>
      <c r="X782">
        <v>14</v>
      </c>
      <c r="AA782" t="s">
        <v>42</v>
      </c>
      <c r="AB782" t="s">
        <v>43</v>
      </c>
      <c r="AC782" t="s">
        <v>43</v>
      </c>
    </row>
    <row r="783" spans="1:30" hidden="1" x14ac:dyDescent="0.4">
      <c r="A783" t="s">
        <v>27</v>
      </c>
      <c r="B783">
        <v>479</v>
      </c>
      <c r="C783" t="s">
        <v>3000</v>
      </c>
      <c r="E783" t="s">
        <v>68</v>
      </c>
      <c r="F783" t="s">
        <v>2087</v>
      </c>
      <c r="G783" t="s">
        <v>2088</v>
      </c>
      <c r="H783" t="s">
        <v>2089</v>
      </c>
      <c r="I783" t="s">
        <v>2090</v>
      </c>
      <c r="J783" t="s">
        <v>2091</v>
      </c>
      <c r="K783" t="s">
        <v>2010</v>
      </c>
      <c r="L783" t="s">
        <v>2092</v>
      </c>
      <c r="M783" t="s">
        <v>35</v>
      </c>
      <c r="N783">
        <v>7913896867</v>
      </c>
      <c r="O783" t="s">
        <v>2093</v>
      </c>
      <c r="P783" t="s">
        <v>2094</v>
      </c>
      <c r="R783" t="s">
        <v>2095</v>
      </c>
      <c r="S783" t="s">
        <v>2096</v>
      </c>
      <c r="T783" t="s">
        <v>58</v>
      </c>
      <c r="U783" t="s">
        <v>40</v>
      </c>
      <c r="V783" s="1">
        <v>41926</v>
      </c>
      <c r="W783">
        <v>0</v>
      </c>
      <c r="X783">
        <v>0</v>
      </c>
      <c r="Y783" t="s">
        <v>59</v>
      </c>
      <c r="AA783" t="s">
        <v>42</v>
      </c>
      <c r="AB783" t="s">
        <v>43</v>
      </c>
      <c r="AC783" t="s">
        <v>42</v>
      </c>
      <c r="AD783" t="s">
        <v>2097</v>
      </c>
    </row>
    <row r="784" spans="1:30" hidden="1" x14ac:dyDescent="0.4">
      <c r="A784" t="s">
        <v>27</v>
      </c>
      <c r="B784">
        <v>479</v>
      </c>
      <c r="C784" t="s">
        <v>3000</v>
      </c>
      <c r="E784" t="s">
        <v>68</v>
      </c>
      <c r="F784" t="s">
        <v>2087</v>
      </c>
      <c r="G784" t="s">
        <v>2088</v>
      </c>
      <c r="H784" t="s">
        <v>2089</v>
      </c>
      <c r="I784" t="s">
        <v>2090</v>
      </c>
      <c r="J784" t="s">
        <v>2091</v>
      </c>
      <c r="K784" t="s">
        <v>2010</v>
      </c>
      <c r="L784" t="s">
        <v>2092</v>
      </c>
      <c r="M784" t="s">
        <v>35</v>
      </c>
      <c r="N784">
        <v>7913896867</v>
      </c>
      <c r="O784" t="s">
        <v>2093</v>
      </c>
      <c r="P784" t="s">
        <v>2094</v>
      </c>
      <c r="R784" t="s">
        <v>2098</v>
      </c>
      <c r="S784" t="s">
        <v>2099</v>
      </c>
      <c r="T784" t="s">
        <v>58</v>
      </c>
      <c r="U784" t="s">
        <v>40</v>
      </c>
      <c r="V784" s="1">
        <v>45559</v>
      </c>
      <c r="W784">
        <v>0</v>
      </c>
      <c r="X784">
        <v>0</v>
      </c>
      <c r="Y784" t="s">
        <v>59</v>
      </c>
      <c r="AA784" t="s">
        <v>42</v>
      </c>
      <c r="AB784" t="s">
        <v>43</v>
      </c>
      <c r="AC784" t="s">
        <v>42</v>
      </c>
      <c r="AD784" t="s">
        <v>2097</v>
      </c>
    </row>
    <row r="785" spans="1:31" hidden="1" x14ac:dyDescent="0.4">
      <c r="A785" t="s">
        <v>27</v>
      </c>
      <c r="B785">
        <v>479</v>
      </c>
      <c r="C785" t="s">
        <v>3000</v>
      </c>
      <c r="E785" t="s">
        <v>68</v>
      </c>
      <c r="F785" t="s">
        <v>2087</v>
      </c>
      <c r="G785" t="s">
        <v>2088</v>
      </c>
      <c r="H785" t="s">
        <v>2089</v>
      </c>
      <c r="I785" t="s">
        <v>2090</v>
      </c>
      <c r="J785" t="s">
        <v>2091</v>
      </c>
      <c r="K785" t="s">
        <v>2010</v>
      </c>
      <c r="L785" t="s">
        <v>2092</v>
      </c>
      <c r="M785" t="s">
        <v>35</v>
      </c>
      <c r="N785">
        <v>7913896867</v>
      </c>
      <c r="O785" t="s">
        <v>2093</v>
      </c>
      <c r="P785" t="s">
        <v>2094</v>
      </c>
      <c r="R785" t="s">
        <v>2100</v>
      </c>
      <c r="S785" t="s">
        <v>2101</v>
      </c>
      <c r="T785" t="s">
        <v>58</v>
      </c>
      <c r="U785" t="s">
        <v>82</v>
      </c>
      <c r="V785" s="1">
        <v>42690</v>
      </c>
      <c r="W785">
        <v>0</v>
      </c>
      <c r="X785">
        <v>0</v>
      </c>
      <c r="Y785" t="s">
        <v>59</v>
      </c>
      <c r="AA785" t="s">
        <v>42</v>
      </c>
      <c r="AB785" t="s">
        <v>43</v>
      </c>
      <c r="AC785" t="s">
        <v>42</v>
      </c>
      <c r="AD785" t="s">
        <v>2097</v>
      </c>
    </row>
    <row r="786" spans="1:31" hidden="1" x14ac:dyDescent="0.4">
      <c r="A786" t="s">
        <v>27</v>
      </c>
      <c r="B786">
        <v>479</v>
      </c>
      <c r="C786" t="s">
        <v>3000</v>
      </c>
      <c r="E786" t="s">
        <v>68</v>
      </c>
      <c r="F786" t="s">
        <v>2087</v>
      </c>
      <c r="G786" t="s">
        <v>2088</v>
      </c>
      <c r="H786" t="s">
        <v>2089</v>
      </c>
      <c r="I786" t="s">
        <v>2090</v>
      </c>
      <c r="J786" t="s">
        <v>2091</v>
      </c>
      <c r="K786" t="s">
        <v>2010</v>
      </c>
      <c r="L786" t="s">
        <v>2092</v>
      </c>
      <c r="M786" t="s">
        <v>35</v>
      </c>
      <c r="N786">
        <v>7913896867</v>
      </c>
      <c r="O786" t="s">
        <v>2093</v>
      </c>
      <c r="P786" t="s">
        <v>2094</v>
      </c>
      <c r="R786" t="s">
        <v>2102</v>
      </c>
      <c r="S786" t="s">
        <v>2103</v>
      </c>
      <c r="T786" t="s">
        <v>58</v>
      </c>
      <c r="U786" t="s">
        <v>82</v>
      </c>
      <c r="V786" s="1">
        <v>43886</v>
      </c>
      <c r="W786">
        <v>0</v>
      </c>
      <c r="X786">
        <v>0</v>
      </c>
      <c r="Y786" t="s">
        <v>59</v>
      </c>
      <c r="AA786" t="s">
        <v>42</v>
      </c>
      <c r="AB786" t="s">
        <v>43</v>
      </c>
      <c r="AC786" t="s">
        <v>42</v>
      </c>
      <c r="AD786" t="s">
        <v>2097</v>
      </c>
    </row>
    <row r="787" spans="1:31" hidden="1" x14ac:dyDescent="0.4">
      <c r="A787" t="s">
        <v>27</v>
      </c>
      <c r="B787">
        <v>479</v>
      </c>
      <c r="C787" t="s">
        <v>3000</v>
      </c>
      <c r="E787" t="s">
        <v>68</v>
      </c>
      <c r="F787" t="s">
        <v>2087</v>
      </c>
      <c r="G787" t="s">
        <v>2088</v>
      </c>
      <c r="H787" t="s">
        <v>2089</v>
      </c>
      <c r="I787" t="s">
        <v>2090</v>
      </c>
      <c r="J787" t="s">
        <v>2091</v>
      </c>
      <c r="K787" t="s">
        <v>2010</v>
      </c>
      <c r="L787" t="s">
        <v>2092</v>
      </c>
      <c r="M787" t="s">
        <v>35</v>
      </c>
      <c r="N787">
        <v>7913896867</v>
      </c>
      <c r="O787" t="s">
        <v>2093</v>
      </c>
      <c r="P787" t="s">
        <v>2094</v>
      </c>
      <c r="R787" t="s">
        <v>2098</v>
      </c>
      <c r="S787" t="s">
        <v>2099</v>
      </c>
      <c r="T787" t="s">
        <v>58</v>
      </c>
      <c r="U787" t="s">
        <v>40</v>
      </c>
      <c r="V787" s="1">
        <v>45559</v>
      </c>
      <c r="W787">
        <v>0</v>
      </c>
      <c r="X787">
        <v>0</v>
      </c>
      <c r="Y787" t="s">
        <v>59</v>
      </c>
      <c r="AA787" t="s">
        <v>42</v>
      </c>
      <c r="AB787" t="s">
        <v>43</v>
      </c>
      <c r="AC787" t="s">
        <v>42</v>
      </c>
      <c r="AD787" t="s">
        <v>2097</v>
      </c>
    </row>
    <row r="788" spans="1:31" x14ac:dyDescent="0.4">
      <c r="A788" t="s">
        <v>27</v>
      </c>
      <c r="B788">
        <v>479</v>
      </c>
      <c r="C788" t="s">
        <v>3000</v>
      </c>
      <c r="D788">
        <v>247</v>
      </c>
      <c r="E788" t="s">
        <v>68</v>
      </c>
      <c r="F788" t="s">
        <v>2087</v>
      </c>
      <c r="G788" t="s">
        <v>2088</v>
      </c>
      <c r="H788" t="s">
        <v>2089</v>
      </c>
      <c r="I788" t="s">
        <v>2090</v>
      </c>
      <c r="J788" t="s">
        <v>2091</v>
      </c>
      <c r="K788" t="s">
        <v>2010</v>
      </c>
      <c r="L788" t="s">
        <v>2092</v>
      </c>
      <c r="M788" t="s">
        <v>35</v>
      </c>
      <c r="N788">
        <v>7913896867</v>
      </c>
      <c r="O788" t="s">
        <v>2093</v>
      </c>
      <c r="P788" t="s">
        <v>3069</v>
      </c>
      <c r="R788" t="s">
        <v>2100</v>
      </c>
      <c r="S788" t="s">
        <v>2101</v>
      </c>
      <c r="T788" t="s">
        <v>58</v>
      </c>
      <c r="U788" t="s">
        <v>82</v>
      </c>
      <c r="V788" s="1">
        <v>42690</v>
      </c>
      <c r="W788">
        <v>0</v>
      </c>
      <c r="X788">
        <v>19</v>
      </c>
      <c r="AA788" t="s">
        <v>42</v>
      </c>
      <c r="AB788" t="s">
        <v>43</v>
      </c>
      <c r="AC788" t="s">
        <v>42</v>
      </c>
      <c r="AE788" t="s">
        <v>2097</v>
      </c>
    </row>
    <row r="789" spans="1:31" x14ac:dyDescent="0.4">
      <c r="A789" t="s">
        <v>27</v>
      </c>
      <c r="B789">
        <v>479</v>
      </c>
      <c r="C789" t="s">
        <v>3000</v>
      </c>
      <c r="D789">
        <v>248</v>
      </c>
      <c r="E789" t="s">
        <v>68</v>
      </c>
      <c r="F789" t="s">
        <v>2087</v>
      </c>
      <c r="G789" t="s">
        <v>2088</v>
      </c>
      <c r="H789" t="s">
        <v>2089</v>
      </c>
      <c r="I789" t="s">
        <v>2090</v>
      </c>
      <c r="J789" t="s">
        <v>2091</v>
      </c>
      <c r="K789" t="s">
        <v>2010</v>
      </c>
      <c r="L789" t="s">
        <v>2092</v>
      </c>
      <c r="M789" t="s">
        <v>35</v>
      </c>
      <c r="N789">
        <v>7913896867</v>
      </c>
      <c r="O789" t="s">
        <v>2093</v>
      </c>
      <c r="P789" t="s">
        <v>3069</v>
      </c>
      <c r="R789" t="s">
        <v>2102</v>
      </c>
      <c r="S789" t="s">
        <v>2103</v>
      </c>
      <c r="T789" t="s">
        <v>58</v>
      </c>
      <c r="U789" t="s">
        <v>82</v>
      </c>
      <c r="V789" s="1">
        <v>43886</v>
      </c>
      <c r="W789">
        <v>0</v>
      </c>
      <c r="X789">
        <v>19</v>
      </c>
      <c r="AA789" t="s">
        <v>42</v>
      </c>
      <c r="AB789" t="s">
        <v>43</v>
      </c>
      <c r="AC789" t="s">
        <v>42</v>
      </c>
      <c r="AE789" t="s">
        <v>2097</v>
      </c>
    </row>
    <row r="790" spans="1:31" x14ac:dyDescent="0.4">
      <c r="A790" t="s">
        <v>27</v>
      </c>
      <c r="B790">
        <v>479</v>
      </c>
      <c r="C790" t="s">
        <v>3000</v>
      </c>
      <c r="D790">
        <v>246</v>
      </c>
      <c r="E790" t="s">
        <v>68</v>
      </c>
      <c r="F790" t="s">
        <v>2087</v>
      </c>
      <c r="G790" t="s">
        <v>2088</v>
      </c>
      <c r="H790" t="s">
        <v>2089</v>
      </c>
      <c r="I790" t="s">
        <v>2090</v>
      </c>
      <c r="J790" t="s">
        <v>2091</v>
      </c>
      <c r="K790" t="s">
        <v>2010</v>
      </c>
      <c r="L790" t="s">
        <v>2092</v>
      </c>
      <c r="M790" t="s">
        <v>35</v>
      </c>
      <c r="N790">
        <v>7913896867</v>
      </c>
      <c r="O790" t="s">
        <v>2093</v>
      </c>
      <c r="P790" t="s">
        <v>3069</v>
      </c>
      <c r="R790" t="s">
        <v>2095</v>
      </c>
      <c r="S790" t="s">
        <v>2096</v>
      </c>
      <c r="T790" t="s">
        <v>58</v>
      </c>
      <c r="U790" t="s">
        <v>40</v>
      </c>
      <c r="V790" s="1">
        <v>41926</v>
      </c>
      <c r="W790">
        <v>0</v>
      </c>
      <c r="X790">
        <v>18</v>
      </c>
      <c r="AA790" t="s">
        <v>42</v>
      </c>
      <c r="AB790" t="s">
        <v>43</v>
      </c>
      <c r="AC790" t="s">
        <v>42</v>
      </c>
      <c r="AE790" t="s">
        <v>2097</v>
      </c>
    </row>
    <row r="791" spans="1:31" x14ac:dyDescent="0.4">
      <c r="A791" t="s">
        <v>27</v>
      </c>
      <c r="B791">
        <v>479</v>
      </c>
      <c r="C791" t="s">
        <v>3000</v>
      </c>
      <c r="D791">
        <v>247</v>
      </c>
      <c r="E791" t="s">
        <v>68</v>
      </c>
      <c r="F791" t="s">
        <v>2087</v>
      </c>
      <c r="G791" t="s">
        <v>2088</v>
      </c>
      <c r="H791" t="s">
        <v>2089</v>
      </c>
      <c r="I791" t="s">
        <v>2090</v>
      </c>
      <c r="J791" t="s">
        <v>2091</v>
      </c>
      <c r="K791" t="s">
        <v>2010</v>
      </c>
      <c r="L791" t="s">
        <v>2092</v>
      </c>
      <c r="M791" t="s">
        <v>35</v>
      </c>
      <c r="N791">
        <v>7913896867</v>
      </c>
      <c r="O791" t="s">
        <v>2093</v>
      </c>
      <c r="P791" t="s">
        <v>3069</v>
      </c>
      <c r="R791" t="s">
        <v>2100</v>
      </c>
      <c r="S791" t="s">
        <v>2101</v>
      </c>
      <c r="T791" t="s">
        <v>58</v>
      </c>
      <c r="U791" t="s">
        <v>82</v>
      </c>
      <c r="V791" s="1">
        <v>42690</v>
      </c>
      <c r="W791">
        <v>0</v>
      </c>
      <c r="X791">
        <v>21</v>
      </c>
      <c r="AA791" t="s">
        <v>42</v>
      </c>
      <c r="AB791" t="s">
        <v>43</v>
      </c>
      <c r="AC791" t="s">
        <v>42</v>
      </c>
      <c r="AE791" t="s">
        <v>2097</v>
      </c>
    </row>
    <row r="792" spans="1:31" x14ac:dyDescent="0.4">
      <c r="A792" t="s">
        <v>27</v>
      </c>
      <c r="B792">
        <v>479</v>
      </c>
      <c r="C792" t="s">
        <v>3000</v>
      </c>
      <c r="D792">
        <v>248</v>
      </c>
      <c r="E792" t="s">
        <v>68</v>
      </c>
      <c r="F792" t="s">
        <v>2087</v>
      </c>
      <c r="G792" t="s">
        <v>2088</v>
      </c>
      <c r="H792" t="s">
        <v>2089</v>
      </c>
      <c r="I792" t="s">
        <v>2090</v>
      </c>
      <c r="J792" t="s">
        <v>2091</v>
      </c>
      <c r="K792" t="s">
        <v>2010</v>
      </c>
      <c r="L792" t="s">
        <v>2092</v>
      </c>
      <c r="M792" t="s">
        <v>35</v>
      </c>
      <c r="N792">
        <v>7913896867</v>
      </c>
      <c r="O792" t="s">
        <v>2093</v>
      </c>
      <c r="P792" t="s">
        <v>3069</v>
      </c>
      <c r="R792" t="s">
        <v>2102</v>
      </c>
      <c r="S792" t="s">
        <v>2103</v>
      </c>
      <c r="T792" t="s">
        <v>58</v>
      </c>
      <c r="U792" t="s">
        <v>82</v>
      </c>
      <c r="V792" s="1">
        <v>43886</v>
      </c>
      <c r="W792">
        <v>0</v>
      </c>
      <c r="X792">
        <v>21</v>
      </c>
      <c r="AA792" t="s">
        <v>42</v>
      </c>
      <c r="AB792" t="s">
        <v>43</v>
      </c>
      <c r="AC792" t="s">
        <v>42</v>
      </c>
      <c r="AE792" t="s">
        <v>2097</v>
      </c>
    </row>
    <row r="793" spans="1:31" x14ac:dyDescent="0.4">
      <c r="A793" t="s">
        <v>27</v>
      </c>
      <c r="B793">
        <v>3514</v>
      </c>
      <c r="C793" t="s">
        <v>2110</v>
      </c>
      <c r="D793">
        <v>249</v>
      </c>
      <c r="E793" t="s">
        <v>28</v>
      </c>
      <c r="F793" t="s">
        <v>2104</v>
      </c>
      <c r="G793" t="s">
        <v>2105</v>
      </c>
      <c r="H793" t="s">
        <v>2106</v>
      </c>
      <c r="I793" t="s">
        <v>2107</v>
      </c>
      <c r="J793" t="s">
        <v>2091</v>
      </c>
      <c r="K793" t="s">
        <v>2010</v>
      </c>
      <c r="L793" t="s">
        <v>2108</v>
      </c>
      <c r="M793" t="s">
        <v>35</v>
      </c>
      <c r="N793">
        <v>1342834927</v>
      </c>
      <c r="O793" t="s">
        <v>2109</v>
      </c>
      <c r="P793" t="s">
        <v>3083</v>
      </c>
      <c r="R793" t="s">
        <v>2111</v>
      </c>
      <c r="S793" t="s">
        <v>2112</v>
      </c>
      <c r="T793" t="s">
        <v>58</v>
      </c>
      <c r="U793" t="s">
        <v>40</v>
      </c>
      <c r="V793" s="1">
        <v>44867</v>
      </c>
      <c r="W793">
        <v>0</v>
      </c>
      <c r="X793">
        <v>12</v>
      </c>
      <c r="AA793" t="s">
        <v>42</v>
      </c>
      <c r="AB793" t="s">
        <v>43</v>
      </c>
      <c r="AC793" t="s">
        <v>43</v>
      </c>
    </row>
    <row r="794" spans="1:31" x14ac:dyDescent="0.4">
      <c r="A794" t="s">
        <v>27</v>
      </c>
      <c r="B794">
        <v>3514</v>
      </c>
      <c r="C794" t="s">
        <v>2110</v>
      </c>
      <c r="D794">
        <v>249</v>
      </c>
      <c r="E794" t="s">
        <v>28</v>
      </c>
      <c r="F794" t="s">
        <v>2104</v>
      </c>
      <c r="G794" t="s">
        <v>2105</v>
      </c>
      <c r="H794" t="s">
        <v>2106</v>
      </c>
      <c r="I794" t="s">
        <v>2107</v>
      </c>
      <c r="J794" t="s">
        <v>2091</v>
      </c>
      <c r="K794" t="s">
        <v>2010</v>
      </c>
      <c r="L794" t="s">
        <v>2108</v>
      </c>
      <c r="M794" t="s">
        <v>35</v>
      </c>
      <c r="N794">
        <v>1342834927</v>
      </c>
      <c r="O794" t="s">
        <v>2109</v>
      </c>
      <c r="P794" t="s">
        <v>3083</v>
      </c>
      <c r="R794" t="s">
        <v>2111</v>
      </c>
      <c r="S794" t="s">
        <v>2112</v>
      </c>
      <c r="T794" t="s">
        <v>58</v>
      </c>
      <c r="U794" t="s">
        <v>40</v>
      </c>
      <c r="V794" s="1">
        <v>44867</v>
      </c>
      <c r="W794">
        <v>0</v>
      </c>
      <c r="X794">
        <v>14</v>
      </c>
      <c r="AA794" t="s">
        <v>42</v>
      </c>
      <c r="AB794" t="s">
        <v>43</v>
      </c>
      <c r="AC794" t="s">
        <v>43</v>
      </c>
    </row>
    <row r="795" spans="1:31" hidden="1" x14ac:dyDescent="0.4">
      <c r="A795" t="s">
        <v>27</v>
      </c>
      <c r="B795">
        <v>3514</v>
      </c>
      <c r="C795" t="s">
        <v>2110</v>
      </c>
      <c r="E795" t="s">
        <v>28</v>
      </c>
      <c r="F795" t="s">
        <v>2104</v>
      </c>
      <c r="G795" t="s">
        <v>2105</v>
      </c>
      <c r="H795" t="s">
        <v>2106</v>
      </c>
      <c r="I795" t="s">
        <v>2107</v>
      </c>
      <c r="J795" t="s">
        <v>2091</v>
      </c>
      <c r="K795" t="s">
        <v>2010</v>
      </c>
      <c r="L795" t="s">
        <v>2108</v>
      </c>
      <c r="M795" t="s">
        <v>35</v>
      </c>
      <c r="N795">
        <v>1342834927</v>
      </c>
      <c r="O795" t="s">
        <v>2109</v>
      </c>
      <c r="P795" t="s">
        <v>2110</v>
      </c>
      <c r="R795" t="s">
        <v>2113</v>
      </c>
      <c r="S795" t="s">
        <v>2114</v>
      </c>
      <c r="T795" t="s">
        <v>2115</v>
      </c>
      <c r="U795" t="s">
        <v>40</v>
      </c>
      <c r="V795" s="1">
        <v>44497</v>
      </c>
      <c r="W795">
        <v>0</v>
      </c>
      <c r="X795">
        <v>0</v>
      </c>
      <c r="Y795" t="s">
        <v>59</v>
      </c>
      <c r="AA795" t="s">
        <v>42</v>
      </c>
      <c r="AB795" t="s">
        <v>43</v>
      </c>
      <c r="AC795" t="s">
        <v>43</v>
      </c>
    </row>
    <row r="796" spans="1:31" hidden="1" x14ac:dyDescent="0.4">
      <c r="A796" t="s">
        <v>27</v>
      </c>
      <c r="B796">
        <v>3514</v>
      </c>
      <c r="C796" t="s">
        <v>2110</v>
      </c>
      <c r="E796" t="s">
        <v>28</v>
      </c>
      <c r="F796" t="s">
        <v>2104</v>
      </c>
      <c r="G796" t="s">
        <v>2105</v>
      </c>
      <c r="H796" t="s">
        <v>2106</v>
      </c>
      <c r="I796" t="s">
        <v>2107</v>
      </c>
      <c r="J796" t="s">
        <v>2091</v>
      </c>
      <c r="K796" t="s">
        <v>2010</v>
      </c>
      <c r="L796" t="s">
        <v>2108</v>
      </c>
      <c r="M796" t="s">
        <v>35</v>
      </c>
      <c r="N796">
        <v>1342834927</v>
      </c>
      <c r="O796" t="s">
        <v>2109</v>
      </c>
      <c r="P796" t="s">
        <v>2110</v>
      </c>
      <c r="R796" t="s">
        <v>2116</v>
      </c>
      <c r="S796" t="s">
        <v>2117</v>
      </c>
      <c r="U796" t="s">
        <v>40</v>
      </c>
      <c r="V796" s="1">
        <v>42713</v>
      </c>
      <c r="W796">
        <v>0</v>
      </c>
      <c r="X796">
        <v>0</v>
      </c>
      <c r="Y796" t="s">
        <v>59</v>
      </c>
      <c r="AA796" t="s">
        <v>42</v>
      </c>
      <c r="AB796" t="s">
        <v>43</v>
      </c>
      <c r="AC796" t="s">
        <v>43</v>
      </c>
    </row>
    <row r="797" spans="1:31" x14ac:dyDescent="0.4">
      <c r="A797" t="s">
        <v>27</v>
      </c>
      <c r="B797">
        <v>6448</v>
      </c>
      <c r="C797" t="s">
        <v>3001</v>
      </c>
      <c r="D797">
        <v>250</v>
      </c>
      <c r="E797" t="s">
        <v>68</v>
      </c>
      <c r="F797" t="s">
        <v>2118</v>
      </c>
      <c r="G797" t="s">
        <v>2119</v>
      </c>
      <c r="H797" t="s">
        <v>2120</v>
      </c>
      <c r="I797" t="s">
        <v>2121</v>
      </c>
      <c r="J797" t="s">
        <v>2122</v>
      </c>
      <c r="K797" t="s">
        <v>1492</v>
      </c>
      <c r="L797" t="s">
        <v>2123</v>
      </c>
      <c r="M797" t="s">
        <v>35</v>
      </c>
      <c r="N797">
        <v>7516549616</v>
      </c>
      <c r="O797" t="s">
        <v>2124</v>
      </c>
      <c r="P797" t="s">
        <v>3001</v>
      </c>
      <c r="R797" t="s">
        <v>2125</v>
      </c>
      <c r="S797" t="s">
        <v>2126</v>
      </c>
      <c r="T797" t="s">
        <v>2127</v>
      </c>
      <c r="U797" t="s">
        <v>82</v>
      </c>
      <c r="V797" s="1">
        <v>43191</v>
      </c>
      <c r="W797">
        <v>0</v>
      </c>
      <c r="X797">
        <v>8</v>
      </c>
      <c r="AA797" t="s">
        <v>42</v>
      </c>
      <c r="AB797" t="s">
        <v>43</v>
      </c>
      <c r="AC797" t="s">
        <v>43</v>
      </c>
      <c r="AE797" t="s">
        <v>2128</v>
      </c>
    </row>
    <row r="798" spans="1:31" x14ac:dyDescent="0.4">
      <c r="A798" t="s">
        <v>27</v>
      </c>
      <c r="B798">
        <v>6448</v>
      </c>
      <c r="C798" t="s">
        <v>3001</v>
      </c>
      <c r="D798">
        <v>251</v>
      </c>
      <c r="E798" t="s">
        <v>68</v>
      </c>
      <c r="F798" t="s">
        <v>2118</v>
      </c>
      <c r="G798" t="s">
        <v>2119</v>
      </c>
      <c r="H798" t="s">
        <v>2120</v>
      </c>
      <c r="I798" t="s">
        <v>2121</v>
      </c>
      <c r="J798" t="s">
        <v>2122</v>
      </c>
      <c r="K798" t="s">
        <v>1492</v>
      </c>
      <c r="L798" t="s">
        <v>2123</v>
      </c>
      <c r="M798" t="s">
        <v>35</v>
      </c>
      <c r="N798">
        <v>7516549616</v>
      </c>
      <c r="O798" t="s">
        <v>2124</v>
      </c>
      <c r="P798" t="s">
        <v>3137</v>
      </c>
      <c r="R798" t="s">
        <v>2129</v>
      </c>
      <c r="S798" t="s">
        <v>2130</v>
      </c>
      <c r="T798" t="s">
        <v>2127</v>
      </c>
      <c r="U798" t="s">
        <v>40</v>
      </c>
      <c r="V798" s="1">
        <v>43017</v>
      </c>
      <c r="W798">
        <v>0</v>
      </c>
      <c r="X798">
        <v>8</v>
      </c>
      <c r="AA798" t="s">
        <v>42</v>
      </c>
      <c r="AB798" t="s">
        <v>43</v>
      </c>
      <c r="AC798" t="s">
        <v>43</v>
      </c>
      <c r="AE798" t="s">
        <v>2128</v>
      </c>
    </row>
    <row r="799" spans="1:31" x14ac:dyDescent="0.4">
      <c r="A799" t="s">
        <v>27</v>
      </c>
      <c r="B799">
        <v>6448</v>
      </c>
      <c r="C799" t="s">
        <v>3001</v>
      </c>
      <c r="D799">
        <v>250</v>
      </c>
      <c r="E799" t="s">
        <v>68</v>
      </c>
      <c r="F799" t="s">
        <v>2118</v>
      </c>
      <c r="G799" t="s">
        <v>2119</v>
      </c>
      <c r="H799" t="s">
        <v>2120</v>
      </c>
      <c r="I799" t="s">
        <v>2121</v>
      </c>
      <c r="J799" t="s">
        <v>2122</v>
      </c>
      <c r="K799" t="s">
        <v>1492</v>
      </c>
      <c r="L799" t="s">
        <v>2123</v>
      </c>
      <c r="M799" t="s">
        <v>35</v>
      </c>
      <c r="N799">
        <v>7516549616</v>
      </c>
      <c r="O799" t="s">
        <v>2124</v>
      </c>
      <c r="P799" t="s">
        <v>3001</v>
      </c>
      <c r="R799" t="s">
        <v>2125</v>
      </c>
      <c r="S799" t="s">
        <v>2126</v>
      </c>
      <c r="T799" t="s">
        <v>2127</v>
      </c>
      <c r="U799" t="s">
        <v>82</v>
      </c>
      <c r="V799" s="1">
        <v>43191</v>
      </c>
      <c r="W799">
        <v>0</v>
      </c>
      <c r="X799">
        <v>9</v>
      </c>
      <c r="AA799" t="s">
        <v>42</v>
      </c>
      <c r="AB799" t="s">
        <v>43</v>
      </c>
      <c r="AC799" t="s">
        <v>43</v>
      </c>
      <c r="AE799" t="s">
        <v>2128</v>
      </c>
    </row>
    <row r="800" spans="1:31" x14ac:dyDescent="0.4">
      <c r="A800" t="s">
        <v>27</v>
      </c>
      <c r="B800">
        <v>6448</v>
      </c>
      <c r="C800" t="s">
        <v>3001</v>
      </c>
      <c r="D800">
        <v>250</v>
      </c>
      <c r="E800" t="s">
        <v>68</v>
      </c>
      <c r="F800" t="s">
        <v>2118</v>
      </c>
      <c r="G800" t="s">
        <v>2119</v>
      </c>
      <c r="H800" t="s">
        <v>2120</v>
      </c>
      <c r="I800" t="s">
        <v>2121</v>
      </c>
      <c r="J800" t="s">
        <v>2122</v>
      </c>
      <c r="K800" t="s">
        <v>1492</v>
      </c>
      <c r="L800" t="s">
        <v>2123</v>
      </c>
      <c r="M800" t="s">
        <v>35</v>
      </c>
      <c r="N800">
        <v>7516549616</v>
      </c>
      <c r="O800" t="s">
        <v>2124</v>
      </c>
      <c r="P800" t="s">
        <v>3001</v>
      </c>
      <c r="R800" t="s">
        <v>2125</v>
      </c>
      <c r="S800" t="s">
        <v>2126</v>
      </c>
      <c r="T800" t="s">
        <v>2127</v>
      </c>
      <c r="U800" t="s">
        <v>82</v>
      </c>
      <c r="V800" s="1">
        <v>43191</v>
      </c>
      <c r="W800">
        <v>0</v>
      </c>
      <c r="X800">
        <v>10</v>
      </c>
      <c r="AA800" t="s">
        <v>42</v>
      </c>
      <c r="AB800" t="s">
        <v>43</v>
      </c>
      <c r="AC800" t="s">
        <v>43</v>
      </c>
      <c r="AE800" t="s">
        <v>2128</v>
      </c>
    </row>
    <row r="801" spans="1:31" x14ac:dyDescent="0.4">
      <c r="A801" t="s">
        <v>27</v>
      </c>
      <c r="B801">
        <v>6448</v>
      </c>
      <c r="C801" t="s">
        <v>3001</v>
      </c>
      <c r="D801">
        <v>251</v>
      </c>
      <c r="E801" t="s">
        <v>68</v>
      </c>
      <c r="F801" t="s">
        <v>2118</v>
      </c>
      <c r="G801" t="s">
        <v>2119</v>
      </c>
      <c r="H801" t="s">
        <v>2120</v>
      </c>
      <c r="I801" t="s">
        <v>2121</v>
      </c>
      <c r="J801" t="s">
        <v>2122</v>
      </c>
      <c r="K801" t="s">
        <v>1492</v>
      </c>
      <c r="L801" t="s">
        <v>2123</v>
      </c>
      <c r="M801" t="s">
        <v>35</v>
      </c>
      <c r="N801">
        <v>7516549616</v>
      </c>
      <c r="O801" t="s">
        <v>2124</v>
      </c>
      <c r="P801" t="s">
        <v>3137</v>
      </c>
      <c r="R801" t="s">
        <v>2129</v>
      </c>
      <c r="S801" t="s">
        <v>2130</v>
      </c>
      <c r="T801" t="s">
        <v>2127</v>
      </c>
      <c r="U801" t="s">
        <v>40</v>
      </c>
      <c r="V801" s="1">
        <v>43017</v>
      </c>
      <c r="W801">
        <v>0</v>
      </c>
      <c r="X801">
        <v>9</v>
      </c>
      <c r="AA801" t="s">
        <v>42</v>
      </c>
      <c r="AB801" t="s">
        <v>43</v>
      </c>
      <c r="AC801" t="s">
        <v>43</v>
      </c>
      <c r="AE801" t="s">
        <v>2128</v>
      </c>
    </row>
    <row r="802" spans="1:31" x14ac:dyDescent="0.4">
      <c r="A802" t="s">
        <v>27</v>
      </c>
      <c r="B802">
        <v>6448</v>
      </c>
      <c r="C802" t="s">
        <v>3001</v>
      </c>
      <c r="D802">
        <v>251</v>
      </c>
      <c r="E802" t="s">
        <v>68</v>
      </c>
      <c r="F802" t="s">
        <v>2118</v>
      </c>
      <c r="G802" t="s">
        <v>2119</v>
      </c>
      <c r="H802" t="s">
        <v>2120</v>
      </c>
      <c r="I802" t="s">
        <v>2121</v>
      </c>
      <c r="J802" t="s">
        <v>2122</v>
      </c>
      <c r="K802" t="s">
        <v>1492</v>
      </c>
      <c r="L802" t="s">
        <v>2123</v>
      </c>
      <c r="M802" t="s">
        <v>35</v>
      </c>
      <c r="N802">
        <v>7516549616</v>
      </c>
      <c r="O802" t="s">
        <v>2124</v>
      </c>
      <c r="P802" t="s">
        <v>3137</v>
      </c>
      <c r="R802" t="s">
        <v>2129</v>
      </c>
      <c r="S802" t="s">
        <v>2130</v>
      </c>
      <c r="T802" t="s">
        <v>2127</v>
      </c>
      <c r="U802" t="s">
        <v>40</v>
      </c>
      <c r="V802" s="1">
        <v>43017</v>
      </c>
      <c r="W802">
        <v>0</v>
      </c>
      <c r="X802">
        <v>10</v>
      </c>
      <c r="AA802" t="s">
        <v>42</v>
      </c>
      <c r="AB802" t="s">
        <v>43</v>
      </c>
      <c r="AC802" t="s">
        <v>43</v>
      </c>
      <c r="AE802" t="s">
        <v>2128</v>
      </c>
    </row>
    <row r="803" spans="1:31" x14ac:dyDescent="0.4">
      <c r="A803" t="s">
        <v>27</v>
      </c>
      <c r="B803">
        <v>2269</v>
      </c>
      <c r="C803" t="s">
        <v>3002</v>
      </c>
      <c r="D803">
        <v>252</v>
      </c>
      <c r="E803" t="s">
        <v>68</v>
      </c>
      <c r="F803" t="s">
        <v>836</v>
      </c>
      <c r="G803" t="s">
        <v>2131</v>
      </c>
      <c r="H803" t="s">
        <v>2132</v>
      </c>
      <c r="I803" t="s">
        <v>2133</v>
      </c>
      <c r="J803" t="s">
        <v>2134</v>
      </c>
      <c r="K803" t="s">
        <v>495</v>
      </c>
      <c r="L803" t="s">
        <v>2135</v>
      </c>
      <c r="M803" t="s">
        <v>35</v>
      </c>
      <c r="N803">
        <v>1323870880</v>
      </c>
      <c r="O803" t="s">
        <v>2136</v>
      </c>
      <c r="P803" t="s">
        <v>3002</v>
      </c>
      <c r="R803" t="s">
        <v>3038</v>
      </c>
      <c r="S803" t="s">
        <v>2138</v>
      </c>
      <c r="T803" t="s">
        <v>58</v>
      </c>
      <c r="U803" t="s">
        <v>40</v>
      </c>
      <c r="V803" s="1">
        <v>44592</v>
      </c>
      <c r="W803">
        <v>0</v>
      </c>
      <c r="X803">
        <v>3</v>
      </c>
      <c r="AA803" t="s">
        <v>42</v>
      </c>
      <c r="AB803" t="s">
        <v>43</v>
      </c>
      <c r="AC803" t="s">
        <v>43</v>
      </c>
      <c r="AE803" t="s">
        <v>2139</v>
      </c>
    </row>
    <row r="804" spans="1:31" x14ac:dyDescent="0.4">
      <c r="A804" t="s">
        <v>27</v>
      </c>
      <c r="B804">
        <v>2269</v>
      </c>
      <c r="C804" t="s">
        <v>3002</v>
      </c>
      <c r="D804">
        <v>252</v>
      </c>
      <c r="E804" t="s">
        <v>68</v>
      </c>
      <c r="F804" t="s">
        <v>836</v>
      </c>
      <c r="G804" t="s">
        <v>2131</v>
      </c>
      <c r="H804" t="s">
        <v>2132</v>
      </c>
      <c r="I804" t="s">
        <v>2133</v>
      </c>
      <c r="J804" t="s">
        <v>2134</v>
      </c>
      <c r="K804" t="s">
        <v>495</v>
      </c>
      <c r="L804" t="s">
        <v>2135</v>
      </c>
      <c r="M804" t="s">
        <v>35</v>
      </c>
      <c r="N804">
        <v>1323870880</v>
      </c>
      <c r="O804" t="s">
        <v>2136</v>
      </c>
      <c r="P804" t="s">
        <v>3002</v>
      </c>
      <c r="R804" t="s">
        <v>3038</v>
      </c>
      <c r="S804" t="s">
        <v>2138</v>
      </c>
      <c r="T804" t="s">
        <v>58</v>
      </c>
      <c r="U804" t="s">
        <v>40</v>
      </c>
      <c r="V804" s="1">
        <v>44592</v>
      </c>
      <c r="W804">
        <v>0</v>
      </c>
      <c r="X804">
        <v>11</v>
      </c>
      <c r="AA804" t="s">
        <v>42</v>
      </c>
      <c r="AB804" t="s">
        <v>43</v>
      </c>
      <c r="AC804" t="s">
        <v>43</v>
      </c>
      <c r="AE804" t="s">
        <v>2139</v>
      </c>
    </row>
    <row r="805" spans="1:31" x14ac:dyDescent="0.4">
      <c r="A805" t="s">
        <v>27</v>
      </c>
      <c r="B805">
        <v>271</v>
      </c>
      <c r="C805" t="s">
        <v>210</v>
      </c>
      <c r="D805">
        <v>253</v>
      </c>
      <c r="E805" t="s">
        <v>257</v>
      </c>
      <c r="F805" t="s">
        <v>2140</v>
      </c>
      <c r="G805" t="s">
        <v>2141</v>
      </c>
      <c r="H805" t="s">
        <v>2142</v>
      </c>
      <c r="I805" t="s">
        <v>2143</v>
      </c>
      <c r="J805" t="s">
        <v>2144</v>
      </c>
      <c r="K805" t="s">
        <v>33</v>
      </c>
      <c r="L805" t="s">
        <v>2145</v>
      </c>
      <c r="M805" t="s">
        <v>35</v>
      </c>
      <c r="N805" t="s">
        <v>2146</v>
      </c>
      <c r="O805" t="s">
        <v>2147</v>
      </c>
      <c r="P805" t="s">
        <v>3084</v>
      </c>
      <c r="R805" t="s">
        <v>2149</v>
      </c>
      <c r="S805" t="s">
        <v>2150</v>
      </c>
      <c r="T805" t="s">
        <v>169</v>
      </c>
      <c r="U805" t="s">
        <v>82</v>
      </c>
      <c r="V805" s="1">
        <v>43966</v>
      </c>
      <c r="W805">
        <v>0</v>
      </c>
      <c r="X805">
        <v>5</v>
      </c>
      <c r="Y805" t="s">
        <v>66</v>
      </c>
      <c r="AA805" t="s">
        <v>42</v>
      </c>
      <c r="AB805" t="s">
        <v>43</v>
      </c>
      <c r="AC805" t="s">
        <v>42</v>
      </c>
    </row>
    <row r="806" spans="1:31" x14ac:dyDescent="0.4">
      <c r="A806" t="s">
        <v>27</v>
      </c>
      <c r="B806">
        <v>271</v>
      </c>
      <c r="C806" t="s">
        <v>210</v>
      </c>
      <c r="D806">
        <v>253</v>
      </c>
      <c r="E806" t="s">
        <v>257</v>
      </c>
      <c r="F806" t="s">
        <v>2140</v>
      </c>
      <c r="G806" t="s">
        <v>2141</v>
      </c>
      <c r="H806" t="s">
        <v>2142</v>
      </c>
      <c r="I806" t="s">
        <v>2143</v>
      </c>
      <c r="J806" t="s">
        <v>2144</v>
      </c>
      <c r="K806" t="s">
        <v>33</v>
      </c>
      <c r="L806" t="s">
        <v>2145</v>
      </c>
      <c r="M806" t="s">
        <v>35</v>
      </c>
      <c r="N806" t="s">
        <v>2146</v>
      </c>
      <c r="O806" t="s">
        <v>2147</v>
      </c>
      <c r="P806" t="s">
        <v>3084</v>
      </c>
      <c r="R806" t="s">
        <v>2149</v>
      </c>
      <c r="S806" t="s">
        <v>2150</v>
      </c>
      <c r="T806" t="s">
        <v>169</v>
      </c>
      <c r="U806" t="s">
        <v>82</v>
      </c>
      <c r="V806" s="1">
        <v>43966</v>
      </c>
      <c r="W806">
        <v>0</v>
      </c>
      <c r="X806">
        <v>6</v>
      </c>
      <c r="Y806" t="s">
        <v>83</v>
      </c>
      <c r="AA806" t="s">
        <v>42</v>
      </c>
      <c r="AB806" t="s">
        <v>43</v>
      </c>
      <c r="AC806" t="s">
        <v>42</v>
      </c>
    </row>
    <row r="807" spans="1:31" x14ac:dyDescent="0.4">
      <c r="A807" t="s">
        <v>27</v>
      </c>
      <c r="B807">
        <v>271</v>
      </c>
      <c r="C807" t="s">
        <v>210</v>
      </c>
      <c r="D807">
        <v>254</v>
      </c>
      <c r="E807" t="s">
        <v>257</v>
      </c>
      <c r="F807" t="s">
        <v>2140</v>
      </c>
      <c r="G807" t="s">
        <v>2141</v>
      </c>
      <c r="H807" t="s">
        <v>2142</v>
      </c>
      <c r="I807" t="s">
        <v>2143</v>
      </c>
      <c r="J807" t="s">
        <v>2144</v>
      </c>
      <c r="K807" t="s">
        <v>33</v>
      </c>
      <c r="L807" t="s">
        <v>2145</v>
      </c>
      <c r="M807" t="s">
        <v>35</v>
      </c>
      <c r="N807" t="s">
        <v>2146</v>
      </c>
      <c r="O807" t="s">
        <v>2147</v>
      </c>
      <c r="P807" t="s">
        <v>3084</v>
      </c>
      <c r="R807" t="s">
        <v>2151</v>
      </c>
      <c r="S807" t="s">
        <v>2152</v>
      </c>
      <c r="T807" t="s">
        <v>94</v>
      </c>
      <c r="U807" t="s">
        <v>40</v>
      </c>
      <c r="V807" s="1">
        <v>42963</v>
      </c>
      <c r="W807">
        <v>0</v>
      </c>
      <c r="X807">
        <v>7</v>
      </c>
      <c r="AA807" t="s">
        <v>42</v>
      </c>
      <c r="AB807" t="s">
        <v>43</v>
      </c>
      <c r="AC807" t="s">
        <v>42</v>
      </c>
    </row>
    <row r="808" spans="1:31" hidden="1" x14ac:dyDescent="0.4">
      <c r="A808" t="s">
        <v>27</v>
      </c>
      <c r="B808">
        <v>271</v>
      </c>
      <c r="C808" t="s">
        <v>210</v>
      </c>
      <c r="E808" t="s">
        <v>257</v>
      </c>
      <c r="F808" t="s">
        <v>2140</v>
      </c>
      <c r="G808" t="s">
        <v>2141</v>
      </c>
      <c r="H808" t="s">
        <v>2142</v>
      </c>
      <c r="I808" t="s">
        <v>2143</v>
      </c>
      <c r="J808" t="s">
        <v>2144</v>
      </c>
      <c r="K808" t="s">
        <v>33</v>
      </c>
      <c r="L808" t="s">
        <v>2145</v>
      </c>
      <c r="M808" t="s">
        <v>35</v>
      </c>
      <c r="N808" t="s">
        <v>2146</v>
      </c>
      <c r="O808" t="s">
        <v>2147</v>
      </c>
      <c r="P808" t="s">
        <v>2148</v>
      </c>
      <c r="R808" t="s">
        <v>2153</v>
      </c>
      <c r="S808" t="s">
        <v>2154</v>
      </c>
      <c r="T808" t="s">
        <v>169</v>
      </c>
      <c r="U808" t="s">
        <v>82</v>
      </c>
      <c r="V808" s="1">
        <v>42263</v>
      </c>
      <c r="W808">
        <v>0</v>
      </c>
      <c r="X808">
        <v>0</v>
      </c>
      <c r="Y808" t="s">
        <v>59</v>
      </c>
      <c r="AA808" t="s">
        <v>42</v>
      </c>
      <c r="AB808" t="s">
        <v>43</v>
      </c>
      <c r="AC808" t="s">
        <v>42</v>
      </c>
    </row>
    <row r="809" spans="1:31" x14ac:dyDescent="0.4">
      <c r="A809" t="s">
        <v>27</v>
      </c>
      <c r="B809">
        <v>271</v>
      </c>
      <c r="C809" t="s">
        <v>210</v>
      </c>
      <c r="D809">
        <v>255</v>
      </c>
      <c r="E809" t="s">
        <v>257</v>
      </c>
      <c r="F809" t="s">
        <v>2140</v>
      </c>
      <c r="G809" t="s">
        <v>2141</v>
      </c>
      <c r="H809" t="s">
        <v>2142</v>
      </c>
      <c r="I809" t="s">
        <v>2143</v>
      </c>
      <c r="J809" t="s">
        <v>2144</v>
      </c>
      <c r="K809" t="s">
        <v>33</v>
      </c>
      <c r="L809" t="s">
        <v>2145</v>
      </c>
      <c r="M809" t="s">
        <v>35</v>
      </c>
      <c r="N809" t="s">
        <v>2146</v>
      </c>
      <c r="O809" t="s">
        <v>2147</v>
      </c>
      <c r="P809" t="s">
        <v>3084</v>
      </c>
      <c r="R809" t="s">
        <v>2155</v>
      </c>
      <c r="S809" t="s">
        <v>2156</v>
      </c>
      <c r="T809" t="s">
        <v>169</v>
      </c>
      <c r="U809" t="s">
        <v>82</v>
      </c>
      <c r="V809" s="1">
        <v>41747</v>
      </c>
      <c r="W809">
        <v>0</v>
      </c>
      <c r="X809">
        <v>5</v>
      </c>
      <c r="Y809" t="s">
        <v>66</v>
      </c>
      <c r="AA809" t="s">
        <v>42</v>
      </c>
      <c r="AB809" t="s">
        <v>43</v>
      </c>
      <c r="AC809" t="s">
        <v>42</v>
      </c>
    </row>
    <row r="810" spans="1:31" x14ac:dyDescent="0.4">
      <c r="A810" t="s">
        <v>27</v>
      </c>
      <c r="B810">
        <v>271</v>
      </c>
      <c r="C810" t="s">
        <v>210</v>
      </c>
      <c r="D810">
        <v>255</v>
      </c>
      <c r="E810" t="s">
        <v>257</v>
      </c>
      <c r="F810" t="s">
        <v>2140</v>
      </c>
      <c r="G810" t="s">
        <v>2141</v>
      </c>
      <c r="H810" t="s">
        <v>2142</v>
      </c>
      <c r="I810" t="s">
        <v>2143</v>
      </c>
      <c r="J810" t="s">
        <v>2144</v>
      </c>
      <c r="K810" t="s">
        <v>33</v>
      </c>
      <c r="L810" t="s">
        <v>2145</v>
      </c>
      <c r="M810" t="s">
        <v>35</v>
      </c>
      <c r="N810" t="s">
        <v>2146</v>
      </c>
      <c r="O810" t="s">
        <v>2147</v>
      </c>
      <c r="P810" t="s">
        <v>3084</v>
      </c>
      <c r="R810" t="s">
        <v>2155</v>
      </c>
      <c r="S810" t="s">
        <v>2156</v>
      </c>
      <c r="T810" t="s">
        <v>169</v>
      </c>
      <c r="U810" t="s">
        <v>82</v>
      </c>
      <c r="V810" s="1">
        <v>41747</v>
      </c>
      <c r="W810">
        <v>0</v>
      </c>
      <c r="X810">
        <v>6</v>
      </c>
      <c r="Y810" t="s">
        <v>83</v>
      </c>
      <c r="AA810" t="s">
        <v>42</v>
      </c>
      <c r="AB810" t="s">
        <v>43</v>
      </c>
      <c r="AC810" t="s">
        <v>42</v>
      </c>
    </row>
    <row r="811" spans="1:31" x14ac:dyDescent="0.4">
      <c r="A811" t="s">
        <v>27</v>
      </c>
      <c r="B811">
        <v>271</v>
      </c>
      <c r="C811" t="s">
        <v>210</v>
      </c>
      <c r="D811">
        <v>253</v>
      </c>
      <c r="E811" t="s">
        <v>257</v>
      </c>
      <c r="F811" t="s">
        <v>2140</v>
      </c>
      <c r="G811" t="s">
        <v>2141</v>
      </c>
      <c r="H811" t="s">
        <v>2142</v>
      </c>
      <c r="I811" t="s">
        <v>2143</v>
      </c>
      <c r="J811" t="s">
        <v>2144</v>
      </c>
      <c r="K811" t="s">
        <v>33</v>
      </c>
      <c r="L811" t="s">
        <v>2145</v>
      </c>
      <c r="M811" t="s">
        <v>35</v>
      </c>
      <c r="N811" t="s">
        <v>2146</v>
      </c>
      <c r="O811" t="s">
        <v>2147</v>
      </c>
      <c r="P811" t="s">
        <v>3084</v>
      </c>
      <c r="R811" t="s">
        <v>2149</v>
      </c>
      <c r="S811" t="s">
        <v>2150</v>
      </c>
      <c r="T811" t="s">
        <v>169</v>
      </c>
      <c r="U811" t="s">
        <v>82</v>
      </c>
      <c r="V811" s="1">
        <v>43966</v>
      </c>
      <c r="W811">
        <v>0</v>
      </c>
      <c r="X811">
        <v>17</v>
      </c>
      <c r="AA811" t="s">
        <v>42</v>
      </c>
      <c r="AB811" t="s">
        <v>43</v>
      </c>
      <c r="AC811" t="s">
        <v>42</v>
      </c>
    </row>
    <row r="812" spans="1:31" x14ac:dyDescent="0.4">
      <c r="A812" t="s">
        <v>27</v>
      </c>
      <c r="B812">
        <v>271</v>
      </c>
      <c r="C812" t="s">
        <v>210</v>
      </c>
      <c r="D812">
        <v>253</v>
      </c>
      <c r="E812" t="s">
        <v>257</v>
      </c>
      <c r="F812" t="s">
        <v>2140</v>
      </c>
      <c r="G812" t="s">
        <v>2141</v>
      </c>
      <c r="H812" t="s">
        <v>2142</v>
      </c>
      <c r="I812" t="s">
        <v>2143</v>
      </c>
      <c r="J812" t="s">
        <v>2144</v>
      </c>
      <c r="K812" t="s">
        <v>33</v>
      </c>
      <c r="L812" t="s">
        <v>2145</v>
      </c>
      <c r="M812" t="s">
        <v>35</v>
      </c>
      <c r="N812" t="s">
        <v>2146</v>
      </c>
      <c r="O812" t="s">
        <v>2147</v>
      </c>
      <c r="P812" t="s">
        <v>3084</v>
      </c>
      <c r="R812" t="s">
        <v>2149</v>
      </c>
      <c r="S812" t="s">
        <v>2150</v>
      </c>
      <c r="T812" t="s">
        <v>169</v>
      </c>
      <c r="U812" t="s">
        <v>82</v>
      </c>
      <c r="V812" s="1">
        <v>43966</v>
      </c>
      <c r="W812">
        <v>0</v>
      </c>
      <c r="X812">
        <v>15</v>
      </c>
      <c r="AA812" t="s">
        <v>42</v>
      </c>
      <c r="AB812" t="s">
        <v>43</v>
      </c>
      <c r="AC812" t="s">
        <v>42</v>
      </c>
    </row>
    <row r="813" spans="1:31" x14ac:dyDescent="0.4">
      <c r="A813" t="s">
        <v>27</v>
      </c>
      <c r="B813">
        <v>271</v>
      </c>
      <c r="C813" t="s">
        <v>210</v>
      </c>
      <c r="D813">
        <v>255</v>
      </c>
      <c r="E813" t="s">
        <v>257</v>
      </c>
      <c r="F813" t="s">
        <v>2140</v>
      </c>
      <c r="G813" t="s">
        <v>2141</v>
      </c>
      <c r="H813" t="s">
        <v>2142</v>
      </c>
      <c r="I813" t="s">
        <v>2143</v>
      </c>
      <c r="J813" t="s">
        <v>2144</v>
      </c>
      <c r="K813" t="s">
        <v>33</v>
      </c>
      <c r="L813" t="s">
        <v>2145</v>
      </c>
      <c r="M813" t="s">
        <v>35</v>
      </c>
      <c r="N813" t="s">
        <v>2146</v>
      </c>
      <c r="O813" t="s">
        <v>2147</v>
      </c>
      <c r="P813" t="s">
        <v>3084</v>
      </c>
      <c r="R813" t="s">
        <v>2155</v>
      </c>
      <c r="S813" t="s">
        <v>2156</v>
      </c>
      <c r="T813" t="s">
        <v>169</v>
      </c>
      <c r="U813" t="s">
        <v>82</v>
      </c>
      <c r="V813" s="1">
        <v>41747</v>
      </c>
      <c r="W813">
        <v>0</v>
      </c>
      <c r="X813">
        <v>15</v>
      </c>
      <c r="AA813" t="s">
        <v>42</v>
      </c>
      <c r="AB813" t="s">
        <v>43</v>
      </c>
      <c r="AC813" t="s">
        <v>42</v>
      </c>
    </row>
    <row r="814" spans="1:31" hidden="1" x14ac:dyDescent="0.4">
      <c r="A814" t="s">
        <v>27</v>
      </c>
      <c r="B814">
        <v>271</v>
      </c>
      <c r="C814" t="s">
        <v>210</v>
      </c>
      <c r="E814" t="s">
        <v>257</v>
      </c>
      <c r="F814" t="s">
        <v>2140</v>
      </c>
      <c r="G814" t="s">
        <v>2141</v>
      </c>
      <c r="H814" t="s">
        <v>2142</v>
      </c>
      <c r="I814" t="s">
        <v>2143</v>
      </c>
      <c r="J814" t="s">
        <v>2144</v>
      </c>
      <c r="K814" t="s">
        <v>33</v>
      </c>
      <c r="L814" t="s">
        <v>2145</v>
      </c>
      <c r="M814" t="s">
        <v>35</v>
      </c>
      <c r="N814" t="s">
        <v>2146</v>
      </c>
      <c r="O814" t="s">
        <v>2147</v>
      </c>
      <c r="P814" t="s">
        <v>2148</v>
      </c>
      <c r="R814" t="s">
        <v>2153</v>
      </c>
      <c r="S814" t="s">
        <v>2154</v>
      </c>
      <c r="T814" t="s">
        <v>169</v>
      </c>
      <c r="U814" t="s">
        <v>82</v>
      </c>
      <c r="V814" s="1">
        <v>42263</v>
      </c>
      <c r="W814">
        <v>0</v>
      </c>
      <c r="X814">
        <v>0</v>
      </c>
      <c r="Y814" t="s">
        <v>59</v>
      </c>
      <c r="AA814" t="s">
        <v>42</v>
      </c>
      <c r="AB814" t="s">
        <v>43</v>
      </c>
      <c r="AC814" t="s">
        <v>42</v>
      </c>
    </row>
    <row r="815" spans="1:31" hidden="1" x14ac:dyDescent="0.4">
      <c r="A815" t="s">
        <v>27</v>
      </c>
      <c r="B815">
        <v>271</v>
      </c>
      <c r="C815" t="s">
        <v>210</v>
      </c>
      <c r="E815" t="s">
        <v>257</v>
      </c>
      <c r="F815" t="s">
        <v>2140</v>
      </c>
      <c r="G815" t="s">
        <v>2141</v>
      </c>
      <c r="H815" t="s">
        <v>2142</v>
      </c>
      <c r="I815" t="s">
        <v>2143</v>
      </c>
      <c r="J815" t="s">
        <v>2144</v>
      </c>
      <c r="K815" t="s">
        <v>33</v>
      </c>
      <c r="L815" t="s">
        <v>2145</v>
      </c>
      <c r="M815" t="s">
        <v>35</v>
      </c>
      <c r="N815" t="s">
        <v>2146</v>
      </c>
      <c r="O815" t="s">
        <v>2147</v>
      </c>
      <c r="P815" t="s">
        <v>2148</v>
      </c>
      <c r="R815" t="s">
        <v>2151</v>
      </c>
      <c r="S815" t="s">
        <v>2152</v>
      </c>
      <c r="T815" t="s">
        <v>94</v>
      </c>
      <c r="U815" t="s">
        <v>40</v>
      </c>
      <c r="V815" s="1">
        <v>42963</v>
      </c>
      <c r="W815">
        <v>0</v>
      </c>
      <c r="X815">
        <v>0</v>
      </c>
      <c r="Y815" t="s">
        <v>59</v>
      </c>
      <c r="AA815" t="s">
        <v>42</v>
      </c>
      <c r="AB815" t="s">
        <v>43</v>
      </c>
      <c r="AC815" t="s">
        <v>42</v>
      </c>
    </row>
    <row r="816" spans="1:31" x14ac:dyDescent="0.4">
      <c r="A816" t="s">
        <v>27</v>
      </c>
      <c r="B816">
        <v>4744</v>
      </c>
      <c r="C816" t="s">
        <v>3003</v>
      </c>
      <c r="D816">
        <v>257</v>
      </c>
      <c r="E816" t="s">
        <v>68</v>
      </c>
      <c r="F816" t="s">
        <v>2157</v>
      </c>
      <c r="G816" t="s">
        <v>2158</v>
      </c>
      <c r="H816" t="s">
        <v>2159</v>
      </c>
      <c r="J816" t="s">
        <v>2160</v>
      </c>
      <c r="K816" t="s">
        <v>73</v>
      </c>
      <c r="L816" t="s">
        <v>2161</v>
      </c>
      <c r="M816" t="s">
        <v>35</v>
      </c>
      <c r="N816">
        <v>2086570047</v>
      </c>
      <c r="O816" t="s">
        <v>2162</v>
      </c>
      <c r="P816" t="s">
        <v>3003</v>
      </c>
      <c r="R816" t="s">
        <v>2163</v>
      </c>
      <c r="S816" t="s">
        <v>2164</v>
      </c>
      <c r="T816" t="s">
        <v>1759</v>
      </c>
      <c r="U816" t="s">
        <v>40</v>
      </c>
      <c r="V816" s="1">
        <v>45206</v>
      </c>
      <c r="W816">
        <v>0</v>
      </c>
      <c r="X816">
        <v>4</v>
      </c>
      <c r="Y816" t="s">
        <v>65</v>
      </c>
      <c r="AA816" t="s">
        <v>42</v>
      </c>
      <c r="AB816" t="s">
        <v>43</v>
      </c>
      <c r="AC816" t="s">
        <v>43</v>
      </c>
    </row>
    <row r="817" spans="1:31" x14ac:dyDescent="0.4">
      <c r="A817" t="s">
        <v>27</v>
      </c>
      <c r="B817">
        <v>4744</v>
      </c>
      <c r="C817" t="s">
        <v>3003</v>
      </c>
      <c r="D817">
        <v>256</v>
      </c>
      <c r="E817" t="s">
        <v>68</v>
      </c>
      <c r="F817" t="s">
        <v>2157</v>
      </c>
      <c r="G817" t="s">
        <v>2158</v>
      </c>
      <c r="H817" t="s">
        <v>2159</v>
      </c>
      <c r="J817" t="s">
        <v>2160</v>
      </c>
      <c r="K817" t="s">
        <v>73</v>
      </c>
      <c r="L817" t="s">
        <v>2161</v>
      </c>
      <c r="M817" t="s">
        <v>35</v>
      </c>
      <c r="N817">
        <v>2086570047</v>
      </c>
      <c r="O817" t="s">
        <v>2162</v>
      </c>
      <c r="P817" t="s">
        <v>3003</v>
      </c>
      <c r="R817" t="s">
        <v>2165</v>
      </c>
      <c r="S817" t="s">
        <v>2166</v>
      </c>
      <c r="T817" t="s">
        <v>1759</v>
      </c>
      <c r="U817" t="s">
        <v>40</v>
      </c>
      <c r="V817" s="1">
        <v>44719</v>
      </c>
      <c r="W817">
        <v>0</v>
      </c>
      <c r="X817">
        <v>4</v>
      </c>
      <c r="Y817" t="s">
        <v>65</v>
      </c>
      <c r="AA817" t="s">
        <v>42</v>
      </c>
      <c r="AB817" t="s">
        <v>43</v>
      </c>
      <c r="AC817" t="s">
        <v>43</v>
      </c>
    </row>
    <row r="818" spans="1:31" x14ac:dyDescent="0.4">
      <c r="A818" t="s">
        <v>27</v>
      </c>
      <c r="B818">
        <v>73</v>
      </c>
      <c r="C818" t="s">
        <v>3004</v>
      </c>
      <c r="D818">
        <v>258</v>
      </c>
      <c r="E818" t="s">
        <v>68</v>
      </c>
      <c r="F818" t="s">
        <v>2167</v>
      </c>
      <c r="G818" t="s">
        <v>2168</v>
      </c>
      <c r="H818" t="s">
        <v>2169</v>
      </c>
      <c r="I818" t="s">
        <v>2170</v>
      </c>
      <c r="J818" t="s">
        <v>1164</v>
      </c>
      <c r="K818" t="s">
        <v>426</v>
      </c>
      <c r="L818" t="s">
        <v>2171</v>
      </c>
      <c r="M818" t="s">
        <v>35</v>
      </c>
      <c r="N818" t="s">
        <v>2172</v>
      </c>
      <c r="O818" t="s">
        <v>2173</v>
      </c>
      <c r="P818" t="s">
        <v>3004</v>
      </c>
      <c r="R818" t="s">
        <v>2175</v>
      </c>
      <c r="S818" t="s">
        <v>2176</v>
      </c>
      <c r="T818" t="s">
        <v>58</v>
      </c>
      <c r="U818" t="s">
        <v>40</v>
      </c>
      <c r="V818" s="1">
        <v>42333</v>
      </c>
      <c r="W818">
        <v>0</v>
      </c>
      <c r="X818">
        <v>7</v>
      </c>
      <c r="AA818" t="s">
        <v>42</v>
      </c>
      <c r="AB818" t="s">
        <v>43</v>
      </c>
      <c r="AC818" t="s">
        <v>43</v>
      </c>
    </row>
    <row r="819" spans="1:31" hidden="1" x14ac:dyDescent="0.4">
      <c r="A819" t="s">
        <v>27</v>
      </c>
      <c r="B819">
        <v>73</v>
      </c>
      <c r="C819" t="s">
        <v>3004</v>
      </c>
      <c r="E819" t="s">
        <v>68</v>
      </c>
      <c r="F819" t="s">
        <v>2167</v>
      </c>
      <c r="G819" t="s">
        <v>2168</v>
      </c>
      <c r="H819" t="s">
        <v>2169</v>
      </c>
      <c r="I819" t="s">
        <v>2170</v>
      </c>
      <c r="J819" t="s">
        <v>1164</v>
      </c>
      <c r="K819" t="s">
        <v>426</v>
      </c>
      <c r="L819" t="s">
        <v>2171</v>
      </c>
      <c r="M819" t="s">
        <v>35</v>
      </c>
      <c r="N819" t="s">
        <v>2172</v>
      </c>
      <c r="O819" t="s">
        <v>2173</v>
      </c>
      <c r="P819" t="s">
        <v>2174</v>
      </c>
      <c r="R819" t="s">
        <v>2177</v>
      </c>
      <c r="S819" t="s">
        <v>2178</v>
      </c>
      <c r="T819" t="s">
        <v>413</v>
      </c>
      <c r="U819" t="s">
        <v>40</v>
      </c>
      <c r="V819" s="1">
        <v>45476</v>
      </c>
      <c r="W819">
        <v>0</v>
      </c>
      <c r="X819">
        <v>0</v>
      </c>
      <c r="Y819" t="s">
        <v>59</v>
      </c>
      <c r="AA819" t="s">
        <v>42</v>
      </c>
      <c r="AB819" t="s">
        <v>43</v>
      </c>
      <c r="AC819" t="s">
        <v>43</v>
      </c>
    </row>
    <row r="820" spans="1:31" hidden="1" x14ac:dyDescent="0.4">
      <c r="A820" t="s">
        <v>27</v>
      </c>
      <c r="B820">
        <v>73</v>
      </c>
      <c r="C820" t="s">
        <v>3004</v>
      </c>
      <c r="E820" t="s">
        <v>68</v>
      </c>
      <c r="F820" t="s">
        <v>2167</v>
      </c>
      <c r="G820" t="s">
        <v>2168</v>
      </c>
      <c r="H820" t="s">
        <v>2169</v>
      </c>
      <c r="I820" t="s">
        <v>2170</v>
      </c>
      <c r="J820" t="s">
        <v>1164</v>
      </c>
      <c r="K820" t="s">
        <v>426</v>
      </c>
      <c r="L820" t="s">
        <v>2171</v>
      </c>
      <c r="M820" t="s">
        <v>35</v>
      </c>
      <c r="N820" t="s">
        <v>2172</v>
      </c>
      <c r="O820" t="s">
        <v>2173</v>
      </c>
      <c r="P820" t="s">
        <v>2174</v>
      </c>
      <c r="R820" t="s">
        <v>2179</v>
      </c>
      <c r="S820" t="s">
        <v>2180</v>
      </c>
      <c r="T820" t="s">
        <v>2181</v>
      </c>
      <c r="U820" t="s">
        <v>40</v>
      </c>
      <c r="V820" s="1">
        <v>42969</v>
      </c>
      <c r="W820">
        <v>0</v>
      </c>
      <c r="X820">
        <v>0</v>
      </c>
      <c r="Y820" t="s">
        <v>59</v>
      </c>
      <c r="AA820" t="s">
        <v>42</v>
      </c>
      <c r="AB820" t="s">
        <v>43</v>
      </c>
      <c r="AC820" t="s">
        <v>43</v>
      </c>
    </row>
    <row r="821" spans="1:31" x14ac:dyDescent="0.4">
      <c r="A821" t="s">
        <v>27</v>
      </c>
      <c r="B821">
        <v>73</v>
      </c>
      <c r="C821" t="s">
        <v>3004</v>
      </c>
      <c r="D821">
        <v>258</v>
      </c>
      <c r="E821" t="s">
        <v>68</v>
      </c>
      <c r="F821" t="s">
        <v>2167</v>
      </c>
      <c r="G821" t="s">
        <v>2168</v>
      </c>
      <c r="H821" t="s">
        <v>2169</v>
      </c>
      <c r="I821" t="s">
        <v>2170</v>
      </c>
      <c r="J821" t="s">
        <v>1164</v>
      </c>
      <c r="K821" t="s">
        <v>426</v>
      </c>
      <c r="L821" t="s">
        <v>2171</v>
      </c>
      <c r="M821" t="s">
        <v>35</v>
      </c>
      <c r="N821" t="s">
        <v>2172</v>
      </c>
      <c r="O821" t="s">
        <v>2173</v>
      </c>
      <c r="P821" t="s">
        <v>3004</v>
      </c>
      <c r="R821" t="s">
        <v>2175</v>
      </c>
      <c r="S821" t="s">
        <v>2176</v>
      </c>
      <c r="T821" t="s">
        <v>58</v>
      </c>
      <c r="U821" t="s">
        <v>40</v>
      </c>
      <c r="V821" s="1">
        <v>42333</v>
      </c>
      <c r="W821">
        <v>0</v>
      </c>
      <c r="X821">
        <v>18</v>
      </c>
      <c r="AA821" t="s">
        <v>42</v>
      </c>
      <c r="AB821" t="s">
        <v>43</v>
      </c>
      <c r="AC821" t="s">
        <v>43</v>
      </c>
    </row>
    <row r="822" spans="1:31" hidden="1" x14ac:dyDescent="0.4">
      <c r="A822" t="s">
        <v>27</v>
      </c>
      <c r="B822">
        <v>73</v>
      </c>
      <c r="C822" t="s">
        <v>3004</v>
      </c>
      <c r="E822" t="s">
        <v>68</v>
      </c>
      <c r="F822" t="s">
        <v>2167</v>
      </c>
      <c r="G822" t="s">
        <v>2168</v>
      </c>
      <c r="H822" t="s">
        <v>2169</v>
      </c>
      <c r="I822" t="s">
        <v>2170</v>
      </c>
      <c r="J822" t="s">
        <v>1164</v>
      </c>
      <c r="K822" t="s">
        <v>426</v>
      </c>
      <c r="L822" t="s">
        <v>2171</v>
      </c>
      <c r="M822" t="s">
        <v>35</v>
      </c>
      <c r="N822" t="s">
        <v>2172</v>
      </c>
      <c r="O822" t="s">
        <v>2173</v>
      </c>
      <c r="P822" t="s">
        <v>2174</v>
      </c>
      <c r="R822" t="s">
        <v>2177</v>
      </c>
      <c r="S822" t="s">
        <v>2178</v>
      </c>
      <c r="T822" t="s">
        <v>413</v>
      </c>
      <c r="U822" t="s">
        <v>40</v>
      </c>
      <c r="V822" s="1">
        <v>45476</v>
      </c>
      <c r="W822">
        <v>0</v>
      </c>
      <c r="X822">
        <v>0</v>
      </c>
      <c r="Y822" t="s">
        <v>59</v>
      </c>
      <c r="AA822" t="s">
        <v>42</v>
      </c>
      <c r="AB822" t="s">
        <v>43</v>
      </c>
      <c r="AC822" t="s">
        <v>43</v>
      </c>
    </row>
    <row r="823" spans="1:31" hidden="1" x14ac:dyDescent="0.4">
      <c r="A823" t="s">
        <v>27</v>
      </c>
      <c r="B823">
        <v>73</v>
      </c>
      <c r="C823" t="s">
        <v>3004</v>
      </c>
      <c r="E823" t="s">
        <v>68</v>
      </c>
      <c r="F823" t="s">
        <v>2167</v>
      </c>
      <c r="G823" t="s">
        <v>2168</v>
      </c>
      <c r="H823" t="s">
        <v>2169</v>
      </c>
      <c r="I823" t="s">
        <v>2170</v>
      </c>
      <c r="J823" t="s">
        <v>1164</v>
      </c>
      <c r="K823" t="s">
        <v>426</v>
      </c>
      <c r="L823" t="s">
        <v>2171</v>
      </c>
      <c r="M823" t="s">
        <v>35</v>
      </c>
      <c r="N823" t="s">
        <v>2172</v>
      </c>
      <c r="O823" t="s">
        <v>2173</v>
      </c>
      <c r="P823" t="s">
        <v>2174</v>
      </c>
      <c r="R823" t="s">
        <v>2179</v>
      </c>
      <c r="S823" t="s">
        <v>2180</v>
      </c>
      <c r="T823" t="s">
        <v>2181</v>
      </c>
      <c r="U823" t="s">
        <v>40</v>
      </c>
      <c r="V823" s="1">
        <v>42969</v>
      </c>
      <c r="W823">
        <v>0</v>
      </c>
      <c r="X823">
        <v>0</v>
      </c>
      <c r="Y823" t="s">
        <v>59</v>
      </c>
      <c r="AA823" t="s">
        <v>42</v>
      </c>
      <c r="AB823" t="s">
        <v>43</v>
      </c>
      <c r="AC823" t="s">
        <v>43</v>
      </c>
    </row>
    <row r="824" spans="1:31" x14ac:dyDescent="0.4">
      <c r="A824" t="s">
        <v>27</v>
      </c>
      <c r="B824">
        <v>354</v>
      </c>
      <c r="C824" t="s">
        <v>2188</v>
      </c>
      <c r="D824">
        <v>259</v>
      </c>
      <c r="E824" t="s">
        <v>68</v>
      </c>
      <c r="F824" t="s">
        <v>919</v>
      </c>
      <c r="G824" t="s">
        <v>2182</v>
      </c>
      <c r="H824" t="s">
        <v>2183</v>
      </c>
      <c r="I824" t="s">
        <v>2184</v>
      </c>
      <c r="J824" t="s">
        <v>50</v>
      </c>
      <c r="K824" t="s">
        <v>924</v>
      </c>
      <c r="L824" t="s">
        <v>2185</v>
      </c>
      <c r="M824" t="s">
        <v>35</v>
      </c>
      <c r="N824" t="s">
        <v>2186</v>
      </c>
      <c r="O824" t="s">
        <v>2187</v>
      </c>
      <c r="P824" t="s">
        <v>3041</v>
      </c>
      <c r="R824" t="s">
        <v>2189</v>
      </c>
      <c r="S824" t="s">
        <v>2190</v>
      </c>
      <c r="T824" t="s">
        <v>58</v>
      </c>
      <c r="U824" t="s">
        <v>82</v>
      </c>
      <c r="V824" s="1">
        <v>44458</v>
      </c>
      <c r="W824">
        <v>0</v>
      </c>
      <c r="X824">
        <v>4</v>
      </c>
      <c r="Y824" t="s">
        <v>65</v>
      </c>
      <c r="AA824" t="s">
        <v>42</v>
      </c>
      <c r="AB824" t="s">
        <v>43</v>
      </c>
      <c r="AC824" t="s">
        <v>43</v>
      </c>
    </row>
    <row r="825" spans="1:31" hidden="1" x14ac:dyDescent="0.4">
      <c r="A825" t="s">
        <v>27</v>
      </c>
      <c r="B825">
        <v>354</v>
      </c>
      <c r="C825" t="s">
        <v>2188</v>
      </c>
      <c r="E825" t="s">
        <v>68</v>
      </c>
      <c r="F825" t="s">
        <v>919</v>
      </c>
      <c r="G825" t="s">
        <v>2182</v>
      </c>
      <c r="H825" t="s">
        <v>2183</v>
      </c>
      <c r="I825" t="s">
        <v>2184</v>
      </c>
      <c r="J825" t="s">
        <v>50</v>
      </c>
      <c r="K825" t="s">
        <v>924</v>
      </c>
      <c r="L825" t="s">
        <v>2185</v>
      </c>
      <c r="M825" t="s">
        <v>35</v>
      </c>
      <c r="N825" t="s">
        <v>2186</v>
      </c>
      <c r="O825" t="s">
        <v>2187</v>
      </c>
      <c r="P825" t="s">
        <v>2188</v>
      </c>
      <c r="R825" t="s">
        <v>2191</v>
      </c>
      <c r="S825" t="s">
        <v>2192</v>
      </c>
      <c r="T825" t="s">
        <v>62</v>
      </c>
      <c r="U825" t="s">
        <v>82</v>
      </c>
      <c r="V825" s="1">
        <v>41063</v>
      </c>
      <c r="W825">
        <v>0</v>
      </c>
      <c r="X825">
        <v>0</v>
      </c>
      <c r="Y825" t="s">
        <v>59</v>
      </c>
      <c r="AA825" t="s">
        <v>42</v>
      </c>
      <c r="AB825" t="s">
        <v>43</v>
      </c>
      <c r="AC825" t="s">
        <v>43</v>
      </c>
    </row>
    <row r="826" spans="1:31" hidden="1" x14ac:dyDescent="0.4">
      <c r="A826" t="s">
        <v>27</v>
      </c>
      <c r="B826">
        <v>354</v>
      </c>
      <c r="C826" t="s">
        <v>2188</v>
      </c>
      <c r="E826" t="s">
        <v>68</v>
      </c>
      <c r="F826" t="s">
        <v>919</v>
      </c>
      <c r="G826" t="s">
        <v>2182</v>
      </c>
      <c r="H826" t="s">
        <v>2183</v>
      </c>
      <c r="I826" t="s">
        <v>2184</v>
      </c>
      <c r="J826" t="s">
        <v>50</v>
      </c>
      <c r="K826" t="s">
        <v>924</v>
      </c>
      <c r="L826" t="s">
        <v>2185</v>
      </c>
      <c r="M826" t="s">
        <v>35</v>
      </c>
      <c r="N826" t="s">
        <v>2186</v>
      </c>
      <c r="O826" t="s">
        <v>2187</v>
      </c>
      <c r="P826" t="s">
        <v>2188</v>
      </c>
      <c r="R826" t="s">
        <v>2193</v>
      </c>
      <c r="S826" t="s">
        <v>2194</v>
      </c>
      <c r="T826" t="s">
        <v>356</v>
      </c>
      <c r="U826" t="s">
        <v>40</v>
      </c>
      <c r="V826" s="1">
        <v>41063</v>
      </c>
      <c r="W826">
        <v>0</v>
      </c>
      <c r="X826">
        <v>0</v>
      </c>
      <c r="Y826" t="s">
        <v>59</v>
      </c>
      <c r="AA826" t="s">
        <v>42</v>
      </c>
      <c r="AB826" t="s">
        <v>43</v>
      </c>
      <c r="AC826" t="s">
        <v>43</v>
      </c>
    </row>
    <row r="827" spans="1:31" x14ac:dyDescent="0.4">
      <c r="A827" t="s">
        <v>27</v>
      </c>
      <c r="B827">
        <v>354</v>
      </c>
      <c r="C827" t="s">
        <v>2188</v>
      </c>
      <c r="D827">
        <v>259</v>
      </c>
      <c r="E827" t="s">
        <v>68</v>
      </c>
      <c r="F827" t="s">
        <v>919</v>
      </c>
      <c r="G827" t="s">
        <v>2182</v>
      </c>
      <c r="H827" t="s">
        <v>2183</v>
      </c>
      <c r="I827" t="s">
        <v>2184</v>
      </c>
      <c r="J827" t="s">
        <v>50</v>
      </c>
      <c r="K827" t="s">
        <v>924</v>
      </c>
      <c r="L827" t="s">
        <v>2185</v>
      </c>
      <c r="M827" t="s">
        <v>35</v>
      </c>
      <c r="N827" t="s">
        <v>2186</v>
      </c>
      <c r="O827" t="s">
        <v>2187</v>
      </c>
      <c r="P827" t="s">
        <v>3041</v>
      </c>
      <c r="R827" t="s">
        <v>2189</v>
      </c>
      <c r="S827" t="s">
        <v>2190</v>
      </c>
      <c r="T827" t="s">
        <v>58</v>
      </c>
      <c r="U827" t="s">
        <v>82</v>
      </c>
      <c r="V827" s="1">
        <v>44458</v>
      </c>
      <c r="W827">
        <v>0</v>
      </c>
      <c r="X827">
        <v>13</v>
      </c>
      <c r="AA827" t="s">
        <v>42</v>
      </c>
      <c r="AB827" t="s">
        <v>43</v>
      </c>
      <c r="AC827" t="s">
        <v>43</v>
      </c>
    </row>
    <row r="828" spans="1:31" hidden="1" x14ac:dyDescent="0.4">
      <c r="A828" t="s">
        <v>27</v>
      </c>
      <c r="B828">
        <v>354</v>
      </c>
      <c r="C828" t="s">
        <v>2188</v>
      </c>
      <c r="E828" t="s">
        <v>68</v>
      </c>
      <c r="F828" t="s">
        <v>919</v>
      </c>
      <c r="G828" t="s">
        <v>2182</v>
      </c>
      <c r="H828" t="s">
        <v>2183</v>
      </c>
      <c r="I828" t="s">
        <v>2184</v>
      </c>
      <c r="J828" t="s">
        <v>50</v>
      </c>
      <c r="K828" t="s">
        <v>924</v>
      </c>
      <c r="L828" t="s">
        <v>2185</v>
      </c>
      <c r="M828" t="s">
        <v>35</v>
      </c>
      <c r="N828" t="s">
        <v>2186</v>
      </c>
      <c r="O828" t="s">
        <v>2187</v>
      </c>
      <c r="P828" t="s">
        <v>2188</v>
      </c>
      <c r="R828" t="s">
        <v>2191</v>
      </c>
      <c r="S828" t="s">
        <v>2192</v>
      </c>
      <c r="T828" t="s">
        <v>62</v>
      </c>
      <c r="U828" t="s">
        <v>82</v>
      </c>
      <c r="V828" s="1">
        <v>41063</v>
      </c>
      <c r="W828">
        <v>0</v>
      </c>
      <c r="X828">
        <v>0</v>
      </c>
      <c r="Y828" t="s">
        <v>59</v>
      </c>
      <c r="AA828" t="s">
        <v>42</v>
      </c>
      <c r="AB828" t="s">
        <v>43</v>
      </c>
      <c r="AC828" t="s">
        <v>43</v>
      </c>
    </row>
    <row r="829" spans="1:31" x14ac:dyDescent="0.4">
      <c r="A829" t="s">
        <v>27</v>
      </c>
      <c r="B829">
        <v>1298</v>
      </c>
      <c r="C829" t="s">
        <v>65</v>
      </c>
      <c r="D829">
        <v>262</v>
      </c>
      <c r="E829" t="s">
        <v>28</v>
      </c>
      <c r="F829" t="s">
        <v>2195</v>
      </c>
      <c r="G829" t="s">
        <v>2196</v>
      </c>
      <c r="H829" t="s">
        <v>2197</v>
      </c>
      <c r="I829" t="s">
        <v>2198</v>
      </c>
      <c r="J829" t="s">
        <v>1270</v>
      </c>
      <c r="K829" t="s">
        <v>51</v>
      </c>
      <c r="L829" t="s">
        <v>2199</v>
      </c>
      <c r="M829" t="s">
        <v>35</v>
      </c>
      <c r="N829">
        <v>441590682183</v>
      </c>
      <c r="O829" t="s">
        <v>2200</v>
      </c>
      <c r="P829" t="s">
        <v>3138</v>
      </c>
      <c r="R829" t="s">
        <v>2201</v>
      </c>
      <c r="S829" t="s">
        <v>2202</v>
      </c>
      <c r="T829" t="s">
        <v>58</v>
      </c>
      <c r="U829" t="s">
        <v>82</v>
      </c>
      <c r="V829" s="1">
        <v>44880</v>
      </c>
      <c r="W829">
        <v>0</v>
      </c>
      <c r="X829">
        <v>8</v>
      </c>
      <c r="AA829" t="s">
        <v>42</v>
      </c>
      <c r="AB829" t="s">
        <v>43</v>
      </c>
      <c r="AC829" t="s">
        <v>42</v>
      </c>
      <c r="AE829" t="s">
        <v>2203</v>
      </c>
    </row>
    <row r="830" spans="1:31" x14ac:dyDescent="0.4">
      <c r="A830" t="s">
        <v>27</v>
      </c>
      <c r="B830">
        <v>1298</v>
      </c>
      <c r="C830" t="s">
        <v>65</v>
      </c>
      <c r="D830">
        <v>260</v>
      </c>
      <c r="E830" t="s">
        <v>28</v>
      </c>
      <c r="F830" t="s">
        <v>2195</v>
      </c>
      <c r="G830" t="s">
        <v>2196</v>
      </c>
      <c r="H830" t="s">
        <v>2197</v>
      </c>
      <c r="I830" t="s">
        <v>2198</v>
      </c>
      <c r="J830" t="s">
        <v>1270</v>
      </c>
      <c r="K830" t="s">
        <v>51</v>
      </c>
      <c r="L830" t="s">
        <v>2199</v>
      </c>
      <c r="M830" t="s">
        <v>35</v>
      </c>
      <c r="N830">
        <v>441590682183</v>
      </c>
      <c r="O830" t="s">
        <v>2200</v>
      </c>
      <c r="P830" t="s">
        <v>65</v>
      </c>
      <c r="R830" t="s">
        <v>2204</v>
      </c>
      <c r="S830" t="s">
        <v>2205</v>
      </c>
      <c r="T830" t="s">
        <v>58</v>
      </c>
      <c r="U830" t="s">
        <v>40</v>
      </c>
      <c r="V830" s="1">
        <v>43600</v>
      </c>
      <c r="W830">
        <v>0</v>
      </c>
      <c r="X830">
        <v>20</v>
      </c>
      <c r="AA830" t="s">
        <v>42</v>
      </c>
      <c r="AB830" t="s">
        <v>43</v>
      </c>
      <c r="AC830" t="s">
        <v>42</v>
      </c>
      <c r="AE830" t="s">
        <v>2203</v>
      </c>
    </row>
    <row r="831" spans="1:31" x14ac:dyDescent="0.4">
      <c r="A831" t="s">
        <v>27</v>
      </c>
      <c r="B831">
        <v>1298</v>
      </c>
      <c r="C831" t="s">
        <v>65</v>
      </c>
      <c r="D831">
        <v>261</v>
      </c>
      <c r="E831" t="s">
        <v>28</v>
      </c>
      <c r="F831" t="s">
        <v>2195</v>
      </c>
      <c r="G831" t="s">
        <v>2196</v>
      </c>
      <c r="H831" t="s">
        <v>2197</v>
      </c>
      <c r="I831" t="s">
        <v>2198</v>
      </c>
      <c r="J831" t="s">
        <v>1270</v>
      </c>
      <c r="K831" t="s">
        <v>51</v>
      </c>
      <c r="L831" t="s">
        <v>2199</v>
      </c>
      <c r="M831" t="s">
        <v>35</v>
      </c>
      <c r="N831">
        <v>441590682183</v>
      </c>
      <c r="O831" t="s">
        <v>2200</v>
      </c>
      <c r="P831" t="s">
        <v>65</v>
      </c>
      <c r="R831" t="s">
        <v>2206</v>
      </c>
      <c r="S831" t="s">
        <v>2207</v>
      </c>
      <c r="T831" t="s">
        <v>58</v>
      </c>
      <c r="U831" t="s">
        <v>40</v>
      </c>
      <c r="V831" s="1">
        <v>41927</v>
      </c>
      <c r="W831">
        <v>0</v>
      </c>
      <c r="X831">
        <v>20</v>
      </c>
      <c r="AA831" t="s">
        <v>42</v>
      </c>
      <c r="AB831" t="s">
        <v>43</v>
      </c>
      <c r="AC831" t="s">
        <v>42</v>
      </c>
      <c r="AE831" t="s">
        <v>2203</v>
      </c>
    </row>
    <row r="832" spans="1:31" x14ac:dyDescent="0.4">
      <c r="A832" t="s">
        <v>27</v>
      </c>
      <c r="B832">
        <v>1298</v>
      </c>
      <c r="C832" t="s">
        <v>65</v>
      </c>
      <c r="D832">
        <v>260</v>
      </c>
      <c r="E832" t="s">
        <v>28</v>
      </c>
      <c r="F832" t="s">
        <v>2195</v>
      </c>
      <c r="G832" t="s">
        <v>2196</v>
      </c>
      <c r="H832" t="s">
        <v>2197</v>
      </c>
      <c r="I832" t="s">
        <v>2198</v>
      </c>
      <c r="J832" t="s">
        <v>1270</v>
      </c>
      <c r="K832" t="s">
        <v>51</v>
      </c>
      <c r="L832" t="s">
        <v>2199</v>
      </c>
      <c r="M832" t="s">
        <v>35</v>
      </c>
      <c r="N832">
        <v>441590682183</v>
      </c>
      <c r="O832" t="s">
        <v>2200</v>
      </c>
      <c r="P832" t="s">
        <v>65</v>
      </c>
      <c r="R832" t="s">
        <v>2204</v>
      </c>
      <c r="S832" t="s">
        <v>2205</v>
      </c>
      <c r="T832" t="s">
        <v>58</v>
      </c>
      <c r="U832" t="s">
        <v>40</v>
      </c>
      <c r="V832" s="1">
        <v>43600</v>
      </c>
      <c r="W832">
        <v>0</v>
      </c>
      <c r="X832">
        <v>18</v>
      </c>
      <c r="AA832" t="s">
        <v>42</v>
      </c>
      <c r="AB832" t="s">
        <v>43</v>
      </c>
      <c r="AC832" t="s">
        <v>42</v>
      </c>
      <c r="AE832" t="s">
        <v>2203</v>
      </c>
    </row>
    <row r="833" spans="1:31" x14ac:dyDescent="0.4">
      <c r="A833" t="s">
        <v>27</v>
      </c>
      <c r="B833">
        <v>1298</v>
      </c>
      <c r="C833" t="s">
        <v>65</v>
      </c>
      <c r="D833">
        <v>262</v>
      </c>
      <c r="E833" t="s">
        <v>28</v>
      </c>
      <c r="F833" t="s">
        <v>2195</v>
      </c>
      <c r="G833" t="s">
        <v>2196</v>
      </c>
      <c r="H833" t="s">
        <v>2197</v>
      </c>
      <c r="I833" t="s">
        <v>2198</v>
      </c>
      <c r="J833" t="s">
        <v>1270</v>
      </c>
      <c r="K833" t="s">
        <v>51</v>
      </c>
      <c r="L833" t="s">
        <v>2199</v>
      </c>
      <c r="M833" t="s">
        <v>35</v>
      </c>
      <c r="N833">
        <v>441590682183</v>
      </c>
      <c r="O833" t="s">
        <v>2200</v>
      </c>
      <c r="P833" t="s">
        <v>3138</v>
      </c>
      <c r="R833" t="s">
        <v>2201</v>
      </c>
      <c r="S833" t="s">
        <v>2202</v>
      </c>
      <c r="T833" t="s">
        <v>58</v>
      </c>
      <c r="U833" t="s">
        <v>82</v>
      </c>
      <c r="V833" s="1">
        <v>44880</v>
      </c>
      <c r="W833">
        <v>0</v>
      </c>
      <c r="X833">
        <v>9</v>
      </c>
      <c r="AA833" t="s">
        <v>42</v>
      </c>
      <c r="AB833" t="s">
        <v>43</v>
      </c>
      <c r="AC833" t="s">
        <v>42</v>
      </c>
      <c r="AE833" t="s">
        <v>2203</v>
      </c>
    </row>
    <row r="834" spans="1:31" x14ac:dyDescent="0.4">
      <c r="A834" t="s">
        <v>27</v>
      </c>
      <c r="B834">
        <v>1515</v>
      </c>
      <c r="C834" t="s">
        <v>3005</v>
      </c>
      <c r="D834">
        <v>264</v>
      </c>
      <c r="E834" t="s">
        <v>195</v>
      </c>
      <c r="F834" t="s">
        <v>2208</v>
      </c>
      <c r="G834" t="s">
        <v>2209</v>
      </c>
      <c r="H834" t="s">
        <v>2210</v>
      </c>
      <c r="I834" t="s">
        <v>2211</v>
      </c>
      <c r="J834" t="s">
        <v>2212</v>
      </c>
      <c r="K834" t="s">
        <v>1914</v>
      </c>
      <c r="L834" t="s">
        <v>2213</v>
      </c>
      <c r="M834" t="s">
        <v>35</v>
      </c>
      <c r="N834">
        <v>7831883083</v>
      </c>
      <c r="O834" t="s">
        <v>2214</v>
      </c>
      <c r="P834" t="s">
        <v>3067</v>
      </c>
      <c r="R834" t="s">
        <v>2215</v>
      </c>
      <c r="S834" t="s">
        <v>2216</v>
      </c>
      <c r="T834" t="s">
        <v>94</v>
      </c>
      <c r="U834" t="s">
        <v>40</v>
      </c>
      <c r="V834" s="1">
        <v>44058</v>
      </c>
      <c r="W834">
        <v>0</v>
      </c>
      <c r="X834">
        <v>20</v>
      </c>
      <c r="AA834" t="s">
        <v>42</v>
      </c>
      <c r="AB834" t="s">
        <v>43</v>
      </c>
      <c r="AC834" t="s">
        <v>43</v>
      </c>
      <c r="AD834" t="s">
        <v>2217</v>
      </c>
    </row>
    <row r="835" spans="1:31" x14ac:dyDescent="0.4">
      <c r="A835" t="s">
        <v>27</v>
      </c>
      <c r="B835">
        <v>1515</v>
      </c>
      <c r="C835" t="s">
        <v>3005</v>
      </c>
      <c r="D835">
        <v>264</v>
      </c>
      <c r="E835" t="s">
        <v>195</v>
      </c>
      <c r="F835" t="s">
        <v>2208</v>
      </c>
      <c r="G835" t="s">
        <v>2209</v>
      </c>
      <c r="H835" t="s">
        <v>2210</v>
      </c>
      <c r="I835" t="s">
        <v>2211</v>
      </c>
      <c r="J835" t="s">
        <v>2212</v>
      </c>
      <c r="K835" t="s">
        <v>1914</v>
      </c>
      <c r="L835" t="s">
        <v>2213</v>
      </c>
      <c r="M835" t="s">
        <v>35</v>
      </c>
      <c r="N835">
        <v>7831883083</v>
      </c>
      <c r="O835" t="s">
        <v>2214</v>
      </c>
      <c r="P835" t="s">
        <v>3067</v>
      </c>
      <c r="R835" t="s">
        <v>2215</v>
      </c>
      <c r="S835" t="s">
        <v>2216</v>
      </c>
      <c r="T835" t="s">
        <v>94</v>
      </c>
      <c r="U835" t="s">
        <v>40</v>
      </c>
      <c r="V835" s="1">
        <v>44058</v>
      </c>
      <c r="W835">
        <v>0</v>
      </c>
      <c r="X835">
        <v>18</v>
      </c>
      <c r="AA835" t="s">
        <v>42</v>
      </c>
      <c r="AB835" t="s">
        <v>43</v>
      </c>
      <c r="AC835" t="s">
        <v>43</v>
      </c>
      <c r="AD835" t="s">
        <v>2217</v>
      </c>
    </row>
    <row r="836" spans="1:31" x14ac:dyDescent="0.4">
      <c r="A836" t="s">
        <v>27</v>
      </c>
      <c r="B836">
        <v>1515</v>
      </c>
      <c r="C836" t="s">
        <v>3005</v>
      </c>
      <c r="D836">
        <v>263</v>
      </c>
      <c r="E836" t="s">
        <v>195</v>
      </c>
      <c r="F836" t="s">
        <v>2208</v>
      </c>
      <c r="G836" t="s">
        <v>2209</v>
      </c>
      <c r="H836" t="s">
        <v>2210</v>
      </c>
      <c r="I836" t="s">
        <v>2211</v>
      </c>
      <c r="J836" t="s">
        <v>2212</v>
      </c>
      <c r="K836" t="s">
        <v>1914</v>
      </c>
      <c r="L836" t="s">
        <v>2213</v>
      </c>
      <c r="M836" t="s">
        <v>35</v>
      </c>
      <c r="N836">
        <v>7831883083</v>
      </c>
      <c r="O836" t="s">
        <v>2214</v>
      </c>
      <c r="P836" t="s">
        <v>3067</v>
      </c>
      <c r="R836" t="s">
        <v>2218</v>
      </c>
      <c r="S836" t="s">
        <v>2219</v>
      </c>
      <c r="T836" t="s">
        <v>94</v>
      </c>
      <c r="U836" t="s">
        <v>40</v>
      </c>
      <c r="V836" s="1">
        <v>45179</v>
      </c>
      <c r="W836">
        <v>0</v>
      </c>
      <c r="X836">
        <v>16</v>
      </c>
      <c r="AA836" t="s">
        <v>42</v>
      </c>
      <c r="AB836" t="s">
        <v>43</v>
      </c>
      <c r="AC836" t="s">
        <v>43</v>
      </c>
      <c r="AD836" t="s">
        <v>2217</v>
      </c>
    </row>
    <row r="837" spans="1:31" x14ac:dyDescent="0.4">
      <c r="A837" t="s">
        <v>27</v>
      </c>
      <c r="B837">
        <v>1515</v>
      </c>
      <c r="C837" t="s">
        <v>3005</v>
      </c>
      <c r="D837">
        <v>263</v>
      </c>
      <c r="E837" t="s">
        <v>195</v>
      </c>
      <c r="F837" t="s">
        <v>2208</v>
      </c>
      <c r="G837" t="s">
        <v>2209</v>
      </c>
      <c r="H837" t="s">
        <v>2210</v>
      </c>
      <c r="I837" t="s">
        <v>2211</v>
      </c>
      <c r="J837" t="s">
        <v>2212</v>
      </c>
      <c r="K837" t="s">
        <v>1914</v>
      </c>
      <c r="L837" t="s">
        <v>2213</v>
      </c>
      <c r="M837" t="s">
        <v>35</v>
      </c>
      <c r="N837">
        <v>7831883083</v>
      </c>
      <c r="O837" t="s">
        <v>2214</v>
      </c>
      <c r="P837" t="s">
        <v>3067</v>
      </c>
      <c r="R837" t="s">
        <v>2218</v>
      </c>
      <c r="S837" t="s">
        <v>2219</v>
      </c>
      <c r="T837" t="s">
        <v>94</v>
      </c>
      <c r="U837" t="s">
        <v>40</v>
      </c>
      <c r="V837" s="1">
        <v>45179</v>
      </c>
      <c r="W837">
        <v>0</v>
      </c>
      <c r="X837">
        <v>14</v>
      </c>
      <c r="AA837" t="s">
        <v>42</v>
      </c>
      <c r="AB837" t="s">
        <v>43</v>
      </c>
      <c r="AC837" t="s">
        <v>43</v>
      </c>
      <c r="AD837" t="s">
        <v>2217</v>
      </c>
    </row>
    <row r="838" spans="1:31" x14ac:dyDescent="0.4">
      <c r="A838" t="s">
        <v>27</v>
      </c>
      <c r="B838">
        <v>2207</v>
      </c>
      <c r="C838" t="s">
        <v>2229</v>
      </c>
      <c r="D838">
        <v>267</v>
      </c>
      <c r="E838" t="s">
        <v>68</v>
      </c>
      <c r="F838" t="s">
        <v>2220</v>
      </c>
      <c r="G838" t="s">
        <v>2221</v>
      </c>
      <c r="H838" t="s">
        <v>2222</v>
      </c>
      <c r="I838" t="s">
        <v>2223</v>
      </c>
      <c r="J838" t="s">
        <v>2224</v>
      </c>
      <c r="K838" t="s">
        <v>2225</v>
      </c>
      <c r="L838" t="s">
        <v>2226</v>
      </c>
      <c r="M838" t="s">
        <v>35</v>
      </c>
      <c r="N838" t="s">
        <v>2227</v>
      </c>
      <c r="O838" t="s">
        <v>2228</v>
      </c>
      <c r="P838" t="s">
        <v>3085</v>
      </c>
      <c r="R838" t="s">
        <v>3120</v>
      </c>
      <c r="S838" t="s">
        <v>2231</v>
      </c>
      <c r="T838" t="s">
        <v>94</v>
      </c>
      <c r="U838" t="s">
        <v>40</v>
      </c>
      <c r="V838" s="1">
        <v>44809</v>
      </c>
      <c r="W838">
        <v>0</v>
      </c>
      <c r="X838">
        <v>14</v>
      </c>
      <c r="AA838" t="s">
        <v>42</v>
      </c>
      <c r="AB838" t="s">
        <v>43</v>
      </c>
      <c r="AC838" t="s">
        <v>42</v>
      </c>
    </row>
    <row r="839" spans="1:31" x14ac:dyDescent="0.4">
      <c r="A839" t="s">
        <v>27</v>
      </c>
      <c r="B839">
        <v>2207</v>
      </c>
      <c r="C839" t="s">
        <v>2229</v>
      </c>
      <c r="D839">
        <v>267</v>
      </c>
      <c r="E839" t="s">
        <v>68</v>
      </c>
      <c r="F839" t="s">
        <v>2220</v>
      </c>
      <c r="G839" t="s">
        <v>2221</v>
      </c>
      <c r="H839" t="s">
        <v>2222</v>
      </c>
      <c r="I839" t="s">
        <v>2223</v>
      </c>
      <c r="J839" t="s">
        <v>2224</v>
      </c>
      <c r="K839" t="s">
        <v>2225</v>
      </c>
      <c r="L839" t="s">
        <v>2226</v>
      </c>
      <c r="M839" t="s">
        <v>35</v>
      </c>
      <c r="N839" t="s">
        <v>2227</v>
      </c>
      <c r="O839" t="s">
        <v>2228</v>
      </c>
      <c r="P839" t="s">
        <v>3085</v>
      </c>
      <c r="R839" t="s">
        <v>3120</v>
      </c>
      <c r="S839" t="s">
        <v>2231</v>
      </c>
      <c r="T839" t="s">
        <v>94</v>
      </c>
      <c r="U839" t="s">
        <v>40</v>
      </c>
      <c r="V839" s="1">
        <v>44809</v>
      </c>
      <c r="W839">
        <v>0</v>
      </c>
      <c r="X839">
        <v>16</v>
      </c>
      <c r="AA839" t="s">
        <v>42</v>
      </c>
      <c r="AB839" t="s">
        <v>43</v>
      </c>
      <c r="AC839" t="s">
        <v>42</v>
      </c>
    </row>
    <row r="840" spans="1:31" x14ac:dyDescent="0.4">
      <c r="A840" t="s">
        <v>27</v>
      </c>
      <c r="B840">
        <v>2207</v>
      </c>
      <c r="C840" t="s">
        <v>2229</v>
      </c>
      <c r="D840">
        <v>265</v>
      </c>
      <c r="E840" t="s">
        <v>68</v>
      </c>
      <c r="F840" t="s">
        <v>2220</v>
      </c>
      <c r="G840" t="s">
        <v>2221</v>
      </c>
      <c r="H840" t="s">
        <v>2222</v>
      </c>
      <c r="I840" t="s">
        <v>2223</v>
      </c>
      <c r="J840" t="s">
        <v>2224</v>
      </c>
      <c r="K840" t="s">
        <v>2225</v>
      </c>
      <c r="L840" t="s">
        <v>2226</v>
      </c>
      <c r="M840" t="s">
        <v>35</v>
      </c>
      <c r="N840" t="s">
        <v>2227</v>
      </c>
      <c r="O840" t="s">
        <v>2228</v>
      </c>
      <c r="P840" t="s">
        <v>3085</v>
      </c>
      <c r="R840" t="s">
        <v>3121</v>
      </c>
      <c r="S840" t="s">
        <v>2233</v>
      </c>
      <c r="T840" t="s">
        <v>94</v>
      </c>
      <c r="U840" t="s">
        <v>82</v>
      </c>
      <c r="V840" s="1">
        <v>43917</v>
      </c>
      <c r="W840">
        <v>0</v>
      </c>
      <c r="X840">
        <v>19</v>
      </c>
      <c r="AA840" t="s">
        <v>42</v>
      </c>
      <c r="AB840" t="s">
        <v>43</v>
      </c>
      <c r="AC840" t="s">
        <v>42</v>
      </c>
    </row>
    <row r="841" spans="1:31" x14ac:dyDescent="0.4">
      <c r="A841" t="s">
        <v>27</v>
      </c>
      <c r="B841">
        <v>2207</v>
      </c>
      <c r="C841" t="s">
        <v>2229</v>
      </c>
      <c r="D841">
        <v>266</v>
      </c>
      <c r="E841" t="s">
        <v>68</v>
      </c>
      <c r="F841" t="s">
        <v>2220</v>
      </c>
      <c r="G841" t="s">
        <v>2221</v>
      </c>
      <c r="H841" t="s">
        <v>2222</v>
      </c>
      <c r="I841" t="s">
        <v>2223</v>
      </c>
      <c r="J841" t="s">
        <v>2224</v>
      </c>
      <c r="K841" t="s">
        <v>2225</v>
      </c>
      <c r="L841" t="s">
        <v>2226</v>
      </c>
      <c r="M841" t="s">
        <v>35</v>
      </c>
      <c r="N841" t="s">
        <v>2227</v>
      </c>
      <c r="O841" t="s">
        <v>2228</v>
      </c>
      <c r="P841" t="s">
        <v>3085</v>
      </c>
      <c r="R841" t="s">
        <v>3122</v>
      </c>
      <c r="S841" t="s">
        <v>2235</v>
      </c>
      <c r="T841" t="s">
        <v>94</v>
      </c>
      <c r="U841" t="s">
        <v>82</v>
      </c>
      <c r="V841" s="1">
        <v>42743</v>
      </c>
      <c r="W841">
        <v>0</v>
      </c>
      <c r="X841">
        <v>21</v>
      </c>
      <c r="AA841" t="s">
        <v>42</v>
      </c>
      <c r="AB841" t="s">
        <v>43</v>
      </c>
      <c r="AC841" t="s">
        <v>42</v>
      </c>
    </row>
    <row r="842" spans="1:31" x14ac:dyDescent="0.4">
      <c r="A842" t="s">
        <v>27</v>
      </c>
      <c r="B842">
        <v>5523</v>
      </c>
      <c r="C842" t="s">
        <v>2902</v>
      </c>
      <c r="D842">
        <v>268</v>
      </c>
      <c r="E842" t="s">
        <v>68</v>
      </c>
      <c r="F842" t="s">
        <v>2236</v>
      </c>
      <c r="G842" t="s">
        <v>258</v>
      </c>
      <c r="H842" t="s">
        <v>2237</v>
      </c>
      <c r="I842" t="s">
        <v>2238</v>
      </c>
      <c r="J842" t="s">
        <v>2239</v>
      </c>
      <c r="K842" t="s">
        <v>73</v>
      </c>
      <c r="L842" t="s">
        <v>2240</v>
      </c>
      <c r="M842" t="s">
        <v>35</v>
      </c>
      <c r="N842">
        <v>7977580708</v>
      </c>
      <c r="O842" t="s">
        <v>2241</v>
      </c>
      <c r="P842" t="s">
        <v>2902</v>
      </c>
      <c r="R842" t="s">
        <v>2242</v>
      </c>
      <c r="S842" t="s">
        <v>2243</v>
      </c>
      <c r="T842" t="s">
        <v>287</v>
      </c>
      <c r="U842" t="s">
        <v>40</v>
      </c>
      <c r="V842" s="1">
        <v>44348</v>
      </c>
      <c r="W842">
        <v>0</v>
      </c>
      <c r="X842">
        <v>1</v>
      </c>
      <c r="AA842" t="s">
        <v>42</v>
      </c>
      <c r="AB842" t="s">
        <v>43</v>
      </c>
      <c r="AC842" t="s">
        <v>43</v>
      </c>
    </row>
    <row r="843" spans="1:31" x14ac:dyDescent="0.4">
      <c r="A843" t="s">
        <v>27</v>
      </c>
      <c r="B843">
        <v>5523</v>
      </c>
      <c r="C843" t="s">
        <v>2902</v>
      </c>
      <c r="D843">
        <v>268</v>
      </c>
      <c r="E843" t="s">
        <v>68</v>
      </c>
      <c r="F843" t="s">
        <v>2236</v>
      </c>
      <c r="G843" t="s">
        <v>258</v>
      </c>
      <c r="H843" t="s">
        <v>2237</v>
      </c>
      <c r="I843" t="s">
        <v>2238</v>
      </c>
      <c r="J843" t="s">
        <v>2239</v>
      </c>
      <c r="K843" t="s">
        <v>73</v>
      </c>
      <c r="L843" t="s">
        <v>2240</v>
      </c>
      <c r="M843" t="s">
        <v>35</v>
      </c>
      <c r="N843">
        <v>7977580708</v>
      </c>
      <c r="O843" t="s">
        <v>2241</v>
      </c>
      <c r="P843" t="s">
        <v>2902</v>
      </c>
      <c r="R843" t="s">
        <v>2242</v>
      </c>
      <c r="S843" t="s">
        <v>2243</v>
      </c>
      <c r="T843" t="s">
        <v>284</v>
      </c>
      <c r="U843" t="s">
        <v>40</v>
      </c>
      <c r="V843" s="1">
        <v>44348</v>
      </c>
      <c r="W843">
        <v>0</v>
      </c>
      <c r="X843">
        <v>2</v>
      </c>
      <c r="AA843" t="s">
        <v>42</v>
      </c>
      <c r="AB843" t="s">
        <v>43</v>
      </c>
      <c r="AC843" t="s">
        <v>43</v>
      </c>
    </row>
    <row r="844" spans="1:31" x14ac:dyDescent="0.4">
      <c r="A844" t="s">
        <v>27</v>
      </c>
      <c r="B844">
        <v>5523</v>
      </c>
      <c r="C844" t="s">
        <v>2902</v>
      </c>
      <c r="D844">
        <v>268</v>
      </c>
      <c r="E844" t="s">
        <v>68</v>
      </c>
      <c r="F844" t="s">
        <v>2236</v>
      </c>
      <c r="G844" t="s">
        <v>258</v>
      </c>
      <c r="H844" t="s">
        <v>2237</v>
      </c>
      <c r="I844" t="s">
        <v>2238</v>
      </c>
      <c r="J844" t="s">
        <v>2239</v>
      </c>
      <c r="K844" t="s">
        <v>73</v>
      </c>
      <c r="L844" t="s">
        <v>2240</v>
      </c>
      <c r="M844" t="s">
        <v>35</v>
      </c>
      <c r="N844">
        <v>7977580708</v>
      </c>
      <c r="O844" t="s">
        <v>2241</v>
      </c>
      <c r="P844" t="s">
        <v>2902</v>
      </c>
      <c r="R844" t="s">
        <v>2242</v>
      </c>
      <c r="S844" t="s">
        <v>2243</v>
      </c>
      <c r="T844" t="s">
        <v>284</v>
      </c>
      <c r="U844" t="s">
        <v>40</v>
      </c>
      <c r="V844" s="1">
        <v>44348</v>
      </c>
      <c r="W844">
        <v>0</v>
      </c>
      <c r="X844">
        <v>9</v>
      </c>
      <c r="AA844" t="s">
        <v>42</v>
      </c>
      <c r="AB844" t="s">
        <v>43</v>
      </c>
      <c r="AC844" t="s">
        <v>43</v>
      </c>
    </row>
    <row r="845" spans="1:31" x14ac:dyDescent="0.4">
      <c r="A845" t="s">
        <v>27</v>
      </c>
      <c r="B845">
        <v>5523</v>
      </c>
      <c r="C845" t="s">
        <v>2902</v>
      </c>
      <c r="D845">
        <v>268</v>
      </c>
      <c r="E845" t="s">
        <v>68</v>
      </c>
      <c r="F845" t="s">
        <v>2236</v>
      </c>
      <c r="G845" t="s">
        <v>258</v>
      </c>
      <c r="H845" t="s">
        <v>2237</v>
      </c>
      <c r="I845" t="s">
        <v>2238</v>
      </c>
      <c r="J845" t="s">
        <v>2239</v>
      </c>
      <c r="K845" t="s">
        <v>73</v>
      </c>
      <c r="L845" t="s">
        <v>2240</v>
      </c>
      <c r="M845" t="s">
        <v>35</v>
      </c>
      <c r="N845">
        <v>7977580708</v>
      </c>
      <c r="O845" t="s">
        <v>2241</v>
      </c>
      <c r="P845" t="s">
        <v>2902</v>
      </c>
      <c r="R845" t="s">
        <v>2242</v>
      </c>
      <c r="S845" t="s">
        <v>2243</v>
      </c>
      <c r="T845" t="s">
        <v>284</v>
      </c>
      <c r="U845" t="s">
        <v>40</v>
      </c>
      <c r="V845" s="1">
        <v>44348</v>
      </c>
      <c r="W845">
        <v>0</v>
      </c>
      <c r="X845">
        <v>10</v>
      </c>
      <c r="AA845" t="s">
        <v>42</v>
      </c>
      <c r="AB845" t="s">
        <v>43</v>
      </c>
      <c r="AC845" t="s">
        <v>43</v>
      </c>
    </row>
    <row r="846" spans="1:31" x14ac:dyDescent="0.4">
      <c r="A846" t="s">
        <v>27</v>
      </c>
      <c r="B846">
        <v>3902</v>
      </c>
      <c r="C846" t="s">
        <v>2252</v>
      </c>
      <c r="D846">
        <v>269</v>
      </c>
      <c r="E846" t="s">
        <v>68</v>
      </c>
      <c r="F846" t="s">
        <v>2244</v>
      </c>
      <c r="G846" t="s">
        <v>2245</v>
      </c>
      <c r="H846" t="s">
        <v>2246</v>
      </c>
      <c r="I846" t="s">
        <v>2247</v>
      </c>
      <c r="J846" t="s">
        <v>2248</v>
      </c>
      <c r="K846" t="s">
        <v>73</v>
      </c>
      <c r="L846" t="s">
        <v>2249</v>
      </c>
      <c r="M846" t="s">
        <v>35</v>
      </c>
      <c r="N846" t="s">
        <v>2250</v>
      </c>
      <c r="O846" t="s">
        <v>2251</v>
      </c>
      <c r="P846" t="s">
        <v>2252</v>
      </c>
      <c r="R846" t="s">
        <v>2253</v>
      </c>
      <c r="S846" t="s">
        <v>2254</v>
      </c>
      <c r="T846" t="s">
        <v>960</v>
      </c>
      <c r="U846" t="s">
        <v>82</v>
      </c>
      <c r="V846" s="1">
        <v>42531</v>
      </c>
      <c r="W846">
        <v>0</v>
      </c>
      <c r="X846">
        <v>4</v>
      </c>
      <c r="Y846" t="s">
        <v>65</v>
      </c>
      <c r="AA846" t="s">
        <v>42</v>
      </c>
      <c r="AB846" t="s">
        <v>43</v>
      </c>
      <c r="AC846" t="s">
        <v>43</v>
      </c>
    </row>
    <row r="847" spans="1:31" x14ac:dyDescent="0.4">
      <c r="A847" t="s">
        <v>27</v>
      </c>
      <c r="B847">
        <v>3902</v>
      </c>
      <c r="C847" t="s">
        <v>2252</v>
      </c>
      <c r="D847">
        <v>269</v>
      </c>
      <c r="E847" t="s">
        <v>68</v>
      </c>
      <c r="F847" t="s">
        <v>2244</v>
      </c>
      <c r="G847" t="s">
        <v>2245</v>
      </c>
      <c r="H847" t="s">
        <v>2246</v>
      </c>
      <c r="I847" t="s">
        <v>2247</v>
      </c>
      <c r="J847" t="s">
        <v>2248</v>
      </c>
      <c r="K847" t="s">
        <v>73</v>
      </c>
      <c r="L847" t="s">
        <v>2249</v>
      </c>
      <c r="M847" t="s">
        <v>35</v>
      </c>
      <c r="N847" t="s">
        <v>2250</v>
      </c>
      <c r="O847" t="s">
        <v>2251</v>
      </c>
      <c r="P847" t="s">
        <v>2252</v>
      </c>
      <c r="R847" t="s">
        <v>2253</v>
      </c>
      <c r="S847" t="s">
        <v>2254</v>
      </c>
      <c r="T847" t="s">
        <v>960</v>
      </c>
      <c r="U847" t="s">
        <v>82</v>
      </c>
      <c r="V847" s="1">
        <v>42531</v>
      </c>
      <c r="W847">
        <v>0</v>
      </c>
      <c r="X847">
        <v>5</v>
      </c>
      <c r="Y847" t="s">
        <v>66</v>
      </c>
      <c r="AA847" t="s">
        <v>42</v>
      </c>
      <c r="AB847" t="s">
        <v>43</v>
      </c>
      <c r="AC847" t="s">
        <v>43</v>
      </c>
    </row>
    <row r="848" spans="1:31" x14ac:dyDescent="0.4">
      <c r="A848" t="s">
        <v>27</v>
      </c>
      <c r="B848">
        <v>3902</v>
      </c>
      <c r="C848" t="s">
        <v>2252</v>
      </c>
      <c r="D848">
        <v>270</v>
      </c>
      <c r="E848" t="s">
        <v>68</v>
      </c>
      <c r="F848" t="s">
        <v>2244</v>
      </c>
      <c r="G848" t="s">
        <v>2245</v>
      </c>
      <c r="H848" t="s">
        <v>2246</v>
      </c>
      <c r="I848" t="s">
        <v>2247</v>
      </c>
      <c r="J848" t="s">
        <v>2248</v>
      </c>
      <c r="K848" t="s">
        <v>73</v>
      </c>
      <c r="L848" t="s">
        <v>2249</v>
      </c>
      <c r="M848" t="s">
        <v>35</v>
      </c>
      <c r="N848" t="s">
        <v>2250</v>
      </c>
      <c r="O848" t="s">
        <v>2251</v>
      </c>
      <c r="P848" t="s">
        <v>2252</v>
      </c>
      <c r="R848" t="s">
        <v>2255</v>
      </c>
      <c r="S848" t="s">
        <v>2256</v>
      </c>
      <c r="T848" t="s">
        <v>960</v>
      </c>
      <c r="U848" t="s">
        <v>82</v>
      </c>
      <c r="V848" s="1">
        <v>43389</v>
      </c>
      <c r="W848">
        <v>0</v>
      </c>
      <c r="X848">
        <v>4</v>
      </c>
      <c r="Y848" t="s">
        <v>65</v>
      </c>
      <c r="AA848" t="s">
        <v>42</v>
      </c>
      <c r="AB848" t="s">
        <v>43</v>
      </c>
      <c r="AC848" t="s">
        <v>43</v>
      </c>
    </row>
    <row r="849" spans="1:30" x14ac:dyDescent="0.4">
      <c r="A849" t="s">
        <v>27</v>
      </c>
      <c r="B849">
        <v>1786</v>
      </c>
      <c r="C849" t="s">
        <v>2264</v>
      </c>
      <c r="D849">
        <v>271</v>
      </c>
      <c r="E849" t="s">
        <v>68</v>
      </c>
      <c r="F849" t="s">
        <v>2257</v>
      </c>
      <c r="G849" t="s">
        <v>2258</v>
      </c>
      <c r="H849" t="s">
        <v>2259</v>
      </c>
      <c r="I849" t="s">
        <v>2260</v>
      </c>
      <c r="J849" t="s">
        <v>1732</v>
      </c>
      <c r="K849" t="s">
        <v>495</v>
      </c>
      <c r="L849" t="s">
        <v>2261</v>
      </c>
      <c r="M849" t="s">
        <v>35</v>
      </c>
      <c r="N849" t="s">
        <v>2262</v>
      </c>
      <c r="O849" t="s">
        <v>2263</v>
      </c>
      <c r="P849" t="s">
        <v>2264</v>
      </c>
      <c r="R849" t="s">
        <v>2265</v>
      </c>
      <c r="S849" t="s">
        <v>2266</v>
      </c>
      <c r="T849" t="s">
        <v>58</v>
      </c>
      <c r="U849" t="s">
        <v>40</v>
      </c>
      <c r="V849" s="1">
        <v>45364</v>
      </c>
      <c r="W849">
        <v>0</v>
      </c>
      <c r="X849">
        <v>4</v>
      </c>
      <c r="Y849" t="s">
        <v>65</v>
      </c>
      <c r="Z849" t="s">
        <v>135</v>
      </c>
      <c r="AA849" t="s">
        <v>42</v>
      </c>
      <c r="AB849" t="s">
        <v>43</v>
      </c>
      <c r="AC849" t="s">
        <v>43</v>
      </c>
    </row>
    <row r="850" spans="1:30" x14ac:dyDescent="0.4">
      <c r="A850" t="s">
        <v>27</v>
      </c>
      <c r="B850">
        <v>1786</v>
      </c>
      <c r="C850" t="s">
        <v>2264</v>
      </c>
      <c r="D850">
        <v>272</v>
      </c>
      <c r="E850" t="s">
        <v>68</v>
      </c>
      <c r="F850" t="s">
        <v>2257</v>
      </c>
      <c r="G850" t="s">
        <v>2258</v>
      </c>
      <c r="H850" t="s">
        <v>2259</v>
      </c>
      <c r="I850" t="s">
        <v>2260</v>
      </c>
      <c r="J850" t="s">
        <v>1732</v>
      </c>
      <c r="K850" t="s">
        <v>495</v>
      </c>
      <c r="L850" t="s">
        <v>2261</v>
      </c>
      <c r="M850" t="s">
        <v>35</v>
      </c>
      <c r="N850" t="s">
        <v>2262</v>
      </c>
      <c r="O850" t="s">
        <v>2263</v>
      </c>
      <c r="P850" t="s">
        <v>2264</v>
      </c>
      <c r="R850" t="s">
        <v>2267</v>
      </c>
      <c r="S850" t="s">
        <v>2268</v>
      </c>
      <c r="T850" t="s">
        <v>58</v>
      </c>
      <c r="U850" t="s">
        <v>82</v>
      </c>
      <c r="V850" s="1">
        <v>44592</v>
      </c>
      <c r="W850">
        <v>0</v>
      </c>
      <c r="X850">
        <v>5</v>
      </c>
      <c r="Y850" t="s">
        <v>66</v>
      </c>
      <c r="Z850" t="s">
        <v>135</v>
      </c>
      <c r="AA850" t="s">
        <v>42</v>
      </c>
      <c r="AB850" t="s">
        <v>43</v>
      </c>
      <c r="AC850" t="s">
        <v>43</v>
      </c>
    </row>
    <row r="851" spans="1:30" x14ac:dyDescent="0.4">
      <c r="A851" t="s">
        <v>27</v>
      </c>
      <c r="B851">
        <v>1786</v>
      </c>
      <c r="C851" t="s">
        <v>2264</v>
      </c>
      <c r="D851">
        <v>271</v>
      </c>
      <c r="E851" t="s">
        <v>68</v>
      </c>
      <c r="F851" t="s">
        <v>2257</v>
      </c>
      <c r="G851" t="s">
        <v>2258</v>
      </c>
      <c r="H851" t="s">
        <v>2259</v>
      </c>
      <c r="I851" t="s">
        <v>2260</v>
      </c>
      <c r="J851" t="s">
        <v>1732</v>
      </c>
      <c r="K851" t="s">
        <v>495</v>
      </c>
      <c r="L851" t="s">
        <v>2261</v>
      </c>
      <c r="M851" t="s">
        <v>35</v>
      </c>
      <c r="N851" t="s">
        <v>2262</v>
      </c>
      <c r="O851" t="s">
        <v>2263</v>
      </c>
      <c r="P851" t="s">
        <v>2264</v>
      </c>
      <c r="R851" t="s">
        <v>2265</v>
      </c>
      <c r="S851" t="s">
        <v>2266</v>
      </c>
      <c r="T851" t="s">
        <v>58</v>
      </c>
      <c r="U851" t="s">
        <v>40</v>
      </c>
      <c r="V851" s="1">
        <v>45364</v>
      </c>
      <c r="W851">
        <v>0</v>
      </c>
      <c r="X851">
        <v>12</v>
      </c>
      <c r="Z851" t="s">
        <v>135</v>
      </c>
      <c r="AA851" t="s">
        <v>42</v>
      </c>
      <c r="AB851" t="s">
        <v>43</v>
      </c>
      <c r="AC851" t="s">
        <v>43</v>
      </c>
    </row>
    <row r="852" spans="1:30" x14ac:dyDescent="0.4">
      <c r="A852" t="s">
        <v>27</v>
      </c>
      <c r="B852">
        <v>1786</v>
      </c>
      <c r="C852" t="s">
        <v>2264</v>
      </c>
      <c r="D852">
        <v>272</v>
      </c>
      <c r="E852" t="s">
        <v>68</v>
      </c>
      <c r="F852" t="s">
        <v>2257</v>
      </c>
      <c r="G852" t="s">
        <v>2258</v>
      </c>
      <c r="H852" t="s">
        <v>2259</v>
      </c>
      <c r="I852" t="s">
        <v>2260</v>
      </c>
      <c r="J852" t="s">
        <v>1732</v>
      </c>
      <c r="K852" t="s">
        <v>495</v>
      </c>
      <c r="L852" t="s">
        <v>2261</v>
      </c>
      <c r="M852" t="s">
        <v>35</v>
      </c>
      <c r="N852" t="s">
        <v>2262</v>
      </c>
      <c r="O852" t="s">
        <v>2263</v>
      </c>
      <c r="P852" t="s">
        <v>2264</v>
      </c>
      <c r="R852" t="s">
        <v>2267</v>
      </c>
      <c r="S852" t="s">
        <v>2268</v>
      </c>
      <c r="T852" t="s">
        <v>58</v>
      </c>
      <c r="U852" t="s">
        <v>82</v>
      </c>
      <c r="V852" s="1">
        <v>44592</v>
      </c>
      <c r="W852">
        <v>0</v>
      </c>
      <c r="X852">
        <v>15</v>
      </c>
      <c r="Z852" t="s">
        <v>135</v>
      </c>
      <c r="AA852" t="s">
        <v>42</v>
      </c>
      <c r="AB852" t="s">
        <v>43</v>
      </c>
      <c r="AC852" t="s">
        <v>43</v>
      </c>
    </row>
    <row r="853" spans="1:30" x14ac:dyDescent="0.4">
      <c r="A853" t="s">
        <v>27</v>
      </c>
      <c r="B853">
        <v>5980</v>
      </c>
      <c r="C853" t="s">
        <v>2275</v>
      </c>
      <c r="D853">
        <v>273</v>
      </c>
      <c r="E853" t="s">
        <v>68</v>
      </c>
      <c r="F853" t="s">
        <v>2016</v>
      </c>
      <c r="G853" t="s">
        <v>2269</v>
      </c>
      <c r="H853" t="s">
        <v>912</v>
      </c>
      <c r="I853" t="s">
        <v>2270</v>
      </c>
      <c r="J853" t="s">
        <v>2271</v>
      </c>
      <c r="K853" t="s">
        <v>2272</v>
      </c>
      <c r="L853" t="s">
        <v>2273</v>
      </c>
      <c r="M853" t="s">
        <v>35</v>
      </c>
      <c r="N853">
        <v>7718395561</v>
      </c>
      <c r="O853" t="s">
        <v>2274</v>
      </c>
      <c r="P853" t="s">
        <v>2275</v>
      </c>
      <c r="R853" t="s">
        <v>2276</v>
      </c>
      <c r="S853" t="s">
        <v>2277</v>
      </c>
      <c r="T853" t="s">
        <v>474</v>
      </c>
      <c r="U853" t="s">
        <v>82</v>
      </c>
      <c r="V853" s="1">
        <v>42421</v>
      </c>
      <c r="W853">
        <v>0</v>
      </c>
      <c r="X853">
        <v>8</v>
      </c>
      <c r="AA853" t="s">
        <v>42</v>
      </c>
      <c r="AB853" t="s">
        <v>43</v>
      </c>
      <c r="AC853" t="s">
        <v>43</v>
      </c>
    </row>
    <row r="854" spans="1:30" x14ac:dyDescent="0.4">
      <c r="A854" t="s">
        <v>27</v>
      </c>
      <c r="B854">
        <v>5980</v>
      </c>
      <c r="C854" t="s">
        <v>2275</v>
      </c>
      <c r="D854">
        <v>274</v>
      </c>
      <c r="E854" t="s">
        <v>68</v>
      </c>
      <c r="F854" t="s">
        <v>2016</v>
      </c>
      <c r="G854" t="s">
        <v>2269</v>
      </c>
      <c r="H854" t="s">
        <v>912</v>
      </c>
      <c r="I854" t="s">
        <v>2270</v>
      </c>
      <c r="J854" t="s">
        <v>2271</v>
      </c>
      <c r="K854" t="s">
        <v>2272</v>
      </c>
      <c r="L854" t="s">
        <v>2273</v>
      </c>
      <c r="M854" t="s">
        <v>35</v>
      </c>
      <c r="N854">
        <v>7718395561</v>
      </c>
      <c r="O854" t="s">
        <v>2274</v>
      </c>
      <c r="P854" t="s">
        <v>2275</v>
      </c>
      <c r="R854" t="s">
        <v>2278</v>
      </c>
      <c r="S854" t="s">
        <v>2279</v>
      </c>
      <c r="T854" t="s">
        <v>474</v>
      </c>
      <c r="U854" t="s">
        <v>82</v>
      </c>
      <c r="V854" s="1">
        <v>45380</v>
      </c>
      <c r="W854">
        <v>0</v>
      </c>
      <c r="X854">
        <v>8</v>
      </c>
      <c r="AA854" t="s">
        <v>42</v>
      </c>
      <c r="AB854" t="s">
        <v>43</v>
      </c>
      <c r="AC854" t="s">
        <v>43</v>
      </c>
    </row>
    <row r="855" spans="1:30" x14ac:dyDescent="0.4">
      <c r="A855" t="s">
        <v>27</v>
      </c>
      <c r="B855">
        <v>490</v>
      </c>
      <c r="C855" t="s">
        <v>3006</v>
      </c>
      <c r="D855">
        <v>276</v>
      </c>
      <c r="E855" t="s">
        <v>68</v>
      </c>
      <c r="F855" t="s">
        <v>2280</v>
      </c>
      <c r="G855" t="s">
        <v>2281</v>
      </c>
      <c r="H855" t="s">
        <v>2282</v>
      </c>
      <c r="J855" t="s">
        <v>1655</v>
      </c>
      <c r="K855" t="s">
        <v>1655</v>
      </c>
      <c r="L855" t="s">
        <v>2283</v>
      </c>
      <c r="M855" t="s">
        <v>35</v>
      </c>
      <c r="N855" t="s">
        <v>2284</v>
      </c>
      <c r="O855" t="s">
        <v>2285</v>
      </c>
      <c r="P855" t="s">
        <v>3006</v>
      </c>
      <c r="R855" t="s">
        <v>2286</v>
      </c>
      <c r="S855" t="s">
        <v>2287</v>
      </c>
      <c r="T855" t="s">
        <v>232</v>
      </c>
      <c r="U855" t="s">
        <v>40</v>
      </c>
      <c r="V855" s="1">
        <v>45098</v>
      </c>
      <c r="W855">
        <v>0</v>
      </c>
      <c r="X855">
        <v>4</v>
      </c>
      <c r="Y855" t="s">
        <v>65</v>
      </c>
      <c r="AA855" t="s">
        <v>42</v>
      </c>
      <c r="AB855" t="s">
        <v>43</v>
      </c>
      <c r="AC855" t="s">
        <v>43</v>
      </c>
    </row>
    <row r="856" spans="1:30" x14ac:dyDescent="0.4">
      <c r="A856" t="s">
        <v>27</v>
      </c>
      <c r="B856">
        <v>490</v>
      </c>
      <c r="C856" t="s">
        <v>3006</v>
      </c>
      <c r="D856">
        <v>276</v>
      </c>
      <c r="E856" t="s">
        <v>68</v>
      </c>
      <c r="F856" t="s">
        <v>2280</v>
      </c>
      <c r="G856" t="s">
        <v>2281</v>
      </c>
      <c r="H856" t="s">
        <v>2282</v>
      </c>
      <c r="J856" t="s">
        <v>1655</v>
      </c>
      <c r="K856" t="s">
        <v>1655</v>
      </c>
      <c r="L856" t="s">
        <v>2283</v>
      </c>
      <c r="M856" t="s">
        <v>35</v>
      </c>
      <c r="N856" t="s">
        <v>2284</v>
      </c>
      <c r="O856" t="s">
        <v>2285</v>
      </c>
      <c r="P856" t="s">
        <v>3006</v>
      </c>
      <c r="R856" t="s">
        <v>2286</v>
      </c>
      <c r="S856" t="s">
        <v>2287</v>
      </c>
      <c r="T856" t="s">
        <v>232</v>
      </c>
      <c r="U856" t="s">
        <v>40</v>
      </c>
      <c r="V856" s="1">
        <v>45098</v>
      </c>
      <c r="W856">
        <v>0</v>
      </c>
      <c r="X856">
        <v>5</v>
      </c>
      <c r="Y856" t="s">
        <v>66</v>
      </c>
      <c r="AA856" t="s">
        <v>42</v>
      </c>
      <c r="AB856" t="s">
        <v>43</v>
      </c>
      <c r="AC856" t="s">
        <v>43</v>
      </c>
    </row>
    <row r="857" spans="1:30" x14ac:dyDescent="0.4">
      <c r="A857" t="s">
        <v>27</v>
      </c>
      <c r="B857">
        <v>490</v>
      </c>
      <c r="C857" t="s">
        <v>3006</v>
      </c>
      <c r="D857">
        <v>275</v>
      </c>
      <c r="E857" t="s">
        <v>68</v>
      </c>
      <c r="F857" t="s">
        <v>2280</v>
      </c>
      <c r="G857" t="s">
        <v>2281</v>
      </c>
      <c r="H857" t="s">
        <v>2282</v>
      </c>
      <c r="J857" t="s">
        <v>1655</v>
      </c>
      <c r="K857" t="s">
        <v>1655</v>
      </c>
      <c r="L857" t="s">
        <v>2283</v>
      </c>
      <c r="M857" t="s">
        <v>35</v>
      </c>
      <c r="N857" t="s">
        <v>2284</v>
      </c>
      <c r="O857" t="s">
        <v>2285</v>
      </c>
      <c r="P857" t="s">
        <v>3006</v>
      </c>
      <c r="R857" t="s">
        <v>2288</v>
      </c>
      <c r="S857" t="s">
        <v>2289</v>
      </c>
      <c r="T857" t="s">
        <v>94</v>
      </c>
      <c r="U857" t="s">
        <v>40</v>
      </c>
      <c r="V857" s="1">
        <v>42662</v>
      </c>
      <c r="W857">
        <v>0</v>
      </c>
      <c r="X857">
        <v>7</v>
      </c>
      <c r="AA857" t="s">
        <v>42</v>
      </c>
      <c r="AB857" t="s">
        <v>43</v>
      </c>
      <c r="AC857" t="s">
        <v>43</v>
      </c>
    </row>
    <row r="858" spans="1:30" x14ac:dyDescent="0.4">
      <c r="A858" t="s">
        <v>27</v>
      </c>
      <c r="B858">
        <v>490</v>
      </c>
      <c r="C858" t="s">
        <v>3006</v>
      </c>
      <c r="D858">
        <v>276</v>
      </c>
      <c r="E858" t="s">
        <v>68</v>
      </c>
      <c r="F858" t="s">
        <v>2280</v>
      </c>
      <c r="G858" t="s">
        <v>2281</v>
      </c>
      <c r="H858" t="s">
        <v>2282</v>
      </c>
      <c r="J858" t="s">
        <v>1655</v>
      </c>
      <c r="K858" t="s">
        <v>1655</v>
      </c>
      <c r="L858" t="s">
        <v>2283</v>
      </c>
      <c r="M858" t="s">
        <v>35</v>
      </c>
      <c r="N858" t="s">
        <v>2284</v>
      </c>
      <c r="O858" t="s">
        <v>2285</v>
      </c>
      <c r="P858" t="s">
        <v>3006</v>
      </c>
      <c r="R858" t="s">
        <v>2286</v>
      </c>
      <c r="S858" t="s">
        <v>2287</v>
      </c>
      <c r="T858" t="s">
        <v>232</v>
      </c>
      <c r="U858" t="s">
        <v>40</v>
      </c>
      <c r="V858" s="1">
        <v>45098</v>
      </c>
      <c r="W858">
        <v>0</v>
      </c>
      <c r="X858">
        <v>12</v>
      </c>
      <c r="AA858" t="s">
        <v>42</v>
      </c>
      <c r="AB858" t="s">
        <v>43</v>
      </c>
      <c r="AC858" t="s">
        <v>43</v>
      </c>
    </row>
    <row r="859" spans="1:30" x14ac:dyDescent="0.4">
      <c r="A859" t="s">
        <v>27</v>
      </c>
      <c r="B859">
        <v>490</v>
      </c>
      <c r="C859" t="s">
        <v>3006</v>
      </c>
      <c r="D859">
        <v>276</v>
      </c>
      <c r="E859" t="s">
        <v>68</v>
      </c>
      <c r="F859" t="s">
        <v>2280</v>
      </c>
      <c r="G859" t="s">
        <v>2281</v>
      </c>
      <c r="H859" t="s">
        <v>2282</v>
      </c>
      <c r="J859" t="s">
        <v>1655</v>
      </c>
      <c r="K859" t="s">
        <v>1655</v>
      </c>
      <c r="L859" t="s">
        <v>2283</v>
      </c>
      <c r="M859" t="s">
        <v>35</v>
      </c>
      <c r="N859" t="s">
        <v>2284</v>
      </c>
      <c r="O859" t="s">
        <v>2285</v>
      </c>
      <c r="P859" t="s">
        <v>3006</v>
      </c>
      <c r="R859" t="s">
        <v>2286</v>
      </c>
      <c r="S859" t="s">
        <v>2287</v>
      </c>
      <c r="T859" t="s">
        <v>232</v>
      </c>
      <c r="U859" t="s">
        <v>40</v>
      </c>
      <c r="V859" s="1">
        <v>45098</v>
      </c>
      <c r="W859">
        <v>0</v>
      </c>
      <c r="X859">
        <v>14</v>
      </c>
      <c r="AA859" t="s">
        <v>42</v>
      </c>
      <c r="AB859" t="s">
        <v>43</v>
      </c>
      <c r="AC859" t="s">
        <v>43</v>
      </c>
    </row>
    <row r="860" spans="1:30" x14ac:dyDescent="0.4">
      <c r="A860" t="s">
        <v>27</v>
      </c>
      <c r="B860">
        <v>490</v>
      </c>
      <c r="C860" t="s">
        <v>3006</v>
      </c>
      <c r="D860">
        <v>275</v>
      </c>
      <c r="E860" t="s">
        <v>68</v>
      </c>
      <c r="F860" t="s">
        <v>2280</v>
      </c>
      <c r="G860" t="s">
        <v>2281</v>
      </c>
      <c r="H860" t="s">
        <v>2282</v>
      </c>
      <c r="J860" t="s">
        <v>1655</v>
      </c>
      <c r="K860" t="s">
        <v>1655</v>
      </c>
      <c r="L860" t="s">
        <v>2283</v>
      </c>
      <c r="M860" t="s">
        <v>35</v>
      </c>
      <c r="N860" t="s">
        <v>2284</v>
      </c>
      <c r="O860" t="s">
        <v>2285</v>
      </c>
      <c r="P860" t="s">
        <v>3006</v>
      </c>
      <c r="R860" t="s">
        <v>2288</v>
      </c>
      <c r="S860" t="s">
        <v>2289</v>
      </c>
      <c r="T860" t="s">
        <v>94</v>
      </c>
      <c r="U860" t="s">
        <v>40</v>
      </c>
      <c r="V860" s="1">
        <v>42662</v>
      </c>
      <c r="W860">
        <v>0</v>
      </c>
      <c r="X860">
        <v>18</v>
      </c>
      <c r="AA860" t="s">
        <v>42</v>
      </c>
      <c r="AB860" t="s">
        <v>43</v>
      </c>
      <c r="AC860" t="s">
        <v>43</v>
      </c>
    </row>
    <row r="861" spans="1:30" x14ac:dyDescent="0.4">
      <c r="A861" t="s">
        <v>27</v>
      </c>
      <c r="B861">
        <v>1683</v>
      </c>
      <c r="C861" t="s">
        <v>3007</v>
      </c>
      <c r="D861">
        <v>277</v>
      </c>
      <c r="E861" t="s">
        <v>68</v>
      </c>
      <c r="F861" t="s">
        <v>2290</v>
      </c>
      <c r="G861" t="s">
        <v>2291</v>
      </c>
      <c r="H861" t="s">
        <v>2292</v>
      </c>
      <c r="I861" t="s">
        <v>2293</v>
      </c>
      <c r="J861" t="s">
        <v>239</v>
      </c>
      <c r="K861" t="s">
        <v>2294</v>
      </c>
      <c r="L861" t="s">
        <v>2295</v>
      </c>
      <c r="M861" t="s">
        <v>35</v>
      </c>
      <c r="N861">
        <v>7710113711</v>
      </c>
      <c r="O861" t="s">
        <v>2296</v>
      </c>
      <c r="P861" t="s">
        <v>3007</v>
      </c>
      <c r="R861" t="s">
        <v>2297</v>
      </c>
      <c r="S861" t="s">
        <v>2298</v>
      </c>
      <c r="T861" t="s">
        <v>1296</v>
      </c>
      <c r="U861" t="s">
        <v>40</v>
      </c>
      <c r="V861" s="1">
        <v>45428</v>
      </c>
      <c r="W861">
        <v>0</v>
      </c>
      <c r="X861">
        <v>12</v>
      </c>
      <c r="AA861" t="s">
        <v>42</v>
      </c>
      <c r="AB861" t="s">
        <v>43</v>
      </c>
      <c r="AC861" t="s">
        <v>43</v>
      </c>
    </row>
    <row r="862" spans="1:30" x14ac:dyDescent="0.4">
      <c r="A862" t="s">
        <v>27</v>
      </c>
      <c r="B862">
        <v>1683</v>
      </c>
      <c r="C862" t="s">
        <v>3007</v>
      </c>
      <c r="D862">
        <v>278</v>
      </c>
      <c r="E862" t="s">
        <v>68</v>
      </c>
      <c r="F862" t="s">
        <v>2290</v>
      </c>
      <c r="G862" t="s">
        <v>2291</v>
      </c>
      <c r="H862" t="s">
        <v>2292</v>
      </c>
      <c r="I862" t="s">
        <v>2293</v>
      </c>
      <c r="J862" t="s">
        <v>239</v>
      </c>
      <c r="K862" t="s">
        <v>2294</v>
      </c>
      <c r="L862" t="s">
        <v>2295</v>
      </c>
      <c r="M862" t="s">
        <v>35</v>
      </c>
      <c r="N862">
        <v>7710113711</v>
      </c>
      <c r="O862" t="s">
        <v>2296</v>
      </c>
      <c r="P862" t="s">
        <v>3007</v>
      </c>
      <c r="R862" t="s">
        <v>2299</v>
      </c>
      <c r="S862" t="s">
        <v>2300</v>
      </c>
      <c r="T862" t="s">
        <v>1296</v>
      </c>
      <c r="U862" t="s">
        <v>40</v>
      </c>
      <c r="V862" s="1">
        <v>43579</v>
      </c>
      <c r="W862">
        <v>0</v>
      </c>
      <c r="X862">
        <v>14</v>
      </c>
      <c r="AA862" t="s">
        <v>42</v>
      </c>
      <c r="AB862" t="s">
        <v>43</v>
      </c>
      <c r="AC862" t="s">
        <v>43</v>
      </c>
    </row>
    <row r="863" spans="1:30" x14ac:dyDescent="0.4">
      <c r="A863" t="s">
        <v>27</v>
      </c>
      <c r="B863">
        <v>1683</v>
      </c>
      <c r="C863" t="s">
        <v>3007</v>
      </c>
      <c r="D863">
        <v>278</v>
      </c>
      <c r="E863" t="s">
        <v>68</v>
      </c>
      <c r="F863" t="s">
        <v>2290</v>
      </c>
      <c r="G863" t="s">
        <v>2291</v>
      </c>
      <c r="H863" t="s">
        <v>2292</v>
      </c>
      <c r="I863" t="s">
        <v>2293</v>
      </c>
      <c r="J863" t="s">
        <v>239</v>
      </c>
      <c r="K863" t="s">
        <v>2294</v>
      </c>
      <c r="L863" t="s">
        <v>2295</v>
      </c>
      <c r="M863" t="s">
        <v>35</v>
      </c>
      <c r="N863">
        <v>7710113711</v>
      </c>
      <c r="O863" t="s">
        <v>2296</v>
      </c>
      <c r="P863" t="s">
        <v>3007</v>
      </c>
      <c r="R863" t="s">
        <v>2299</v>
      </c>
      <c r="S863" t="s">
        <v>2300</v>
      </c>
      <c r="T863" t="s">
        <v>1296</v>
      </c>
      <c r="U863" t="s">
        <v>40</v>
      </c>
      <c r="V863" s="1">
        <v>43579</v>
      </c>
      <c r="W863">
        <v>0</v>
      </c>
      <c r="X863">
        <v>16</v>
      </c>
      <c r="AA863" t="s">
        <v>42</v>
      </c>
      <c r="AB863" t="s">
        <v>43</v>
      </c>
      <c r="AC863" t="s">
        <v>43</v>
      </c>
    </row>
    <row r="864" spans="1:30" x14ac:dyDescent="0.4">
      <c r="A864" t="s">
        <v>27</v>
      </c>
      <c r="B864">
        <v>673</v>
      </c>
      <c r="C864" t="s">
        <v>2308</v>
      </c>
      <c r="D864">
        <v>279</v>
      </c>
      <c r="E864" t="s">
        <v>195</v>
      </c>
      <c r="F864" t="s">
        <v>2301</v>
      </c>
      <c r="G864" t="s">
        <v>2302</v>
      </c>
      <c r="H864" t="s">
        <v>2303</v>
      </c>
      <c r="I864" t="s">
        <v>2304</v>
      </c>
      <c r="J864" t="s">
        <v>2305</v>
      </c>
      <c r="K864" t="s">
        <v>73</v>
      </c>
      <c r="L864" t="s">
        <v>2306</v>
      </c>
      <c r="M864" t="s">
        <v>35</v>
      </c>
      <c r="N864">
        <v>1883347721</v>
      </c>
      <c r="O864" t="s">
        <v>2307</v>
      </c>
      <c r="P864" t="s">
        <v>2308</v>
      </c>
      <c r="R864" t="s">
        <v>2309</v>
      </c>
      <c r="S864" t="s">
        <v>2310</v>
      </c>
      <c r="T864" t="s">
        <v>58</v>
      </c>
      <c r="U864" t="s">
        <v>82</v>
      </c>
      <c r="V864" s="1">
        <v>44358</v>
      </c>
      <c r="W864">
        <v>0</v>
      </c>
      <c r="X864">
        <v>4</v>
      </c>
      <c r="Y864" t="s">
        <v>65</v>
      </c>
      <c r="Z864" t="s">
        <v>135</v>
      </c>
      <c r="AA864" t="s">
        <v>42</v>
      </c>
      <c r="AB864" t="s">
        <v>43</v>
      </c>
      <c r="AC864" t="s">
        <v>43</v>
      </c>
      <c r="AD864" t="s">
        <v>2311</v>
      </c>
    </row>
    <row r="865" spans="1:30" x14ac:dyDescent="0.4">
      <c r="A865" t="s">
        <v>27</v>
      </c>
      <c r="B865">
        <v>673</v>
      </c>
      <c r="C865" t="s">
        <v>2308</v>
      </c>
      <c r="D865">
        <v>279</v>
      </c>
      <c r="E865" t="s">
        <v>195</v>
      </c>
      <c r="F865" t="s">
        <v>2301</v>
      </c>
      <c r="G865" t="s">
        <v>2302</v>
      </c>
      <c r="H865" t="s">
        <v>2303</v>
      </c>
      <c r="I865" t="s">
        <v>2304</v>
      </c>
      <c r="J865" t="s">
        <v>2305</v>
      </c>
      <c r="K865" t="s">
        <v>73</v>
      </c>
      <c r="L865" t="s">
        <v>2306</v>
      </c>
      <c r="M865" t="s">
        <v>35</v>
      </c>
      <c r="N865">
        <v>1883347721</v>
      </c>
      <c r="O865" t="s">
        <v>2307</v>
      </c>
      <c r="P865" t="s">
        <v>2308</v>
      </c>
      <c r="R865" t="s">
        <v>2309</v>
      </c>
      <c r="S865" t="s">
        <v>2310</v>
      </c>
      <c r="T865" t="s">
        <v>58</v>
      </c>
      <c r="U865" t="s">
        <v>82</v>
      </c>
      <c r="V865" s="1">
        <v>44358</v>
      </c>
      <c r="W865">
        <v>0</v>
      </c>
      <c r="X865">
        <v>5</v>
      </c>
      <c r="Y865" t="s">
        <v>66</v>
      </c>
      <c r="Z865" t="s">
        <v>135</v>
      </c>
      <c r="AA865" t="s">
        <v>42</v>
      </c>
      <c r="AB865" t="s">
        <v>43</v>
      </c>
      <c r="AC865" t="s">
        <v>43</v>
      </c>
      <c r="AD865" t="s">
        <v>2311</v>
      </c>
    </row>
    <row r="866" spans="1:30" x14ac:dyDescent="0.4">
      <c r="A866" t="s">
        <v>27</v>
      </c>
      <c r="B866">
        <v>673</v>
      </c>
      <c r="C866" t="s">
        <v>2308</v>
      </c>
      <c r="D866">
        <v>280</v>
      </c>
      <c r="E866" t="s">
        <v>195</v>
      </c>
      <c r="F866" t="s">
        <v>2301</v>
      </c>
      <c r="G866" t="s">
        <v>2302</v>
      </c>
      <c r="H866" t="s">
        <v>2303</v>
      </c>
      <c r="I866" t="s">
        <v>2304</v>
      </c>
      <c r="J866" t="s">
        <v>2305</v>
      </c>
      <c r="K866" t="s">
        <v>73</v>
      </c>
      <c r="L866" t="s">
        <v>2306</v>
      </c>
      <c r="M866" t="s">
        <v>35</v>
      </c>
      <c r="N866">
        <v>1883347721</v>
      </c>
      <c r="O866" t="s">
        <v>2307</v>
      </c>
      <c r="P866" t="s">
        <v>2308</v>
      </c>
      <c r="R866" t="s">
        <v>2312</v>
      </c>
      <c r="S866" t="s">
        <v>2313</v>
      </c>
      <c r="T866" t="s">
        <v>58</v>
      </c>
      <c r="U866" t="s">
        <v>40</v>
      </c>
      <c r="V866" s="1">
        <v>42747</v>
      </c>
      <c r="W866">
        <v>0</v>
      </c>
      <c r="X866">
        <v>5</v>
      </c>
      <c r="Y866" t="s">
        <v>66</v>
      </c>
      <c r="Z866" t="s">
        <v>135</v>
      </c>
      <c r="AA866" t="s">
        <v>42</v>
      </c>
      <c r="AB866" t="s">
        <v>43</v>
      </c>
      <c r="AC866" t="s">
        <v>43</v>
      </c>
      <c r="AD866" t="s">
        <v>2311</v>
      </c>
    </row>
    <row r="867" spans="1:30" x14ac:dyDescent="0.4">
      <c r="A867" t="s">
        <v>27</v>
      </c>
      <c r="B867">
        <v>673</v>
      </c>
      <c r="C867" t="s">
        <v>2308</v>
      </c>
      <c r="D867">
        <v>280</v>
      </c>
      <c r="E867" t="s">
        <v>195</v>
      </c>
      <c r="F867" t="s">
        <v>2301</v>
      </c>
      <c r="G867" t="s">
        <v>2302</v>
      </c>
      <c r="H867" t="s">
        <v>2303</v>
      </c>
      <c r="I867" t="s">
        <v>2304</v>
      </c>
      <c r="J867" t="s">
        <v>2305</v>
      </c>
      <c r="K867" t="s">
        <v>73</v>
      </c>
      <c r="L867" t="s">
        <v>2306</v>
      </c>
      <c r="M867" t="s">
        <v>35</v>
      </c>
      <c r="N867">
        <v>1883347721</v>
      </c>
      <c r="O867" t="s">
        <v>2307</v>
      </c>
      <c r="P867" t="s">
        <v>2308</v>
      </c>
      <c r="R867" t="s">
        <v>2312</v>
      </c>
      <c r="S867" t="s">
        <v>2313</v>
      </c>
      <c r="T867" t="s">
        <v>58</v>
      </c>
      <c r="U867" t="s">
        <v>40</v>
      </c>
      <c r="V867" s="1">
        <v>42747</v>
      </c>
      <c r="W867">
        <v>0</v>
      </c>
      <c r="X867">
        <v>6</v>
      </c>
      <c r="Y867" t="s">
        <v>83</v>
      </c>
      <c r="Z867" t="s">
        <v>135</v>
      </c>
      <c r="AA867" t="s">
        <v>42</v>
      </c>
      <c r="AB867" t="s">
        <v>43</v>
      </c>
      <c r="AC867" t="s">
        <v>43</v>
      </c>
      <c r="AD867" t="s">
        <v>2311</v>
      </c>
    </row>
    <row r="868" spans="1:30" hidden="1" x14ac:dyDescent="0.4">
      <c r="A868" t="s">
        <v>27</v>
      </c>
      <c r="B868">
        <v>673</v>
      </c>
      <c r="C868" t="s">
        <v>2308</v>
      </c>
      <c r="E868" t="s">
        <v>195</v>
      </c>
      <c r="F868" t="s">
        <v>2301</v>
      </c>
      <c r="G868" t="s">
        <v>2302</v>
      </c>
      <c r="H868" t="s">
        <v>2303</v>
      </c>
      <c r="I868" t="s">
        <v>2304</v>
      </c>
      <c r="J868" t="s">
        <v>2305</v>
      </c>
      <c r="K868" t="s">
        <v>73</v>
      </c>
      <c r="L868" t="s">
        <v>2306</v>
      </c>
      <c r="M868" t="s">
        <v>35</v>
      </c>
      <c r="N868">
        <v>1883347721</v>
      </c>
      <c r="O868" t="s">
        <v>2307</v>
      </c>
      <c r="P868" t="s">
        <v>2308</v>
      </c>
      <c r="R868" t="s">
        <v>2314</v>
      </c>
      <c r="S868" t="s">
        <v>2315</v>
      </c>
      <c r="T868" t="s">
        <v>58</v>
      </c>
      <c r="U868" t="s">
        <v>82</v>
      </c>
      <c r="V868" s="1">
        <v>45604</v>
      </c>
      <c r="W868">
        <v>0</v>
      </c>
      <c r="X868">
        <v>0</v>
      </c>
      <c r="Y868" t="s">
        <v>59</v>
      </c>
      <c r="Z868" t="s">
        <v>135</v>
      </c>
      <c r="AA868" t="s">
        <v>42</v>
      </c>
      <c r="AB868" t="s">
        <v>43</v>
      </c>
      <c r="AC868" t="s">
        <v>43</v>
      </c>
      <c r="AD868" t="s">
        <v>2311</v>
      </c>
    </row>
    <row r="869" spans="1:30" hidden="1" x14ac:dyDescent="0.4">
      <c r="A869" t="s">
        <v>27</v>
      </c>
      <c r="B869">
        <v>673</v>
      </c>
      <c r="C869" t="s">
        <v>2308</v>
      </c>
      <c r="E869" t="s">
        <v>195</v>
      </c>
      <c r="F869" t="s">
        <v>2301</v>
      </c>
      <c r="G869" t="s">
        <v>2302</v>
      </c>
      <c r="H869" t="s">
        <v>2303</v>
      </c>
      <c r="I869" t="s">
        <v>2304</v>
      </c>
      <c r="J869" t="s">
        <v>2305</v>
      </c>
      <c r="K869" t="s">
        <v>73</v>
      </c>
      <c r="L869" t="s">
        <v>2306</v>
      </c>
      <c r="M869" t="s">
        <v>35</v>
      </c>
      <c r="N869">
        <v>1883347721</v>
      </c>
      <c r="O869" t="s">
        <v>2307</v>
      </c>
      <c r="P869" t="s">
        <v>2308</v>
      </c>
      <c r="R869" t="s">
        <v>2316</v>
      </c>
      <c r="S869" t="s">
        <v>2317</v>
      </c>
      <c r="T869" t="s">
        <v>58</v>
      </c>
      <c r="U869" t="s">
        <v>40</v>
      </c>
      <c r="V869" s="1">
        <v>41320</v>
      </c>
      <c r="W869">
        <v>0</v>
      </c>
      <c r="X869">
        <v>0</v>
      </c>
      <c r="Y869" t="s">
        <v>59</v>
      </c>
      <c r="Z869" t="s">
        <v>135</v>
      </c>
      <c r="AA869" t="s">
        <v>42</v>
      </c>
      <c r="AB869" t="s">
        <v>43</v>
      </c>
      <c r="AC869" t="s">
        <v>43</v>
      </c>
      <c r="AD869" t="s">
        <v>2311</v>
      </c>
    </row>
    <row r="870" spans="1:30" x14ac:dyDescent="0.4">
      <c r="A870" t="s">
        <v>27</v>
      </c>
      <c r="B870">
        <v>673</v>
      </c>
      <c r="C870" t="s">
        <v>2308</v>
      </c>
      <c r="D870">
        <v>279</v>
      </c>
      <c r="E870" t="s">
        <v>195</v>
      </c>
      <c r="F870" t="s">
        <v>2301</v>
      </c>
      <c r="G870" t="s">
        <v>2302</v>
      </c>
      <c r="H870" t="s">
        <v>2303</v>
      </c>
      <c r="I870" t="s">
        <v>2304</v>
      </c>
      <c r="J870" t="s">
        <v>2305</v>
      </c>
      <c r="K870" t="s">
        <v>73</v>
      </c>
      <c r="L870" t="s">
        <v>2306</v>
      </c>
      <c r="M870" t="s">
        <v>35</v>
      </c>
      <c r="N870">
        <v>1883347721</v>
      </c>
      <c r="O870" t="s">
        <v>2307</v>
      </c>
      <c r="P870" t="s">
        <v>2308</v>
      </c>
      <c r="R870" t="s">
        <v>2309</v>
      </c>
      <c r="S870" t="s">
        <v>2310</v>
      </c>
      <c r="T870" t="s">
        <v>58</v>
      </c>
      <c r="U870" t="s">
        <v>82</v>
      </c>
      <c r="V870" s="1">
        <v>44358</v>
      </c>
      <c r="W870">
        <v>0</v>
      </c>
      <c r="X870">
        <v>13</v>
      </c>
      <c r="Z870" t="s">
        <v>135</v>
      </c>
      <c r="AA870" t="s">
        <v>42</v>
      </c>
      <c r="AB870" t="s">
        <v>43</v>
      </c>
      <c r="AC870" t="s">
        <v>43</v>
      </c>
      <c r="AD870" t="s">
        <v>2311</v>
      </c>
    </row>
    <row r="871" spans="1:30" x14ac:dyDescent="0.4">
      <c r="A871" t="s">
        <v>27</v>
      </c>
      <c r="B871">
        <v>673</v>
      </c>
      <c r="C871" t="s">
        <v>2308</v>
      </c>
      <c r="D871">
        <v>280</v>
      </c>
      <c r="E871" t="s">
        <v>195</v>
      </c>
      <c r="F871" t="s">
        <v>2301</v>
      </c>
      <c r="G871" t="s">
        <v>2302</v>
      </c>
      <c r="H871" t="s">
        <v>2303</v>
      </c>
      <c r="I871" t="s">
        <v>2304</v>
      </c>
      <c r="J871" t="s">
        <v>2305</v>
      </c>
      <c r="K871" t="s">
        <v>73</v>
      </c>
      <c r="L871" t="s">
        <v>2306</v>
      </c>
      <c r="M871" t="s">
        <v>35</v>
      </c>
      <c r="N871">
        <v>1883347721</v>
      </c>
      <c r="O871" t="s">
        <v>2307</v>
      </c>
      <c r="P871" t="s">
        <v>2308</v>
      </c>
      <c r="R871" t="s">
        <v>2312</v>
      </c>
      <c r="S871" t="s">
        <v>2313</v>
      </c>
      <c r="T871" t="s">
        <v>58</v>
      </c>
      <c r="U871" t="s">
        <v>40</v>
      </c>
      <c r="V871" s="1">
        <v>42747</v>
      </c>
      <c r="W871">
        <v>0</v>
      </c>
      <c r="X871">
        <v>14</v>
      </c>
      <c r="Z871" t="s">
        <v>135</v>
      </c>
      <c r="AA871" t="s">
        <v>42</v>
      </c>
      <c r="AB871" t="s">
        <v>43</v>
      </c>
      <c r="AC871" t="s">
        <v>43</v>
      </c>
      <c r="AD871" t="s">
        <v>2311</v>
      </c>
    </row>
    <row r="872" spans="1:30" x14ac:dyDescent="0.4">
      <c r="A872" t="s">
        <v>27</v>
      </c>
      <c r="B872">
        <v>673</v>
      </c>
      <c r="C872" t="s">
        <v>2308</v>
      </c>
      <c r="D872">
        <v>280</v>
      </c>
      <c r="E872" t="s">
        <v>195</v>
      </c>
      <c r="F872" t="s">
        <v>2301</v>
      </c>
      <c r="G872" t="s">
        <v>2302</v>
      </c>
      <c r="H872" t="s">
        <v>2303</v>
      </c>
      <c r="I872" t="s">
        <v>2304</v>
      </c>
      <c r="J872" t="s">
        <v>2305</v>
      </c>
      <c r="K872" t="s">
        <v>73</v>
      </c>
      <c r="L872" t="s">
        <v>2306</v>
      </c>
      <c r="M872" t="s">
        <v>35</v>
      </c>
      <c r="N872">
        <v>1883347721</v>
      </c>
      <c r="O872" t="s">
        <v>2307</v>
      </c>
      <c r="P872" t="s">
        <v>2308</v>
      </c>
      <c r="R872" t="s">
        <v>2312</v>
      </c>
      <c r="S872" t="s">
        <v>2313</v>
      </c>
      <c r="T872" t="s">
        <v>58</v>
      </c>
      <c r="U872" t="s">
        <v>40</v>
      </c>
      <c r="V872" s="1">
        <v>42747</v>
      </c>
      <c r="W872">
        <v>0</v>
      </c>
      <c r="X872">
        <v>16</v>
      </c>
      <c r="Z872" t="s">
        <v>135</v>
      </c>
      <c r="AA872" t="s">
        <v>42</v>
      </c>
      <c r="AB872" t="s">
        <v>43</v>
      </c>
      <c r="AC872" t="s">
        <v>43</v>
      </c>
      <c r="AD872" t="s">
        <v>2311</v>
      </c>
    </row>
    <row r="873" spans="1:30" hidden="1" x14ac:dyDescent="0.4">
      <c r="A873" t="s">
        <v>27</v>
      </c>
      <c r="B873">
        <v>673</v>
      </c>
      <c r="C873" t="s">
        <v>2308</v>
      </c>
      <c r="E873" t="s">
        <v>195</v>
      </c>
      <c r="F873" t="s">
        <v>2301</v>
      </c>
      <c r="G873" t="s">
        <v>2302</v>
      </c>
      <c r="H873" t="s">
        <v>2303</v>
      </c>
      <c r="I873" t="s">
        <v>2304</v>
      </c>
      <c r="J873" t="s">
        <v>2305</v>
      </c>
      <c r="K873" t="s">
        <v>73</v>
      </c>
      <c r="L873" t="s">
        <v>2306</v>
      </c>
      <c r="M873" t="s">
        <v>35</v>
      </c>
      <c r="N873">
        <v>1883347721</v>
      </c>
      <c r="O873" t="s">
        <v>2307</v>
      </c>
      <c r="P873" t="s">
        <v>2308</v>
      </c>
      <c r="R873" t="s">
        <v>2316</v>
      </c>
      <c r="S873" t="s">
        <v>2317</v>
      </c>
      <c r="T873" t="s">
        <v>58</v>
      </c>
      <c r="U873" t="s">
        <v>40</v>
      </c>
      <c r="V873" s="1">
        <v>41320</v>
      </c>
      <c r="W873">
        <v>0</v>
      </c>
      <c r="X873">
        <v>0</v>
      </c>
      <c r="Y873" t="s">
        <v>59</v>
      </c>
      <c r="Z873" t="s">
        <v>135</v>
      </c>
      <c r="AA873" t="s">
        <v>42</v>
      </c>
      <c r="AB873" t="s">
        <v>43</v>
      </c>
      <c r="AC873" t="s">
        <v>43</v>
      </c>
      <c r="AD873" t="s">
        <v>2311</v>
      </c>
    </row>
    <row r="874" spans="1:30" hidden="1" x14ac:dyDescent="0.4">
      <c r="A874" t="s">
        <v>27</v>
      </c>
      <c r="B874">
        <v>673</v>
      </c>
      <c r="C874" t="s">
        <v>2308</v>
      </c>
      <c r="E874" t="s">
        <v>195</v>
      </c>
      <c r="F874" t="s">
        <v>2301</v>
      </c>
      <c r="G874" t="s">
        <v>2302</v>
      </c>
      <c r="H874" t="s">
        <v>2303</v>
      </c>
      <c r="I874" t="s">
        <v>2304</v>
      </c>
      <c r="J874" t="s">
        <v>2305</v>
      </c>
      <c r="K874" t="s">
        <v>73</v>
      </c>
      <c r="L874" t="s">
        <v>2306</v>
      </c>
      <c r="M874" t="s">
        <v>35</v>
      </c>
      <c r="N874">
        <v>1883347721</v>
      </c>
      <c r="O874" t="s">
        <v>2307</v>
      </c>
      <c r="P874" t="s">
        <v>2308</v>
      </c>
      <c r="R874" t="s">
        <v>2314</v>
      </c>
      <c r="S874" t="s">
        <v>2315</v>
      </c>
      <c r="T874" t="s">
        <v>58</v>
      </c>
      <c r="U874" t="s">
        <v>82</v>
      </c>
      <c r="V874" s="1">
        <v>45604</v>
      </c>
      <c r="W874">
        <v>0</v>
      </c>
      <c r="X874">
        <v>0</v>
      </c>
      <c r="Y874" t="s">
        <v>59</v>
      </c>
      <c r="Z874" t="s">
        <v>135</v>
      </c>
      <c r="AA874" t="s">
        <v>42</v>
      </c>
      <c r="AB874" t="s">
        <v>43</v>
      </c>
      <c r="AC874" t="s">
        <v>43</v>
      </c>
      <c r="AD874" t="s">
        <v>2311</v>
      </c>
    </row>
    <row r="875" spans="1:30" x14ac:dyDescent="0.4">
      <c r="A875" t="s">
        <v>27</v>
      </c>
      <c r="B875">
        <v>3520</v>
      </c>
      <c r="C875" t="s">
        <v>2323</v>
      </c>
      <c r="D875">
        <v>281</v>
      </c>
      <c r="E875" t="s">
        <v>68</v>
      </c>
      <c r="F875" t="s">
        <v>611</v>
      </c>
      <c r="G875" t="s">
        <v>2318</v>
      </c>
      <c r="H875" t="s">
        <v>2319</v>
      </c>
      <c r="J875" t="s">
        <v>2320</v>
      </c>
      <c r="K875" t="s">
        <v>215</v>
      </c>
      <c r="L875" t="s">
        <v>2321</v>
      </c>
      <c r="M875" t="s">
        <v>35</v>
      </c>
      <c r="N875">
        <v>7715099616</v>
      </c>
      <c r="O875" t="s">
        <v>2322</v>
      </c>
      <c r="P875" t="s">
        <v>2323</v>
      </c>
      <c r="R875" t="s">
        <v>2324</v>
      </c>
      <c r="S875" t="s">
        <v>2325</v>
      </c>
      <c r="T875" t="s">
        <v>58</v>
      </c>
      <c r="U875" t="s">
        <v>82</v>
      </c>
      <c r="V875" s="1">
        <v>44767</v>
      </c>
      <c r="W875">
        <v>0</v>
      </c>
      <c r="X875">
        <v>4</v>
      </c>
      <c r="Y875" t="s">
        <v>65</v>
      </c>
      <c r="AA875" t="s">
        <v>42</v>
      </c>
      <c r="AB875" t="s">
        <v>43</v>
      </c>
      <c r="AC875" t="s">
        <v>43</v>
      </c>
    </row>
    <row r="876" spans="1:30" x14ac:dyDescent="0.4">
      <c r="A876" t="s">
        <v>27</v>
      </c>
      <c r="B876">
        <v>3520</v>
      </c>
      <c r="C876" t="s">
        <v>2323</v>
      </c>
      <c r="D876">
        <v>281</v>
      </c>
      <c r="E876" t="s">
        <v>68</v>
      </c>
      <c r="F876" t="s">
        <v>611</v>
      </c>
      <c r="G876" t="s">
        <v>2318</v>
      </c>
      <c r="H876" t="s">
        <v>2319</v>
      </c>
      <c r="J876" t="s">
        <v>2320</v>
      </c>
      <c r="K876" t="s">
        <v>215</v>
      </c>
      <c r="L876" t="s">
        <v>2321</v>
      </c>
      <c r="M876" t="s">
        <v>35</v>
      </c>
      <c r="N876">
        <v>7715099616</v>
      </c>
      <c r="O876" t="s">
        <v>2322</v>
      </c>
      <c r="P876" t="s">
        <v>2323</v>
      </c>
      <c r="R876" t="s">
        <v>2324</v>
      </c>
      <c r="S876" t="s">
        <v>2325</v>
      </c>
      <c r="T876" t="s">
        <v>58</v>
      </c>
      <c r="U876" t="s">
        <v>82</v>
      </c>
      <c r="V876" s="1">
        <v>44767</v>
      </c>
      <c r="W876">
        <v>0</v>
      </c>
      <c r="X876">
        <v>5</v>
      </c>
      <c r="Y876" t="s">
        <v>66</v>
      </c>
      <c r="AA876" t="s">
        <v>42</v>
      </c>
      <c r="AB876" t="s">
        <v>43</v>
      </c>
      <c r="AC876" t="s">
        <v>43</v>
      </c>
    </row>
    <row r="877" spans="1:30" x14ac:dyDescent="0.4">
      <c r="A877" t="s">
        <v>27</v>
      </c>
      <c r="B877">
        <v>3520</v>
      </c>
      <c r="C877" t="s">
        <v>2323</v>
      </c>
      <c r="D877">
        <v>282</v>
      </c>
      <c r="E877" t="s">
        <v>68</v>
      </c>
      <c r="F877" t="s">
        <v>611</v>
      </c>
      <c r="G877" t="s">
        <v>2318</v>
      </c>
      <c r="H877" t="s">
        <v>2319</v>
      </c>
      <c r="J877" t="s">
        <v>2320</v>
      </c>
      <c r="K877" t="s">
        <v>215</v>
      </c>
      <c r="L877" t="s">
        <v>2321</v>
      </c>
      <c r="M877" t="s">
        <v>35</v>
      </c>
      <c r="N877">
        <v>7715099616</v>
      </c>
      <c r="O877" t="s">
        <v>2322</v>
      </c>
      <c r="P877" t="s">
        <v>2323</v>
      </c>
      <c r="R877" t="s">
        <v>3123</v>
      </c>
      <c r="S877" t="s">
        <v>2327</v>
      </c>
      <c r="T877" t="s">
        <v>58</v>
      </c>
      <c r="U877" t="s">
        <v>82</v>
      </c>
      <c r="V877" s="1">
        <v>42768</v>
      </c>
      <c r="W877">
        <v>0</v>
      </c>
      <c r="X877">
        <v>5</v>
      </c>
      <c r="Y877" t="s">
        <v>66</v>
      </c>
      <c r="AA877" t="s">
        <v>42</v>
      </c>
      <c r="AB877" t="s">
        <v>43</v>
      </c>
      <c r="AC877" t="s">
        <v>43</v>
      </c>
    </row>
    <row r="878" spans="1:30" x14ac:dyDescent="0.4">
      <c r="A878" t="s">
        <v>27</v>
      </c>
      <c r="B878">
        <v>3520</v>
      </c>
      <c r="C878" t="s">
        <v>2323</v>
      </c>
      <c r="D878">
        <v>282</v>
      </c>
      <c r="E878" t="s">
        <v>68</v>
      </c>
      <c r="F878" t="s">
        <v>611</v>
      </c>
      <c r="G878" t="s">
        <v>2318</v>
      </c>
      <c r="H878" t="s">
        <v>2319</v>
      </c>
      <c r="J878" t="s">
        <v>2320</v>
      </c>
      <c r="K878" t="s">
        <v>215</v>
      </c>
      <c r="L878" t="s">
        <v>2321</v>
      </c>
      <c r="M878" t="s">
        <v>35</v>
      </c>
      <c r="N878">
        <v>7715099616</v>
      </c>
      <c r="O878" t="s">
        <v>2322</v>
      </c>
      <c r="P878" t="s">
        <v>2323</v>
      </c>
      <c r="R878" t="s">
        <v>3123</v>
      </c>
      <c r="S878" t="s">
        <v>2327</v>
      </c>
      <c r="T878" t="s">
        <v>58</v>
      </c>
      <c r="U878" t="s">
        <v>82</v>
      </c>
      <c r="V878" s="1">
        <v>42768</v>
      </c>
      <c r="W878">
        <v>0</v>
      </c>
      <c r="X878">
        <v>6</v>
      </c>
      <c r="Y878" t="s">
        <v>83</v>
      </c>
      <c r="AA878" t="s">
        <v>42</v>
      </c>
      <c r="AB878" t="s">
        <v>43</v>
      </c>
      <c r="AC878" t="s">
        <v>43</v>
      </c>
    </row>
    <row r="879" spans="1:30" x14ac:dyDescent="0.4">
      <c r="A879" t="s">
        <v>27</v>
      </c>
      <c r="B879">
        <v>3520</v>
      </c>
      <c r="C879" t="s">
        <v>2323</v>
      </c>
      <c r="D879">
        <v>281</v>
      </c>
      <c r="E879" t="s">
        <v>68</v>
      </c>
      <c r="F879" t="s">
        <v>611</v>
      </c>
      <c r="G879" t="s">
        <v>2318</v>
      </c>
      <c r="H879" t="s">
        <v>2319</v>
      </c>
      <c r="J879" t="s">
        <v>2320</v>
      </c>
      <c r="K879" t="s">
        <v>215</v>
      </c>
      <c r="L879" t="s">
        <v>2321</v>
      </c>
      <c r="M879" t="s">
        <v>35</v>
      </c>
      <c r="N879">
        <v>7715099616</v>
      </c>
      <c r="O879" t="s">
        <v>2322</v>
      </c>
      <c r="P879" t="s">
        <v>2323</v>
      </c>
      <c r="R879" t="s">
        <v>2324</v>
      </c>
      <c r="S879" t="s">
        <v>2325</v>
      </c>
      <c r="T879" t="s">
        <v>58</v>
      </c>
      <c r="U879" t="s">
        <v>82</v>
      </c>
      <c r="V879" s="1">
        <v>44767</v>
      </c>
      <c r="W879">
        <v>0</v>
      </c>
      <c r="X879">
        <v>13</v>
      </c>
      <c r="AA879" t="s">
        <v>42</v>
      </c>
      <c r="AB879" t="s">
        <v>43</v>
      </c>
      <c r="AC879" t="s">
        <v>43</v>
      </c>
    </row>
    <row r="880" spans="1:30" x14ac:dyDescent="0.4">
      <c r="A880" t="s">
        <v>27</v>
      </c>
      <c r="B880">
        <v>3520</v>
      </c>
      <c r="C880" t="s">
        <v>2323</v>
      </c>
      <c r="D880">
        <v>281</v>
      </c>
      <c r="E880" t="s">
        <v>68</v>
      </c>
      <c r="F880" t="s">
        <v>611</v>
      </c>
      <c r="G880" t="s">
        <v>2318</v>
      </c>
      <c r="H880" t="s">
        <v>2319</v>
      </c>
      <c r="J880" t="s">
        <v>2320</v>
      </c>
      <c r="K880" t="s">
        <v>215</v>
      </c>
      <c r="L880" t="s">
        <v>2321</v>
      </c>
      <c r="M880" t="s">
        <v>35</v>
      </c>
      <c r="N880">
        <v>7715099616</v>
      </c>
      <c r="O880" t="s">
        <v>2322</v>
      </c>
      <c r="P880" t="s">
        <v>2323</v>
      </c>
      <c r="R880" t="s">
        <v>2324</v>
      </c>
      <c r="S880" t="s">
        <v>2325</v>
      </c>
      <c r="T880" t="s">
        <v>58</v>
      </c>
      <c r="U880" t="s">
        <v>82</v>
      </c>
      <c r="V880" s="1">
        <v>44767</v>
      </c>
      <c r="W880">
        <v>0</v>
      </c>
      <c r="X880">
        <v>15</v>
      </c>
      <c r="AA880" t="s">
        <v>42</v>
      </c>
      <c r="AB880" t="s">
        <v>43</v>
      </c>
      <c r="AC880" t="s">
        <v>43</v>
      </c>
    </row>
    <row r="881" spans="1:31" x14ac:dyDescent="0.4">
      <c r="A881" t="s">
        <v>27</v>
      </c>
      <c r="B881">
        <v>3520</v>
      </c>
      <c r="C881" t="s">
        <v>2323</v>
      </c>
      <c r="D881">
        <v>282</v>
      </c>
      <c r="E881" t="s">
        <v>68</v>
      </c>
      <c r="F881" t="s">
        <v>611</v>
      </c>
      <c r="G881" t="s">
        <v>2318</v>
      </c>
      <c r="H881" t="s">
        <v>2319</v>
      </c>
      <c r="J881" t="s">
        <v>2320</v>
      </c>
      <c r="K881" t="s">
        <v>215</v>
      </c>
      <c r="L881" t="s">
        <v>2321</v>
      </c>
      <c r="M881" t="s">
        <v>35</v>
      </c>
      <c r="N881">
        <v>7715099616</v>
      </c>
      <c r="O881" t="s">
        <v>2322</v>
      </c>
      <c r="P881" t="s">
        <v>2323</v>
      </c>
      <c r="R881" t="s">
        <v>3123</v>
      </c>
      <c r="S881" t="s">
        <v>2327</v>
      </c>
      <c r="T881" t="s">
        <v>58</v>
      </c>
      <c r="U881" t="s">
        <v>82</v>
      </c>
      <c r="V881" s="1">
        <v>42768</v>
      </c>
      <c r="W881">
        <v>0</v>
      </c>
      <c r="X881">
        <v>15</v>
      </c>
      <c r="AA881" t="s">
        <v>42</v>
      </c>
      <c r="AB881" t="s">
        <v>43</v>
      </c>
      <c r="AC881" t="s">
        <v>43</v>
      </c>
    </row>
    <row r="882" spans="1:31" x14ac:dyDescent="0.4">
      <c r="A882" t="s">
        <v>27</v>
      </c>
      <c r="B882">
        <v>3520</v>
      </c>
      <c r="C882" t="s">
        <v>2323</v>
      </c>
      <c r="D882">
        <v>282</v>
      </c>
      <c r="E882" t="s">
        <v>68</v>
      </c>
      <c r="F882" t="s">
        <v>611</v>
      </c>
      <c r="G882" t="s">
        <v>2318</v>
      </c>
      <c r="H882" t="s">
        <v>2319</v>
      </c>
      <c r="J882" t="s">
        <v>2320</v>
      </c>
      <c r="K882" t="s">
        <v>215</v>
      </c>
      <c r="L882" t="s">
        <v>2321</v>
      </c>
      <c r="M882" t="s">
        <v>35</v>
      </c>
      <c r="N882">
        <v>7715099616</v>
      </c>
      <c r="O882" t="s">
        <v>2322</v>
      </c>
      <c r="P882" t="s">
        <v>2323</v>
      </c>
      <c r="R882" t="s">
        <v>3123</v>
      </c>
      <c r="S882" t="s">
        <v>2327</v>
      </c>
      <c r="T882" t="s">
        <v>58</v>
      </c>
      <c r="U882" t="s">
        <v>82</v>
      </c>
      <c r="V882" s="1">
        <v>42768</v>
      </c>
      <c r="W882">
        <v>0</v>
      </c>
      <c r="X882">
        <v>17</v>
      </c>
      <c r="AA882" t="s">
        <v>42</v>
      </c>
      <c r="AB882" t="s">
        <v>43</v>
      </c>
      <c r="AC882" t="s">
        <v>43</v>
      </c>
    </row>
    <row r="883" spans="1:31" hidden="1" x14ac:dyDescent="0.4">
      <c r="A883" t="s">
        <v>27</v>
      </c>
      <c r="B883">
        <v>1973</v>
      </c>
      <c r="C883" t="s">
        <v>2331</v>
      </c>
      <c r="E883" t="s">
        <v>68</v>
      </c>
      <c r="F883" t="s">
        <v>2328</v>
      </c>
      <c r="G883" t="s">
        <v>2329</v>
      </c>
      <c r="H883" t="s">
        <v>1298</v>
      </c>
      <c r="J883" t="s">
        <v>1299</v>
      </c>
      <c r="K883" t="s">
        <v>33</v>
      </c>
      <c r="L883" t="s">
        <v>1300</v>
      </c>
      <c r="M883" t="s">
        <v>35</v>
      </c>
      <c r="N883">
        <v>7947515511</v>
      </c>
      <c r="O883" t="s">
        <v>2330</v>
      </c>
      <c r="P883" t="s">
        <v>2331</v>
      </c>
      <c r="R883" t="s">
        <v>2332</v>
      </c>
      <c r="S883" t="s">
        <v>41</v>
      </c>
      <c r="T883" t="s">
        <v>1314</v>
      </c>
      <c r="U883" t="s">
        <v>82</v>
      </c>
      <c r="V883" s="1">
        <v>45537</v>
      </c>
      <c r="W883">
        <v>0</v>
      </c>
      <c r="X883">
        <v>0</v>
      </c>
      <c r="Y883" t="s">
        <v>59</v>
      </c>
      <c r="AA883" t="s">
        <v>42</v>
      </c>
      <c r="AB883" t="s">
        <v>43</v>
      </c>
      <c r="AC883" t="s">
        <v>43</v>
      </c>
    </row>
    <row r="884" spans="1:31" x14ac:dyDescent="0.4">
      <c r="A884" t="s">
        <v>27</v>
      </c>
      <c r="B884">
        <v>2964</v>
      </c>
      <c r="C884" t="s">
        <v>2338</v>
      </c>
      <c r="D884">
        <v>283</v>
      </c>
      <c r="E884" t="s">
        <v>68</v>
      </c>
      <c r="F884" t="s">
        <v>1024</v>
      </c>
      <c r="G884" t="s">
        <v>2333</v>
      </c>
      <c r="H884" t="s">
        <v>2334</v>
      </c>
      <c r="J884" t="s">
        <v>2335</v>
      </c>
      <c r="K884" t="s">
        <v>73</v>
      </c>
      <c r="L884" t="s">
        <v>2336</v>
      </c>
      <c r="M884" t="s">
        <v>35</v>
      </c>
      <c r="N884">
        <v>1372842871</v>
      </c>
      <c r="O884" t="s">
        <v>2337</v>
      </c>
      <c r="P884" t="s">
        <v>2338</v>
      </c>
      <c r="R884" t="s">
        <v>3054</v>
      </c>
      <c r="S884" t="s">
        <v>2340</v>
      </c>
      <c r="T884" t="s">
        <v>58</v>
      </c>
      <c r="U884" t="s">
        <v>40</v>
      </c>
      <c r="V884" s="1">
        <v>42333</v>
      </c>
      <c r="W884">
        <v>0</v>
      </c>
      <c r="X884">
        <v>4</v>
      </c>
      <c r="Y884" t="s">
        <v>65</v>
      </c>
      <c r="AA884" t="s">
        <v>42</v>
      </c>
      <c r="AB884" t="s">
        <v>43</v>
      </c>
      <c r="AC884" t="s">
        <v>42</v>
      </c>
    </row>
    <row r="885" spans="1:31" x14ac:dyDescent="0.4">
      <c r="A885" t="s">
        <v>27</v>
      </c>
      <c r="B885">
        <v>2964</v>
      </c>
      <c r="C885" t="s">
        <v>2338</v>
      </c>
      <c r="D885">
        <v>283</v>
      </c>
      <c r="E885" t="s">
        <v>68</v>
      </c>
      <c r="F885" t="s">
        <v>1024</v>
      </c>
      <c r="G885" t="s">
        <v>2333</v>
      </c>
      <c r="H885" t="s">
        <v>2334</v>
      </c>
      <c r="J885" t="s">
        <v>2335</v>
      </c>
      <c r="K885" t="s">
        <v>73</v>
      </c>
      <c r="L885" t="s">
        <v>2336</v>
      </c>
      <c r="M885" t="s">
        <v>35</v>
      </c>
      <c r="N885">
        <v>1372842871</v>
      </c>
      <c r="O885" t="s">
        <v>2337</v>
      </c>
      <c r="P885" t="s">
        <v>2338</v>
      </c>
      <c r="R885" t="s">
        <v>3054</v>
      </c>
      <c r="S885" t="s">
        <v>2340</v>
      </c>
      <c r="T885" t="s">
        <v>58</v>
      </c>
      <c r="U885" t="s">
        <v>40</v>
      </c>
      <c r="V885" s="1">
        <v>42333</v>
      </c>
      <c r="W885">
        <v>0</v>
      </c>
      <c r="X885">
        <v>12</v>
      </c>
      <c r="AA885" t="s">
        <v>42</v>
      </c>
      <c r="AB885" t="s">
        <v>43</v>
      </c>
      <c r="AC885" t="s">
        <v>42</v>
      </c>
    </row>
    <row r="886" spans="1:31" x14ac:dyDescent="0.4">
      <c r="A886" t="s">
        <v>27</v>
      </c>
      <c r="B886">
        <v>2964</v>
      </c>
      <c r="C886" t="s">
        <v>2338</v>
      </c>
      <c r="D886">
        <v>286</v>
      </c>
      <c r="E886" t="s">
        <v>68</v>
      </c>
      <c r="F886" t="s">
        <v>1024</v>
      </c>
      <c r="G886" t="s">
        <v>2333</v>
      </c>
      <c r="H886" t="s">
        <v>2334</v>
      </c>
      <c r="J886" t="s">
        <v>2335</v>
      </c>
      <c r="K886" t="s">
        <v>73</v>
      </c>
      <c r="L886" t="s">
        <v>2336</v>
      </c>
      <c r="M886" t="s">
        <v>35</v>
      </c>
      <c r="N886">
        <v>1372842871</v>
      </c>
      <c r="O886" t="s">
        <v>2337</v>
      </c>
      <c r="P886" t="s">
        <v>3125</v>
      </c>
      <c r="R886" t="s">
        <v>3124</v>
      </c>
      <c r="S886" t="s">
        <v>2342</v>
      </c>
      <c r="T886" t="s">
        <v>58</v>
      </c>
      <c r="U886" t="s">
        <v>40</v>
      </c>
      <c r="V886" s="1">
        <v>44107</v>
      </c>
      <c r="W886">
        <v>0</v>
      </c>
      <c r="X886">
        <v>5</v>
      </c>
      <c r="Y886" t="s">
        <v>66</v>
      </c>
      <c r="AA886" t="s">
        <v>42</v>
      </c>
      <c r="AB886" t="s">
        <v>43</v>
      </c>
      <c r="AC886" t="s">
        <v>42</v>
      </c>
    </row>
    <row r="887" spans="1:31" x14ac:dyDescent="0.4">
      <c r="A887" t="s">
        <v>27</v>
      </c>
      <c r="B887">
        <v>2964</v>
      </c>
      <c r="C887" t="s">
        <v>2338</v>
      </c>
      <c r="D887">
        <v>286</v>
      </c>
      <c r="E887" t="s">
        <v>68</v>
      </c>
      <c r="F887" t="s">
        <v>1024</v>
      </c>
      <c r="G887" t="s">
        <v>2333</v>
      </c>
      <c r="H887" t="s">
        <v>2334</v>
      </c>
      <c r="J887" t="s">
        <v>2335</v>
      </c>
      <c r="K887" t="s">
        <v>73</v>
      </c>
      <c r="L887" t="s">
        <v>2336</v>
      </c>
      <c r="M887" t="s">
        <v>35</v>
      </c>
      <c r="N887">
        <v>1372842871</v>
      </c>
      <c r="O887" t="s">
        <v>2337</v>
      </c>
      <c r="P887" t="s">
        <v>3125</v>
      </c>
      <c r="R887" t="s">
        <v>3124</v>
      </c>
      <c r="S887" t="s">
        <v>2342</v>
      </c>
      <c r="T887" t="s">
        <v>58</v>
      </c>
      <c r="U887" t="s">
        <v>40</v>
      </c>
      <c r="V887" s="1">
        <v>44107</v>
      </c>
      <c r="W887">
        <v>0</v>
      </c>
      <c r="X887">
        <v>14</v>
      </c>
      <c r="AA887" t="s">
        <v>42</v>
      </c>
      <c r="AB887" t="s">
        <v>43</v>
      </c>
      <c r="AC887" t="s">
        <v>42</v>
      </c>
    </row>
    <row r="888" spans="1:31" x14ac:dyDescent="0.4">
      <c r="A888" t="s">
        <v>27</v>
      </c>
      <c r="B888">
        <v>2964</v>
      </c>
      <c r="C888" t="s">
        <v>2338</v>
      </c>
      <c r="D888">
        <v>283</v>
      </c>
      <c r="E888" t="s">
        <v>68</v>
      </c>
      <c r="F888" t="s">
        <v>1024</v>
      </c>
      <c r="G888" t="s">
        <v>2333</v>
      </c>
      <c r="H888" t="s">
        <v>2334</v>
      </c>
      <c r="J888" t="s">
        <v>2335</v>
      </c>
      <c r="K888" t="s">
        <v>73</v>
      </c>
      <c r="L888" t="s">
        <v>2336</v>
      </c>
      <c r="M888" t="s">
        <v>35</v>
      </c>
      <c r="N888">
        <v>1372842871</v>
      </c>
      <c r="O888" t="s">
        <v>2337</v>
      </c>
      <c r="P888" t="s">
        <v>2338</v>
      </c>
      <c r="R888" t="s">
        <v>3054</v>
      </c>
      <c r="S888" t="s">
        <v>2340</v>
      </c>
      <c r="T888" t="s">
        <v>58</v>
      </c>
      <c r="U888" t="s">
        <v>40</v>
      </c>
      <c r="V888" s="1">
        <v>42333</v>
      </c>
      <c r="W888">
        <v>0</v>
      </c>
      <c r="X888">
        <v>16</v>
      </c>
      <c r="AA888" t="s">
        <v>42</v>
      </c>
      <c r="AB888" t="s">
        <v>43</v>
      </c>
      <c r="AC888" t="s">
        <v>42</v>
      </c>
    </row>
    <row r="889" spans="1:31" x14ac:dyDescent="0.4">
      <c r="A889" t="s">
        <v>27</v>
      </c>
      <c r="B889">
        <v>3222</v>
      </c>
      <c r="C889" t="s">
        <v>2348</v>
      </c>
      <c r="D889">
        <v>284</v>
      </c>
      <c r="E889" t="s">
        <v>28</v>
      </c>
      <c r="F889" t="s">
        <v>2343</v>
      </c>
      <c r="G889" t="s">
        <v>2333</v>
      </c>
      <c r="H889" t="s">
        <v>2344</v>
      </c>
      <c r="J889" t="s">
        <v>982</v>
      </c>
      <c r="K889" t="s">
        <v>73</v>
      </c>
      <c r="L889" t="s">
        <v>2345</v>
      </c>
      <c r="M889" t="s">
        <v>35</v>
      </c>
      <c r="N889" t="s">
        <v>2346</v>
      </c>
      <c r="O889" t="s">
        <v>2347</v>
      </c>
      <c r="P889" t="s">
        <v>2348</v>
      </c>
      <c r="R889" t="s">
        <v>2349</v>
      </c>
      <c r="S889" t="s">
        <v>2350</v>
      </c>
      <c r="T889" t="s">
        <v>58</v>
      </c>
      <c r="U889" t="s">
        <v>82</v>
      </c>
      <c r="V889" s="1">
        <v>45285</v>
      </c>
      <c r="W889">
        <v>0</v>
      </c>
      <c r="X889">
        <v>4</v>
      </c>
      <c r="Y889" t="s">
        <v>65</v>
      </c>
      <c r="AA889" t="s">
        <v>42</v>
      </c>
      <c r="AB889" t="s">
        <v>43</v>
      </c>
      <c r="AC889" t="s">
        <v>43</v>
      </c>
    </row>
    <row r="890" spans="1:31" x14ac:dyDescent="0.4">
      <c r="A890" t="s">
        <v>27</v>
      </c>
      <c r="B890">
        <v>3222</v>
      </c>
      <c r="C890" t="s">
        <v>2348</v>
      </c>
      <c r="D890">
        <v>284</v>
      </c>
      <c r="E890" t="s">
        <v>28</v>
      </c>
      <c r="F890" t="s">
        <v>2343</v>
      </c>
      <c r="G890" t="s">
        <v>2333</v>
      </c>
      <c r="H890" t="s">
        <v>2344</v>
      </c>
      <c r="J890" t="s">
        <v>982</v>
      </c>
      <c r="K890" t="s">
        <v>73</v>
      </c>
      <c r="L890" t="s">
        <v>2345</v>
      </c>
      <c r="M890" t="s">
        <v>35</v>
      </c>
      <c r="N890" t="s">
        <v>2346</v>
      </c>
      <c r="O890" t="s">
        <v>2347</v>
      </c>
      <c r="P890" t="s">
        <v>2348</v>
      </c>
      <c r="R890" t="s">
        <v>2349</v>
      </c>
      <c r="S890" t="s">
        <v>2350</v>
      </c>
      <c r="T890" t="s">
        <v>58</v>
      </c>
      <c r="U890" t="s">
        <v>82</v>
      </c>
      <c r="V890" s="1">
        <v>45285</v>
      </c>
      <c r="W890">
        <v>0</v>
      </c>
      <c r="X890">
        <v>5</v>
      </c>
      <c r="Y890" t="s">
        <v>66</v>
      </c>
      <c r="AA890" t="s">
        <v>42</v>
      </c>
      <c r="AB890" t="s">
        <v>43</v>
      </c>
      <c r="AC890" t="s">
        <v>43</v>
      </c>
    </row>
    <row r="891" spans="1:31" x14ac:dyDescent="0.4">
      <c r="A891" t="s">
        <v>27</v>
      </c>
      <c r="B891">
        <v>3222</v>
      </c>
      <c r="C891" t="s">
        <v>2348</v>
      </c>
      <c r="D891">
        <v>285</v>
      </c>
      <c r="E891" t="s">
        <v>28</v>
      </c>
      <c r="F891" t="s">
        <v>2343</v>
      </c>
      <c r="G891" t="s">
        <v>2333</v>
      </c>
      <c r="H891" t="s">
        <v>2344</v>
      </c>
      <c r="J891" t="s">
        <v>982</v>
      </c>
      <c r="K891" t="s">
        <v>73</v>
      </c>
      <c r="L891" t="s">
        <v>2345</v>
      </c>
      <c r="M891" t="s">
        <v>35</v>
      </c>
      <c r="N891" t="s">
        <v>2346</v>
      </c>
      <c r="O891" t="s">
        <v>2347</v>
      </c>
      <c r="P891" t="s">
        <v>2348</v>
      </c>
      <c r="R891" t="s">
        <v>2351</v>
      </c>
      <c r="S891" t="s">
        <v>2352</v>
      </c>
      <c r="T891" t="s">
        <v>58</v>
      </c>
      <c r="U891" t="s">
        <v>82</v>
      </c>
      <c r="V891" s="1">
        <v>42864</v>
      </c>
      <c r="W891">
        <v>0</v>
      </c>
      <c r="X891">
        <v>7</v>
      </c>
      <c r="AA891" t="s">
        <v>42</v>
      </c>
      <c r="AB891" t="s">
        <v>43</v>
      </c>
      <c r="AC891" t="s">
        <v>43</v>
      </c>
    </row>
    <row r="892" spans="1:31" hidden="1" x14ac:dyDescent="0.4">
      <c r="A892" t="s">
        <v>27</v>
      </c>
      <c r="B892">
        <v>3222</v>
      </c>
      <c r="C892" t="s">
        <v>2348</v>
      </c>
      <c r="E892" t="s">
        <v>28</v>
      </c>
      <c r="F892" t="s">
        <v>2343</v>
      </c>
      <c r="G892" t="s">
        <v>2333</v>
      </c>
      <c r="H892" t="s">
        <v>2344</v>
      </c>
      <c r="J892" t="s">
        <v>982</v>
      </c>
      <c r="K892" t="s">
        <v>73</v>
      </c>
      <c r="L892" t="s">
        <v>2345</v>
      </c>
      <c r="M892" t="s">
        <v>35</v>
      </c>
      <c r="N892" t="s">
        <v>2346</v>
      </c>
      <c r="O892" t="s">
        <v>2347</v>
      </c>
      <c r="P892" t="s">
        <v>2348</v>
      </c>
      <c r="R892" t="s">
        <v>2349</v>
      </c>
      <c r="S892" t="s">
        <v>2350</v>
      </c>
      <c r="T892" t="s">
        <v>58</v>
      </c>
      <c r="U892" t="s">
        <v>82</v>
      </c>
      <c r="V892" s="1">
        <v>45285</v>
      </c>
      <c r="W892">
        <v>0</v>
      </c>
      <c r="X892">
        <v>0</v>
      </c>
      <c r="Y892" t="s">
        <v>59</v>
      </c>
      <c r="AA892" t="s">
        <v>42</v>
      </c>
      <c r="AB892" t="s">
        <v>43</v>
      </c>
      <c r="AC892" t="s">
        <v>43</v>
      </c>
    </row>
    <row r="893" spans="1:31" hidden="1" x14ac:dyDescent="0.4">
      <c r="A893" t="s">
        <v>27</v>
      </c>
      <c r="B893">
        <v>3222</v>
      </c>
      <c r="C893" t="s">
        <v>2348</v>
      </c>
      <c r="E893" t="s">
        <v>28</v>
      </c>
      <c r="F893" t="s">
        <v>2343</v>
      </c>
      <c r="G893" t="s">
        <v>2333</v>
      </c>
      <c r="H893" t="s">
        <v>2344</v>
      </c>
      <c r="J893" t="s">
        <v>982</v>
      </c>
      <c r="K893" t="s">
        <v>73</v>
      </c>
      <c r="L893" t="s">
        <v>2345</v>
      </c>
      <c r="M893" t="s">
        <v>35</v>
      </c>
      <c r="N893" t="s">
        <v>2346</v>
      </c>
      <c r="O893" t="s">
        <v>2347</v>
      </c>
      <c r="P893" t="s">
        <v>2348</v>
      </c>
      <c r="R893" t="s">
        <v>2351</v>
      </c>
      <c r="S893" t="s">
        <v>2352</v>
      </c>
      <c r="T893" t="s">
        <v>58</v>
      </c>
      <c r="U893" t="s">
        <v>82</v>
      </c>
      <c r="V893" s="1">
        <v>42864</v>
      </c>
      <c r="W893">
        <v>0</v>
      </c>
      <c r="X893">
        <v>0</v>
      </c>
      <c r="Y893" t="s">
        <v>59</v>
      </c>
      <c r="AA893" t="s">
        <v>42</v>
      </c>
      <c r="AB893" t="s">
        <v>43</v>
      </c>
      <c r="AC893" t="s">
        <v>43</v>
      </c>
    </row>
    <row r="894" spans="1:31" x14ac:dyDescent="0.4">
      <c r="A894" t="s">
        <v>27</v>
      </c>
      <c r="B894">
        <v>5940</v>
      </c>
      <c r="C894" t="s">
        <v>2874</v>
      </c>
      <c r="D894">
        <v>287</v>
      </c>
      <c r="E894" t="s">
        <v>68</v>
      </c>
      <c r="F894" t="s">
        <v>2353</v>
      </c>
      <c r="G894" t="s">
        <v>2354</v>
      </c>
      <c r="H894" t="s">
        <v>2355</v>
      </c>
      <c r="J894" t="s">
        <v>2356</v>
      </c>
      <c r="K894" t="s">
        <v>495</v>
      </c>
      <c r="L894" t="s">
        <v>2357</v>
      </c>
      <c r="M894" t="s">
        <v>35</v>
      </c>
      <c r="N894" t="s">
        <v>2358</v>
      </c>
      <c r="O894" t="s">
        <v>2359</v>
      </c>
      <c r="P894" t="s">
        <v>2874</v>
      </c>
      <c r="R894" t="s">
        <v>2360</v>
      </c>
      <c r="S894" t="s">
        <v>2361</v>
      </c>
      <c r="T894" t="s">
        <v>58</v>
      </c>
      <c r="U894" t="s">
        <v>82</v>
      </c>
      <c r="V894" s="1">
        <v>44166</v>
      </c>
      <c r="W894">
        <v>0</v>
      </c>
      <c r="X894">
        <v>6</v>
      </c>
      <c r="Y894" t="s">
        <v>83</v>
      </c>
      <c r="Z894" t="s">
        <v>135</v>
      </c>
      <c r="AA894" t="s">
        <v>42</v>
      </c>
      <c r="AB894" t="s">
        <v>43</v>
      </c>
      <c r="AC894" t="s">
        <v>43</v>
      </c>
    </row>
    <row r="895" spans="1:31" x14ac:dyDescent="0.4">
      <c r="A895" t="s">
        <v>27</v>
      </c>
      <c r="B895">
        <v>5940</v>
      </c>
      <c r="C895" t="s">
        <v>2874</v>
      </c>
      <c r="D895">
        <v>287</v>
      </c>
      <c r="E895" t="s">
        <v>68</v>
      </c>
      <c r="F895" t="s">
        <v>2353</v>
      </c>
      <c r="G895" t="s">
        <v>2354</v>
      </c>
      <c r="H895" t="s">
        <v>2355</v>
      </c>
      <c r="J895" t="s">
        <v>2356</v>
      </c>
      <c r="K895" t="s">
        <v>495</v>
      </c>
      <c r="L895" t="s">
        <v>2357</v>
      </c>
      <c r="M895" t="s">
        <v>35</v>
      </c>
      <c r="N895" t="s">
        <v>2358</v>
      </c>
      <c r="O895" t="s">
        <v>2359</v>
      </c>
      <c r="P895" t="s">
        <v>2874</v>
      </c>
      <c r="R895" t="s">
        <v>2360</v>
      </c>
      <c r="S895" t="s">
        <v>2361</v>
      </c>
      <c r="T895" t="s">
        <v>58</v>
      </c>
      <c r="U895" t="s">
        <v>82</v>
      </c>
      <c r="V895" s="1">
        <v>44166</v>
      </c>
      <c r="W895">
        <v>0</v>
      </c>
      <c r="X895">
        <v>17</v>
      </c>
      <c r="Z895" t="s">
        <v>135</v>
      </c>
      <c r="AA895" t="s">
        <v>42</v>
      </c>
      <c r="AB895" t="s">
        <v>43</v>
      </c>
      <c r="AC895" t="s">
        <v>43</v>
      </c>
    </row>
    <row r="896" spans="1:31" x14ac:dyDescent="0.4">
      <c r="A896" t="s">
        <v>27</v>
      </c>
      <c r="B896">
        <v>378</v>
      </c>
      <c r="C896" t="s">
        <v>2368</v>
      </c>
      <c r="D896">
        <v>288</v>
      </c>
      <c r="E896" t="s">
        <v>68</v>
      </c>
      <c r="F896" t="s">
        <v>2362</v>
      </c>
      <c r="G896" t="s">
        <v>2363</v>
      </c>
      <c r="H896" t="s">
        <v>2364</v>
      </c>
      <c r="J896" t="s">
        <v>2365</v>
      </c>
      <c r="K896" t="s">
        <v>73</v>
      </c>
      <c r="L896" t="s">
        <v>2366</v>
      </c>
      <c r="M896" t="s">
        <v>35</v>
      </c>
      <c r="N896">
        <v>2086882938</v>
      </c>
      <c r="O896" t="s">
        <v>2367</v>
      </c>
      <c r="P896" t="s">
        <v>2368</v>
      </c>
      <c r="R896" t="s">
        <v>2369</v>
      </c>
      <c r="S896" t="s">
        <v>2370</v>
      </c>
      <c r="T896" t="s">
        <v>232</v>
      </c>
      <c r="U896" t="s">
        <v>40</v>
      </c>
      <c r="V896" s="1">
        <v>43381</v>
      </c>
      <c r="W896">
        <v>0</v>
      </c>
      <c r="X896">
        <v>5</v>
      </c>
      <c r="Y896" t="s">
        <v>66</v>
      </c>
      <c r="AA896" t="s">
        <v>42</v>
      </c>
      <c r="AB896" t="s">
        <v>43</v>
      </c>
      <c r="AC896" t="s">
        <v>43</v>
      </c>
      <c r="AE896" t="s">
        <v>2371</v>
      </c>
    </row>
    <row r="897" spans="1:31" hidden="1" x14ac:dyDescent="0.4">
      <c r="A897" t="s">
        <v>27</v>
      </c>
      <c r="B897">
        <v>378</v>
      </c>
      <c r="C897" t="s">
        <v>2368</v>
      </c>
      <c r="E897" t="s">
        <v>68</v>
      </c>
      <c r="F897" t="s">
        <v>2362</v>
      </c>
      <c r="G897" t="s">
        <v>2363</v>
      </c>
      <c r="H897" t="s">
        <v>2364</v>
      </c>
      <c r="J897" t="s">
        <v>2365</v>
      </c>
      <c r="K897" t="s">
        <v>73</v>
      </c>
      <c r="L897" t="s">
        <v>2366</v>
      </c>
      <c r="M897" t="s">
        <v>35</v>
      </c>
      <c r="N897">
        <v>2086882938</v>
      </c>
      <c r="O897" t="s">
        <v>2367</v>
      </c>
      <c r="P897" t="s">
        <v>2368</v>
      </c>
      <c r="R897" t="s">
        <v>2372</v>
      </c>
      <c r="S897" t="s">
        <v>2373</v>
      </c>
      <c r="T897" t="s">
        <v>232</v>
      </c>
      <c r="U897" t="s">
        <v>40</v>
      </c>
      <c r="V897" s="1">
        <v>45543</v>
      </c>
      <c r="W897">
        <v>0</v>
      </c>
      <c r="X897">
        <v>0</v>
      </c>
      <c r="Y897" t="s">
        <v>59</v>
      </c>
      <c r="AA897" t="s">
        <v>42</v>
      </c>
      <c r="AB897" t="s">
        <v>43</v>
      </c>
      <c r="AC897" t="s">
        <v>43</v>
      </c>
      <c r="AE897" t="s">
        <v>2371</v>
      </c>
    </row>
    <row r="898" spans="1:31" hidden="1" x14ac:dyDescent="0.4">
      <c r="A898" t="s">
        <v>27</v>
      </c>
      <c r="B898">
        <v>378</v>
      </c>
      <c r="C898" t="s">
        <v>2368</v>
      </c>
      <c r="E898" t="s">
        <v>68</v>
      </c>
      <c r="F898" t="s">
        <v>2362</v>
      </c>
      <c r="G898" t="s">
        <v>2363</v>
      </c>
      <c r="H898" t="s">
        <v>2364</v>
      </c>
      <c r="J898" t="s">
        <v>2365</v>
      </c>
      <c r="K898" t="s">
        <v>73</v>
      </c>
      <c r="L898" t="s">
        <v>2366</v>
      </c>
      <c r="M898" t="s">
        <v>35</v>
      </c>
      <c r="N898">
        <v>2086882938</v>
      </c>
      <c r="O898" t="s">
        <v>2367</v>
      </c>
      <c r="P898" t="s">
        <v>2368</v>
      </c>
      <c r="R898" t="s">
        <v>2374</v>
      </c>
      <c r="S898" t="s">
        <v>2375</v>
      </c>
      <c r="T898" t="s">
        <v>94</v>
      </c>
      <c r="U898" t="s">
        <v>40</v>
      </c>
      <c r="V898" s="1">
        <v>41370</v>
      </c>
      <c r="W898">
        <v>0</v>
      </c>
      <c r="X898">
        <v>0</v>
      </c>
      <c r="Y898" t="s">
        <v>59</v>
      </c>
      <c r="AA898" t="s">
        <v>42</v>
      </c>
      <c r="AB898" t="s">
        <v>43</v>
      </c>
      <c r="AC898" t="s">
        <v>43</v>
      </c>
      <c r="AE898" t="s">
        <v>2371</v>
      </c>
    </row>
    <row r="899" spans="1:31" hidden="1" x14ac:dyDescent="0.4">
      <c r="A899" t="s">
        <v>27</v>
      </c>
      <c r="B899">
        <v>378</v>
      </c>
      <c r="C899" t="s">
        <v>2368</v>
      </c>
      <c r="E899" t="s">
        <v>68</v>
      </c>
      <c r="F899" t="s">
        <v>2362</v>
      </c>
      <c r="G899" t="s">
        <v>2363</v>
      </c>
      <c r="H899" t="s">
        <v>2364</v>
      </c>
      <c r="J899" t="s">
        <v>2365</v>
      </c>
      <c r="K899" t="s">
        <v>73</v>
      </c>
      <c r="L899" t="s">
        <v>2366</v>
      </c>
      <c r="M899" t="s">
        <v>35</v>
      </c>
      <c r="N899">
        <v>2086882938</v>
      </c>
      <c r="O899" t="s">
        <v>2367</v>
      </c>
      <c r="P899" t="s">
        <v>2368</v>
      </c>
      <c r="R899" t="s">
        <v>2376</v>
      </c>
      <c r="S899" t="s">
        <v>2377</v>
      </c>
      <c r="T899" t="s">
        <v>58</v>
      </c>
      <c r="U899" t="s">
        <v>40</v>
      </c>
      <c r="V899" s="1">
        <v>42664</v>
      </c>
      <c r="W899">
        <v>0</v>
      </c>
      <c r="X899">
        <v>0</v>
      </c>
      <c r="Y899" t="s">
        <v>59</v>
      </c>
      <c r="AA899" t="s">
        <v>42</v>
      </c>
      <c r="AB899" t="s">
        <v>43</v>
      </c>
      <c r="AC899" t="s">
        <v>43</v>
      </c>
      <c r="AE899" t="s">
        <v>2371</v>
      </c>
    </row>
    <row r="900" spans="1:31" x14ac:dyDescent="0.4">
      <c r="A900" t="s">
        <v>27</v>
      </c>
      <c r="B900">
        <v>378</v>
      </c>
      <c r="C900" t="s">
        <v>2368</v>
      </c>
      <c r="D900">
        <v>288</v>
      </c>
      <c r="E900" t="s">
        <v>68</v>
      </c>
      <c r="F900" t="s">
        <v>2362</v>
      </c>
      <c r="G900" t="s">
        <v>2363</v>
      </c>
      <c r="H900" t="s">
        <v>2364</v>
      </c>
      <c r="J900" t="s">
        <v>2365</v>
      </c>
      <c r="K900" t="s">
        <v>73</v>
      </c>
      <c r="L900" t="s">
        <v>2366</v>
      </c>
      <c r="M900" t="s">
        <v>35</v>
      </c>
      <c r="N900">
        <v>2086882938</v>
      </c>
      <c r="O900" t="s">
        <v>2367</v>
      </c>
      <c r="P900" t="s">
        <v>2368</v>
      </c>
      <c r="R900" t="s">
        <v>2369</v>
      </c>
      <c r="S900" t="s">
        <v>2370</v>
      </c>
      <c r="T900" t="s">
        <v>232</v>
      </c>
      <c r="U900" t="s">
        <v>40</v>
      </c>
      <c r="V900" s="1">
        <v>43381</v>
      </c>
      <c r="W900">
        <v>0</v>
      </c>
      <c r="X900">
        <v>14</v>
      </c>
      <c r="AA900" t="s">
        <v>42</v>
      </c>
      <c r="AB900" t="s">
        <v>43</v>
      </c>
      <c r="AC900" t="s">
        <v>43</v>
      </c>
      <c r="AE900" t="s">
        <v>2371</v>
      </c>
    </row>
    <row r="901" spans="1:31" x14ac:dyDescent="0.4">
      <c r="A901" t="s">
        <v>27</v>
      </c>
      <c r="B901">
        <v>378</v>
      </c>
      <c r="C901" t="s">
        <v>2368</v>
      </c>
      <c r="D901">
        <v>288</v>
      </c>
      <c r="E901" t="s">
        <v>68</v>
      </c>
      <c r="F901" t="s">
        <v>2362</v>
      </c>
      <c r="G901" t="s">
        <v>2363</v>
      </c>
      <c r="H901" t="s">
        <v>2364</v>
      </c>
      <c r="J901" t="s">
        <v>2365</v>
      </c>
      <c r="K901" t="s">
        <v>73</v>
      </c>
      <c r="L901" t="s">
        <v>2366</v>
      </c>
      <c r="M901" t="s">
        <v>35</v>
      </c>
      <c r="N901">
        <v>2086882938</v>
      </c>
      <c r="O901" t="s">
        <v>2367</v>
      </c>
      <c r="P901" t="s">
        <v>2368</v>
      </c>
      <c r="R901" t="s">
        <v>2369</v>
      </c>
      <c r="S901" t="s">
        <v>2370</v>
      </c>
      <c r="T901" t="s">
        <v>232</v>
      </c>
      <c r="U901" t="s">
        <v>40</v>
      </c>
      <c r="V901" s="1">
        <v>43381</v>
      </c>
      <c r="W901">
        <v>0</v>
      </c>
      <c r="X901">
        <v>16</v>
      </c>
      <c r="AA901" t="s">
        <v>42</v>
      </c>
      <c r="AB901" t="s">
        <v>43</v>
      </c>
      <c r="AC901" t="s">
        <v>43</v>
      </c>
      <c r="AE901" t="s">
        <v>2371</v>
      </c>
    </row>
    <row r="902" spans="1:31" x14ac:dyDescent="0.4">
      <c r="A902" t="s">
        <v>27</v>
      </c>
      <c r="B902">
        <v>378</v>
      </c>
      <c r="C902" t="s">
        <v>2368</v>
      </c>
      <c r="D902">
        <v>289</v>
      </c>
      <c r="E902" t="s">
        <v>68</v>
      </c>
      <c r="F902" t="s">
        <v>2362</v>
      </c>
      <c r="G902" t="s">
        <v>2363</v>
      </c>
      <c r="H902" t="s">
        <v>2364</v>
      </c>
      <c r="J902" t="s">
        <v>2365</v>
      </c>
      <c r="K902" t="s">
        <v>73</v>
      </c>
      <c r="L902" t="s">
        <v>2366</v>
      </c>
      <c r="M902" t="s">
        <v>35</v>
      </c>
      <c r="N902">
        <v>2086882938</v>
      </c>
      <c r="O902" t="s">
        <v>2367</v>
      </c>
      <c r="P902" t="s">
        <v>2368</v>
      </c>
      <c r="R902" t="s">
        <v>2376</v>
      </c>
      <c r="S902" t="s">
        <v>2377</v>
      </c>
      <c r="T902" t="s">
        <v>58</v>
      </c>
      <c r="U902" t="s">
        <v>40</v>
      </c>
      <c r="V902" s="1">
        <v>42664</v>
      </c>
      <c r="W902">
        <v>0</v>
      </c>
      <c r="X902">
        <v>18</v>
      </c>
      <c r="AA902" t="s">
        <v>42</v>
      </c>
      <c r="AB902" t="s">
        <v>43</v>
      </c>
      <c r="AC902" t="s">
        <v>43</v>
      </c>
      <c r="AE902" t="s">
        <v>2371</v>
      </c>
    </row>
    <row r="903" spans="1:31" hidden="1" x14ac:dyDescent="0.4">
      <c r="A903" t="s">
        <v>27</v>
      </c>
      <c r="B903">
        <v>378</v>
      </c>
      <c r="C903" t="s">
        <v>2368</v>
      </c>
      <c r="E903" t="s">
        <v>68</v>
      </c>
      <c r="F903" t="s">
        <v>2362</v>
      </c>
      <c r="G903" t="s">
        <v>2363</v>
      </c>
      <c r="H903" t="s">
        <v>2364</v>
      </c>
      <c r="J903" t="s">
        <v>2365</v>
      </c>
      <c r="K903" t="s">
        <v>73</v>
      </c>
      <c r="L903" t="s">
        <v>2366</v>
      </c>
      <c r="M903" t="s">
        <v>35</v>
      </c>
      <c r="N903">
        <v>2086882938</v>
      </c>
      <c r="O903" t="s">
        <v>2367</v>
      </c>
      <c r="P903" t="s">
        <v>2368</v>
      </c>
      <c r="R903" t="s">
        <v>2372</v>
      </c>
      <c r="S903" t="s">
        <v>2373</v>
      </c>
      <c r="T903" t="s">
        <v>232</v>
      </c>
      <c r="U903" t="s">
        <v>40</v>
      </c>
      <c r="V903" s="1">
        <v>45543</v>
      </c>
      <c r="W903">
        <v>0</v>
      </c>
      <c r="X903">
        <v>0</v>
      </c>
      <c r="Y903" t="s">
        <v>59</v>
      </c>
      <c r="AA903" t="s">
        <v>42</v>
      </c>
      <c r="AB903" t="s">
        <v>43</v>
      </c>
      <c r="AC903" t="s">
        <v>43</v>
      </c>
      <c r="AD903" t="s">
        <v>2371</v>
      </c>
    </row>
    <row r="904" spans="1:31" hidden="1" x14ac:dyDescent="0.4">
      <c r="A904" t="s">
        <v>27</v>
      </c>
      <c r="B904">
        <v>378</v>
      </c>
      <c r="C904" t="s">
        <v>2368</v>
      </c>
      <c r="E904" t="s">
        <v>68</v>
      </c>
      <c r="F904" t="s">
        <v>2362</v>
      </c>
      <c r="G904" t="s">
        <v>2363</v>
      </c>
      <c r="H904" t="s">
        <v>2364</v>
      </c>
      <c r="J904" t="s">
        <v>2365</v>
      </c>
      <c r="K904" t="s">
        <v>73</v>
      </c>
      <c r="L904" t="s">
        <v>2366</v>
      </c>
      <c r="M904" t="s">
        <v>35</v>
      </c>
      <c r="N904">
        <v>2086882938</v>
      </c>
      <c r="O904" t="s">
        <v>2367</v>
      </c>
      <c r="P904" t="s">
        <v>2368</v>
      </c>
      <c r="R904" t="s">
        <v>2374</v>
      </c>
      <c r="S904" t="s">
        <v>2375</v>
      </c>
      <c r="T904" t="s">
        <v>94</v>
      </c>
      <c r="U904" t="s">
        <v>40</v>
      </c>
      <c r="V904" s="1">
        <v>41370</v>
      </c>
      <c r="W904">
        <v>0</v>
      </c>
      <c r="X904">
        <v>0</v>
      </c>
      <c r="Y904" t="s">
        <v>59</v>
      </c>
      <c r="AA904" t="s">
        <v>42</v>
      </c>
      <c r="AB904" t="s">
        <v>43</v>
      </c>
      <c r="AC904" t="s">
        <v>43</v>
      </c>
      <c r="AD904" t="s">
        <v>2371</v>
      </c>
    </row>
    <row r="905" spans="1:31" x14ac:dyDescent="0.4">
      <c r="A905" t="s">
        <v>27</v>
      </c>
      <c r="B905">
        <v>656</v>
      </c>
      <c r="C905" t="s">
        <v>2385</v>
      </c>
      <c r="D905">
        <v>290</v>
      </c>
      <c r="E905" t="s">
        <v>68</v>
      </c>
      <c r="F905" t="s">
        <v>594</v>
      </c>
      <c r="G905" t="s">
        <v>2378</v>
      </c>
      <c r="H905" t="s">
        <v>2379</v>
      </c>
      <c r="I905" t="s">
        <v>2380</v>
      </c>
      <c r="J905" t="s">
        <v>2381</v>
      </c>
      <c r="K905" t="s">
        <v>176</v>
      </c>
      <c r="L905" t="s">
        <v>2382</v>
      </c>
      <c r="M905" t="s">
        <v>35</v>
      </c>
      <c r="N905" t="s">
        <v>2383</v>
      </c>
      <c r="O905" t="s">
        <v>2384</v>
      </c>
      <c r="P905" t="s">
        <v>2385</v>
      </c>
      <c r="R905" t="s">
        <v>2386</v>
      </c>
      <c r="S905" t="s">
        <v>2387</v>
      </c>
      <c r="T905" t="s">
        <v>58</v>
      </c>
      <c r="U905" t="s">
        <v>40</v>
      </c>
      <c r="V905" s="1">
        <v>44869</v>
      </c>
      <c r="W905">
        <v>0</v>
      </c>
      <c r="X905">
        <v>16</v>
      </c>
      <c r="AA905" t="s">
        <v>42</v>
      </c>
      <c r="AB905" t="s">
        <v>43</v>
      </c>
      <c r="AC905" t="s">
        <v>43</v>
      </c>
    </row>
    <row r="906" spans="1:31" x14ac:dyDescent="0.4">
      <c r="A906" t="s">
        <v>27</v>
      </c>
      <c r="B906">
        <v>656</v>
      </c>
      <c r="C906" t="s">
        <v>2385</v>
      </c>
      <c r="D906">
        <v>291</v>
      </c>
      <c r="E906" t="s">
        <v>68</v>
      </c>
      <c r="F906" t="s">
        <v>594</v>
      </c>
      <c r="G906" t="s">
        <v>2378</v>
      </c>
      <c r="H906" t="s">
        <v>2379</v>
      </c>
      <c r="I906" t="s">
        <v>2380</v>
      </c>
      <c r="J906" t="s">
        <v>2381</v>
      </c>
      <c r="K906" t="s">
        <v>176</v>
      </c>
      <c r="L906" t="s">
        <v>2382</v>
      </c>
      <c r="M906" t="s">
        <v>35</v>
      </c>
      <c r="N906" t="s">
        <v>2383</v>
      </c>
      <c r="O906" t="s">
        <v>2384</v>
      </c>
      <c r="P906" t="s">
        <v>2385</v>
      </c>
      <c r="R906" t="s">
        <v>2388</v>
      </c>
      <c r="S906" t="s">
        <v>2389</v>
      </c>
      <c r="T906" t="s">
        <v>376</v>
      </c>
      <c r="U906" t="s">
        <v>40</v>
      </c>
      <c r="V906" s="1">
        <v>43686</v>
      </c>
      <c r="W906">
        <v>0</v>
      </c>
      <c r="X906">
        <v>12</v>
      </c>
      <c r="AA906" t="s">
        <v>42</v>
      </c>
      <c r="AB906" t="s">
        <v>43</v>
      </c>
      <c r="AC906" t="s">
        <v>43</v>
      </c>
    </row>
    <row r="907" spans="1:31" x14ac:dyDescent="0.4">
      <c r="A907" t="s">
        <v>27</v>
      </c>
      <c r="B907">
        <v>656</v>
      </c>
      <c r="C907" t="s">
        <v>2385</v>
      </c>
      <c r="D907">
        <v>290</v>
      </c>
      <c r="E907" t="s">
        <v>68</v>
      </c>
      <c r="F907" t="s">
        <v>594</v>
      </c>
      <c r="G907" t="s">
        <v>2378</v>
      </c>
      <c r="H907" t="s">
        <v>2379</v>
      </c>
      <c r="I907" t="s">
        <v>2380</v>
      </c>
      <c r="J907" t="s">
        <v>2381</v>
      </c>
      <c r="K907" t="s">
        <v>176</v>
      </c>
      <c r="L907" t="s">
        <v>2382</v>
      </c>
      <c r="M907" t="s">
        <v>35</v>
      </c>
      <c r="N907" t="s">
        <v>2383</v>
      </c>
      <c r="O907" t="s">
        <v>2384</v>
      </c>
      <c r="P907" t="s">
        <v>2385</v>
      </c>
      <c r="R907" t="s">
        <v>2386</v>
      </c>
      <c r="S907" t="s">
        <v>2387</v>
      </c>
      <c r="T907" t="s">
        <v>58</v>
      </c>
      <c r="U907" t="s">
        <v>40</v>
      </c>
      <c r="V907" s="1">
        <v>44869</v>
      </c>
      <c r="W907">
        <v>0</v>
      </c>
      <c r="X907">
        <v>14</v>
      </c>
      <c r="AA907" t="s">
        <v>42</v>
      </c>
      <c r="AB907" t="s">
        <v>43</v>
      </c>
      <c r="AC907" t="s">
        <v>43</v>
      </c>
    </row>
    <row r="908" spans="1:31" x14ac:dyDescent="0.4">
      <c r="A908" t="s">
        <v>27</v>
      </c>
      <c r="B908">
        <v>2699</v>
      </c>
      <c r="C908" t="s">
        <v>2396</v>
      </c>
      <c r="D908">
        <v>292</v>
      </c>
      <c r="E908" t="s">
        <v>68</v>
      </c>
      <c r="F908" t="s">
        <v>2390</v>
      </c>
      <c r="G908" t="s">
        <v>2391</v>
      </c>
      <c r="H908" t="s">
        <v>2392</v>
      </c>
      <c r="J908" t="s">
        <v>50</v>
      </c>
      <c r="K908" t="s">
        <v>51</v>
      </c>
      <c r="L908" t="s">
        <v>2393</v>
      </c>
      <c r="M908" t="s">
        <v>35</v>
      </c>
      <c r="N908" t="s">
        <v>2394</v>
      </c>
      <c r="O908" t="s">
        <v>2395</v>
      </c>
      <c r="P908" t="s">
        <v>2396</v>
      </c>
      <c r="R908" t="s">
        <v>2397</v>
      </c>
      <c r="S908" t="s">
        <v>2398</v>
      </c>
      <c r="T908" t="s">
        <v>284</v>
      </c>
      <c r="U908" t="s">
        <v>82</v>
      </c>
      <c r="V908" s="1">
        <v>44665</v>
      </c>
      <c r="W908">
        <v>0</v>
      </c>
      <c r="X908">
        <v>9</v>
      </c>
      <c r="AA908" t="s">
        <v>42</v>
      </c>
      <c r="AB908" t="s">
        <v>43</v>
      </c>
      <c r="AC908" t="s">
        <v>43</v>
      </c>
      <c r="AD908" t="s">
        <v>2399</v>
      </c>
    </row>
    <row r="909" spans="1:31" x14ac:dyDescent="0.4">
      <c r="A909" t="s">
        <v>27</v>
      </c>
      <c r="B909">
        <v>2699</v>
      </c>
      <c r="C909" t="s">
        <v>2396</v>
      </c>
      <c r="D909">
        <v>292</v>
      </c>
      <c r="E909" t="s">
        <v>68</v>
      </c>
      <c r="F909" t="s">
        <v>2390</v>
      </c>
      <c r="G909" t="s">
        <v>2391</v>
      </c>
      <c r="H909" t="s">
        <v>2392</v>
      </c>
      <c r="J909" t="s">
        <v>50</v>
      </c>
      <c r="K909" t="s">
        <v>51</v>
      </c>
      <c r="L909" t="s">
        <v>2393</v>
      </c>
      <c r="M909" t="s">
        <v>35</v>
      </c>
      <c r="N909" t="s">
        <v>2394</v>
      </c>
      <c r="O909" t="s">
        <v>2395</v>
      </c>
      <c r="P909" t="s">
        <v>2396</v>
      </c>
      <c r="R909" t="s">
        <v>2397</v>
      </c>
      <c r="S909" t="s">
        <v>2398</v>
      </c>
      <c r="T909" t="s">
        <v>284</v>
      </c>
      <c r="U909" t="s">
        <v>82</v>
      </c>
      <c r="V909" s="1">
        <v>44665</v>
      </c>
      <c r="W909">
        <v>0</v>
      </c>
      <c r="X909">
        <v>10</v>
      </c>
      <c r="AA909" t="s">
        <v>42</v>
      </c>
      <c r="AB909" t="s">
        <v>43</v>
      </c>
      <c r="AC909" t="s">
        <v>43</v>
      </c>
      <c r="AD909" t="s">
        <v>2399</v>
      </c>
    </row>
    <row r="910" spans="1:31" hidden="1" x14ac:dyDescent="0.4">
      <c r="A910" t="s">
        <v>27</v>
      </c>
      <c r="B910">
        <v>643</v>
      </c>
      <c r="C910" t="s">
        <v>2406</v>
      </c>
      <c r="E910" t="s">
        <v>68</v>
      </c>
      <c r="F910" t="s">
        <v>2400</v>
      </c>
      <c r="G910" t="s">
        <v>2401</v>
      </c>
      <c r="H910" t="s">
        <v>2402</v>
      </c>
      <c r="J910" t="s">
        <v>2403</v>
      </c>
      <c r="K910" t="s">
        <v>1696</v>
      </c>
      <c r="L910" t="s">
        <v>2404</v>
      </c>
      <c r="M910" t="s">
        <v>35</v>
      </c>
      <c r="N910">
        <v>7891477539</v>
      </c>
      <c r="O910" t="s">
        <v>2405</v>
      </c>
      <c r="P910" t="s">
        <v>2406</v>
      </c>
      <c r="R910" t="s">
        <v>2407</v>
      </c>
      <c r="S910" t="s">
        <v>2408</v>
      </c>
      <c r="T910" t="s">
        <v>58</v>
      </c>
      <c r="U910" t="s">
        <v>40</v>
      </c>
      <c r="V910" s="1">
        <v>42506</v>
      </c>
      <c r="W910">
        <v>0</v>
      </c>
      <c r="X910">
        <v>0</v>
      </c>
      <c r="Y910" t="s">
        <v>59</v>
      </c>
      <c r="Z910" t="s">
        <v>135</v>
      </c>
      <c r="AA910" t="s">
        <v>42</v>
      </c>
      <c r="AB910" t="s">
        <v>43</v>
      </c>
      <c r="AC910" t="s">
        <v>42</v>
      </c>
    </row>
    <row r="911" spans="1:31" hidden="1" x14ac:dyDescent="0.4">
      <c r="A911" t="s">
        <v>27</v>
      </c>
      <c r="B911">
        <v>643</v>
      </c>
      <c r="C911" t="s">
        <v>2406</v>
      </c>
      <c r="E911" t="s">
        <v>68</v>
      </c>
      <c r="F911" t="s">
        <v>2400</v>
      </c>
      <c r="G911" t="s">
        <v>2401</v>
      </c>
      <c r="H911" t="s">
        <v>2402</v>
      </c>
      <c r="J911" t="s">
        <v>2403</v>
      </c>
      <c r="K911" t="s">
        <v>1696</v>
      </c>
      <c r="L911" t="s">
        <v>2404</v>
      </c>
      <c r="M911" t="s">
        <v>35</v>
      </c>
      <c r="N911">
        <v>7891477539</v>
      </c>
      <c r="O911" t="s">
        <v>2405</v>
      </c>
      <c r="P911" t="s">
        <v>2406</v>
      </c>
      <c r="R911" t="s">
        <v>2407</v>
      </c>
      <c r="S911" t="s">
        <v>2408</v>
      </c>
      <c r="T911" t="s">
        <v>58</v>
      </c>
      <c r="U911" t="s">
        <v>40</v>
      </c>
      <c r="V911" s="1">
        <v>42506</v>
      </c>
      <c r="W911">
        <v>0</v>
      </c>
      <c r="X911">
        <v>0</v>
      </c>
      <c r="Y911" t="s">
        <v>59</v>
      </c>
      <c r="Z911" t="s">
        <v>135</v>
      </c>
      <c r="AA911" t="s">
        <v>42</v>
      </c>
      <c r="AB911" t="s">
        <v>43</v>
      </c>
      <c r="AC911" t="s">
        <v>42</v>
      </c>
    </row>
    <row r="912" spans="1:31" x14ac:dyDescent="0.4">
      <c r="A912" t="s">
        <v>27</v>
      </c>
      <c r="B912">
        <v>643</v>
      </c>
      <c r="C912" t="s">
        <v>2406</v>
      </c>
      <c r="D912">
        <v>293</v>
      </c>
      <c r="E912" t="s">
        <v>68</v>
      </c>
      <c r="F912" t="s">
        <v>2400</v>
      </c>
      <c r="G912" t="s">
        <v>2401</v>
      </c>
      <c r="H912" t="s">
        <v>2402</v>
      </c>
      <c r="J912" t="s">
        <v>2403</v>
      </c>
      <c r="K912" t="s">
        <v>1696</v>
      </c>
      <c r="L912" t="s">
        <v>2404</v>
      </c>
      <c r="M912" t="s">
        <v>35</v>
      </c>
      <c r="N912">
        <v>7891477539</v>
      </c>
      <c r="O912" t="s">
        <v>2405</v>
      </c>
      <c r="P912" t="s">
        <v>2406</v>
      </c>
      <c r="R912" t="s">
        <v>2409</v>
      </c>
      <c r="S912" t="s">
        <v>2410</v>
      </c>
      <c r="T912" t="s">
        <v>94</v>
      </c>
      <c r="U912" t="s">
        <v>40</v>
      </c>
      <c r="V912" s="1">
        <v>44254</v>
      </c>
      <c r="W912">
        <v>0</v>
      </c>
      <c r="X912">
        <v>7</v>
      </c>
      <c r="Z912" t="s">
        <v>135</v>
      </c>
      <c r="AA912" t="s">
        <v>42</v>
      </c>
      <c r="AB912" t="s">
        <v>43</v>
      </c>
      <c r="AC912" t="s">
        <v>42</v>
      </c>
    </row>
    <row r="913" spans="1:29" x14ac:dyDescent="0.4">
      <c r="A913" t="s">
        <v>27</v>
      </c>
      <c r="B913">
        <v>643</v>
      </c>
      <c r="C913" t="s">
        <v>2406</v>
      </c>
      <c r="D913">
        <v>293</v>
      </c>
      <c r="E913" t="s">
        <v>68</v>
      </c>
      <c r="F913" t="s">
        <v>2400</v>
      </c>
      <c r="G913" t="s">
        <v>2401</v>
      </c>
      <c r="H913" t="s">
        <v>2402</v>
      </c>
      <c r="J913" t="s">
        <v>2403</v>
      </c>
      <c r="K913" t="s">
        <v>1696</v>
      </c>
      <c r="L913" t="s">
        <v>2404</v>
      </c>
      <c r="M913" t="s">
        <v>35</v>
      </c>
      <c r="N913">
        <v>7891477539</v>
      </c>
      <c r="O913" t="s">
        <v>2405</v>
      </c>
      <c r="P913" t="s">
        <v>2406</v>
      </c>
      <c r="R913" t="s">
        <v>2409</v>
      </c>
      <c r="S913" t="s">
        <v>2410</v>
      </c>
      <c r="T913" t="s">
        <v>94</v>
      </c>
      <c r="U913" t="s">
        <v>40</v>
      </c>
      <c r="V913" s="1">
        <v>44254</v>
      </c>
      <c r="W913">
        <v>0</v>
      </c>
      <c r="X913">
        <v>20</v>
      </c>
      <c r="Z913" t="s">
        <v>135</v>
      </c>
      <c r="AA913" t="s">
        <v>42</v>
      </c>
      <c r="AB913" t="s">
        <v>43</v>
      </c>
      <c r="AC913" t="s">
        <v>42</v>
      </c>
    </row>
    <row r="914" spans="1:29" x14ac:dyDescent="0.4">
      <c r="A914" t="s">
        <v>27</v>
      </c>
      <c r="B914">
        <v>1556</v>
      </c>
      <c r="C914" t="s">
        <v>3008</v>
      </c>
      <c r="D914">
        <v>294</v>
      </c>
      <c r="E914" t="s">
        <v>68</v>
      </c>
      <c r="F914" t="s">
        <v>2411</v>
      </c>
      <c r="G914" t="s">
        <v>2412</v>
      </c>
      <c r="H914" t="s">
        <v>2413</v>
      </c>
      <c r="J914" t="s">
        <v>1127</v>
      </c>
      <c r="K914" t="s">
        <v>495</v>
      </c>
      <c r="L914" t="s">
        <v>2414</v>
      </c>
      <c r="M914" t="s">
        <v>35</v>
      </c>
      <c r="N914">
        <v>1273415114</v>
      </c>
      <c r="O914" t="s">
        <v>2415</v>
      </c>
      <c r="P914" t="s">
        <v>3008</v>
      </c>
      <c r="R914" t="s">
        <v>2416</v>
      </c>
      <c r="S914" t="s">
        <v>2417</v>
      </c>
      <c r="T914" t="s">
        <v>94</v>
      </c>
      <c r="U914" t="s">
        <v>40</v>
      </c>
      <c r="V914" s="1">
        <v>45179</v>
      </c>
      <c r="W914">
        <v>0</v>
      </c>
      <c r="X914">
        <v>4</v>
      </c>
      <c r="Y914" t="s">
        <v>65</v>
      </c>
      <c r="AA914" t="s">
        <v>42</v>
      </c>
      <c r="AB914" t="s">
        <v>43</v>
      </c>
      <c r="AC914" t="s">
        <v>43</v>
      </c>
    </row>
    <row r="915" spans="1:29" x14ac:dyDescent="0.4">
      <c r="A915" t="s">
        <v>27</v>
      </c>
      <c r="B915">
        <v>1556</v>
      </c>
      <c r="C915" t="s">
        <v>3008</v>
      </c>
      <c r="D915">
        <v>294</v>
      </c>
      <c r="E915" t="s">
        <v>68</v>
      </c>
      <c r="F915" t="s">
        <v>2411</v>
      </c>
      <c r="G915" t="s">
        <v>2412</v>
      </c>
      <c r="H915" t="s">
        <v>2413</v>
      </c>
      <c r="J915" t="s">
        <v>1127</v>
      </c>
      <c r="K915" t="s">
        <v>495</v>
      </c>
      <c r="L915" t="s">
        <v>2414</v>
      </c>
      <c r="M915" t="s">
        <v>35</v>
      </c>
      <c r="N915">
        <v>1273415114</v>
      </c>
      <c r="O915" t="s">
        <v>2415</v>
      </c>
      <c r="P915" t="s">
        <v>3008</v>
      </c>
      <c r="R915" t="s">
        <v>2416</v>
      </c>
      <c r="S915" t="s">
        <v>2417</v>
      </c>
      <c r="T915" t="s">
        <v>94</v>
      </c>
      <c r="U915" t="s">
        <v>40</v>
      </c>
      <c r="V915" s="1">
        <v>45179</v>
      </c>
      <c r="W915">
        <v>0</v>
      </c>
      <c r="X915">
        <v>12</v>
      </c>
      <c r="AA915" t="s">
        <v>42</v>
      </c>
      <c r="AB915" t="s">
        <v>43</v>
      </c>
      <c r="AC915" t="s">
        <v>43</v>
      </c>
    </row>
    <row r="916" spans="1:29" x14ac:dyDescent="0.4">
      <c r="A916" t="s">
        <v>27</v>
      </c>
      <c r="B916">
        <v>1556</v>
      </c>
      <c r="C916" t="s">
        <v>3008</v>
      </c>
      <c r="D916">
        <v>294</v>
      </c>
      <c r="E916" t="s">
        <v>68</v>
      </c>
      <c r="F916" t="s">
        <v>2411</v>
      </c>
      <c r="G916" t="s">
        <v>2412</v>
      </c>
      <c r="H916" t="s">
        <v>2413</v>
      </c>
      <c r="J916" t="s">
        <v>1127</v>
      </c>
      <c r="K916" t="s">
        <v>495</v>
      </c>
      <c r="L916" t="s">
        <v>2414</v>
      </c>
      <c r="M916" t="s">
        <v>35</v>
      </c>
      <c r="N916">
        <v>1273415114</v>
      </c>
      <c r="O916" t="s">
        <v>2415</v>
      </c>
      <c r="P916" t="s">
        <v>3008</v>
      </c>
      <c r="R916" t="s">
        <v>2416</v>
      </c>
      <c r="S916" t="s">
        <v>2417</v>
      </c>
      <c r="T916" t="s">
        <v>94</v>
      </c>
      <c r="U916" t="s">
        <v>40</v>
      </c>
      <c r="V916" s="1">
        <v>45179</v>
      </c>
      <c r="W916">
        <v>0</v>
      </c>
      <c r="X916">
        <v>5</v>
      </c>
      <c r="Y916" t="s">
        <v>66</v>
      </c>
      <c r="AA916" t="s">
        <v>42</v>
      </c>
      <c r="AB916" t="s">
        <v>43</v>
      </c>
      <c r="AC916" t="s">
        <v>43</v>
      </c>
    </row>
    <row r="917" spans="1:29" x14ac:dyDescent="0.4">
      <c r="A917" t="s">
        <v>27</v>
      </c>
      <c r="B917">
        <v>1556</v>
      </c>
      <c r="C917" t="s">
        <v>3008</v>
      </c>
      <c r="D917">
        <v>294</v>
      </c>
      <c r="E917" t="s">
        <v>68</v>
      </c>
      <c r="F917" t="s">
        <v>2411</v>
      </c>
      <c r="G917" t="s">
        <v>2412</v>
      </c>
      <c r="H917" t="s">
        <v>2413</v>
      </c>
      <c r="J917" t="s">
        <v>1127</v>
      </c>
      <c r="K917" t="s">
        <v>495</v>
      </c>
      <c r="L917" t="s">
        <v>2414</v>
      </c>
      <c r="M917" t="s">
        <v>35</v>
      </c>
      <c r="N917">
        <v>1273415114</v>
      </c>
      <c r="O917" t="s">
        <v>2415</v>
      </c>
      <c r="P917" t="s">
        <v>3008</v>
      </c>
      <c r="R917" t="s">
        <v>2416</v>
      </c>
      <c r="S917" t="s">
        <v>2417</v>
      </c>
      <c r="T917" t="s">
        <v>94</v>
      </c>
      <c r="U917" t="s">
        <v>40</v>
      </c>
      <c r="V917" s="1">
        <v>45179</v>
      </c>
      <c r="W917">
        <v>0</v>
      </c>
      <c r="X917">
        <v>14</v>
      </c>
      <c r="AA917" t="s">
        <v>42</v>
      </c>
      <c r="AB917" t="s">
        <v>43</v>
      </c>
      <c r="AC917" t="s">
        <v>43</v>
      </c>
    </row>
    <row r="918" spans="1:29" hidden="1" x14ac:dyDescent="0.4">
      <c r="A918" t="s">
        <v>27</v>
      </c>
      <c r="B918">
        <v>1010</v>
      </c>
      <c r="C918" t="s">
        <v>2875</v>
      </c>
      <c r="E918" t="s">
        <v>68</v>
      </c>
      <c r="F918" t="s">
        <v>594</v>
      </c>
      <c r="G918" t="s">
        <v>2418</v>
      </c>
      <c r="H918" t="s">
        <v>2419</v>
      </c>
      <c r="I918" t="s">
        <v>2419</v>
      </c>
      <c r="J918" t="s">
        <v>2420</v>
      </c>
      <c r="K918" t="s">
        <v>426</v>
      </c>
      <c r="L918" t="s">
        <v>2421</v>
      </c>
      <c r="M918" t="s">
        <v>35</v>
      </c>
      <c r="N918" t="s">
        <v>2422</v>
      </c>
      <c r="O918" t="s">
        <v>2423</v>
      </c>
      <c r="P918" t="s">
        <v>2424</v>
      </c>
      <c r="R918" t="s">
        <v>2425</v>
      </c>
      <c r="S918" t="s">
        <v>2426</v>
      </c>
      <c r="T918" t="s">
        <v>2427</v>
      </c>
      <c r="U918" t="s">
        <v>40</v>
      </c>
      <c r="V918" s="1">
        <v>45459</v>
      </c>
      <c r="W918">
        <v>0</v>
      </c>
      <c r="X918">
        <v>0</v>
      </c>
      <c r="Y918" t="s">
        <v>59</v>
      </c>
      <c r="Z918" t="s">
        <v>464</v>
      </c>
      <c r="AA918" t="s">
        <v>42</v>
      </c>
      <c r="AB918" t="s">
        <v>43</v>
      </c>
      <c r="AC918" t="s">
        <v>43</v>
      </c>
    </row>
    <row r="919" spans="1:29" hidden="1" x14ac:dyDescent="0.4">
      <c r="A919" t="s">
        <v>27</v>
      </c>
      <c r="B919">
        <v>1010</v>
      </c>
      <c r="C919" t="s">
        <v>2875</v>
      </c>
      <c r="E919" t="s">
        <v>68</v>
      </c>
      <c r="F919" t="s">
        <v>594</v>
      </c>
      <c r="G919" t="s">
        <v>2418</v>
      </c>
      <c r="H919" t="s">
        <v>2419</v>
      </c>
      <c r="I919" t="s">
        <v>2419</v>
      </c>
      <c r="J919" t="s">
        <v>2420</v>
      </c>
      <c r="K919" t="s">
        <v>426</v>
      </c>
      <c r="L919" t="s">
        <v>2421</v>
      </c>
      <c r="M919" t="s">
        <v>35</v>
      </c>
      <c r="N919" t="s">
        <v>2422</v>
      </c>
      <c r="O919" t="s">
        <v>2423</v>
      </c>
      <c r="P919" t="s">
        <v>2424</v>
      </c>
      <c r="R919" t="s">
        <v>2425</v>
      </c>
      <c r="S919" t="s">
        <v>2426</v>
      </c>
      <c r="T919" t="s">
        <v>2427</v>
      </c>
      <c r="U919" t="s">
        <v>40</v>
      </c>
      <c r="V919" s="1">
        <v>45459</v>
      </c>
      <c r="W919">
        <v>0</v>
      </c>
      <c r="X919">
        <v>0</v>
      </c>
      <c r="Y919" t="s">
        <v>59</v>
      </c>
      <c r="Z919" t="s">
        <v>464</v>
      </c>
      <c r="AA919" t="s">
        <v>42</v>
      </c>
      <c r="AB919" t="s">
        <v>43</v>
      </c>
      <c r="AC919" t="s">
        <v>43</v>
      </c>
    </row>
    <row r="920" spans="1:29" x14ac:dyDescent="0.4">
      <c r="A920" t="s">
        <v>27</v>
      </c>
      <c r="B920">
        <v>1010</v>
      </c>
      <c r="C920" t="s">
        <v>2875</v>
      </c>
      <c r="D920">
        <v>295</v>
      </c>
      <c r="E920" t="s">
        <v>68</v>
      </c>
      <c r="F920" t="s">
        <v>594</v>
      </c>
      <c r="G920" t="s">
        <v>2418</v>
      </c>
      <c r="H920" t="s">
        <v>2419</v>
      </c>
      <c r="I920" t="s">
        <v>2419</v>
      </c>
      <c r="J920" t="s">
        <v>2420</v>
      </c>
      <c r="K920" t="s">
        <v>426</v>
      </c>
      <c r="L920" t="s">
        <v>2421</v>
      </c>
      <c r="M920" t="s">
        <v>35</v>
      </c>
      <c r="N920" t="s">
        <v>2422</v>
      </c>
      <c r="O920" t="s">
        <v>2423</v>
      </c>
      <c r="P920" t="s">
        <v>2875</v>
      </c>
      <c r="R920" t="s">
        <v>2428</v>
      </c>
      <c r="S920" t="s">
        <v>2429</v>
      </c>
      <c r="T920" t="s">
        <v>58</v>
      </c>
      <c r="U920" t="s">
        <v>40</v>
      </c>
      <c r="V920" s="1">
        <v>43111</v>
      </c>
      <c r="W920">
        <v>0</v>
      </c>
      <c r="X920">
        <v>4</v>
      </c>
      <c r="Y920" t="s">
        <v>65</v>
      </c>
      <c r="Z920" t="s">
        <v>464</v>
      </c>
      <c r="AA920" t="s">
        <v>42</v>
      </c>
      <c r="AB920" t="s">
        <v>43</v>
      </c>
      <c r="AC920" t="s">
        <v>43</v>
      </c>
    </row>
    <row r="921" spans="1:29" x14ac:dyDescent="0.4">
      <c r="A921" t="s">
        <v>27</v>
      </c>
      <c r="B921">
        <v>1010</v>
      </c>
      <c r="C921" t="s">
        <v>2875</v>
      </c>
      <c r="D921">
        <v>295</v>
      </c>
      <c r="E921" t="s">
        <v>68</v>
      </c>
      <c r="F921" t="s">
        <v>594</v>
      </c>
      <c r="G921" t="s">
        <v>2418</v>
      </c>
      <c r="H921" t="s">
        <v>2419</v>
      </c>
      <c r="I921" t="s">
        <v>2419</v>
      </c>
      <c r="J921" t="s">
        <v>2420</v>
      </c>
      <c r="K921" t="s">
        <v>426</v>
      </c>
      <c r="L921" t="s">
        <v>2421</v>
      </c>
      <c r="M921" t="s">
        <v>35</v>
      </c>
      <c r="N921" t="s">
        <v>2422</v>
      </c>
      <c r="O921" t="s">
        <v>2423</v>
      </c>
      <c r="P921" t="s">
        <v>2875</v>
      </c>
      <c r="R921" t="s">
        <v>2428</v>
      </c>
      <c r="S921" t="s">
        <v>2429</v>
      </c>
      <c r="T921" t="s">
        <v>58</v>
      </c>
      <c r="U921" t="s">
        <v>40</v>
      </c>
      <c r="V921" s="1">
        <v>43111</v>
      </c>
      <c r="W921">
        <v>0</v>
      </c>
      <c r="X921">
        <v>5</v>
      </c>
      <c r="Y921" t="s">
        <v>66</v>
      </c>
      <c r="Z921" t="s">
        <v>464</v>
      </c>
      <c r="AA921" t="s">
        <v>42</v>
      </c>
      <c r="AB921" t="s">
        <v>43</v>
      </c>
      <c r="AC921" t="s">
        <v>43</v>
      </c>
    </row>
    <row r="922" spans="1:29" x14ac:dyDescent="0.4">
      <c r="A922" t="s">
        <v>27</v>
      </c>
      <c r="B922">
        <v>1010</v>
      </c>
      <c r="C922" t="s">
        <v>2875</v>
      </c>
      <c r="D922">
        <v>295</v>
      </c>
      <c r="E922" t="s">
        <v>68</v>
      </c>
      <c r="F922" t="s">
        <v>594</v>
      </c>
      <c r="G922" t="s">
        <v>2418</v>
      </c>
      <c r="H922" t="s">
        <v>2419</v>
      </c>
      <c r="I922" t="s">
        <v>2419</v>
      </c>
      <c r="J922" t="s">
        <v>2420</v>
      </c>
      <c r="K922" t="s">
        <v>426</v>
      </c>
      <c r="L922" t="s">
        <v>2421</v>
      </c>
      <c r="M922" t="s">
        <v>35</v>
      </c>
      <c r="N922" t="s">
        <v>2422</v>
      </c>
      <c r="O922" t="s">
        <v>2423</v>
      </c>
      <c r="P922" t="s">
        <v>2875</v>
      </c>
      <c r="R922" t="s">
        <v>2428</v>
      </c>
      <c r="S922" t="s">
        <v>2429</v>
      </c>
      <c r="T922" t="s">
        <v>58</v>
      </c>
      <c r="U922" t="s">
        <v>40</v>
      </c>
      <c r="V922" s="1">
        <v>43111</v>
      </c>
      <c r="W922">
        <v>0</v>
      </c>
      <c r="X922">
        <v>12</v>
      </c>
      <c r="Z922" t="s">
        <v>464</v>
      </c>
      <c r="AA922" t="s">
        <v>42</v>
      </c>
      <c r="AB922" t="s">
        <v>43</v>
      </c>
      <c r="AC922" t="s">
        <v>43</v>
      </c>
    </row>
    <row r="923" spans="1:29" x14ac:dyDescent="0.4">
      <c r="A923" t="s">
        <v>27</v>
      </c>
      <c r="B923">
        <v>1010</v>
      </c>
      <c r="C923" t="s">
        <v>2875</v>
      </c>
      <c r="D923">
        <v>295</v>
      </c>
      <c r="E923" t="s">
        <v>68</v>
      </c>
      <c r="F923" t="s">
        <v>594</v>
      </c>
      <c r="G923" t="s">
        <v>2418</v>
      </c>
      <c r="H923" t="s">
        <v>2419</v>
      </c>
      <c r="I923" t="s">
        <v>2419</v>
      </c>
      <c r="J923" t="s">
        <v>2420</v>
      </c>
      <c r="K923" t="s">
        <v>426</v>
      </c>
      <c r="L923" t="s">
        <v>2421</v>
      </c>
      <c r="M923" t="s">
        <v>35</v>
      </c>
      <c r="N923" t="s">
        <v>2422</v>
      </c>
      <c r="O923" t="s">
        <v>2423</v>
      </c>
      <c r="P923" t="s">
        <v>2875</v>
      </c>
      <c r="R923" t="s">
        <v>2428</v>
      </c>
      <c r="S923" t="s">
        <v>2429</v>
      </c>
      <c r="T923" t="s">
        <v>58</v>
      </c>
      <c r="U923" t="s">
        <v>40</v>
      </c>
      <c r="V923" s="1">
        <v>43111</v>
      </c>
      <c r="W923">
        <v>0</v>
      </c>
      <c r="X923">
        <v>14</v>
      </c>
      <c r="Z923" t="s">
        <v>464</v>
      </c>
      <c r="AA923" t="s">
        <v>42</v>
      </c>
      <c r="AB923" t="s">
        <v>43</v>
      </c>
      <c r="AC923" t="s">
        <v>43</v>
      </c>
    </row>
    <row r="924" spans="1:29" x14ac:dyDescent="0.4">
      <c r="A924" t="s">
        <v>27</v>
      </c>
      <c r="B924">
        <v>5667</v>
      </c>
      <c r="C924" t="s">
        <v>3009</v>
      </c>
      <c r="D924">
        <v>296</v>
      </c>
      <c r="E924" t="s">
        <v>68</v>
      </c>
      <c r="F924" t="s">
        <v>2430</v>
      </c>
      <c r="G924" t="s">
        <v>2431</v>
      </c>
      <c r="H924" t="s">
        <v>2432</v>
      </c>
      <c r="I924" t="s">
        <v>2433</v>
      </c>
      <c r="J924" t="s">
        <v>2434</v>
      </c>
      <c r="K924" t="s">
        <v>51</v>
      </c>
      <c r="L924" t="s">
        <v>2435</v>
      </c>
      <c r="M924" t="s">
        <v>35</v>
      </c>
      <c r="N924" t="s">
        <v>2436</v>
      </c>
      <c r="O924" t="s">
        <v>2437</v>
      </c>
      <c r="P924" t="s">
        <v>3009</v>
      </c>
      <c r="R924" t="s">
        <v>2438</v>
      </c>
      <c r="S924" t="s">
        <v>2439</v>
      </c>
      <c r="T924" t="s">
        <v>284</v>
      </c>
      <c r="U924" t="s">
        <v>82</v>
      </c>
      <c r="V924" s="1">
        <v>45160</v>
      </c>
      <c r="W924">
        <v>0</v>
      </c>
      <c r="X924">
        <v>11</v>
      </c>
      <c r="AA924" t="s">
        <v>42</v>
      </c>
      <c r="AB924" t="s">
        <v>43</v>
      </c>
      <c r="AC924" t="s">
        <v>43</v>
      </c>
    </row>
    <row r="925" spans="1:29" x14ac:dyDescent="0.4">
      <c r="A925" t="s">
        <v>27</v>
      </c>
      <c r="B925">
        <v>5667</v>
      </c>
      <c r="C925" t="s">
        <v>3009</v>
      </c>
      <c r="D925">
        <v>296</v>
      </c>
      <c r="E925" t="s">
        <v>68</v>
      </c>
      <c r="F925" t="s">
        <v>2430</v>
      </c>
      <c r="G925" t="s">
        <v>2431</v>
      </c>
      <c r="H925" t="s">
        <v>2432</v>
      </c>
      <c r="I925" t="s">
        <v>2433</v>
      </c>
      <c r="J925" t="s">
        <v>2434</v>
      </c>
      <c r="K925" t="s">
        <v>51</v>
      </c>
      <c r="L925" t="s">
        <v>2435</v>
      </c>
      <c r="M925" t="s">
        <v>35</v>
      </c>
      <c r="N925" t="s">
        <v>2436</v>
      </c>
      <c r="O925" t="s">
        <v>2437</v>
      </c>
      <c r="P925" t="s">
        <v>3009</v>
      </c>
      <c r="R925" t="s">
        <v>2438</v>
      </c>
      <c r="S925" t="s">
        <v>2439</v>
      </c>
      <c r="T925" t="s">
        <v>284</v>
      </c>
      <c r="U925" t="s">
        <v>82</v>
      </c>
      <c r="V925" s="1">
        <v>45160</v>
      </c>
      <c r="W925">
        <v>0</v>
      </c>
      <c r="X925">
        <v>13</v>
      </c>
      <c r="AA925" t="s">
        <v>42</v>
      </c>
      <c r="AB925" t="s">
        <v>43</v>
      </c>
      <c r="AC925" t="s">
        <v>43</v>
      </c>
    </row>
    <row r="926" spans="1:29" hidden="1" x14ac:dyDescent="0.4">
      <c r="A926" t="s">
        <v>27</v>
      </c>
      <c r="B926">
        <v>5464</v>
      </c>
      <c r="C926" t="s">
        <v>2876</v>
      </c>
      <c r="E926" t="s">
        <v>28</v>
      </c>
      <c r="F926" t="s">
        <v>2440</v>
      </c>
      <c r="G926" t="s">
        <v>2441</v>
      </c>
      <c r="H926">
        <v>14</v>
      </c>
      <c r="I926" t="s">
        <v>2442</v>
      </c>
      <c r="J926" t="s">
        <v>2443</v>
      </c>
      <c r="K926" t="s">
        <v>426</v>
      </c>
      <c r="L926" t="s">
        <v>2444</v>
      </c>
      <c r="M926" t="s">
        <v>35</v>
      </c>
      <c r="N926">
        <v>7581693165</v>
      </c>
      <c r="O926" t="s">
        <v>2445</v>
      </c>
      <c r="P926" t="s">
        <v>2446</v>
      </c>
      <c r="R926" t="s">
        <v>2447</v>
      </c>
      <c r="S926" t="s">
        <v>2448</v>
      </c>
      <c r="T926" t="s">
        <v>2449</v>
      </c>
      <c r="U926" t="s">
        <v>40</v>
      </c>
      <c r="V926" s="1">
        <v>45243</v>
      </c>
      <c r="W926">
        <v>0</v>
      </c>
      <c r="X926">
        <v>0</v>
      </c>
      <c r="Y926" t="s">
        <v>59</v>
      </c>
      <c r="Z926" t="s">
        <v>135</v>
      </c>
      <c r="AA926" t="s">
        <v>42</v>
      </c>
      <c r="AB926" t="s">
        <v>43</v>
      </c>
      <c r="AC926" t="s">
        <v>42</v>
      </c>
    </row>
    <row r="927" spans="1:29" hidden="1" x14ac:dyDescent="0.4">
      <c r="A927" t="s">
        <v>27</v>
      </c>
      <c r="B927">
        <v>5464</v>
      </c>
      <c r="C927" t="s">
        <v>2876</v>
      </c>
      <c r="E927" t="s">
        <v>28</v>
      </c>
      <c r="F927" t="s">
        <v>2440</v>
      </c>
      <c r="G927" t="s">
        <v>2441</v>
      </c>
      <c r="H927">
        <v>14</v>
      </c>
      <c r="I927" t="s">
        <v>2442</v>
      </c>
      <c r="J927" t="s">
        <v>2443</v>
      </c>
      <c r="K927" t="s">
        <v>426</v>
      </c>
      <c r="L927" t="s">
        <v>2444</v>
      </c>
      <c r="M927" t="s">
        <v>35</v>
      </c>
      <c r="N927">
        <v>7581693165</v>
      </c>
      <c r="O927" t="s">
        <v>2445</v>
      </c>
      <c r="P927" t="s">
        <v>2446</v>
      </c>
      <c r="R927" t="s">
        <v>2447</v>
      </c>
      <c r="S927" t="s">
        <v>2448</v>
      </c>
      <c r="T927" t="s">
        <v>2449</v>
      </c>
      <c r="U927" t="s">
        <v>40</v>
      </c>
      <c r="V927" s="1">
        <v>45243</v>
      </c>
      <c r="W927">
        <v>0</v>
      </c>
      <c r="X927">
        <v>0</v>
      </c>
      <c r="Y927" t="s">
        <v>59</v>
      </c>
      <c r="Z927" t="s">
        <v>135</v>
      </c>
      <c r="AA927" t="s">
        <v>42</v>
      </c>
      <c r="AB927" t="s">
        <v>43</v>
      </c>
      <c r="AC927" t="s">
        <v>42</v>
      </c>
    </row>
    <row r="928" spans="1:29" x14ac:dyDescent="0.4">
      <c r="A928" t="s">
        <v>27</v>
      </c>
      <c r="B928">
        <v>5464</v>
      </c>
      <c r="C928" t="s">
        <v>2876</v>
      </c>
      <c r="D928">
        <v>297</v>
      </c>
      <c r="E928" t="s">
        <v>28</v>
      </c>
      <c r="F928" t="s">
        <v>2440</v>
      </c>
      <c r="G928" t="s">
        <v>2441</v>
      </c>
      <c r="H928">
        <v>14</v>
      </c>
      <c r="I928" t="s">
        <v>2442</v>
      </c>
      <c r="J928" t="s">
        <v>2443</v>
      </c>
      <c r="K928" t="s">
        <v>426</v>
      </c>
      <c r="L928" t="s">
        <v>2444</v>
      </c>
      <c r="M928" t="s">
        <v>35</v>
      </c>
      <c r="N928">
        <v>7581693165</v>
      </c>
      <c r="O928" t="s">
        <v>2445</v>
      </c>
      <c r="P928" t="s">
        <v>2876</v>
      </c>
      <c r="R928" t="s">
        <v>3126</v>
      </c>
      <c r="S928" t="s">
        <v>2451</v>
      </c>
      <c r="T928" t="s">
        <v>474</v>
      </c>
      <c r="U928" t="s">
        <v>82</v>
      </c>
      <c r="V928" s="1">
        <v>44527</v>
      </c>
      <c r="W928">
        <v>0</v>
      </c>
      <c r="X928">
        <v>4</v>
      </c>
      <c r="Y928" t="s">
        <v>65</v>
      </c>
      <c r="Z928" t="s">
        <v>135</v>
      </c>
      <c r="AA928" t="s">
        <v>42</v>
      </c>
      <c r="AB928" t="s">
        <v>43</v>
      </c>
      <c r="AC928" t="s">
        <v>42</v>
      </c>
    </row>
    <row r="929" spans="1:29" x14ac:dyDescent="0.4">
      <c r="A929" t="s">
        <v>27</v>
      </c>
      <c r="B929">
        <v>5464</v>
      </c>
      <c r="C929" t="s">
        <v>2876</v>
      </c>
      <c r="D929">
        <v>297</v>
      </c>
      <c r="E929" t="s">
        <v>28</v>
      </c>
      <c r="F929" t="s">
        <v>2440</v>
      </c>
      <c r="G929" t="s">
        <v>2441</v>
      </c>
      <c r="H929">
        <v>14</v>
      </c>
      <c r="I929" t="s">
        <v>2442</v>
      </c>
      <c r="J929" t="s">
        <v>2443</v>
      </c>
      <c r="K929" t="s">
        <v>426</v>
      </c>
      <c r="L929" t="s">
        <v>2444</v>
      </c>
      <c r="M929" t="s">
        <v>35</v>
      </c>
      <c r="N929">
        <v>7581693165</v>
      </c>
      <c r="O929" t="s">
        <v>2445</v>
      </c>
      <c r="P929" t="s">
        <v>2876</v>
      </c>
      <c r="R929" t="s">
        <v>3126</v>
      </c>
      <c r="S929" t="s">
        <v>2451</v>
      </c>
      <c r="T929" t="s">
        <v>474</v>
      </c>
      <c r="U929" t="s">
        <v>82</v>
      </c>
      <c r="V929" s="1">
        <v>44527</v>
      </c>
      <c r="W929">
        <v>0</v>
      </c>
      <c r="X929">
        <v>13</v>
      </c>
      <c r="Z929" t="s">
        <v>135</v>
      </c>
      <c r="AA929" t="s">
        <v>42</v>
      </c>
      <c r="AB929" t="s">
        <v>43</v>
      </c>
      <c r="AC929" t="s">
        <v>42</v>
      </c>
    </row>
    <row r="930" spans="1:29" x14ac:dyDescent="0.4">
      <c r="A930" t="s">
        <v>27</v>
      </c>
      <c r="B930">
        <v>36</v>
      </c>
      <c r="C930" t="s">
        <v>3010</v>
      </c>
      <c r="D930">
        <v>298</v>
      </c>
      <c r="E930" t="s">
        <v>257</v>
      </c>
      <c r="F930" t="s">
        <v>2452</v>
      </c>
      <c r="G930" t="s">
        <v>2453</v>
      </c>
      <c r="H930" t="s">
        <v>2454</v>
      </c>
      <c r="J930" t="s">
        <v>2455</v>
      </c>
      <c r="K930" t="s">
        <v>2456</v>
      </c>
      <c r="L930" t="s">
        <v>2457</v>
      </c>
      <c r="M930" t="s">
        <v>35</v>
      </c>
      <c r="N930">
        <v>7887536371</v>
      </c>
      <c r="O930" t="s">
        <v>2458</v>
      </c>
      <c r="P930" t="s">
        <v>3010</v>
      </c>
      <c r="R930" t="s">
        <v>2459</v>
      </c>
      <c r="S930" t="s">
        <v>2460</v>
      </c>
      <c r="T930" t="s">
        <v>284</v>
      </c>
      <c r="U930" t="s">
        <v>82</v>
      </c>
      <c r="V930" s="1">
        <v>44560</v>
      </c>
      <c r="W930">
        <v>0</v>
      </c>
      <c r="X930">
        <v>6</v>
      </c>
      <c r="Y930" t="s">
        <v>83</v>
      </c>
      <c r="AA930" t="s">
        <v>42</v>
      </c>
      <c r="AB930" t="s">
        <v>43</v>
      </c>
      <c r="AC930" t="s">
        <v>42</v>
      </c>
    </row>
    <row r="931" spans="1:29" x14ac:dyDescent="0.4">
      <c r="A931" t="s">
        <v>27</v>
      </c>
      <c r="B931">
        <v>36</v>
      </c>
      <c r="C931" t="s">
        <v>3010</v>
      </c>
      <c r="D931">
        <v>298</v>
      </c>
      <c r="E931" t="s">
        <v>257</v>
      </c>
      <c r="F931" t="s">
        <v>2452</v>
      </c>
      <c r="G931" t="s">
        <v>2453</v>
      </c>
      <c r="H931" t="s">
        <v>2454</v>
      </c>
      <c r="J931" t="s">
        <v>2455</v>
      </c>
      <c r="K931" t="s">
        <v>2456</v>
      </c>
      <c r="L931" t="s">
        <v>2457</v>
      </c>
      <c r="M931" t="s">
        <v>35</v>
      </c>
      <c r="N931">
        <v>7887536371</v>
      </c>
      <c r="O931" t="s">
        <v>2458</v>
      </c>
      <c r="P931" t="s">
        <v>3010</v>
      </c>
      <c r="R931" t="s">
        <v>2459</v>
      </c>
      <c r="S931" t="s">
        <v>2460</v>
      </c>
      <c r="T931" t="s">
        <v>284</v>
      </c>
      <c r="U931" t="s">
        <v>82</v>
      </c>
      <c r="V931" s="1">
        <v>44560</v>
      </c>
      <c r="W931">
        <v>0</v>
      </c>
      <c r="X931">
        <v>5</v>
      </c>
      <c r="Y931" t="s">
        <v>66</v>
      </c>
      <c r="AA931" t="s">
        <v>42</v>
      </c>
      <c r="AB931" t="s">
        <v>43</v>
      </c>
      <c r="AC931" t="s">
        <v>42</v>
      </c>
    </row>
    <row r="932" spans="1:29" x14ac:dyDescent="0.4">
      <c r="A932" t="s">
        <v>27</v>
      </c>
      <c r="B932">
        <v>36</v>
      </c>
      <c r="C932" t="s">
        <v>3010</v>
      </c>
      <c r="D932">
        <v>298</v>
      </c>
      <c r="E932" t="s">
        <v>257</v>
      </c>
      <c r="F932" t="s">
        <v>2452</v>
      </c>
      <c r="G932" t="s">
        <v>2453</v>
      </c>
      <c r="H932" t="s">
        <v>2454</v>
      </c>
      <c r="J932" t="s">
        <v>2455</v>
      </c>
      <c r="K932" t="s">
        <v>2456</v>
      </c>
      <c r="L932" t="s">
        <v>2457</v>
      </c>
      <c r="M932" t="s">
        <v>35</v>
      </c>
      <c r="N932">
        <v>7887536371</v>
      </c>
      <c r="O932" t="s">
        <v>2458</v>
      </c>
      <c r="P932" t="s">
        <v>3010</v>
      </c>
      <c r="R932" t="s">
        <v>2459</v>
      </c>
      <c r="S932" t="s">
        <v>2460</v>
      </c>
      <c r="T932" t="s">
        <v>284</v>
      </c>
      <c r="U932" t="s">
        <v>82</v>
      </c>
      <c r="V932" s="1">
        <v>44560</v>
      </c>
      <c r="W932">
        <v>0</v>
      </c>
      <c r="X932">
        <v>19</v>
      </c>
      <c r="AA932" t="s">
        <v>42</v>
      </c>
      <c r="AB932" t="s">
        <v>43</v>
      </c>
      <c r="AC932" t="s">
        <v>42</v>
      </c>
    </row>
    <row r="933" spans="1:29" x14ac:dyDescent="0.4">
      <c r="A933" t="s">
        <v>27</v>
      </c>
      <c r="B933">
        <v>36</v>
      </c>
      <c r="C933" t="s">
        <v>3010</v>
      </c>
      <c r="D933">
        <v>298</v>
      </c>
      <c r="E933" t="s">
        <v>257</v>
      </c>
      <c r="F933" t="s">
        <v>2452</v>
      </c>
      <c r="G933" t="s">
        <v>2453</v>
      </c>
      <c r="H933" t="s">
        <v>2454</v>
      </c>
      <c r="J933" t="s">
        <v>2455</v>
      </c>
      <c r="K933" t="s">
        <v>2456</v>
      </c>
      <c r="L933" t="s">
        <v>2457</v>
      </c>
      <c r="M933" t="s">
        <v>35</v>
      </c>
      <c r="N933">
        <v>7887536371</v>
      </c>
      <c r="O933" t="s">
        <v>2458</v>
      </c>
      <c r="P933" t="s">
        <v>3010</v>
      </c>
      <c r="R933" t="s">
        <v>2459</v>
      </c>
      <c r="S933" t="s">
        <v>2460</v>
      </c>
      <c r="T933" t="s">
        <v>284</v>
      </c>
      <c r="U933" t="s">
        <v>82</v>
      </c>
      <c r="V933" s="1">
        <v>44560</v>
      </c>
      <c r="W933">
        <v>0</v>
      </c>
      <c r="X933">
        <v>15</v>
      </c>
      <c r="AA933" t="s">
        <v>42</v>
      </c>
      <c r="AB933" t="s">
        <v>43</v>
      </c>
      <c r="AC933" t="s">
        <v>42</v>
      </c>
    </row>
    <row r="934" spans="1:29" x14ac:dyDescent="0.4">
      <c r="A934" t="s">
        <v>27</v>
      </c>
      <c r="B934">
        <v>871</v>
      </c>
      <c r="C934" t="s">
        <v>2877</v>
      </c>
      <c r="D934">
        <v>299</v>
      </c>
      <c r="E934" t="s">
        <v>28</v>
      </c>
      <c r="F934" t="s">
        <v>2461</v>
      </c>
      <c r="G934" t="s">
        <v>2462</v>
      </c>
      <c r="H934" t="s">
        <v>2463</v>
      </c>
      <c r="J934" t="s">
        <v>2464</v>
      </c>
      <c r="K934" t="s">
        <v>330</v>
      </c>
      <c r="L934" t="s">
        <v>2465</v>
      </c>
      <c r="M934" t="s">
        <v>35</v>
      </c>
      <c r="N934" t="s">
        <v>2466</v>
      </c>
      <c r="O934" t="s">
        <v>2467</v>
      </c>
      <c r="P934" t="s">
        <v>2877</v>
      </c>
      <c r="R934" t="s">
        <v>2468</v>
      </c>
      <c r="S934" t="s">
        <v>2469</v>
      </c>
      <c r="T934" t="s">
        <v>58</v>
      </c>
      <c r="U934" t="s">
        <v>40</v>
      </c>
      <c r="V934" s="1">
        <v>43441</v>
      </c>
      <c r="W934">
        <v>0</v>
      </c>
      <c r="X934">
        <v>4</v>
      </c>
      <c r="Y934" t="s">
        <v>65</v>
      </c>
      <c r="Z934" t="s">
        <v>135</v>
      </c>
      <c r="AA934" t="s">
        <v>42</v>
      </c>
      <c r="AB934" t="s">
        <v>43</v>
      </c>
      <c r="AC934" t="s">
        <v>43</v>
      </c>
    </row>
    <row r="935" spans="1:29" x14ac:dyDescent="0.4">
      <c r="A935" t="s">
        <v>27</v>
      </c>
      <c r="B935">
        <v>871</v>
      </c>
      <c r="C935" t="s">
        <v>2877</v>
      </c>
      <c r="D935">
        <v>299</v>
      </c>
      <c r="E935" t="s">
        <v>28</v>
      </c>
      <c r="F935" t="s">
        <v>2461</v>
      </c>
      <c r="G935" t="s">
        <v>2462</v>
      </c>
      <c r="H935" t="s">
        <v>2463</v>
      </c>
      <c r="J935" t="s">
        <v>2464</v>
      </c>
      <c r="K935" t="s">
        <v>330</v>
      </c>
      <c r="L935" t="s">
        <v>2465</v>
      </c>
      <c r="M935" t="s">
        <v>35</v>
      </c>
      <c r="N935" t="s">
        <v>2466</v>
      </c>
      <c r="O935" t="s">
        <v>2467</v>
      </c>
      <c r="P935" t="s">
        <v>2877</v>
      </c>
      <c r="R935" t="s">
        <v>2468</v>
      </c>
      <c r="S935" t="s">
        <v>2469</v>
      </c>
      <c r="T935" t="s">
        <v>58</v>
      </c>
      <c r="U935" t="s">
        <v>40</v>
      </c>
      <c r="V935" s="1">
        <v>43441</v>
      </c>
      <c r="W935">
        <v>0</v>
      </c>
      <c r="X935">
        <v>5</v>
      </c>
      <c r="Y935" t="s">
        <v>66</v>
      </c>
      <c r="Z935" t="s">
        <v>135</v>
      </c>
      <c r="AA935" t="s">
        <v>42</v>
      </c>
      <c r="AB935" t="s">
        <v>43</v>
      </c>
      <c r="AC935" t="s">
        <v>43</v>
      </c>
    </row>
    <row r="936" spans="1:29" x14ac:dyDescent="0.4">
      <c r="A936" t="s">
        <v>27</v>
      </c>
      <c r="B936">
        <v>871</v>
      </c>
      <c r="C936" t="s">
        <v>2877</v>
      </c>
      <c r="D936">
        <v>299</v>
      </c>
      <c r="E936" t="s">
        <v>28</v>
      </c>
      <c r="F936" t="s">
        <v>2461</v>
      </c>
      <c r="G936" t="s">
        <v>2462</v>
      </c>
      <c r="H936" t="s">
        <v>2463</v>
      </c>
      <c r="J936" t="s">
        <v>2464</v>
      </c>
      <c r="K936" t="s">
        <v>330</v>
      </c>
      <c r="L936" t="s">
        <v>2465</v>
      </c>
      <c r="M936" t="s">
        <v>35</v>
      </c>
      <c r="N936" t="s">
        <v>2466</v>
      </c>
      <c r="O936" t="s">
        <v>2467</v>
      </c>
      <c r="P936" t="s">
        <v>2877</v>
      </c>
      <c r="R936" t="s">
        <v>2468</v>
      </c>
      <c r="S936" t="s">
        <v>2469</v>
      </c>
      <c r="T936" t="s">
        <v>58</v>
      </c>
      <c r="U936" t="s">
        <v>40</v>
      </c>
      <c r="V936" s="1">
        <v>43441</v>
      </c>
      <c r="W936">
        <v>0</v>
      </c>
      <c r="X936">
        <v>12</v>
      </c>
      <c r="Z936" t="s">
        <v>135</v>
      </c>
      <c r="AA936" t="s">
        <v>42</v>
      </c>
      <c r="AB936" t="s">
        <v>43</v>
      </c>
      <c r="AC936" t="s">
        <v>43</v>
      </c>
    </row>
    <row r="937" spans="1:29" x14ac:dyDescent="0.4">
      <c r="A937" t="s">
        <v>27</v>
      </c>
      <c r="B937">
        <v>871</v>
      </c>
      <c r="C937" t="s">
        <v>2877</v>
      </c>
      <c r="D937">
        <v>299</v>
      </c>
      <c r="E937" t="s">
        <v>28</v>
      </c>
      <c r="F937" t="s">
        <v>2461</v>
      </c>
      <c r="G937" t="s">
        <v>2462</v>
      </c>
      <c r="H937" t="s">
        <v>2463</v>
      </c>
      <c r="J937" t="s">
        <v>2464</v>
      </c>
      <c r="K937" t="s">
        <v>330</v>
      </c>
      <c r="L937" t="s">
        <v>2465</v>
      </c>
      <c r="M937" t="s">
        <v>35</v>
      </c>
      <c r="N937" t="s">
        <v>2466</v>
      </c>
      <c r="O937" t="s">
        <v>2467</v>
      </c>
      <c r="P937" t="s">
        <v>2877</v>
      </c>
      <c r="R937" t="s">
        <v>2468</v>
      </c>
      <c r="S937" t="s">
        <v>2469</v>
      </c>
      <c r="T937" t="s">
        <v>58</v>
      </c>
      <c r="U937" t="s">
        <v>40</v>
      </c>
      <c r="V937" s="1">
        <v>43441</v>
      </c>
      <c r="W937">
        <v>0</v>
      </c>
      <c r="X937">
        <v>16</v>
      </c>
      <c r="Z937" t="s">
        <v>135</v>
      </c>
      <c r="AA937" t="s">
        <v>42</v>
      </c>
      <c r="AB937" t="s">
        <v>43</v>
      </c>
      <c r="AC937" t="s">
        <v>43</v>
      </c>
    </row>
    <row r="938" spans="1:29" x14ac:dyDescent="0.4">
      <c r="A938" t="s">
        <v>27</v>
      </c>
      <c r="B938">
        <v>932</v>
      </c>
      <c r="C938" t="s">
        <v>2878</v>
      </c>
      <c r="D938">
        <v>300</v>
      </c>
      <c r="E938" t="s">
        <v>68</v>
      </c>
      <c r="F938" t="s">
        <v>2470</v>
      </c>
      <c r="G938" t="s">
        <v>2471</v>
      </c>
      <c r="H938" t="s">
        <v>2472</v>
      </c>
      <c r="I938" t="s">
        <v>2473</v>
      </c>
      <c r="J938" t="s">
        <v>2474</v>
      </c>
      <c r="K938" t="s">
        <v>1696</v>
      </c>
      <c r="L938" t="s">
        <v>2475</v>
      </c>
      <c r="M938" t="s">
        <v>35</v>
      </c>
      <c r="N938">
        <v>1525719311</v>
      </c>
      <c r="O938" t="s">
        <v>2476</v>
      </c>
      <c r="P938" t="s">
        <v>2878</v>
      </c>
      <c r="R938" t="s">
        <v>2477</v>
      </c>
      <c r="S938" t="s">
        <v>2478</v>
      </c>
      <c r="T938" t="s">
        <v>94</v>
      </c>
      <c r="U938" t="s">
        <v>40</v>
      </c>
      <c r="V938" s="1">
        <v>45179</v>
      </c>
      <c r="W938">
        <v>0</v>
      </c>
      <c r="X938">
        <v>7</v>
      </c>
      <c r="Z938" t="s">
        <v>135</v>
      </c>
      <c r="AA938" t="s">
        <v>42</v>
      </c>
      <c r="AB938" t="s">
        <v>43</v>
      </c>
      <c r="AC938" t="s">
        <v>43</v>
      </c>
    </row>
    <row r="939" spans="1:29" x14ac:dyDescent="0.4">
      <c r="A939" t="s">
        <v>27</v>
      </c>
      <c r="B939">
        <v>932</v>
      </c>
      <c r="C939" t="s">
        <v>2878</v>
      </c>
      <c r="D939">
        <v>301</v>
      </c>
      <c r="E939" t="s">
        <v>68</v>
      </c>
      <c r="F939" t="s">
        <v>2470</v>
      </c>
      <c r="G939" t="s">
        <v>2471</v>
      </c>
      <c r="H939" t="s">
        <v>2472</v>
      </c>
      <c r="I939" t="s">
        <v>2473</v>
      </c>
      <c r="J939" t="s">
        <v>2474</v>
      </c>
      <c r="K939" t="s">
        <v>1696</v>
      </c>
      <c r="L939" t="s">
        <v>2475</v>
      </c>
      <c r="M939" t="s">
        <v>35</v>
      </c>
      <c r="N939">
        <v>1525719311</v>
      </c>
      <c r="O939" t="s">
        <v>2476</v>
      </c>
      <c r="P939" t="s">
        <v>2878</v>
      </c>
      <c r="R939" t="s">
        <v>3127</v>
      </c>
      <c r="S939" t="s">
        <v>2480</v>
      </c>
      <c r="T939" t="s">
        <v>58</v>
      </c>
      <c r="U939" t="s">
        <v>40</v>
      </c>
      <c r="V939" s="1">
        <v>42664</v>
      </c>
      <c r="W939">
        <v>0</v>
      </c>
      <c r="X939">
        <v>7</v>
      </c>
      <c r="Z939" t="s">
        <v>135</v>
      </c>
      <c r="AA939" t="s">
        <v>42</v>
      </c>
      <c r="AB939" t="s">
        <v>43</v>
      </c>
      <c r="AC939" t="s">
        <v>43</v>
      </c>
    </row>
    <row r="940" spans="1:29" x14ac:dyDescent="0.4">
      <c r="A940" t="s">
        <v>27</v>
      </c>
      <c r="B940">
        <v>932</v>
      </c>
      <c r="C940" t="s">
        <v>2878</v>
      </c>
      <c r="D940">
        <v>300</v>
      </c>
      <c r="E940" t="s">
        <v>68</v>
      </c>
      <c r="F940" t="s">
        <v>2470</v>
      </c>
      <c r="G940" t="s">
        <v>2471</v>
      </c>
      <c r="H940" t="s">
        <v>2472</v>
      </c>
      <c r="I940" t="s">
        <v>2473</v>
      </c>
      <c r="J940" t="s">
        <v>2474</v>
      </c>
      <c r="K940" t="s">
        <v>1696</v>
      </c>
      <c r="L940" t="s">
        <v>2475</v>
      </c>
      <c r="M940" t="s">
        <v>35</v>
      </c>
      <c r="N940">
        <v>1525719311</v>
      </c>
      <c r="O940" t="s">
        <v>2476</v>
      </c>
      <c r="P940" t="s">
        <v>2878</v>
      </c>
      <c r="R940" t="s">
        <v>3128</v>
      </c>
      <c r="S940" t="s">
        <v>2478</v>
      </c>
      <c r="T940" t="s">
        <v>94</v>
      </c>
      <c r="U940" t="s">
        <v>40</v>
      </c>
      <c r="V940" s="1">
        <v>45179</v>
      </c>
      <c r="W940">
        <v>0</v>
      </c>
      <c r="X940">
        <v>18</v>
      </c>
      <c r="Z940" t="s">
        <v>135</v>
      </c>
      <c r="AA940" t="s">
        <v>42</v>
      </c>
      <c r="AB940" t="s">
        <v>43</v>
      </c>
      <c r="AC940" t="s">
        <v>43</v>
      </c>
    </row>
    <row r="941" spans="1:29" x14ac:dyDescent="0.4">
      <c r="A941" t="s">
        <v>27</v>
      </c>
      <c r="B941">
        <v>932</v>
      </c>
      <c r="C941" t="s">
        <v>2878</v>
      </c>
      <c r="D941">
        <v>301</v>
      </c>
      <c r="E941" t="s">
        <v>68</v>
      </c>
      <c r="F941" t="s">
        <v>2470</v>
      </c>
      <c r="G941" t="s">
        <v>2471</v>
      </c>
      <c r="H941" t="s">
        <v>2472</v>
      </c>
      <c r="I941" t="s">
        <v>2473</v>
      </c>
      <c r="J941" t="s">
        <v>2474</v>
      </c>
      <c r="K941" t="s">
        <v>1696</v>
      </c>
      <c r="L941" t="s">
        <v>2475</v>
      </c>
      <c r="M941" t="s">
        <v>35</v>
      </c>
      <c r="N941">
        <v>1525719311</v>
      </c>
      <c r="O941" t="s">
        <v>2476</v>
      </c>
      <c r="P941" t="s">
        <v>2878</v>
      </c>
      <c r="R941" t="s">
        <v>3127</v>
      </c>
      <c r="S941" t="s">
        <v>2480</v>
      </c>
      <c r="T941" t="s">
        <v>58</v>
      </c>
      <c r="U941" t="s">
        <v>40</v>
      </c>
      <c r="V941" s="1">
        <v>42664</v>
      </c>
      <c r="W941">
        <v>0</v>
      </c>
      <c r="X941">
        <v>20</v>
      </c>
      <c r="Z941" t="s">
        <v>135</v>
      </c>
      <c r="AA941" t="s">
        <v>42</v>
      </c>
      <c r="AB941" t="s">
        <v>43</v>
      </c>
      <c r="AC941" t="s">
        <v>43</v>
      </c>
    </row>
    <row r="942" spans="1:29" x14ac:dyDescent="0.4">
      <c r="A942" t="s">
        <v>27</v>
      </c>
      <c r="B942">
        <v>725</v>
      </c>
      <c r="C942" t="s">
        <v>3011</v>
      </c>
      <c r="D942">
        <v>303</v>
      </c>
      <c r="E942" t="s">
        <v>68</v>
      </c>
      <c r="F942" t="s">
        <v>345</v>
      </c>
      <c r="G942" t="s">
        <v>2481</v>
      </c>
      <c r="H942" t="s">
        <v>2482</v>
      </c>
      <c r="I942" t="s">
        <v>2483</v>
      </c>
      <c r="J942" t="s">
        <v>2484</v>
      </c>
      <c r="K942" t="s">
        <v>51</v>
      </c>
      <c r="L942" t="s">
        <v>2485</v>
      </c>
      <c r="M942" t="s">
        <v>35</v>
      </c>
      <c r="N942" t="s">
        <v>2486</v>
      </c>
      <c r="O942" t="s">
        <v>2487</v>
      </c>
      <c r="P942" t="s">
        <v>3011</v>
      </c>
      <c r="R942" t="s">
        <v>2488</v>
      </c>
      <c r="S942" t="s">
        <v>2489</v>
      </c>
      <c r="T942" t="s">
        <v>284</v>
      </c>
      <c r="U942" t="s">
        <v>40</v>
      </c>
      <c r="V942" s="1">
        <v>44248</v>
      </c>
      <c r="W942">
        <v>0</v>
      </c>
      <c r="X942">
        <v>4</v>
      </c>
      <c r="Y942" t="s">
        <v>65</v>
      </c>
      <c r="AA942" t="s">
        <v>42</v>
      </c>
      <c r="AB942" t="s">
        <v>43</v>
      </c>
      <c r="AC942" t="s">
        <v>43</v>
      </c>
    </row>
    <row r="943" spans="1:29" x14ac:dyDescent="0.4">
      <c r="A943" t="s">
        <v>27</v>
      </c>
      <c r="B943">
        <v>725</v>
      </c>
      <c r="C943" t="s">
        <v>3011</v>
      </c>
      <c r="D943">
        <v>303</v>
      </c>
      <c r="E943" t="s">
        <v>68</v>
      </c>
      <c r="F943" t="s">
        <v>345</v>
      </c>
      <c r="G943" t="s">
        <v>2481</v>
      </c>
      <c r="H943" t="s">
        <v>2482</v>
      </c>
      <c r="I943" t="s">
        <v>2483</v>
      </c>
      <c r="J943" t="s">
        <v>2484</v>
      </c>
      <c r="K943" t="s">
        <v>51</v>
      </c>
      <c r="L943" t="s">
        <v>2485</v>
      </c>
      <c r="M943" t="s">
        <v>35</v>
      </c>
      <c r="N943" t="s">
        <v>2486</v>
      </c>
      <c r="O943" t="s">
        <v>2487</v>
      </c>
      <c r="P943" t="s">
        <v>3011</v>
      </c>
      <c r="R943" t="s">
        <v>2488</v>
      </c>
      <c r="S943" t="s">
        <v>2489</v>
      </c>
      <c r="T943" t="s">
        <v>284</v>
      </c>
      <c r="U943" t="s">
        <v>40</v>
      </c>
      <c r="V943" s="1">
        <v>44248</v>
      </c>
      <c r="W943">
        <v>0</v>
      </c>
      <c r="X943">
        <v>5</v>
      </c>
      <c r="Y943" t="s">
        <v>66</v>
      </c>
      <c r="AA943" t="s">
        <v>42</v>
      </c>
      <c r="AB943" t="s">
        <v>43</v>
      </c>
      <c r="AC943" t="s">
        <v>43</v>
      </c>
    </row>
    <row r="944" spans="1:29" x14ac:dyDescent="0.4">
      <c r="A944" t="s">
        <v>27</v>
      </c>
      <c r="B944">
        <v>725</v>
      </c>
      <c r="C944" t="s">
        <v>3011</v>
      </c>
      <c r="D944">
        <v>304</v>
      </c>
      <c r="E944" t="s">
        <v>68</v>
      </c>
      <c r="F944" t="s">
        <v>345</v>
      </c>
      <c r="G944" t="s">
        <v>2481</v>
      </c>
      <c r="H944" t="s">
        <v>2482</v>
      </c>
      <c r="I944" t="s">
        <v>2483</v>
      </c>
      <c r="J944" t="s">
        <v>2484</v>
      </c>
      <c r="K944" t="s">
        <v>51</v>
      </c>
      <c r="L944" t="s">
        <v>2485</v>
      </c>
      <c r="M944" t="s">
        <v>35</v>
      </c>
      <c r="N944" t="s">
        <v>2486</v>
      </c>
      <c r="O944" t="s">
        <v>2487</v>
      </c>
      <c r="P944" t="s">
        <v>3011</v>
      </c>
      <c r="R944" t="s">
        <v>2490</v>
      </c>
      <c r="S944" t="s">
        <v>2491</v>
      </c>
      <c r="T944" t="s">
        <v>284</v>
      </c>
      <c r="U944" t="s">
        <v>40</v>
      </c>
      <c r="V944" s="1">
        <v>45229</v>
      </c>
      <c r="W944">
        <v>0</v>
      </c>
      <c r="X944">
        <v>4</v>
      </c>
      <c r="Y944" t="s">
        <v>65</v>
      </c>
      <c r="AA944" t="s">
        <v>42</v>
      </c>
      <c r="AB944" t="s">
        <v>43</v>
      </c>
      <c r="AC944" t="s">
        <v>43</v>
      </c>
    </row>
    <row r="945" spans="1:31" x14ac:dyDescent="0.4">
      <c r="A945" t="s">
        <v>27</v>
      </c>
      <c r="B945">
        <v>725</v>
      </c>
      <c r="C945" t="s">
        <v>3011</v>
      </c>
      <c r="D945">
        <v>303</v>
      </c>
      <c r="E945" t="s">
        <v>68</v>
      </c>
      <c r="F945" t="s">
        <v>345</v>
      </c>
      <c r="G945" t="s">
        <v>2481</v>
      </c>
      <c r="H945" t="s">
        <v>2482</v>
      </c>
      <c r="I945" t="s">
        <v>2483</v>
      </c>
      <c r="J945" t="s">
        <v>2484</v>
      </c>
      <c r="K945" t="s">
        <v>51</v>
      </c>
      <c r="L945" t="s">
        <v>2485</v>
      </c>
      <c r="M945" t="s">
        <v>35</v>
      </c>
      <c r="N945" t="s">
        <v>2486</v>
      </c>
      <c r="O945" t="s">
        <v>2487</v>
      </c>
      <c r="P945" t="s">
        <v>3011</v>
      </c>
      <c r="R945" t="s">
        <v>2488</v>
      </c>
      <c r="S945" t="s">
        <v>2489</v>
      </c>
      <c r="T945" t="s">
        <v>284</v>
      </c>
      <c r="U945" t="s">
        <v>40</v>
      </c>
      <c r="V945" s="1">
        <v>44248</v>
      </c>
      <c r="W945">
        <v>0</v>
      </c>
      <c r="X945">
        <v>12</v>
      </c>
      <c r="AA945" t="s">
        <v>42</v>
      </c>
      <c r="AB945" t="s">
        <v>43</v>
      </c>
      <c r="AC945" t="s">
        <v>43</v>
      </c>
    </row>
    <row r="946" spans="1:31" x14ac:dyDescent="0.4">
      <c r="A946" t="s">
        <v>27</v>
      </c>
      <c r="B946">
        <v>725</v>
      </c>
      <c r="C946" t="s">
        <v>3011</v>
      </c>
      <c r="D946">
        <v>304</v>
      </c>
      <c r="E946" t="s">
        <v>68</v>
      </c>
      <c r="F946" t="s">
        <v>345</v>
      </c>
      <c r="G946" t="s">
        <v>2481</v>
      </c>
      <c r="H946" t="s">
        <v>2482</v>
      </c>
      <c r="I946" t="s">
        <v>2483</v>
      </c>
      <c r="J946" t="s">
        <v>2484</v>
      </c>
      <c r="K946" t="s">
        <v>51</v>
      </c>
      <c r="L946" t="s">
        <v>2485</v>
      </c>
      <c r="M946" t="s">
        <v>35</v>
      </c>
      <c r="N946" t="s">
        <v>2486</v>
      </c>
      <c r="O946" t="s">
        <v>2487</v>
      </c>
      <c r="P946" t="s">
        <v>3011</v>
      </c>
      <c r="R946" t="s">
        <v>2490</v>
      </c>
      <c r="S946" t="s">
        <v>2491</v>
      </c>
      <c r="T946" t="s">
        <v>284</v>
      </c>
      <c r="U946" t="s">
        <v>40</v>
      </c>
      <c r="V946" s="1">
        <v>45229</v>
      </c>
      <c r="W946">
        <v>0</v>
      </c>
      <c r="X946">
        <v>12</v>
      </c>
      <c r="AA946" t="s">
        <v>42</v>
      </c>
      <c r="AB946" t="s">
        <v>43</v>
      </c>
      <c r="AC946" t="s">
        <v>43</v>
      </c>
    </row>
    <row r="947" spans="1:31" x14ac:dyDescent="0.4">
      <c r="A947" t="s">
        <v>27</v>
      </c>
      <c r="B947">
        <v>725</v>
      </c>
      <c r="C947" t="s">
        <v>3011</v>
      </c>
      <c r="D947">
        <v>303</v>
      </c>
      <c r="E947" t="s">
        <v>68</v>
      </c>
      <c r="F947" t="s">
        <v>345</v>
      </c>
      <c r="G947" t="s">
        <v>2481</v>
      </c>
      <c r="H947" t="s">
        <v>2482</v>
      </c>
      <c r="I947" t="s">
        <v>2483</v>
      </c>
      <c r="J947" t="s">
        <v>2484</v>
      </c>
      <c r="K947" t="s">
        <v>51</v>
      </c>
      <c r="L947" t="s">
        <v>2485</v>
      </c>
      <c r="M947" t="s">
        <v>35</v>
      </c>
      <c r="N947" t="s">
        <v>2486</v>
      </c>
      <c r="O947" t="s">
        <v>2487</v>
      </c>
      <c r="P947" t="s">
        <v>3011</v>
      </c>
      <c r="R947" t="s">
        <v>2488</v>
      </c>
      <c r="S947" t="s">
        <v>2489</v>
      </c>
      <c r="T947" t="s">
        <v>284</v>
      </c>
      <c r="U947" t="s">
        <v>40</v>
      </c>
      <c r="V947" s="1">
        <v>44248</v>
      </c>
      <c r="W947">
        <v>0</v>
      </c>
      <c r="X947">
        <v>14</v>
      </c>
      <c r="AA947" t="s">
        <v>42</v>
      </c>
      <c r="AB947" t="s">
        <v>43</v>
      </c>
      <c r="AC947" t="s">
        <v>43</v>
      </c>
    </row>
    <row r="948" spans="1:31" hidden="1" x14ac:dyDescent="0.4">
      <c r="A948" t="s">
        <v>27</v>
      </c>
      <c r="B948">
        <v>2431</v>
      </c>
      <c r="C948" t="s">
        <v>2498</v>
      </c>
      <c r="E948" t="s">
        <v>68</v>
      </c>
      <c r="F948" t="s">
        <v>2492</v>
      </c>
      <c r="G948" t="s">
        <v>2481</v>
      </c>
      <c r="H948" t="s">
        <v>2493</v>
      </c>
      <c r="I948" t="s">
        <v>2494</v>
      </c>
      <c r="J948" t="s">
        <v>886</v>
      </c>
      <c r="K948" t="s">
        <v>51</v>
      </c>
      <c r="L948" t="s">
        <v>2495</v>
      </c>
      <c r="M948" t="s">
        <v>35</v>
      </c>
      <c r="N948" t="s">
        <v>2496</v>
      </c>
      <c r="O948" t="s">
        <v>2497</v>
      </c>
      <c r="P948" t="s">
        <v>2498</v>
      </c>
      <c r="R948" t="s">
        <v>2499</v>
      </c>
      <c r="S948" t="s">
        <v>2500</v>
      </c>
      <c r="T948" t="s">
        <v>2501</v>
      </c>
      <c r="U948" t="s">
        <v>40</v>
      </c>
      <c r="V948" s="1">
        <v>43624</v>
      </c>
      <c r="W948">
        <v>0</v>
      </c>
      <c r="X948">
        <v>0</v>
      </c>
      <c r="Y948" t="s">
        <v>59</v>
      </c>
      <c r="Z948" t="s">
        <v>135</v>
      </c>
      <c r="AA948" t="s">
        <v>42</v>
      </c>
      <c r="AB948" t="s">
        <v>43</v>
      </c>
      <c r="AC948" t="s">
        <v>42</v>
      </c>
      <c r="AD948" t="s">
        <v>2502</v>
      </c>
    </row>
    <row r="949" spans="1:31" hidden="1" x14ac:dyDescent="0.4">
      <c r="A949" t="s">
        <v>27</v>
      </c>
      <c r="B949">
        <v>2431</v>
      </c>
      <c r="C949" t="s">
        <v>2498</v>
      </c>
      <c r="E949" t="s">
        <v>68</v>
      </c>
      <c r="F949" t="s">
        <v>2492</v>
      </c>
      <c r="G949" t="s">
        <v>2481</v>
      </c>
      <c r="H949" t="s">
        <v>2493</v>
      </c>
      <c r="I949" t="s">
        <v>2494</v>
      </c>
      <c r="J949" t="s">
        <v>886</v>
      </c>
      <c r="K949" t="s">
        <v>51</v>
      </c>
      <c r="L949" t="s">
        <v>2495</v>
      </c>
      <c r="M949" t="s">
        <v>35</v>
      </c>
      <c r="N949" t="s">
        <v>2496</v>
      </c>
      <c r="O949" t="s">
        <v>2497</v>
      </c>
      <c r="P949" t="s">
        <v>2498</v>
      </c>
      <c r="R949" t="s">
        <v>2503</v>
      </c>
      <c r="S949" t="s">
        <v>2504</v>
      </c>
      <c r="T949" t="s">
        <v>474</v>
      </c>
      <c r="U949" t="s">
        <v>40</v>
      </c>
      <c r="V949" s="1">
        <v>40955</v>
      </c>
      <c r="W949">
        <v>0</v>
      </c>
      <c r="X949">
        <v>0</v>
      </c>
      <c r="Y949" t="s">
        <v>59</v>
      </c>
      <c r="Z949" t="s">
        <v>135</v>
      </c>
      <c r="AA949" t="s">
        <v>42</v>
      </c>
      <c r="AB949" t="s">
        <v>43</v>
      </c>
      <c r="AC949" t="s">
        <v>42</v>
      </c>
      <c r="AD949" t="s">
        <v>2502</v>
      </c>
    </row>
    <row r="950" spans="1:31" x14ac:dyDescent="0.4">
      <c r="A950" t="s">
        <v>27</v>
      </c>
      <c r="B950">
        <v>2431</v>
      </c>
      <c r="C950" t="s">
        <v>2498</v>
      </c>
      <c r="D950">
        <v>302</v>
      </c>
      <c r="E950" t="s">
        <v>68</v>
      </c>
      <c r="F950" t="s">
        <v>2492</v>
      </c>
      <c r="G950" t="s">
        <v>2481</v>
      </c>
      <c r="H950" t="s">
        <v>2493</v>
      </c>
      <c r="I950" t="s">
        <v>2494</v>
      </c>
      <c r="J950" t="s">
        <v>886</v>
      </c>
      <c r="K950" t="s">
        <v>51</v>
      </c>
      <c r="L950" t="s">
        <v>2495</v>
      </c>
      <c r="M950" t="s">
        <v>35</v>
      </c>
      <c r="N950" t="s">
        <v>2496</v>
      </c>
      <c r="O950" t="s">
        <v>2497</v>
      </c>
      <c r="P950" t="s">
        <v>2498</v>
      </c>
      <c r="R950" t="s">
        <v>2505</v>
      </c>
      <c r="S950" t="s">
        <v>2506</v>
      </c>
      <c r="T950" t="s">
        <v>474</v>
      </c>
      <c r="U950" t="s">
        <v>40</v>
      </c>
      <c r="V950" s="1">
        <v>45505</v>
      </c>
      <c r="W950">
        <v>0</v>
      </c>
      <c r="X950">
        <v>4</v>
      </c>
      <c r="Y950" t="s">
        <v>65</v>
      </c>
      <c r="Z950" t="s">
        <v>135</v>
      </c>
      <c r="AA950" t="s">
        <v>42</v>
      </c>
      <c r="AB950" t="s">
        <v>43</v>
      </c>
      <c r="AC950" t="s">
        <v>42</v>
      </c>
      <c r="AE950" t="s">
        <v>2502</v>
      </c>
    </row>
    <row r="951" spans="1:31" hidden="1" x14ac:dyDescent="0.4">
      <c r="A951" t="s">
        <v>27</v>
      </c>
      <c r="B951">
        <v>2431</v>
      </c>
      <c r="C951" t="s">
        <v>2498</v>
      </c>
      <c r="E951" t="s">
        <v>68</v>
      </c>
      <c r="F951" t="s">
        <v>2492</v>
      </c>
      <c r="G951" t="s">
        <v>2481</v>
      </c>
      <c r="H951" t="s">
        <v>2493</v>
      </c>
      <c r="I951" t="s">
        <v>2494</v>
      </c>
      <c r="J951" t="s">
        <v>886</v>
      </c>
      <c r="K951" t="s">
        <v>51</v>
      </c>
      <c r="L951" t="s">
        <v>2495</v>
      </c>
      <c r="M951" t="s">
        <v>35</v>
      </c>
      <c r="N951" t="s">
        <v>2496</v>
      </c>
      <c r="O951" t="s">
        <v>2497</v>
      </c>
      <c r="P951" t="s">
        <v>2498</v>
      </c>
      <c r="R951" t="s">
        <v>2499</v>
      </c>
      <c r="S951" t="s">
        <v>2500</v>
      </c>
      <c r="T951" t="s">
        <v>2501</v>
      </c>
      <c r="U951" t="s">
        <v>40</v>
      </c>
      <c r="V951" s="1">
        <v>43624</v>
      </c>
      <c r="W951">
        <v>0</v>
      </c>
      <c r="X951">
        <v>0</v>
      </c>
      <c r="Y951" t="s">
        <v>59</v>
      </c>
      <c r="Z951" t="s">
        <v>135</v>
      </c>
      <c r="AA951" t="s">
        <v>42</v>
      </c>
      <c r="AB951" t="s">
        <v>43</v>
      </c>
      <c r="AC951" t="s">
        <v>42</v>
      </c>
      <c r="AD951" t="s">
        <v>2502</v>
      </c>
    </row>
    <row r="952" spans="1:31" hidden="1" x14ac:dyDescent="0.4">
      <c r="A952" t="s">
        <v>27</v>
      </c>
      <c r="B952">
        <v>2431</v>
      </c>
      <c r="C952" t="s">
        <v>2498</v>
      </c>
      <c r="E952" t="s">
        <v>68</v>
      </c>
      <c r="F952" t="s">
        <v>2492</v>
      </c>
      <c r="G952" t="s">
        <v>2481</v>
      </c>
      <c r="H952" t="s">
        <v>2493</v>
      </c>
      <c r="I952" t="s">
        <v>2494</v>
      </c>
      <c r="J952" t="s">
        <v>886</v>
      </c>
      <c r="K952" t="s">
        <v>51</v>
      </c>
      <c r="L952" t="s">
        <v>2495</v>
      </c>
      <c r="M952" t="s">
        <v>35</v>
      </c>
      <c r="N952" t="s">
        <v>2496</v>
      </c>
      <c r="O952" t="s">
        <v>2497</v>
      </c>
      <c r="P952" t="s">
        <v>2498</v>
      </c>
      <c r="R952" t="s">
        <v>2505</v>
      </c>
      <c r="S952" t="s">
        <v>2506</v>
      </c>
      <c r="T952" t="s">
        <v>474</v>
      </c>
      <c r="U952" t="s">
        <v>40</v>
      </c>
      <c r="V952" s="1">
        <v>45505</v>
      </c>
      <c r="W952">
        <v>0</v>
      </c>
      <c r="X952">
        <v>0</v>
      </c>
      <c r="Y952" t="s">
        <v>59</v>
      </c>
      <c r="Z952" t="s">
        <v>135</v>
      </c>
      <c r="AA952" t="s">
        <v>42</v>
      </c>
      <c r="AB952" t="s">
        <v>43</v>
      </c>
      <c r="AC952" t="s">
        <v>42</v>
      </c>
      <c r="AD952" t="s">
        <v>2502</v>
      </c>
    </row>
    <row r="953" spans="1:31" hidden="1" x14ac:dyDescent="0.4">
      <c r="A953" t="s">
        <v>27</v>
      </c>
      <c r="B953">
        <v>2431</v>
      </c>
      <c r="C953" t="s">
        <v>2498</v>
      </c>
      <c r="E953" t="s">
        <v>68</v>
      </c>
      <c r="F953" t="s">
        <v>2492</v>
      </c>
      <c r="G953" t="s">
        <v>2481</v>
      </c>
      <c r="H953" t="s">
        <v>2493</v>
      </c>
      <c r="I953" t="s">
        <v>2494</v>
      </c>
      <c r="J953" t="s">
        <v>886</v>
      </c>
      <c r="K953" t="s">
        <v>51</v>
      </c>
      <c r="L953" t="s">
        <v>2495</v>
      </c>
      <c r="M953" t="s">
        <v>35</v>
      </c>
      <c r="N953" t="s">
        <v>2496</v>
      </c>
      <c r="O953" t="s">
        <v>2497</v>
      </c>
      <c r="P953" t="s">
        <v>2498</v>
      </c>
      <c r="R953" t="s">
        <v>2503</v>
      </c>
      <c r="S953" t="s">
        <v>2504</v>
      </c>
      <c r="T953" t="s">
        <v>474</v>
      </c>
      <c r="U953" t="s">
        <v>40</v>
      </c>
      <c r="V953" s="1">
        <v>40955</v>
      </c>
      <c r="W953">
        <v>0</v>
      </c>
      <c r="X953">
        <v>0</v>
      </c>
      <c r="Y953" t="s">
        <v>59</v>
      </c>
      <c r="Z953" t="s">
        <v>135</v>
      </c>
      <c r="AA953" t="s">
        <v>42</v>
      </c>
      <c r="AB953" t="s">
        <v>43</v>
      </c>
      <c r="AC953" t="s">
        <v>42</v>
      </c>
      <c r="AD953" t="s">
        <v>2502</v>
      </c>
    </row>
    <row r="954" spans="1:31" x14ac:dyDescent="0.4">
      <c r="A954" t="s">
        <v>27</v>
      </c>
      <c r="B954">
        <v>2066</v>
      </c>
      <c r="C954" t="s">
        <v>3012</v>
      </c>
      <c r="D954">
        <v>306</v>
      </c>
      <c r="E954" t="s">
        <v>68</v>
      </c>
      <c r="F954" t="s">
        <v>2507</v>
      </c>
      <c r="G954" t="s">
        <v>2508</v>
      </c>
      <c r="H954" t="s">
        <v>2509</v>
      </c>
      <c r="I954" t="s">
        <v>2510</v>
      </c>
      <c r="J954" t="s">
        <v>2511</v>
      </c>
      <c r="K954" t="s">
        <v>370</v>
      </c>
      <c r="L954" t="s">
        <v>2512</v>
      </c>
      <c r="M954" t="s">
        <v>35</v>
      </c>
      <c r="N954">
        <v>7778652136</v>
      </c>
      <c r="O954" t="s">
        <v>2513</v>
      </c>
      <c r="P954" t="s">
        <v>3012</v>
      </c>
      <c r="R954" t="s">
        <v>2514</v>
      </c>
      <c r="S954" t="s">
        <v>2515</v>
      </c>
      <c r="T954" t="s">
        <v>2516</v>
      </c>
      <c r="U954" t="s">
        <v>40</v>
      </c>
      <c r="V954" s="1">
        <v>43831</v>
      </c>
      <c r="W954">
        <v>0</v>
      </c>
      <c r="X954">
        <v>12</v>
      </c>
      <c r="AA954" t="s">
        <v>42</v>
      </c>
      <c r="AB954" t="s">
        <v>43</v>
      </c>
      <c r="AC954" t="s">
        <v>43</v>
      </c>
    </row>
    <row r="955" spans="1:31" x14ac:dyDescent="0.4">
      <c r="A955" t="s">
        <v>27</v>
      </c>
      <c r="B955">
        <v>2066</v>
      </c>
      <c r="C955" t="s">
        <v>3012</v>
      </c>
      <c r="D955">
        <v>305</v>
      </c>
      <c r="E955" t="s">
        <v>68</v>
      </c>
      <c r="F955" t="s">
        <v>2507</v>
      </c>
      <c r="G955" t="s">
        <v>2508</v>
      </c>
      <c r="H955" t="s">
        <v>2509</v>
      </c>
      <c r="I955" t="s">
        <v>2510</v>
      </c>
      <c r="J955" t="s">
        <v>2511</v>
      </c>
      <c r="K955" t="s">
        <v>370</v>
      </c>
      <c r="L955" t="s">
        <v>2512</v>
      </c>
      <c r="M955" t="s">
        <v>35</v>
      </c>
      <c r="N955">
        <v>7778652136</v>
      </c>
      <c r="O955" t="s">
        <v>2513</v>
      </c>
      <c r="P955" t="s">
        <v>3012</v>
      </c>
      <c r="R955" t="s">
        <v>2517</v>
      </c>
      <c r="S955" t="s">
        <v>2518</v>
      </c>
      <c r="T955" t="s">
        <v>2516</v>
      </c>
      <c r="U955" t="s">
        <v>82</v>
      </c>
      <c r="V955" s="1">
        <v>43831</v>
      </c>
      <c r="W955">
        <v>0</v>
      </c>
      <c r="X955">
        <v>13</v>
      </c>
      <c r="AA955" t="s">
        <v>42</v>
      </c>
      <c r="AB955" t="s">
        <v>43</v>
      </c>
      <c r="AC955" t="s">
        <v>43</v>
      </c>
    </row>
    <row r="956" spans="1:31" x14ac:dyDescent="0.4">
      <c r="A956" t="s">
        <v>27</v>
      </c>
      <c r="B956">
        <v>1684</v>
      </c>
      <c r="C956" t="s">
        <v>3013</v>
      </c>
      <c r="D956">
        <v>307</v>
      </c>
      <c r="E956" t="s">
        <v>68</v>
      </c>
      <c r="F956" t="s">
        <v>2519</v>
      </c>
      <c r="G956" t="s">
        <v>2520</v>
      </c>
      <c r="H956" t="s">
        <v>2521</v>
      </c>
      <c r="I956" t="s">
        <v>2522</v>
      </c>
      <c r="J956" t="s">
        <v>691</v>
      </c>
      <c r="K956" t="s">
        <v>242</v>
      </c>
      <c r="L956" t="s">
        <v>2523</v>
      </c>
      <c r="M956" t="s">
        <v>35</v>
      </c>
      <c r="N956">
        <v>1980652734</v>
      </c>
      <c r="O956" t="s">
        <v>2524</v>
      </c>
      <c r="P956" t="s">
        <v>3013</v>
      </c>
      <c r="R956" t="s">
        <v>2525</v>
      </c>
      <c r="S956" t="s">
        <v>2526</v>
      </c>
      <c r="T956" t="s">
        <v>58</v>
      </c>
      <c r="U956" t="s">
        <v>40</v>
      </c>
      <c r="V956" s="1">
        <v>44707</v>
      </c>
      <c r="W956">
        <v>0</v>
      </c>
      <c r="X956">
        <v>3</v>
      </c>
      <c r="AA956" t="s">
        <v>42</v>
      </c>
      <c r="AB956" t="s">
        <v>43</v>
      </c>
      <c r="AC956" t="s">
        <v>43</v>
      </c>
    </row>
    <row r="957" spans="1:31" x14ac:dyDescent="0.4">
      <c r="A957" t="s">
        <v>27</v>
      </c>
      <c r="B957">
        <v>4017</v>
      </c>
      <c r="C957" t="s">
        <v>3014</v>
      </c>
      <c r="D957">
        <v>308</v>
      </c>
      <c r="E957" t="s">
        <v>68</v>
      </c>
      <c r="F957" t="s">
        <v>238</v>
      </c>
      <c r="G957" t="s">
        <v>2527</v>
      </c>
      <c r="H957" t="s">
        <v>2528</v>
      </c>
      <c r="I957" t="s">
        <v>2529</v>
      </c>
      <c r="J957" t="s">
        <v>1285</v>
      </c>
      <c r="K957" t="s">
        <v>1085</v>
      </c>
      <c r="L957" t="s">
        <v>2530</v>
      </c>
      <c r="M957" t="s">
        <v>35</v>
      </c>
      <c r="N957">
        <v>7958519967</v>
      </c>
      <c r="O957" t="s">
        <v>2531</v>
      </c>
      <c r="P957" t="s">
        <v>3014</v>
      </c>
      <c r="R957" t="s">
        <v>2532</v>
      </c>
      <c r="S957" t="s">
        <v>2533</v>
      </c>
      <c r="T957" t="s">
        <v>555</v>
      </c>
      <c r="U957" t="s">
        <v>82</v>
      </c>
      <c r="V957" s="1">
        <v>43210</v>
      </c>
      <c r="W957">
        <v>0</v>
      </c>
      <c r="X957">
        <v>3</v>
      </c>
      <c r="AA957" t="s">
        <v>42</v>
      </c>
      <c r="AB957" t="s">
        <v>43</v>
      </c>
      <c r="AC957" t="s">
        <v>43</v>
      </c>
    </row>
    <row r="958" spans="1:31" x14ac:dyDescent="0.4">
      <c r="A958" t="s">
        <v>27</v>
      </c>
      <c r="B958">
        <v>4017</v>
      </c>
      <c r="C958" t="s">
        <v>3014</v>
      </c>
      <c r="D958">
        <v>308</v>
      </c>
      <c r="E958" t="s">
        <v>68</v>
      </c>
      <c r="F958" t="s">
        <v>238</v>
      </c>
      <c r="G958" t="s">
        <v>2527</v>
      </c>
      <c r="H958" t="s">
        <v>2528</v>
      </c>
      <c r="I958" t="s">
        <v>2529</v>
      </c>
      <c r="J958" t="s">
        <v>1285</v>
      </c>
      <c r="K958" t="s">
        <v>1085</v>
      </c>
      <c r="L958" t="s">
        <v>2530</v>
      </c>
      <c r="M958" t="s">
        <v>35</v>
      </c>
      <c r="N958">
        <v>7958519967</v>
      </c>
      <c r="O958" t="s">
        <v>2531</v>
      </c>
      <c r="P958" t="s">
        <v>3014</v>
      </c>
      <c r="R958" t="s">
        <v>2532</v>
      </c>
      <c r="S958" t="s">
        <v>2533</v>
      </c>
      <c r="T958" t="s">
        <v>555</v>
      </c>
      <c r="U958" t="s">
        <v>82</v>
      </c>
      <c r="V958" s="1">
        <v>43210</v>
      </c>
      <c r="W958">
        <v>0</v>
      </c>
      <c r="X958">
        <v>4</v>
      </c>
      <c r="Y958" t="s">
        <v>65</v>
      </c>
      <c r="AA958" t="s">
        <v>42</v>
      </c>
      <c r="AB958" t="s">
        <v>43</v>
      </c>
      <c r="AC958" t="s">
        <v>43</v>
      </c>
    </row>
    <row r="959" spans="1:31" x14ac:dyDescent="0.4">
      <c r="A959" t="s">
        <v>27</v>
      </c>
      <c r="B959">
        <v>3186</v>
      </c>
      <c r="C959" t="s">
        <v>2541</v>
      </c>
      <c r="D959">
        <v>311</v>
      </c>
      <c r="E959" t="s">
        <v>28</v>
      </c>
      <c r="F959" t="s">
        <v>2534</v>
      </c>
      <c r="G959" t="s">
        <v>2535</v>
      </c>
      <c r="H959" t="s">
        <v>2536</v>
      </c>
      <c r="I959" t="s">
        <v>2537</v>
      </c>
      <c r="J959" t="s">
        <v>2538</v>
      </c>
      <c r="K959" t="s">
        <v>495</v>
      </c>
      <c r="L959" t="s">
        <v>2539</v>
      </c>
      <c r="M959" t="s">
        <v>35</v>
      </c>
      <c r="N959">
        <v>7790465184</v>
      </c>
      <c r="O959" t="s">
        <v>2540</v>
      </c>
      <c r="P959" t="s">
        <v>2541</v>
      </c>
      <c r="R959" t="s">
        <v>2542</v>
      </c>
      <c r="S959" t="s">
        <v>2543</v>
      </c>
      <c r="T959" t="s">
        <v>960</v>
      </c>
      <c r="U959" t="s">
        <v>40</v>
      </c>
      <c r="V959" s="1">
        <v>45114</v>
      </c>
      <c r="W959">
        <v>0</v>
      </c>
      <c r="X959">
        <v>4</v>
      </c>
      <c r="Y959" t="s">
        <v>65</v>
      </c>
      <c r="Z959" t="s">
        <v>135</v>
      </c>
      <c r="AA959" t="s">
        <v>42</v>
      </c>
      <c r="AB959" t="s">
        <v>43</v>
      </c>
      <c r="AC959" t="s">
        <v>43</v>
      </c>
    </row>
    <row r="960" spans="1:31" x14ac:dyDescent="0.4">
      <c r="A960" t="s">
        <v>27</v>
      </c>
      <c r="B960">
        <v>3186</v>
      </c>
      <c r="C960" t="s">
        <v>2541</v>
      </c>
      <c r="D960">
        <v>310</v>
      </c>
      <c r="E960" t="s">
        <v>28</v>
      </c>
      <c r="F960" t="s">
        <v>2534</v>
      </c>
      <c r="G960" t="s">
        <v>2535</v>
      </c>
      <c r="H960" t="s">
        <v>2536</v>
      </c>
      <c r="I960" t="s">
        <v>2537</v>
      </c>
      <c r="J960" t="s">
        <v>2538</v>
      </c>
      <c r="K960" t="s">
        <v>495</v>
      </c>
      <c r="L960" t="s">
        <v>2539</v>
      </c>
      <c r="M960" t="s">
        <v>35</v>
      </c>
      <c r="N960">
        <v>7790465184</v>
      </c>
      <c r="O960" t="s">
        <v>2540</v>
      </c>
      <c r="P960" t="s">
        <v>2541</v>
      </c>
      <c r="R960" t="s">
        <v>2544</v>
      </c>
      <c r="S960" t="s">
        <v>2545</v>
      </c>
      <c r="T960" t="s">
        <v>960</v>
      </c>
      <c r="U960" t="s">
        <v>40</v>
      </c>
      <c r="V960" s="1">
        <v>44244</v>
      </c>
      <c r="W960">
        <v>0</v>
      </c>
      <c r="X960">
        <v>5</v>
      </c>
      <c r="Y960" t="s">
        <v>66</v>
      </c>
      <c r="Z960" t="s">
        <v>135</v>
      </c>
      <c r="AA960" t="s">
        <v>42</v>
      </c>
      <c r="AB960" t="s">
        <v>43</v>
      </c>
      <c r="AC960" t="s">
        <v>43</v>
      </c>
    </row>
    <row r="961" spans="1:30" x14ac:dyDescent="0.4">
      <c r="A961" t="s">
        <v>27</v>
      </c>
      <c r="B961">
        <v>3186</v>
      </c>
      <c r="C961" t="s">
        <v>2541</v>
      </c>
      <c r="D961">
        <v>309</v>
      </c>
      <c r="E961" t="s">
        <v>28</v>
      </c>
      <c r="F961" t="s">
        <v>2534</v>
      </c>
      <c r="G961" t="s">
        <v>2535</v>
      </c>
      <c r="H961" t="s">
        <v>2536</v>
      </c>
      <c r="I961" t="s">
        <v>2537</v>
      </c>
      <c r="J961" t="s">
        <v>2538</v>
      </c>
      <c r="K961" t="s">
        <v>495</v>
      </c>
      <c r="L961" t="s">
        <v>2539</v>
      </c>
      <c r="M961" t="s">
        <v>35</v>
      </c>
      <c r="N961">
        <v>7790465184</v>
      </c>
      <c r="O961" t="s">
        <v>2540</v>
      </c>
      <c r="P961" t="s">
        <v>2541</v>
      </c>
      <c r="R961" t="s">
        <v>2546</v>
      </c>
      <c r="S961" t="s">
        <v>2547</v>
      </c>
      <c r="T961" t="s">
        <v>960</v>
      </c>
      <c r="U961" t="s">
        <v>40</v>
      </c>
      <c r="V961" s="1">
        <v>42610</v>
      </c>
      <c r="W961">
        <v>0</v>
      </c>
      <c r="X961">
        <v>7</v>
      </c>
      <c r="Z961" t="s">
        <v>135</v>
      </c>
      <c r="AA961" t="s">
        <v>42</v>
      </c>
      <c r="AB961" t="s">
        <v>43</v>
      </c>
      <c r="AC961" t="s">
        <v>43</v>
      </c>
    </row>
    <row r="962" spans="1:30" x14ac:dyDescent="0.4">
      <c r="A962" t="s">
        <v>27</v>
      </c>
      <c r="B962">
        <v>3186</v>
      </c>
      <c r="C962" t="s">
        <v>2541</v>
      </c>
      <c r="D962">
        <v>310</v>
      </c>
      <c r="E962" t="s">
        <v>28</v>
      </c>
      <c r="F962" t="s">
        <v>2534</v>
      </c>
      <c r="G962" t="s">
        <v>2535</v>
      </c>
      <c r="H962" t="s">
        <v>2536</v>
      </c>
      <c r="I962" t="s">
        <v>2537</v>
      </c>
      <c r="J962" t="s">
        <v>2538</v>
      </c>
      <c r="K962" t="s">
        <v>495</v>
      </c>
      <c r="L962" t="s">
        <v>2539</v>
      </c>
      <c r="M962" t="s">
        <v>35</v>
      </c>
      <c r="N962">
        <v>7790465184</v>
      </c>
      <c r="O962" t="s">
        <v>2540</v>
      </c>
      <c r="P962" t="s">
        <v>2541</v>
      </c>
      <c r="R962" t="s">
        <v>2544</v>
      </c>
      <c r="S962" t="s">
        <v>2545</v>
      </c>
      <c r="T962" t="s">
        <v>960</v>
      </c>
      <c r="U962" t="s">
        <v>40</v>
      </c>
      <c r="V962" s="1">
        <v>44244</v>
      </c>
      <c r="W962">
        <v>0</v>
      </c>
      <c r="X962">
        <v>6</v>
      </c>
      <c r="Y962" t="s">
        <v>83</v>
      </c>
      <c r="Z962" t="s">
        <v>135</v>
      </c>
      <c r="AA962" t="s">
        <v>42</v>
      </c>
      <c r="AB962" t="s">
        <v>43</v>
      </c>
      <c r="AC962" t="s">
        <v>43</v>
      </c>
    </row>
    <row r="963" spans="1:30" x14ac:dyDescent="0.4">
      <c r="A963" t="s">
        <v>27</v>
      </c>
      <c r="B963">
        <v>3186</v>
      </c>
      <c r="C963" t="s">
        <v>2541</v>
      </c>
      <c r="D963">
        <v>311</v>
      </c>
      <c r="E963" t="s">
        <v>28</v>
      </c>
      <c r="F963" t="s">
        <v>2534</v>
      </c>
      <c r="G963" t="s">
        <v>2535</v>
      </c>
      <c r="H963" t="s">
        <v>2536</v>
      </c>
      <c r="I963" t="s">
        <v>2537</v>
      </c>
      <c r="J963" t="s">
        <v>2538</v>
      </c>
      <c r="K963" t="s">
        <v>495</v>
      </c>
      <c r="L963" t="s">
        <v>2539</v>
      </c>
      <c r="M963" t="s">
        <v>35</v>
      </c>
      <c r="N963">
        <v>7790465184</v>
      </c>
      <c r="O963" t="s">
        <v>2540</v>
      </c>
      <c r="P963" t="s">
        <v>2541</v>
      </c>
      <c r="R963" t="s">
        <v>2542</v>
      </c>
      <c r="S963" t="s">
        <v>2543</v>
      </c>
      <c r="T963" t="s">
        <v>960</v>
      </c>
      <c r="U963" t="s">
        <v>40</v>
      </c>
      <c r="V963" s="1">
        <v>45114</v>
      </c>
      <c r="W963">
        <v>0</v>
      </c>
      <c r="X963">
        <v>12</v>
      </c>
      <c r="Z963" t="s">
        <v>135</v>
      </c>
      <c r="AA963" t="s">
        <v>42</v>
      </c>
      <c r="AB963" t="s">
        <v>43</v>
      </c>
      <c r="AC963" t="s">
        <v>43</v>
      </c>
    </row>
    <row r="964" spans="1:30" x14ac:dyDescent="0.4">
      <c r="A964" t="s">
        <v>27</v>
      </c>
      <c r="B964">
        <v>3186</v>
      </c>
      <c r="C964" t="s">
        <v>2541</v>
      </c>
      <c r="D964">
        <v>310</v>
      </c>
      <c r="E964" t="s">
        <v>28</v>
      </c>
      <c r="F964" t="s">
        <v>2534</v>
      </c>
      <c r="G964" t="s">
        <v>2535</v>
      </c>
      <c r="H964" t="s">
        <v>2536</v>
      </c>
      <c r="I964" t="s">
        <v>2537</v>
      </c>
      <c r="J964" t="s">
        <v>2538</v>
      </c>
      <c r="K964" t="s">
        <v>495</v>
      </c>
      <c r="L964" t="s">
        <v>2539</v>
      </c>
      <c r="M964" t="s">
        <v>35</v>
      </c>
      <c r="N964">
        <v>7790465184</v>
      </c>
      <c r="O964" t="s">
        <v>2540</v>
      </c>
      <c r="P964" t="s">
        <v>2541</v>
      </c>
      <c r="R964" t="s">
        <v>2544</v>
      </c>
      <c r="S964" t="s">
        <v>2545</v>
      </c>
      <c r="T964" t="s">
        <v>960</v>
      </c>
      <c r="U964" t="s">
        <v>40</v>
      </c>
      <c r="V964" s="1">
        <v>44244</v>
      </c>
      <c r="W964">
        <v>0</v>
      </c>
      <c r="X964">
        <v>14</v>
      </c>
      <c r="Z964" t="s">
        <v>135</v>
      </c>
      <c r="AA964" t="s">
        <v>42</v>
      </c>
      <c r="AB964" t="s">
        <v>43</v>
      </c>
      <c r="AC964" t="s">
        <v>43</v>
      </c>
    </row>
    <row r="965" spans="1:30" x14ac:dyDescent="0.4">
      <c r="A965" t="s">
        <v>27</v>
      </c>
      <c r="B965">
        <v>3186</v>
      </c>
      <c r="C965" t="s">
        <v>2541</v>
      </c>
      <c r="D965">
        <v>310</v>
      </c>
      <c r="E965" t="s">
        <v>28</v>
      </c>
      <c r="F965" t="s">
        <v>2534</v>
      </c>
      <c r="G965" t="s">
        <v>2535</v>
      </c>
      <c r="H965" t="s">
        <v>2536</v>
      </c>
      <c r="I965" t="s">
        <v>2537</v>
      </c>
      <c r="J965" t="s">
        <v>2538</v>
      </c>
      <c r="K965" t="s">
        <v>495</v>
      </c>
      <c r="L965" t="s">
        <v>2539</v>
      </c>
      <c r="M965" t="s">
        <v>35</v>
      </c>
      <c r="N965">
        <v>7790465184</v>
      </c>
      <c r="O965" t="s">
        <v>2540</v>
      </c>
      <c r="P965" t="s">
        <v>2541</v>
      </c>
      <c r="R965" t="s">
        <v>2544</v>
      </c>
      <c r="S965" t="s">
        <v>2545</v>
      </c>
      <c r="T965" t="s">
        <v>960</v>
      </c>
      <c r="U965" t="s">
        <v>40</v>
      </c>
      <c r="V965" s="1">
        <v>44244</v>
      </c>
      <c r="W965">
        <v>0</v>
      </c>
      <c r="X965">
        <v>16</v>
      </c>
      <c r="Z965" t="s">
        <v>135</v>
      </c>
      <c r="AA965" t="s">
        <v>42</v>
      </c>
      <c r="AB965" t="s">
        <v>43</v>
      </c>
      <c r="AC965" t="s">
        <v>43</v>
      </c>
    </row>
    <row r="966" spans="1:30" x14ac:dyDescent="0.4">
      <c r="A966" t="s">
        <v>27</v>
      </c>
      <c r="B966">
        <v>3186</v>
      </c>
      <c r="C966" t="s">
        <v>2541</v>
      </c>
      <c r="D966">
        <v>309</v>
      </c>
      <c r="E966" t="s">
        <v>28</v>
      </c>
      <c r="F966" t="s">
        <v>2534</v>
      </c>
      <c r="G966" t="s">
        <v>2535</v>
      </c>
      <c r="H966" t="s">
        <v>2536</v>
      </c>
      <c r="I966" t="s">
        <v>2537</v>
      </c>
      <c r="J966" t="s">
        <v>2538</v>
      </c>
      <c r="K966" t="s">
        <v>495</v>
      </c>
      <c r="L966" t="s">
        <v>2539</v>
      </c>
      <c r="M966" t="s">
        <v>35</v>
      </c>
      <c r="N966">
        <v>7790465184</v>
      </c>
      <c r="O966" t="s">
        <v>2540</v>
      </c>
      <c r="P966" t="s">
        <v>2541</v>
      </c>
      <c r="R966" t="s">
        <v>2546</v>
      </c>
      <c r="S966" t="s">
        <v>2547</v>
      </c>
      <c r="T966" t="s">
        <v>960</v>
      </c>
      <c r="U966" t="s">
        <v>40</v>
      </c>
      <c r="V966" s="1">
        <v>42610</v>
      </c>
      <c r="W966">
        <v>0</v>
      </c>
      <c r="X966">
        <v>20</v>
      </c>
      <c r="Z966" t="s">
        <v>135</v>
      </c>
      <c r="AA966" t="s">
        <v>42</v>
      </c>
      <c r="AB966" t="s">
        <v>43</v>
      </c>
      <c r="AC966" t="s">
        <v>43</v>
      </c>
    </row>
    <row r="967" spans="1:30" x14ac:dyDescent="0.4">
      <c r="A967" t="s">
        <v>27</v>
      </c>
      <c r="B967">
        <v>4182</v>
      </c>
      <c r="C967" t="s">
        <v>2554</v>
      </c>
      <c r="D967">
        <v>312</v>
      </c>
      <c r="E967" t="s">
        <v>257</v>
      </c>
      <c r="F967" t="s">
        <v>2548</v>
      </c>
      <c r="G967" t="s">
        <v>2549</v>
      </c>
      <c r="H967" t="s">
        <v>2550</v>
      </c>
      <c r="I967" t="s">
        <v>2551</v>
      </c>
      <c r="J967" t="s">
        <v>1718</v>
      </c>
      <c r="K967" t="s">
        <v>73</v>
      </c>
      <c r="L967" t="s">
        <v>2552</v>
      </c>
      <c r="M967" t="s">
        <v>35</v>
      </c>
      <c r="N967">
        <v>7956588248</v>
      </c>
      <c r="O967" t="s">
        <v>2553</v>
      </c>
      <c r="P967" t="s">
        <v>2554</v>
      </c>
      <c r="R967" t="s">
        <v>3055</v>
      </c>
      <c r="S967" t="s">
        <v>2556</v>
      </c>
      <c r="T967" t="s">
        <v>58</v>
      </c>
      <c r="U967" t="s">
        <v>82</v>
      </c>
      <c r="V967" s="1">
        <v>44790</v>
      </c>
      <c r="W967">
        <v>0</v>
      </c>
      <c r="X967">
        <v>4</v>
      </c>
      <c r="Y967" t="s">
        <v>65</v>
      </c>
      <c r="AA967" t="s">
        <v>42</v>
      </c>
      <c r="AB967" t="s">
        <v>43</v>
      </c>
      <c r="AC967" t="s">
        <v>43</v>
      </c>
    </row>
    <row r="968" spans="1:30" x14ac:dyDescent="0.4">
      <c r="A968" t="s">
        <v>27</v>
      </c>
      <c r="B968">
        <v>684</v>
      </c>
      <c r="C968" t="s">
        <v>3015</v>
      </c>
      <c r="D968">
        <v>313</v>
      </c>
      <c r="E968" t="s">
        <v>68</v>
      </c>
      <c r="F968" t="s">
        <v>2557</v>
      </c>
      <c r="G968" t="s">
        <v>2558</v>
      </c>
      <c r="H968" t="s">
        <v>2559</v>
      </c>
      <c r="I968" t="s">
        <v>426</v>
      </c>
      <c r="J968" t="s">
        <v>2560</v>
      </c>
      <c r="K968" t="s">
        <v>426</v>
      </c>
      <c r="L968" t="s">
        <v>2561</v>
      </c>
      <c r="M968" t="s">
        <v>35</v>
      </c>
      <c r="N968">
        <v>7729309428</v>
      </c>
      <c r="O968" t="s">
        <v>2562</v>
      </c>
      <c r="P968" t="s">
        <v>3086</v>
      </c>
      <c r="R968" t="s">
        <v>2563</v>
      </c>
      <c r="S968" t="s">
        <v>2564</v>
      </c>
      <c r="T968" t="s">
        <v>94</v>
      </c>
      <c r="U968" t="s">
        <v>40</v>
      </c>
      <c r="V968" s="1">
        <v>43416</v>
      </c>
      <c r="W968">
        <v>0</v>
      </c>
      <c r="X968">
        <v>7</v>
      </c>
      <c r="AA968" t="s">
        <v>42</v>
      </c>
      <c r="AB968" t="s">
        <v>43</v>
      </c>
      <c r="AC968" t="s">
        <v>43</v>
      </c>
    </row>
    <row r="969" spans="1:30" x14ac:dyDescent="0.4">
      <c r="A969" t="s">
        <v>27</v>
      </c>
      <c r="B969">
        <v>684</v>
      </c>
      <c r="C969" t="s">
        <v>3015</v>
      </c>
      <c r="D969">
        <v>314</v>
      </c>
      <c r="E969" t="s">
        <v>68</v>
      </c>
      <c r="F969" t="s">
        <v>2557</v>
      </c>
      <c r="G969" t="s">
        <v>2558</v>
      </c>
      <c r="H969" t="s">
        <v>2559</v>
      </c>
      <c r="I969" t="s">
        <v>426</v>
      </c>
      <c r="J969" t="s">
        <v>2560</v>
      </c>
      <c r="K969" t="s">
        <v>426</v>
      </c>
      <c r="L969" t="s">
        <v>2561</v>
      </c>
      <c r="M969" t="s">
        <v>35</v>
      </c>
      <c r="N969">
        <v>7729309428</v>
      </c>
      <c r="O969" t="s">
        <v>2562</v>
      </c>
      <c r="P969" t="s">
        <v>3086</v>
      </c>
      <c r="R969" t="s">
        <v>2565</v>
      </c>
      <c r="S969" t="s">
        <v>2566</v>
      </c>
      <c r="T969" t="s">
        <v>58</v>
      </c>
      <c r="U969" t="s">
        <v>82</v>
      </c>
      <c r="V969" s="1">
        <v>42501</v>
      </c>
      <c r="W969">
        <v>0</v>
      </c>
      <c r="X969">
        <v>7</v>
      </c>
      <c r="AA969" t="s">
        <v>42</v>
      </c>
      <c r="AB969" t="s">
        <v>43</v>
      </c>
      <c r="AC969" t="s">
        <v>43</v>
      </c>
    </row>
    <row r="970" spans="1:30" x14ac:dyDescent="0.4">
      <c r="A970" t="s">
        <v>27</v>
      </c>
      <c r="B970">
        <v>684</v>
      </c>
      <c r="C970" t="s">
        <v>3015</v>
      </c>
      <c r="D970">
        <v>313</v>
      </c>
      <c r="E970" t="s">
        <v>68</v>
      </c>
      <c r="F970" t="s">
        <v>2557</v>
      </c>
      <c r="G970" t="s">
        <v>2558</v>
      </c>
      <c r="H970" t="s">
        <v>2559</v>
      </c>
      <c r="I970" t="s">
        <v>426</v>
      </c>
      <c r="J970" t="s">
        <v>2560</v>
      </c>
      <c r="K970" t="s">
        <v>426</v>
      </c>
      <c r="L970" t="s">
        <v>2561</v>
      </c>
      <c r="M970" t="s">
        <v>35</v>
      </c>
      <c r="N970">
        <v>7729309428</v>
      </c>
      <c r="O970" t="s">
        <v>2562</v>
      </c>
      <c r="P970" t="s">
        <v>3086</v>
      </c>
      <c r="R970" t="s">
        <v>2563</v>
      </c>
      <c r="S970" t="s">
        <v>2564</v>
      </c>
      <c r="T970" t="s">
        <v>94</v>
      </c>
      <c r="U970" t="s">
        <v>40</v>
      </c>
      <c r="V970" s="1">
        <v>43416</v>
      </c>
      <c r="W970">
        <v>0</v>
      </c>
      <c r="X970">
        <v>20</v>
      </c>
      <c r="AA970" t="s">
        <v>42</v>
      </c>
      <c r="AB970" t="s">
        <v>43</v>
      </c>
      <c r="AC970" t="s">
        <v>43</v>
      </c>
    </row>
    <row r="971" spans="1:30" x14ac:dyDescent="0.4">
      <c r="A971" t="s">
        <v>27</v>
      </c>
      <c r="B971">
        <v>684</v>
      </c>
      <c r="C971" t="s">
        <v>3015</v>
      </c>
      <c r="D971">
        <v>314</v>
      </c>
      <c r="E971" t="s">
        <v>68</v>
      </c>
      <c r="F971" t="s">
        <v>2557</v>
      </c>
      <c r="G971" t="s">
        <v>2558</v>
      </c>
      <c r="H971" t="s">
        <v>2559</v>
      </c>
      <c r="I971" t="s">
        <v>426</v>
      </c>
      <c r="J971" t="s">
        <v>2560</v>
      </c>
      <c r="K971" t="s">
        <v>426</v>
      </c>
      <c r="L971" t="s">
        <v>2561</v>
      </c>
      <c r="M971" t="s">
        <v>35</v>
      </c>
      <c r="N971">
        <v>7729309428</v>
      </c>
      <c r="O971" t="s">
        <v>2562</v>
      </c>
      <c r="P971" t="s">
        <v>3086</v>
      </c>
      <c r="R971" t="s">
        <v>2565</v>
      </c>
      <c r="S971" t="s">
        <v>2566</v>
      </c>
      <c r="T971" t="s">
        <v>58</v>
      </c>
      <c r="U971" t="s">
        <v>82</v>
      </c>
      <c r="V971" s="1">
        <v>42501</v>
      </c>
      <c r="W971">
        <v>0</v>
      </c>
      <c r="X971">
        <v>21</v>
      </c>
      <c r="AA971" t="s">
        <v>42</v>
      </c>
      <c r="AB971" t="s">
        <v>43</v>
      </c>
      <c r="AC971" t="s">
        <v>43</v>
      </c>
    </row>
    <row r="972" spans="1:30" ht="80" hidden="1" x14ac:dyDescent="0.4">
      <c r="A972" t="s">
        <v>27</v>
      </c>
      <c r="B972">
        <v>1530</v>
      </c>
      <c r="C972" t="s">
        <v>323</v>
      </c>
      <c r="E972" t="s">
        <v>68</v>
      </c>
      <c r="F972" t="s">
        <v>2195</v>
      </c>
      <c r="G972" t="s">
        <v>2567</v>
      </c>
      <c r="H972" t="s">
        <v>2568</v>
      </c>
      <c r="I972" t="s">
        <v>2569</v>
      </c>
      <c r="J972" t="s">
        <v>2570</v>
      </c>
      <c r="K972" t="s">
        <v>2571</v>
      </c>
      <c r="L972" t="s">
        <v>2572</v>
      </c>
      <c r="M972" t="s">
        <v>35</v>
      </c>
      <c r="N972">
        <v>7940797964</v>
      </c>
      <c r="O972" t="s">
        <v>2573</v>
      </c>
      <c r="P972" t="s">
        <v>323</v>
      </c>
      <c r="R972" t="s">
        <v>2574</v>
      </c>
      <c r="S972" t="s">
        <v>2575</v>
      </c>
      <c r="T972" t="s">
        <v>94</v>
      </c>
      <c r="U972" t="s">
        <v>82</v>
      </c>
      <c r="V972" s="1">
        <v>41190</v>
      </c>
      <c r="W972">
        <v>0</v>
      </c>
      <c r="X972">
        <v>0</v>
      </c>
      <c r="Y972" t="s">
        <v>59</v>
      </c>
      <c r="AA972" t="s">
        <v>42</v>
      </c>
      <c r="AB972" t="s">
        <v>43</v>
      </c>
      <c r="AC972" t="s">
        <v>43</v>
      </c>
      <c r="AD972" s="2" t="s">
        <v>2576</v>
      </c>
    </row>
    <row r="973" spans="1:30" ht="80" hidden="1" x14ac:dyDescent="0.4">
      <c r="A973" t="s">
        <v>27</v>
      </c>
      <c r="B973">
        <v>1530</v>
      </c>
      <c r="C973" t="s">
        <v>323</v>
      </c>
      <c r="E973" t="s">
        <v>68</v>
      </c>
      <c r="F973" t="s">
        <v>2195</v>
      </c>
      <c r="G973" t="s">
        <v>2567</v>
      </c>
      <c r="H973" t="s">
        <v>2568</v>
      </c>
      <c r="I973" t="s">
        <v>2569</v>
      </c>
      <c r="J973" t="s">
        <v>2570</v>
      </c>
      <c r="K973" t="s">
        <v>2571</v>
      </c>
      <c r="L973" t="s">
        <v>2572</v>
      </c>
      <c r="M973" t="s">
        <v>35</v>
      </c>
      <c r="N973">
        <v>7940797964</v>
      </c>
      <c r="O973" t="s">
        <v>2573</v>
      </c>
      <c r="P973" t="s">
        <v>323</v>
      </c>
      <c r="R973" t="s">
        <v>2574</v>
      </c>
      <c r="S973" t="s">
        <v>2575</v>
      </c>
      <c r="T973" t="s">
        <v>94</v>
      </c>
      <c r="U973" t="s">
        <v>82</v>
      </c>
      <c r="V973" s="1">
        <v>41190</v>
      </c>
      <c r="W973">
        <v>0</v>
      </c>
      <c r="X973">
        <v>0</v>
      </c>
      <c r="Y973" t="s">
        <v>59</v>
      </c>
      <c r="AA973" t="s">
        <v>42</v>
      </c>
      <c r="AB973" t="s">
        <v>43</v>
      </c>
      <c r="AC973" t="s">
        <v>43</v>
      </c>
      <c r="AD973" s="2" t="s">
        <v>2576</v>
      </c>
    </row>
    <row r="974" spans="1:30" ht="80" hidden="1" x14ac:dyDescent="0.4">
      <c r="A974" t="s">
        <v>27</v>
      </c>
      <c r="B974">
        <v>1530</v>
      </c>
      <c r="C974" t="s">
        <v>323</v>
      </c>
      <c r="E974" t="s">
        <v>68</v>
      </c>
      <c r="F974" t="s">
        <v>2195</v>
      </c>
      <c r="G974" t="s">
        <v>2567</v>
      </c>
      <c r="H974" t="s">
        <v>2568</v>
      </c>
      <c r="I974" t="s">
        <v>2569</v>
      </c>
      <c r="J974" t="s">
        <v>2570</v>
      </c>
      <c r="K974" t="s">
        <v>2571</v>
      </c>
      <c r="L974" t="s">
        <v>2572</v>
      </c>
      <c r="M974" t="s">
        <v>35</v>
      </c>
      <c r="N974">
        <v>7940797964</v>
      </c>
      <c r="O974" t="s">
        <v>2573</v>
      </c>
      <c r="P974" t="s">
        <v>323</v>
      </c>
      <c r="R974" t="s">
        <v>2577</v>
      </c>
      <c r="S974" t="s">
        <v>2578</v>
      </c>
      <c r="T974" t="s">
        <v>94</v>
      </c>
      <c r="U974" t="s">
        <v>40</v>
      </c>
      <c r="V974" s="1">
        <v>43839</v>
      </c>
      <c r="W974">
        <v>0</v>
      </c>
      <c r="X974">
        <v>0</v>
      </c>
      <c r="Y974" t="s">
        <v>59</v>
      </c>
      <c r="AA974" t="s">
        <v>42</v>
      </c>
      <c r="AB974" t="s">
        <v>43</v>
      </c>
      <c r="AC974" t="s">
        <v>43</v>
      </c>
      <c r="AD974" s="2" t="s">
        <v>2576</v>
      </c>
    </row>
    <row r="975" spans="1:30" ht="80" hidden="1" x14ac:dyDescent="0.4">
      <c r="A975" t="s">
        <v>27</v>
      </c>
      <c r="B975">
        <v>1530</v>
      </c>
      <c r="C975" t="s">
        <v>323</v>
      </c>
      <c r="E975" t="s">
        <v>68</v>
      </c>
      <c r="F975" t="s">
        <v>2195</v>
      </c>
      <c r="G975" t="s">
        <v>2567</v>
      </c>
      <c r="H975" t="s">
        <v>2568</v>
      </c>
      <c r="I975" t="s">
        <v>2569</v>
      </c>
      <c r="J975" t="s">
        <v>2570</v>
      </c>
      <c r="K975" t="s">
        <v>2571</v>
      </c>
      <c r="L975" t="s">
        <v>2572</v>
      </c>
      <c r="M975" t="s">
        <v>35</v>
      </c>
      <c r="N975">
        <v>7940797964</v>
      </c>
      <c r="O975" t="s">
        <v>2573</v>
      </c>
      <c r="P975" t="s">
        <v>323</v>
      </c>
      <c r="R975" t="s">
        <v>2579</v>
      </c>
      <c r="S975" t="s">
        <v>2580</v>
      </c>
      <c r="T975" t="s">
        <v>58</v>
      </c>
      <c r="U975" t="s">
        <v>40</v>
      </c>
      <c r="V975" s="1">
        <v>43794</v>
      </c>
      <c r="W975">
        <v>0</v>
      </c>
      <c r="X975">
        <v>0</v>
      </c>
      <c r="Y975" t="s">
        <v>59</v>
      </c>
      <c r="AA975" t="s">
        <v>42</v>
      </c>
      <c r="AB975" t="s">
        <v>43</v>
      </c>
      <c r="AC975" t="s">
        <v>43</v>
      </c>
      <c r="AD975" s="2" t="s">
        <v>2576</v>
      </c>
    </row>
    <row r="976" spans="1:30" ht="80" hidden="1" x14ac:dyDescent="0.4">
      <c r="A976" t="s">
        <v>27</v>
      </c>
      <c r="B976">
        <v>1530</v>
      </c>
      <c r="C976" t="s">
        <v>323</v>
      </c>
      <c r="E976" t="s">
        <v>68</v>
      </c>
      <c r="F976" t="s">
        <v>2195</v>
      </c>
      <c r="G976" t="s">
        <v>2567</v>
      </c>
      <c r="H976" t="s">
        <v>2568</v>
      </c>
      <c r="I976" t="s">
        <v>2569</v>
      </c>
      <c r="J976" t="s">
        <v>2570</v>
      </c>
      <c r="K976" t="s">
        <v>2571</v>
      </c>
      <c r="L976" t="s">
        <v>2572</v>
      </c>
      <c r="M976" t="s">
        <v>35</v>
      </c>
      <c r="N976">
        <v>7940797964</v>
      </c>
      <c r="O976" t="s">
        <v>2573</v>
      </c>
      <c r="P976" t="s">
        <v>323</v>
      </c>
      <c r="R976" t="s">
        <v>2581</v>
      </c>
      <c r="S976" t="s">
        <v>2582</v>
      </c>
      <c r="T976" t="s">
        <v>58</v>
      </c>
      <c r="U976" t="s">
        <v>40</v>
      </c>
      <c r="V976" s="1">
        <v>42407</v>
      </c>
      <c r="W976">
        <v>0</v>
      </c>
      <c r="X976">
        <v>0</v>
      </c>
      <c r="Y976" t="s">
        <v>59</v>
      </c>
      <c r="AA976" t="s">
        <v>42</v>
      </c>
      <c r="AB976" t="s">
        <v>43</v>
      </c>
      <c r="AC976" t="s">
        <v>43</v>
      </c>
      <c r="AD976" s="2" t="s">
        <v>2576</v>
      </c>
    </row>
    <row r="977" spans="1:31" ht="80" hidden="1" x14ac:dyDescent="0.4">
      <c r="A977" t="s">
        <v>27</v>
      </c>
      <c r="B977">
        <v>1530</v>
      </c>
      <c r="C977" t="s">
        <v>323</v>
      </c>
      <c r="E977" t="s">
        <v>68</v>
      </c>
      <c r="F977" t="s">
        <v>2195</v>
      </c>
      <c r="G977" t="s">
        <v>2567</v>
      </c>
      <c r="H977" t="s">
        <v>2568</v>
      </c>
      <c r="I977" t="s">
        <v>2569</v>
      </c>
      <c r="J977" t="s">
        <v>2570</v>
      </c>
      <c r="K977" t="s">
        <v>2571</v>
      </c>
      <c r="L977" t="s">
        <v>2572</v>
      </c>
      <c r="M977" t="s">
        <v>35</v>
      </c>
      <c r="N977">
        <v>7940797964</v>
      </c>
      <c r="O977" t="s">
        <v>2573</v>
      </c>
      <c r="P977" t="s">
        <v>323</v>
      </c>
      <c r="R977" t="s">
        <v>2583</v>
      </c>
      <c r="S977" t="s">
        <v>2584</v>
      </c>
      <c r="T977" t="s">
        <v>94</v>
      </c>
      <c r="U977" t="s">
        <v>82</v>
      </c>
      <c r="V977" s="1">
        <v>44809</v>
      </c>
      <c r="W977">
        <v>0</v>
      </c>
      <c r="X977">
        <v>0</v>
      </c>
      <c r="Y977" t="s">
        <v>59</v>
      </c>
      <c r="AA977" t="s">
        <v>42</v>
      </c>
      <c r="AB977" t="s">
        <v>43</v>
      </c>
      <c r="AC977" t="s">
        <v>43</v>
      </c>
      <c r="AD977" s="2" t="s">
        <v>2576</v>
      </c>
    </row>
    <row r="978" spans="1:31" ht="96" x14ac:dyDescent="0.4">
      <c r="A978" t="s">
        <v>27</v>
      </c>
      <c r="B978">
        <v>1530</v>
      </c>
      <c r="C978" t="s">
        <v>323</v>
      </c>
      <c r="D978">
        <v>315</v>
      </c>
      <c r="E978" t="s">
        <v>68</v>
      </c>
      <c r="F978" t="s">
        <v>2195</v>
      </c>
      <c r="G978" t="s">
        <v>2567</v>
      </c>
      <c r="H978" t="s">
        <v>2568</v>
      </c>
      <c r="I978" t="s">
        <v>2569</v>
      </c>
      <c r="J978" t="s">
        <v>2570</v>
      </c>
      <c r="K978" t="s">
        <v>2571</v>
      </c>
      <c r="L978" t="s">
        <v>2572</v>
      </c>
      <c r="M978" t="s">
        <v>35</v>
      </c>
      <c r="N978">
        <v>7940797964</v>
      </c>
      <c r="O978" t="s">
        <v>2573</v>
      </c>
      <c r="P978" t="s">
        <v>323</v>
      </c>
      <c r="R978" t="s">
        <v>2577</v>
      </c>
      <c r="S978" t="s">
        <v>2578</v>
      </c>
      <c r="T978" t="s">
        <v>94</v>
      </c>
      <c r="U978" t="s">
        <v>40</v>
      </c>
      <c r="V978" s="1">
        <v>43839</v>
      </c>
      <c r="W978">
        <v>0</v>
      </c>
      <c r="X978">
        <v>7</v>
      </c>
      <c r="AA978" t="s">
        <v>42</v>
      </c>
      <c r="AB978" t="s">
        <v>43</v>
      </c>
      <c r="AC978" t="s">
        <v>43</v>
      </c>
      <c r="AD978" s="2" t="s">
        <v>3139</v>
      </c>
      <c r="AE978" s="2" t="s">
        <v>3140</v>
      </c>
    </row>
    <row r="979" spans="1:31" ht="96" x14ac:dyDescent="0.4">
      <c r="A979" t="s">
        <v>27</v>
      </c>
      <c r="B979">
        <v>1530</v>
      </c>
      <c r="C979" t="s">
        <v>323</v>
      </c>
      <c r="D979">
        <v>316</v>
      </c>
      <c r="E979" t="s">
        <v>68</v>
      </c>
      <c r="F979" t="s">
        <v>2195</v>
      </c>
      <c r="G979" t="s">
        <v>2567</v>
      </c>
      <c r="H979" t="s">
        <v>2568</v>
      </c>
      <c r="I979" t="s">
        <v>2569</v>
      </c>
      <c r="J979" t="s">
        <v>2570</v>
      </c>
      <c r="K979" t="s">
        <v>2571</v>
      </c>
      <c r="L979" t="s">
        <v>2572</v>
      </c>
      <c r="M979" t="s">
        <v>35</v>
      </c>
      <c r="N979">
        <v>7940797964</v>
      </c>
      <c r="O979" t="s">
        <v>2573</v>
      </c>
      <c r="P979" t="s">
        <v>323</v>
      </c>
      <c r="R979" t="s">
        <v>2581</v>
      </c>
      <c r="S979" t="s">
        <v>2582</v>
      </c>
      <c r="T979" t="s">
        <v>58</v>
      </c>
      <c r="U979" t="s">
        <v>40</v>
      </c>
      <c r="V979" s="1">
        <v>42407</v>
      </c>
      <c r="W979">
        <v>0</v>
      </c>
      <c r="X979">
        <v>7</v>
      </c>
      <c r="AA979" t="s">
        <v>42</v>
      </c>
      <c r="AB979" t="s">
        <v>43</v>
      </c>
      <c r="AC979" t="s">
        <v>43</v>
      </c>
      <c r="AD979" s="2" t="s">
        <v>3139</v>
      </c>
      <c r="AE979" s="2" t="s">
        <v>3140</v>
      </c>
    </row>
    <row r="980" spans="1:31" ht="96" x14ac:dyDescent="0.4">
      <c r="A980" t="s">
        <v>27</v>
      </c>
      <c r="B980">
        <v>1530</v>
      </c>
      <c r="C980" t="s">
        <v>323</v>
      </c>
      <c r="D980">
        <v>317</v>
      </c>
      <c r="E980" t="s">
        <v>68</v>
      </c>
      <c r="F980" t="s">
        <v>2195</v>
      </c>
      <c r="G980" t="s">
        <v>2567</v>
      </c>
      <c r="H980" t="s">
        <v>2568</v>
      </c>
      <c r="I980" t="s">
        <v>2569</v>
      </c>
      <c r="J980" t="s">
        <v>2570</v>
      </c>
      <c r="K980" t="s">
        <v>2571</v>
      </c>
      <c r="L980" t="s">
        <v>2572</v>
      </c>
      <c r="M980" t="s">
        <v>35</v>
      </c>
      <c r="N980">
        <v>7940797964</v>
      </c>
      <c r="O980" t="s">
        <v>2573</v>
      </c>
      <c r="P980" t="s">
        <v>323</v>
      </c>
      <c r="R980" t="s">
        <v>2583</v>
      </c>
      <c r="S980" t="s">
        <v>2584</v>
      </c>
      <c r="T980" t="s">
        <v>94</v>
      </c>
      <c r="U980" t="s">
        <v>82</v>
      </c>
      <c r="V980" s="1">
        <v>44809</v>
      </c>
      <c r="W980">
        <v>0</v>
      </c>
      <c r="X980">
        <v>7</v>
      </c>
      <c r="AA980" t="s">
        <v>42</v>
      </c>
      <c r="AB980" t="s">
        <v>43</v>
      </c>
      <c r="AC980" t="s">
        <v>43</v>
      </c>
      <c r="AD980" s="2" t="s">
        <v>3139</v>
      </c>
      <c r="AE980" s="2" t="s">
        <v>3140</v>
      </c>
    </row>
    <row r="981" spans="1:31" x14ac:dyDescent="0.4">
      <c r="A981" t="s">
        <v>27</v>
      </c>
      <c r="B981">
        <v>5990</v>
      </c>
      <c r="C981" t="s">
        <v>2903</v>
      </c>
      <c r="D981">
        <v>318</v>
      </c>
      <c r="E981" t="s">
        <v>28</v>
      </c>
      <c r="F981" t="s">
        <v>2585</v>
      </c>
      <c r="G981" t="s">
        <v>2586</v>
      </c>
      <c r="H981" t="s">
        <v>2587</v>
      </c>
      <c r="I981" t="s">
        <v>2588</v>
      </c>
      <c r="J981" t="s">
        <v>559</v>
      </c>
      <c r="K981" t="s">
        <v>51</v>
      </c>
      <c r="L981" t="s">
        <v>2589</v>
      </c>
      <c r="M981" t="s">
        <v>35</v>
      </c>
      <c r="N981">
        <v>7732390797</v>
      </c>
      <c r="O981" t="s">
        <v>2590</v>
      </c>
      <c r="P981" t="s">
        <v>2903</v>
      </c>
      <c r="R981" t="s">
        <v>2591</v>
      </c>
      <c r="S981" t="s">
        <v>2592</v>
      </c>
      <c r="T981" t="s">
        <v>2593</v>
      </c>
      <c r="U981" t="s">
        <v>40</v>
      </c>
      <c r="V981" s="1">
        <v>44665</v>
      </c>
      <c r="W981">
        <v>0</v>
      </c>
      <c r="X981">
        <v>1</v>
      </c>
      <c r="AA981" t="s">
        <v>42</v>
      </c>
      <c r="AB981" t="s">
        <v>43</v>
      </c>
      <c r="AC981" t="s">
        <v>43</v>
      </c>
    </row>
    <row r="982" spans="1:31" x14ac:dyDescent="0.4">
      <c r="A982" t="s">
        <v>27</v>
      </c>
      <c r="B982">
        <v>5990</v>
      </c>
      <c r="C982" t="s">
        <v>2903</v>
      </c>
      <c r="D982">
        <v>318</v>
      </c>
      <c r="E982" t="s">
        <v>28</v>
      </c>
      <c r="F982" t="s">
        <v>2585</v>
      </c>
      <c r="G982" t="s">
        <v>2586</v>
      </c>
      <c r="H982" t="s">
        <v>2587</v>
      </c>
      <c r="I982" t="s">
        <v>2588</v>
      </c>
      <c r="J982" t="s">
        <v>559</v>
      </c>
      <c r="K982" t="s">
        <v>51</v>
      </c>
      <c r="L982" t="s">
        <v>2589</v>
      </c>
      <c r="M982" t="s">
        <v>35</v>
      </c>
      <c r="N982">
        <v>7732390797</v>
      </c>
      <c r="O982" t="s">
        <v>2590</v>
      </c>
      <c r="P982" t="s">
        <v>2903</v>
      </c>
      <c r="R982" t="s">
        <v>2591</v>
      </c>
      <c r="S982" t="s">
        <v>2592</v>
      </c>
      <c r="T982" t="s">
        <v>2593</v>
      </c>
      <c r="U982" t="s">
        <v>40</v>
      </c>
      <c r="V982" s="1">
        <v>44665</v>
      </c>
      <c r="W982">
        <v>0</v>
      </c>
      <c r="X982">
        <v>2</v>
      </c>
      <c r="AA982" t="s">
        <v>42</v>
      </c>
      <c r="AB982" t="s">
        <v>43</v>
      </c>
      <c r="AC982" t="s">
        <v>43</v>
      </c>
    </row>
    <row r="983" spans="1:31" x14ac:dyDescent="0.4">
      <c r="A983" t="s">
        <v>27</v>
      </c>
      <c r="B983">
        <v>506</v>
      </c>
      <c r="C983" t="s">
        <v>2600</v>
      </c>
      <c r="D983">
        <v>320</v>
      </c>
      <c r="E983" t="s">
        <v>28</v>
      </c>
      <c r="F983" t="s">
        <v>940</v>
      </c>
      <c r="G983" t="s">
        <v>2594</v>
      </c>
      <c r="H983" t="s">
        <v>2595</v>
      </c>
      <c r="I983" t="s">
        <v>2596</v>
      </c>
      <c r="J983" t="s">
        <v>886</v>
      </c>
      <c r="K983" t="s">
        <v>51</v>
      </c>
      <c r="L983" t="s">
        <v>2597</v>
      </c>
      <c r="M983" t="s">
        <v>35</v>
      </c>
      <c r="N983" t="s">
        <v>2598</v>
      </c>
      <c r="O983" t="s">
        <v>2599</v>
      </c>
      <c r="P983" t="s">
        <v>2600</v>
      </c>
      <c r="R983" t="s">
        <v>2601</v>
      </c>
      <c r="S983" t="s">
        <v>2602</v>
      </c>
      <c r="T983" t="s">
        <v>169</v>
      </c>
      <c r="U983" t="s">
        <v>40</v>
      </c>
      <c r="V983" s="1">
        <v>43966</v>
      </c>
      <c r="W983">
        <v>0</v>
      </c>
      <c r="X983">
        <v>7</v>
      </c>
      <c r="AA983" t="s">
        <v>42</v>
      </c>
      <c r="AB983" t="s">
        <v>43</v>
      </c>
      <c r="AC983" t="s">
        <v>43</v>
      </c>
      <c r="AD983" t="s">
        <v>2603</v>
      </c>
    </row>
    <row r="984" spans="1:31" x14ac:dyDescent="0.4">
      <c r="A984" t="s">
        <v>27</v>
      </c>
      <c r="B984">
        <v>506</v>
      </c>
      <c r="C984" t="s">
        <v>2600</v>
      </c>
      <c r="D984">
        <v>319</v>
      </c>
      <c r="E984" t="s">
        <v>28</v>
      </c>
      <c r="F984" t="s">
        <v>940</v>
      </c>
      <c r="G984" t="s">
        <v>2594</v>
      </c>
      <c r="H984" t="s">
        <v>2595</v>
      </c>
      <c r="I984" t="s">
        <v>2596</v>
      </c>
      <c r="J984" t="s">
        <v>886</v>
      </c>
      <c r="K984" t="s">
        <v>51</v>
      </c>
      <c r="L984" t="s">
        <v>2597</v>
      </c>
      <c r="M984" t="s">
        <v>35</v>
      </c>
      <c r="N984" t="s">
        <v>2598</v>
      </c>
      <c r="O984" t="s">
        <v>2599</v>
      </c>
      <c r="P984" t="s">
        <v>2600</v>
      </c>
      <c r="R984" t="s">
        <v>2604</v>
      </c>
      <c r="S984" t="s">
        <v>2605</v>
      </c>
      <c r="T984" t="s">
        <v>169</v>
      </c>
      <c r="U984" t="s">
        <v>40</v>
      </c>
      <c r="V984" s="1">
        <v>42331</v>
      </c>
      <c r="W984">
        <v>0</v>
      </c>
      <c r="X984">
        <v>5</v>
      </c>
      <c r="Y984" t="s">
        <v>66</v>
      </c>
      <c r="AA984" t="s">
        <v>42</v>
      </c>
      <c r="AB984" t="s">
        <v>43</v>
      </c>
      <c r="AC984" t="s">
        <v>43</v>
      </c>
      <c r="AD984" t="s">
        <v>2603</v>
      </c>
    </row>
    <row r="985" spans="1:31" x14ac:dyDescent="0.4">
      <c r="A985" t="s">
        <v>27</v>
      </c>
      <c r="B985">
        <v>506</v>
      </c>
      <c r="C985" t="s">
        <v>2600</v>
      </c>
      <c r="D985">
        <v>319</v>
      </c>
      <c r="E985" t="s">
        <v>28</v>
      </c>
      <c r="F985" t="s">
        <v>940</v>
      </c>
      <c r="G985" t="s">
        <v>2594</v>
      </c>
      <c r="H985" t="s">
        <v>2595</v>
      </c>
      <c r="I985" t="s">
        <v>2596</v>
      </c>
      <c r="J985" t="s">
        <v>886</v>
      </c>
      <c r="K985" t="s">
        <v>51</v>
      </c>
      <c r="L985" t="s">
        <v>2597</v>
      </c>
      <c r="M985" t="s">
        <v>35</v>
      </c>
      <c r="N985" t="s">
        <v>2598</v>
      </c>
      <c r="O985" t="s">
        <v>2599</v>
      </c>
      <c r="P985" t="s">
        <v>2600</v>
      </c>
      <c r="R985" t="s">
        <v>2604</v>
      </c>
      <c r="S985" t="s">
        <v>2605</v>
      </c>
      <c r="T985" t="s">
        <v>169</v>
      </c>
      <c r="U985" t="s">
        <v>40</v>
      </c>
      <c r="V985" s="1">
        <v>42331</v>
      </c>
      <c r="W985">
        <v>0</v>
      </c>
      <c r="X985">
        <v>6</v>
      </c>
      <c r="Y985" t="s">
        <v>83</v>
      </c>
      <c r="AA985" t="s">
        <v>42</v>
      </c>
      <c r="AB985" t="s">
        <v>43</v>
      </c>
      <c r="AC985" t="s">
        <v>43</v>
      </c>
      <c r="AD985" t="s">
        <v>2603</v>
      </c>
    </row>
    <row r="986" spans="1:31" x14ac:dyDescent="0.4">
      <c r="A986" t="s">
        <v>27</v>
      </c>
      <c r="B986">
        <v>506</v>
      </c>
      <c r="C986" t="s">
        <v>2600</v>
      </c>
      <c r="D986">
        <v>319</v>
      </c>
      <c r="E986" t="s">
        <v>28</v>
      </c>
      <c r="F986" t="s">
        <v>940</v>
      </c>
      <c r="G986" t="s">
        <v>2594</v>
      </c>
      <c r="H986" t="s">
        <v>2595</v>
      </c>
      <c r="I986" t="s">
        <v>2596</v>
      </c>
      <c r="J986" t="s">
        <v>886</v>
      </c>
      <c r="K986" t="s">
        <v>51</v>
      </c>
      <c r="L986" t="s">
        <v>2597</v>
      </c>
      <c r="M986" t="s">
        <v>35</v>
      </c>
      <c r="N986" t="s">
        <v>2598</v>
      </c>
      <c r="O986" t="s">
        <v>2599</v>
      </c>
      <c r="P986" t="s">
        <v>2600</v>
      </c>
      <c r="R986" t="s">
        <v>2604</v>
      </c>
      <c r="S986" t="s">
        <v>2605</v>
      </c>
      <c r="T986" t="s">
        <v>169</v>
      </c>
      <c r="U986" t="s">
        <v>40</v>
      </c>
      <c r="V986" s="1">
        <v>42331</v>
      </c>
      <c r="W986">
        <v>0</v>
      </c>
      <c r="X986">
        <v>14</v>
      </c>
      <c r="AA986" t="s">
        <v>42</v>
      </c>
      <c r="AB986" t="s">
        <v>43</v>
      </c>
      <c r="AC986" t="s">
        <v>43</v>
      </c>
      <c r="AD986" t="s">
        <v>2603</v>
      </c>
    </row>
    <row r="987" spans="1:31" x14ac:dyDescent="0.4">
      <c r="A987" t="s">
        <v>27</v>
      </c>
      <c r="B987">
        <v>506</v>
      </c>
      <c r="C987" t="s">
        <v>2600</v>
      </c>
      <c r="D987">
        <v>319</v>
      </c>
      <c r="E987" t="s">
        <v>28</v>
      </c>
      <c r="F987" t="s">
        <v>940</v>
      </c>
      <c r="G987" t="s">
        <v>2594</v>
      </c>
      <c r="H987" t="s">
        <v>2595</v>
      </c>
      <c r="I987" t="s">
        <v>2596</v>
      </c>
      <c r="J987" t="s">
        <v>886</v>
      </c>
      <c r="K987" t="s">
        <v>51</v>
      </c>
      <c r="L987" t="s">
        <v>2597</v>
      </c>
      <c r="M987" t="s">
        <v>35</v>
      </c>
      <c r="N987" t="s">
        <v>2598</v>
      </c>
      <c r="O987" t="s">
        <v>2599</v>
      </c>
      <c r="P987" t="s">
        <v>2600</v>
      </c>
      <c r="R987" t="s">
        <v>2604</v>
      </c>
      <c r="S987" t="s">
        <v>2605</v>
      </c>
      <c r="T987" t="s">
        <v>169</v>
      </c>
      <c r="U987" t="s">
        <v>40</v>
      </c>
      <c r="V987" s="1">
        <v>42331</v>
      </c>
      <c r="W987">
        <v>0</v>
      </c>
      <c r="X987">
        <v>16</v>
      </c>
      <c r="AA987" t="s">
        <v>42</v>
      </c>
      <c r="AB987" t="s">
        <v>43</v>
      </c>
      <c r="AC987" t="s">
        <v>43</v>
      </c>
      <c r="AD987" t="s">
        <v>2603</v>
      </c>
    </row>
    <row r="988" spans="1:31" x14ac:dyDescent="0.4">
      <c r="A988" t="s">
        <v>27</v>
      </c>
      <c r="B988">
        <v>506</v>
      </c>
      <c r="C988" t="s">
        <v>2600</v>
      </c>
      <c r="D988">
        <v>320</v>
      </c>
      <c r="E988" t="s">
        <v>28</v>
      </c>
      <c r="F988" t="s">
        <v>940</v>
      </c>
      <c r="G988" t="s">
        <v>2594</v>
      </c>
      <c r="H988" t="s">
        <v>2595</v>
      </c>
      <c r="I988" t="s">
        <v>2596</v>
      </c>
      <c r="J988" t="s">
        <v>886</v>
      </c>
      <c r="K988" t="s">
        <v>51</v>
      </c>
      <c r="L988" t="s">
        <v>2597</v>
      </c>
      <c r="M988" t="s">
        <v>35</v>
      </c>
      <c r="N988" t="s">
        <v>2598</v>
      </c>
      <c r="O988" t="s">
        <v>2599</v>
      </c>
      <c r="P988" t="s">
        <v>2600</v>
      </c>
      <c r="R988" t="s">
        <v>2601</v>
      </c>
      <c r="S988" t="s">
        <v>2602</v>
      </c>
      <c r="T988" t="s">
        <v>169</v>
      </c>
      <c r="U988" t="s">
        <v>40</v>
      </c>
      <c r="V988" s="1">
        <v>43966</v>
      </c>
      <c r="W988">
        <v>0</v>
      </c>
      <c r="X988">
        <v>18</v>
      </c>
      <c r="AA988" t="s">
        <v>42</v>
      </c>
      <c r="AB988" t="s">
        <v>43</v>
      </c>
      <c r="AC988" t="s">
        <v>43</v>
      </c>
      <c r="AD988" t="s">
        <v>2603</v>
      </c>
    </row>
    <row r="989" spans="1:31" x14ac:dyDescent="0.4">
      <c r="A989" t="s">
        <v>27</v>
      </c>
      <c r="B989">
        <v>1339</v>
      </c>
      <c r="C989" t="s">
        <v>2879</v>
      </c>
      <c r="D989">
        <v>322</v>
      </c>
      <c r="E989" t="s">
        <v>68</v>
      </c>
      <c r="F989" t="s">
        <v>858</v>
      </c>
      <c r="G989" t="s">
        <v>2606</v>
      </c>
      <c r="H989" t="s">
        <v>2607</v>
      </c>
      <c r="I989" t="s">
        <v>2608</v>
      </c>
      <c r="J989" t="s">
        <v>2609</v>
      </c>
      <c r="K989" t="s">
        <v>89</v>
      </c>
      <c r="L989" t="s">
        <v>2610</v>
      </c>
      <c r="M989" t="s">
        <v>35</v>
      </c>
      <c r="N989">
        <v>1295711363</v>
      </c>
      <c r="O989" t="s">
        <v>2611</v>
      </c>
      <c r="P989" t="s">
        <v>2879</v>
      </c>
      <c r="R989" t="s">
        <v>2612</v>
      </c>
      <c r="S989" t="s">
        <v>2613</v>
      </c>
      <c r="T989" t="s">
        <v>58</v>
      </c>
      <c r="U989" t="s">
        <v>82</v>
      </c>
      <c r="V989" s="1">
        <v>43858</v>
      </c>
      <c r="W989">
        <v>0</v>
      </c>
      <c r="X989">
        <v>7</v>
      </c>
      <c r="Z989" t="s">
        <v>392</v>
      </c>
      <c r="AA989" t="s">
        <v>42</v>
      </c>
      <c r="AB989" t="s">
        <v>43</v>
      </c>
      <c r="AC989" t="s">
        <v>42</v>
      </c>
    </row>
    <row r="990" spans="1:31" x14ac:dyDescent="0.4">
      <c r="A990" t="s">
        <v>27</v>
      </c>
      <c r="B990">
        <v>1339</v>
      </c>
      <c r="C990" t="s">
        <v>2879</v>
      </c>
      <c r="D990">
        <v>322</v>
      </c>
      <c r="E990" t="s">
        <v>68</v>
      </c>
      <c r="F990" t="s">
        <v>858</v>
      </c>
      <c r="G990" t="s">
        <v>2606</v>
      </c>
      <c r="H990" t="s">
        <v>2607</v>
      </c>
      <c r="I990" t="s">
        <v>2608</v>
      </c>
      <c r="J990" t="s">
        <v>2609</v>
      </c>
      <c r="K990" t="s">
        <v>89</v>
      </c>
      <c r="L990" t="s">
        <v>2610</v>
      </c>
      <c r="M990" t="s">
        <v>35</v>
      </c>
      <c r="N990">
        <v>1295711363</v>
      </c>
      <c r="O990" t="s">
        <v>2611</v>
      </c>
      <c r="P990" t="s">
        <v>2879</v>
      </c>
      <c r="R990" t="s">
        <v>2612</v>
      </c>
      <c r="S990" t="s">
        <v>2613</v>
      </c>
      <c r="T990" t="s">
        <v>58</v>
      </c>
      <c r="U990" t="s">
        <v>82</v>
      </c>
      <c r="V990" s="1">
        <v>43858</v>
      </c>
      <c r="W990">
        <v>0</v>
      </c>
      <c r="X990">
        <v>19</v>
      </c>
      <c r="Z990" t="s">
        <v>392</v>
      </c>
      <c r="AA990" t="s">
        <v>42</v>
      </c>
      <c r="AB990" t="s">
        <v>43</v>
      </c>
      <c r="AC990" t="s">
        <v>42</v>
      </c>
    </row>
    <row r="991" spans="1:31" x14ac:dyDescent="0.4">
      <c r="A991" t="s">
        <v>27</v>
      </c>
      <c r="B991">
        <v>2616</v>
      </c>
      <c r="C991" t="s">
        <v>2618</v>
      </c>
      <c r="D991">
        <v>321</v>
      </c>
      <c r="E991" t="s">
        <v>195</v>
      </c>
      <c r="F991" t="s">
        <v>501</v>
      </c>
      <c r="G991" t="s">
        <v>2606</v>
      </c>
      <c r="H991" t="s">
        <v>2614</v>
      </c>
      <c r="J991" t="s">
        <v>2615</v>
      </c>
      <c r="K991" t="s">
        <v>370</v>
      </c>
      <c r="L991" t="s">
        <v>2616</v>
      </c>
      <c r="M991" t="s">
        <v>35</v>
      </c>
      <c r="N991">
        <v>1344516687</v>
      </c>
      <c r="O991" t="s">
        <v>2617</v>
      </c>
      <c r="P991" t="s">
        <v>2618</v>
      </c>
      <c r="R991" t="s">
        <v>2619</v>
      </c>
      <c r="S991" t="s">
        <v>2620</v>
      </c>
      <c r="T991" t="s">
        <v>376</v>
      </c>
      <c r="U991" t="s">
        <v>82</v>
      </c>
      <c r="V991" s="1">
        <v>44866</v>
      </c>
      <c r="W991">
        <v>0</v>
      </c>
      <c r="X991">
        <v>3</v>
      </c>
      <c r="AA991" t="s">
        <v>42</v>
      </c>
      <c r="AB991" t="s">
        <v>43</v>
      </c>
      <c r="AC991" t="s">
        <v>43</v>
      </c>
    </row>
    <row r="992" spans="1:31" x14ac:dyDescent="0.4">
      <c r="A992" t="s">
        <v>27</v>
      </c>
      <c r="B992">
        <v>2616</v>
      </c>
      <c r="C992" t="s">
        <v>2618</v>
      </c>
      <c r="D992">
        <v>321</v>
      </c>
      <c r="E992" t="s">
        <v>195</v>
      </c>
      <c r="F992" t="s">
        <v>501</v>
      </c>
      <c r="G992" t="s">
        <v>2606</v>
      </c>
      <c r="H992" t="s">
        <v>2614</v>
      </c>
      <c r="J992" t="s">
        <v>2615</v>
      </c>
      <c r="K992" t="s">
        <v>370</v>
      </c>
      <c r="L992" t="s">
        <v>2616</v>
      </c>
      <c r="M992" t="s">
        <v>35</v>
      </c>
      <c r="N992">
        <v>1344516687</v>
      </c>
      <c r="O992" t="s">
        <v>2617</v>
      </c>
      <c r="P992" t="s">
        <v>2618</v>
      </c>
      <c r="R992" t="s">
        <v>2619</v>
      </c>
      <c r="S992" t="s">
        <v>2620</v>
      </c>
      <c r="T992" t="s">
        <v>376</v>
      </c>
      <c r="U992" t="s">
        <v>82</v>
      </c>
      <c r="V992" s="1">
        <v>44866</v>
      </c>
      <c r="W992">
        <v>0</v>
      </c>
      <c r="X992">
        <v>11</v>
      </c>
      <c r="AA992" t="s">
        <v>42</v>
      </c>
      <c r="AB992" t="s">
        <v>43</v>
      </c>
      <c r="AC992" t="s">
        <v>43</v>
      </c>
    </row>
    <row r="993" spans="1:29" x14ac:dyDescent="0.4">
      <c r="A993" t="s">
        <v>27</v>
      </c>
      <c r="B993">
        <v>2616</v>
      </c>
      <c r="C993" t="s">
        <v>2618</v>
      </c>
      <c r="D993">
        <v>321</v>
      </c>
      <c r="E993" t="s">
        <v>195</v>
      </c>
      <c r="F993" t="s">
        <v>501</v>
      </c>
      <c r="G993" t="s">
        <v>2606</v>
      </c>
      <c r="H993" t="s">
        <v>2614</v>
      </c>
      <c r="J993" t="s">
        <v>2615</v>
      </c>
      <c r="K993" t="s">
        <v>370</v>
      </c>
      <c r="L993" t="s">
        <v>2616</v>
      </c>
      <c r="M993" t="s">
        <v>35</v>
      </c>
      <c r="N993">
        <v>1344516687</v>
      </c>
      <c r="O993" t="s">
        <v>2617</v>
      </c>
      <c r="P993" t="s">
        <v>2618</v>
      </c>
      <c r="R993" t="s">
        <v>2619</v>
      </c>
      <c r="S993" t="s">
        <v>2620</v>
      </c>
      <c r="T993" t="s">
        <v>376</v>
      </c>
      <c r="U993" t="s">
        <v>82</v>
      </c>
      <c r="V993" s="1">
        <v>44866</v>
      </c>
      <c r="W993">
        <v>0</v>
      </c>
      <c r="X993">
        <v>4</v>
      </c>
      <c r="Y993" t="s">
        <v>65</v>
      </c>
      <c r="AA993" t="s">
        <v>42</v>
      </c>
      <c r="AB993" t="s">
        <v>43</v>
      </c>
      <c r="AC993" t="s">
        <v>43</v>
      </c>
    </row>
    <row r="994" spans="1:29" x14ac:dyDescent="0.4">
      <c r="A994" t="s">
        <v>27</v>
      </c>
      <c r="B994">
        <v>2616</v>
      </c>
      <c r="C994" t="s">
        <v>2618</v>
      </c>
      <c r="D994">
        <v>321</v>
      </c>
      <c r="E994" t="s">
        <v>195</v>
      </c>
      <c r="F994" t="s">
        <v>501</v>
      </c>
      <c r="G994" t="s">
        <v>2606</v>
      </c>
      <c r="H994" t="s">
        <v>2614</v>
      </c>
      <c r="J994" t="s">
        <v>2615</v>
      </c>
      <c r="K994" t="s">
        <v>370</v>
      </c>
      <c r="L994" t="s">
        <v>2616</v>
      </c>
      <c r="M994" t="s">
        <v>35</v>
      </c>
      <c r="N994">
        <v>1344516687</v>
      </c>
      <c r="O994" t="s">
        <v>2617</v>
      </c>
      <c r="P994" t="s">
        <v>2618</v>
      </c>
      <c r="R994" t="s">
        <v>2619</v>
      </c>
      <c r="S994" t="s">
        <v>2620</v>
      </c>
      <c r="T994" t="s">
        <v>376</v>
      </c>
      <c r="U994" t="s">
        <v>82</v>
      </c>
      <c r="V994" s="1">
        <v>44866</v>
      </c>
      <c r="W994">
        <v>0</v>
      </c>
      <c r="X994">
        <v>13</v>
      </c>
      <c r="AA994" t="s">
        <v>42</v>
      </c>
      <c r="AB994" t="s">
        <v>43</v>
      </c>
      <c r="AC994" t="s">
        <v>43</v>
      </c>
    </row>
    <row r="995" spans="1:29" x14ac:dyDescent="0.4">
      <c r="A995" t="s">
        <v>27</v>
      </c>
      <c r="B995">
        <v>3888</v>
      </c>
      <c r="C995" t="s">
        <v>3016</v>
      </c>
      <c r="D995">
        <v>323</v>
      </c>
      <c r="E995" t="s">
        <v>68</v>
      </c>
      <c r="F995" t="s">
        <v>2621</v>
      </c>
      <c r="G995" t="s">
        <v>2606</v>
      </c>
      <c r="H995" t="s">
        <v>2622</v>
      </c>
      <c r="I995" t="s">
        <v>2623</v>
      </c>
      <c r="J995" t="s">
        <v>2624</v>
      </c>
      <c r="K995" t="s">
        <v>51</v>
      </c>
      <c r="L995" t="s">
        <v>2625</v>
      </c>
      <c r="M995" t="s">
        <v>35</v>
      </c>
      <c r="N995">
        <v>7488534434</v>
      </c>
      <c r="O995" t="s">
        <v>2626</v>
      </c>
      <c r="P995" t="s">
        <v>3016</v>
      </c>
      <c r="R995" t="s">
        <v>2627</v>
      </c>
      <c r="S995" t="s">
        <v>2628</v>
      </c>
      <c r="T995" t="s">
        <v>1305</v>
      </c>
      <c r="U995" t="s">
        <v>40</v>
      </c>
      <c r="V995" s="1">
        <v>43181</v>
      </c>
      <c r="W995">
        <v>0</v>
      </c>
      <c r="X995">
        <v>5</v>
      </c>
      <c r="Y995" t="s">
        <v>66</v>
      </c>
      <c r="AA995" t="s">
        <v>42</v>
      </c>
      <c r="AB995" t="s">
        <v>43</v>
      </c>
      <c r="AC995" t="s">
        <v>43</v>
      </c>
    </row>
    <row r="996" spans="1:29" x14ac:dyDescent="0.4">
      <c r="A996" t="s">
        <v>27</v>
      </c>
      <c r="B996">
        <v>3888</v>
      </c>
      <c r="C996" t="s">
        <v>3016</v>
      </c>
      <c r="D996">
        <v>324</v>
      </c>
      <c r="E996" t="s">
        <v>68</v>
      </c>
      <c r="F996" t="s">
        <v>2621</v>
      </c>
      <c r="G996" t="s">
        <v>2606</v>
      </c>
      <c r="H996" t="s">
        <v>2622</v>
      </c>
      <c r="I996" t="s">
        <v>2623</v>
      </c>
      <c r="J996" t="s">
        <v>2624</v>
      </c>
      <c r="K996" t="s">
        <v>51</v>
      </c>
      <c r="L996" t="s">
        <v>2625</v>
      </c>
      <c r="M996" t="s">
        <v>35</v>
      </c>
      <c r="N996">
        <v>7488534434</v>
      </c>
      <c r="O996" t="s">
        <v>2626</v>
      </c>
      <c r="P996" t="s">
        <v>3016</v>
      </c>
      <c r="R996" t="s">
        <v>2629</v>
      </c>
      <c r="S996" t="s">
        <v>2630</v>
      </c>
      <c r="T996" t="s">
        <v>1305</v>
      </c>
      <c r="U996" t="s">
        <v>40</v>
      </c>
      <c r="V996" s="1">
        <v>44035</v>
      </c>
      <c r="W996">
        <v>0</v>
      </c>
      <c r="X996">
        <v>4</v>
      </c>
      <c r="Y996" t="s">
        <v>65</v>
      </c>
      <c r="AA996" t="s">
        <v>42</v>
      </c>
      <c r="AB996" t="s">
        <v>43</v>
      </c>
      <c r="AC996" t="s">
        <v>43</v>
      </c>
    </row>
    <row r="997" spans="1:29" x14ac:dyDescent="0.4">
      <c r="A997" t="s">
        <v>27</v>
      </c>
      <c r="B997">
        <v>3888</v>
      </c>
      <c r="C997" t="s">
        <v>3016</v>
      </c>
      <c r="D997">
        <v>324</v>
      </c>
      <c r="E997" t="s">
        <v>68</v>
      </c>
      <c r="F997" t="s">
        <v>2621</v>
      </c>
      <c r="G997" t="s">
        <v>2606</v>
      </c>
      <c r="H997" t="s">
        <v>2622</v>
      </c>
      <c r="I997" t="s">
        <v>2623</v>
      </c>
      <c r="J997" t="s">
        <v>2624</v>
      </c>
      <c r="K997" t="s">
        <v>51</v>
      </c>
      <c r="L997" t="s">
        <v>2625</v>
      </c>
      <c r="M997" t="s">
        <v>35</v>
      </c>
      <c r="N997">
        <v>7488534434</v>
      </c>
      <c r="O997" t="s">
        <v>2626</v>
      </c>
      <c r="P997" t="s">
        <v>3016</v>
      </c>
      <c r="R997" t="s">
        <v>2629</v>
      </c>
      <c r="S997" t="s">
        <v>2630</v>
      </c>
      <c r="T997" t="s">
        <v>1305</v>
      </c>
      <c r="U997" t="s">
        <v>40</v>
      </c>
      <c r="V997" s="1">
        <v>44035</v>
      </c>
      <c r="W997">
        <v>0</v>
      </c>
      <c r="X997">
        <v>12</v>
      </c>
      <c r="AA997" t="s">
        <v>42</v>
      </c>
      <c r="AB997" t="s">
        <v>43</v>
      </c>
      <c r="AC997" t="s">
        <v>43</v>
      </c>
    </row>
    <row r="998" spans="1:29" x14ac:dyDescent="0.4">
      <c r="A998" t="s">
        <v>27</v>
      </c>
      <c r="B998">
        <v>3888</v>
      </c>
      <c r="C998" t="s">
        <v>3016</v>
      </c>
      <c r="D998">
        <v>323</v>
      </c>
      <c r="E998" t="s">
        <v>68</v>
      </c>
      <c r="F998" t="s">
        <v>2621</v>
      </c>
      <c r="G998" t="s">
        <v>2606</v>
      </c>
      <c r="H998" t="s">
        <v>2622</v>
      </c>
      <c r="I998" t="s">
        <v>2623</v>
      </c>
      <c r="J998" t="s">
        <v>2624</v>
      </c>
      <c r="K998" t="s">
        <v>51</v>
      </c>
      <c r="L998" t="s">
        <v>2625</v>
      </c>
      <c r="M998" t="s">
        <v>35</v>
      </c>
      <c r="N998">
        <v>7488534434</v>
      </c>
      <c r="O998" t="s">
        <v>2626</v>
      </c>
      <c r="P998" t="s">
        <v>3016</v>
      </c>
      <c r="R998" t="s">
        <v>2627</v>
      </c>
      <c r="S998" t="s">
        <v>2628</v>
      </c>
      <c r="T998" t="s">
        <v>1305</v>
      </c>
      <c r="U998" t="s">
        <v>40</v>
      </c>
      <c r="V998" s="1">
        <v>43181</v>
      </c>
      <c r="W998">
        <v>0</v>
      </c>
      <c r="X998">
        <v>14</v>
      </c>
      <c r="AA998" t="s">
        <v>42</v>
      </c>
      <c r="AB998" t="s">
        <v>43</v>
      </c>
      <c r="AC998" t="s">
        <v>43</v>
      </c>
    </row>
    <row r="999" spans="1:29" x14ac:dyDescent="0.4">
      <c r="A999" t="s">
        <v>27</v>
      </c>
      <c r="B999">
        <v>3888</v>
      </c>
      <c r="C999" t="s">
        <v>3016</v>
      </c>
      <c r="D999">
        <v>323</v>
      </c>
      <c r="E999" t="s">
        <v>68</v>
      </c>
      <c r="F999" t="s">
        <v>2621</v>
      </c>
      <c r="G999" t="s">
        <v>2606</v>
      </c>
      <c r="H999" t="s">
        <v>2622</v>
      </c>
      <c r="I999" t="s">
        <v>2623</v>
      </c>
      <c r="J999" t="s">
        <v>2624</v>
      </c>
      <c r="K999" t="s">
        <v>51</v>
      </c>
      <c r="L999" t="s">
        <v>2625</v>
      </c>
      <c r="M999" t="s">
        <v>35</v>
      </c>
      <c r="N999">
        <v>7488534434</v>
      </c>
      <c r="O999" t="s">
        <v>2626</v>
      </c>
      <c r="P999" t="s">
        <v>3016</v>
      </c>
      <c r="R999" t="s">
        <v>2627</v>
      </c>
      <c r="S999" t="s">
        <v>2628</v>
      </c>
      <c r="T999" t="s">
        <v>1305</v>
      </c>
      <c r="U999" t="s">
        <v>40</v>
      </c>
      <c r="V999" s="1">
        <v>43181</v>
      </c>
      <c r="W999">
        <v>0</v>
      </c>
      <c r="X999">
        <v>6</v>
      </c>
      <c r="Y999" t="s">
        <v>83</v>
      </c>
      <c r="AA999" t="s">
        <v>42</v>
      </c>
      <c r="AB999" t="s">
        <v>43</v>
      </c>
      <c r="AC999" t="s">
        <v>43</v>
      </c>
    </row>
    <row r="1000" spans="1:29" hidden="1" x14ac:dyDescent="0.4">
      <c r="A1000" t="s">
        <v>27</v>
      </c>
      <c r="B1000">
        <v>2459</v>
      </c>
      <c r="C1000" t="s">
        <v>3017</v>
      </c>
      <c r="E1000" t="s">
        <v>68</v>
      </c>
      <c r="F1000" t="s">
        <v>1558</v>
      </c>
      <c r="G1000" t="s">
        <v>2631</v>
      </c>
      <c r="H1000" t="s">
        <v>2632</v>
      </c>
      <c r="J1000" t="s">
        <v>2633</v>
      </c>
      <c r="K1000" t="s">
        <v>330</v>
      </c>
      <c r="L1000" t="s">
        <v>2634</v>
      </c>
      <c r="M1000" t="s">
        <v>35</v>
      </c>
      <c r="N1000">
        <v>1425621278</v>
      </c>
      <c r="O1000" t="s">
        <v>2635</v>
      </c>
      <c r="P1000" t="s">
        <v>2636</v>
      </c>
      <c r="R1000" t="s">
        <v>2637</v>
      </c>
      <c r="S1000" t="s">
        <v>2638</v>
      </c>
      <c r="T1000" t="s">
        <v>58</v>
      </c>
      <c r="U1000" t="s">
        <v>82</v>
      </c>
      <c r="V1000" s="1">
        <v>41487</v>
      </c>
      <c r="W1000">
        <v>0</v>
      </c>
      <c r="X1000">
        <v>0</v>
      </c>
      <c r="Y1000" t="s">
        <v>59</v>
      </c>
      <c r="AA1000" t="s">
        <v>42</v>
      </c>
      <c r="AB1000" t="s">
        <v>43</v>
      </c>
      <c r="AC1000" t="s">
        <v>43</v>
      </c>
    </row>
    <row r="1001" spans="1:29" hidden="1" x14ac:dyDescent="0.4">
      <c r="A1001" t="s">
        <v>27</v>
      </c>
      <c r="B1001">
        <v>2459</v>
      </c>
      <c r="C1001" t="s">
        <v>3017</v>
      </c>
      <c r="E1001" t="s">
        <v>68</v>
      </c>
      <c r="F1001" t="s">
        <v>1558</v>
      </c>
      <c r="G1001" t="s">
        <v>2631</v>
      </c>
      <c r="H1001" t="s">
        <v>2632</v>
      </c>
      <c r="J1001" t="s">
        <v>2633</v>
      </c>
      <c r="K1001" t="s">
        <v>330</v>
      </c>
      <c r="L1001" t="s">
        <v>2634</v>
      </c>
      <c r="M1001" t="s">
        <v>35</v>
      </c>
      <c r="N1001">
        <v>1425621278</v>
      </c>
      <c r="O1001" t="s">
        <v>2635</v>
      </c>
      <c r="P1001" t="s">
        <v>2636</v>
      </c>
      <c r="R1001" t="s">
        <v>2639</v>
      </c>
      <c r="S1001" t="s">
        <v>2640</v>
      </c>
      <c r="T1001" t="s">
        <v>138</v>
      </c>
      <c r="U1001" t="s">
        <v>82</v>
      </c>
      <c r="V1001" s="1">
        <v>43503</v>
      </c>
      <c r="W1001">
        <v>0</v>
      </c>
      <c r="X1001">
        <v>0</v>
      </c>
      <c r="Y1001" t="s">
        <v>59</v>
      </c>
      <c r="AA1001" t="s">
        <v>42</v>
      </c>
      <c r="AB1001" t="s">
        <v>43</v>
      </c>
      <c r="AC1001" t="s">
        <v>43</v>
      </c>
    </row>
    <row r="1002" spans="1:29" x14ac:dyDescent="0.4">
      <c r="A1002" t="s">
        <v>27</v>
      </c>
      <c r="B1002">
        <v>2459</v>
      </c>
      <c r="C1002" t="s">
        <v>3017</v>
      </c>
      <c r="D1002">
        <v>325</v>
      </c>
      <c r="E1002" t="s">
        <v>68</v>
      </c>
      <c r="F1002" t="s">
        <v>1558</v>
      </c>
      <c r="G1002" t="s">
        <v>2631</v>
      </c>
      <c r="H1002" t="s">
        <v>2632</v>
      </c>
      <c r="J1002" t="s">
        <v>2633</v>
      </c>
      <c r="K1002" t="s">
        <v>330</v>
      </c>
      <c r="L1002" t="s">
        <v>2634</v>
      </c>
      <c r="M1002" t="s">
        <v>35</v>
      </c>
      <c r="N1002">
        <v>1425621278</v>
      </c>
      <c r="O1002" t="s">
        <v>2635</v>
      </c>
      <c r="P1002" t="s">
        <v>3017</v>
      </c>
      <c r="R1002" t="s">
        <v>2641</v>
      </c>
      <c r="S1002" t="s">
        <v>2642</v>
      </c>
      <c r="T1002" t="s">
        <v>94</v>
      </c>
      <c r="U1002" t="s">
        <v>82</v>
      </c>
      <c r="V1002" s="1">
        <v>44667</v>
      </c>
      <c r="W1002">
        <v>0</v>
      </c>
      <c r="X1002">
        <v>11</v>
      </c>
      <c r="AA1002" t="s">
        <v>42</v>
      </c>
      <c r="AB1002" t="s">
        <v>43</v>
      </c>
      <c r="AC1002" t="s">
        <v>43</v>
      </c>
    </row>
    <row r="1003" spans="1:29" x14ac:dyDescent="0.4">
      <c r="A1003" t="s">
        <v>27</v>
      </c>
      <c r="B1003">
        <v>2459</v>
      </c>
      <c r="C1003" t="s">
        <v>3017</v>
      </c>
      <c r="D1003">
        <v>325</v>
      </c>
      <c r="E1003" t="s">
        <v>68</v>
      </c>
      <c r="F1003" t="s">
        <v>1558</v>
      </c>
      <c r="G1003" t="s">
        <v>2631</v>
      </c>
      <c r="H1003" t="s">
        <v>2632</v>
      </c>
      <c r="J1003" t="s">
        <v>2633</v>
      </c>
      <c r="K1003" t="s">
        <v>330</v>
      </c>
      <c r="L1003" t="s">
        <v>2634</v>
      </c>
      <c r="M1003" t="s">
        <v>35</v>
      </c>
      <c r="N1003">
        <v>1425621278</v>
      </c>
      <c r="O1003" t="s">
        <v>2635</v>
      </c>
      <c r="P1003" t="s">
        <v>3017</v>
      </c>
      <c r="R1003" t="s">
        <v>2641</v>
      </c>
      <c r="S1003" t="s">
        <v>2642</v>
      </c>
      <c r="T1003" t="s">
        <v>94</v>
      </c>
      <c r="U1003" t="s">
        <v>82</v>
      </c>
      <c r="V1003" s="1">
        <v>44667</v>
      </c>
      <c r="W1003">
        <v>0</v>
      </c>
      <c r="X1003">
        <v>13</v>
      </c>
      <c r="AA1003" t="s">
        <v>42</v>
      </c>
      <c r="AB1003" t="s">
        <v>43</v>
      </c>
      <c r="AC1003" t="s">
        <v>43</v>
      </c>
    </row>
    <row r="1004" spans="1:29" x14ac:dyDescent="0.4">
      <c r="A1004" t="s">
        <v>27</v>
      </c>
      <c r="B1004">
        <v>2347</v>
      </c>
      <c r="C1004" t="s">
        <v>3018</v>
      </c>
      <c r="D1004">
        <v>326</v>
      </c>
      <c r="E1004" t="s">
        <v>68</v>
      </c>
      <c r="F1004" t="s">
        <v>714</v>
      </c>
      <c r="G1004" t="s">
        <v>2643</v>
      </c>
      <c r="H1004" t="s">
        <v>2644</v>
      </c>
      <c r="J1004" t="s">
        <v>1732</v>
      </c>
      <c r="K1004" t="s">
        <v>495</v>
      </c>
      <c r="L1004" t="s">
        <v>2645</v>
      </c>
      <c r="M1004" t="s">
        <v>35</v>
      </c>
      <c r="N1004">
        <v>1424714369</v>
      </c>
      <c r="O1004" t="s">
        <v>2646</v>
      </c>
      <c r="P1004" t="s">
        <v>3018</v>
      </c>
      <c r="R1004" t="s">
        <v>2647</v>
      </c>
      <c r="S1004" t="s">
        <v>2648</v>
      </c>
      <c r="T1004" t="s">
        <v>58</v>
      </c>
      <c r="U1004" t="s">
        <v>40</v>
      </c>
      <c r="V1004" s="1">
        <v>44254</v>
      </c>
      <c r="W1004">
        <v>0</v>
      </c>
      <c r="X1004">
        <v>6</v>
      </c>
      <c r="Y1004" t="s">
        <v>83</v>
      </c>
      <c r="AA1004" t="s">
        <v>42</v>
      </c>
      <c r="AB1004" t="s">
        <v>43</v>
      </c>
      <c r="AC1004" t="s">
        <v>43</v>
      </c>
    </row>
    <row r="1005" spans="1:29" x14ac:dyDescent="0.4">
      <c r="A1005" t="s">
        <v>27</v>
      </c>
      <c r="B1005">
        <v>2347</v>
      </c>
      <c r="C1005" t="s">
        <v>3018</v>
      </c>
      <c r="D1005">
        <v>327</v>
      </c>
      <c r="E1005" t="s">
        <v>68</v>
      </c>
      <c r="F1005" t="s">
        <v>714</v>
      </c>
      <c r="G1005" t="s">
        <v>2643</v>
      </c>
      <c r="H1005" t="s">
        <v>2644</v>
      </c>
      <c r="J1005" t="s">
        <v>1732</v>
      </c>
      <c r="K1005" t="s">
        <v>495</v>
      </c>
      <c r="L1005" t="s">
        <v>2645</v>
      </c>
      <c r="M1005" t="s">
        <v>35</v>
      </c>
      <c r="N1005">
        <v>1424714369</v>
      </c>
      <c r="O1005" t="s">
        <v>2646</v>
      </c>
      <c r="P1005" t="s">
        <v>3018</v>
      </c>
      <c r="R1005" t="s">
        <v>2649</v>
      </c>
      <c r="S1005" t="s">
        <v>2650</v>
      </c>
      <c r="T1005" t="s">
        <v>58</v>
      </c>
      <c r="U1005" t="s">
        <v>40</v>
      </c>
      <c r="V1005" s="1">
        <v>42805</v>
      </c>
      <c r="W1005">
        <v>0</v>
      </c>
      <c r="X1005">
        <v>6</v>
      </c>
      <c r="Y1005" t="s">
        <v>83</v>
      </c>
      <c r="AA1005" t="s">
        <v>42</v>
      </c>
      <c r="AB1005" t="s">
        <v>43</v>
      </c>
      <c r="AC1005" t="s">
        <v>43</v>
      </c>
    </row>
    <row r="1006" spans="1:29" x14ac:dyDescent="0.4">
      <c r="A1006" t="s">
        <v>27</v>
      </c>
      <c r="B1006">
        <v>2347</v>
      </c>
      <c r="C1006" t="s">
        <v>3018</v>
      </c>
      <c r="D1006">
        <v>326</v>
      </c>
      <c r="E1006" t="s">
        <v>68</v>
      </c>
      <c r="F1006" t="s">
        <v>714</v>
      </c>
      <c r="G1006" t="s">
        <v>2643</v>
      </c>
      <c r="H1006" t="s">
        <v>2644</v>
      </c>
      <c r="J1006" t="s">
        <v>1732</v>
      </c>
      <c r="K1006" t="s">
        <v>495</v>
      </c>
      <c r="L1006" t="s">
        <v>2645</v>
      </c>
      <c r="M1006" t="s">
        <v>35</v>
      </c>
      <c r="N1006">
        <v>1424714369</v>
      </c>
      <c r="O1006" t="s">
        <v>2646</v>
      </c>
      <c r="P1006" t="s">
        <v>3018</v>
      </c>
      <c r="R1006" t="s">
        <v>2647</v>
      </c>
      <c r="S1006" t="s">
        <v>2648</v>
      </c>
      <c r="T1006" t="s">
        <v>58</v>
      </c>
      <c r="U1006" t="s">
        <v>40</v>
      </c>
      <c r="V1006" s="1">
        <v>44254</v>
      </c>
      <c r="W1006">
        <v>0</v>
      </c>
      <c r="X1006">
        <v>7</v>
      </c>
      <c r="AA1006" t="s">
        <v>42</v>
      </c>
      <c r="AB1006" t="s">
        <v>43</v>
      </c>
      <c r="AC1006" t="s">
        <v>43</v>
      </c>
    </row>
    <row r="1007" spans="1:29" x14ac:dyDescent="0.4">
      <c r="A1007" t="s">
        <v>27</v>
      </c>
      <c r="B1007">
        <v>2347</v>
      </c>
      <c r="C1007" t="s">
        <v>3018</v>
      </c>
      <c r="D1007">
        <v>327</v>
      </c>
      <c r="E1007" t="s">
        <v>68</v>
      </c>
      <c r="F1007" t="s">
        <v>714</v>
      </c>
      <c r="G1007" t="s">
        <v>2643</v>
      </c>
      <c r="H1007" t="s">
        <v>2644</v>
      </c>
      <c r="J1007" t="s">
        <v>1732</v>
      </c>
      <c r="K1007" t="s">
        <v>495</v>
      </c>
      <c r="L1007" t="s">
        <v>2645</v>
      </c>
      <c r="M1007" t="s">
        <v>35</v>
      </c>
      <c r="N1007">
        <v>1424714369</v>
      </c>
      <c r="O1007" t="s">
        <v>2646</v>
      </c>
      <c r="P1007" t="s">
        <v>3018</v>
      </c>
      <c r="R1007" t="s">
        <v>2649</v>
      </c>
      <c r="S1007" t="s">
        <v>2650</v>
      </c>
      <c r="T1007" t="s">
        <v>58</v>
      </c>
      <c r="U1007" t="s">
        <v>40</v>
      </c>
      <c r="V1007" s="1">
        <v>42805</v>
      </c>
      <c r="W1007">
        <v>0</v>
      </c>
      <c r="X1007">
        <v>7</v>
      </c>
      <c r="AA1007" t="s">
        <v>42</v>
      </c>
      <c r="AB1007" t="s">
        <v>43</v>
      </c>
      <c r="AC1007" t="s">
        <v>43</v>
      </c>
    </row>
    <row r="1008" spans="1:29" x14ac:dyDescent="0.4">
      <c r="A1008" t="s">
        <v>27</v>
      </c>
      <c r="B1008">
        <v>2347</v>
      </c>
      <c r="C1008" t="s">
        <v>3018</v>
      </c>
      <c r="D1008">
        <v>326</v>
      </c>
      <c r="E1008" t="s">
        <v>68</v>
      </c>
      <c r="F1008" t="s">
        <v>714</v>
      </c>
      <c r="G1008" t="s">
        <v>2643</v>
      </c>
      <c r="H1008" t="s">
        <v>2644</v>
      </c>
      <c r="J1008" t="s">
        <v>1732</v>
      </c>
      <c r="K1008" t="s">
        <v>495</v>
      </c>
      <c r="L1008" t="s">
        <v>2645</v>
      </c>
      <c r="M1008" t="s">
        <v>35</v>
      </c>
      <c r="N1008">
        <v>1424714369</v>
      </c>
      <c r="O1008" t="s">
        <v>2646</v>
      </c>
      <c r="P1008" t="s">
        <v>3018</v>
      </c>
      <c r="R1008" t="s">
        <v>2647</v>
      </c>
      <c r="S1008" t="s">
        <v>2648</v>
      </c>
      <c r="T1008" t="s">
        <v>58</v>
      </c>
      <c r="U1008" t="s">
        <v>40</v>
      </c>
      <c r="V1008" s="1">
        <v>44254</v>
      </c>
      <c r="W1008">
        <v>0</v>
      </c>
      <c r="X1008">
        <v>16</v>
      </c>
      <c r="AA1008" t="s">
        <v>42</v>
      </c>
      <c r="AB1008" t="s">
        <v>43</v>
      </c>
      <c r="AC1008" t="s">
        <v>43</v>
      </c>
    </row>
    <row r="1009" spans="1:29" x14ac:dyDescent="0.4">
      <c r="A1009" t="s">
        <v>27</v>
      </c>
      <c r="B1009">
        <v>2347</v>
      </c>
      <c r="C1009" t="s">
        <v>3018</v>
      </c>
      <c r="D1009">
        <v>327</v>
      </c>
      <c r="E1009" t="s">
        <v>68</v>
      </c>
      <c r="F1009" t="s">
        <v>714</v>
      </c>
      <c r="G1009" t="s">
        <v>2643</v>
      </c>
      <c r="H1009" t="s">
        <v>2644</v>
      </c>
      <c r="J1009" t="s">
        <v>1732</v>
      </c>
      <c r="K1009" t="s">
        <v>495</v>
      </c>
      <c r="L1009" t="s">
        <v>2645</v>
      </c>
      <c r="M1009" t="s">
        <v>35</v>
      </c>
      <c r="N1009">
        <v>1424714369</v>
      </c>
      <c r="O1009" t="s">
        <v>2646</v>
      </c>
      <c r="P1009" t="s">
        <v>3018</v>
      </c>
      <c r="R1009" t="s">
        <v>2649</v>
      </c>
      <c r="S1009" t="s">
        <v>2650</v>
      </c>
      <c r="T1009" t="s">
        <v>58</v>
      </c>
      <c r="U1009" t="s">
        <v>40</v>
      </c>
      <c r="V1009" s="1">
        <v>42805</v>
      </c>
      <c r="W1009">
        <v>0</v>
      </c>
      <c r="X1009">
        <v>16</v>
      </c>
      <c r="AA1009" t="s">
        <v>42</v>
      </c>
      <c r="AB1009" t="s">
        <v>43</v>
      </c>
      <c r="AC1009" t="s">
        <v>43</v>
      </c>
    </row>
    <row r="1010" spans="1:29" x14ac:dyDescent="0.4">
      <c r="A1010" t="s">
        <v>27</v>
      </c>
      <c r="B1010">
        <v>2347</v>
      </c>
      <c r="C1010" t="s">
        <v>3018</v>
      </c>
      <c r="D1010">
        <v>326</v>
      </c>
      <c r="E1010" t="s">
        <v>68</v>
      </c>
      <c r="F1010" t="s">
        <v>714</v>
      </c>
      <c r="G1010" t="s">
        <v>2643</v>
      </c>
      <c r="H1010" t="s">
        <v>2644</v>
      </c>
      <c r="J1010" t="s">
        <v>1732</v>
      </c>
      <c r="K1010" t="s">
        <v>495</v>
      </c>
      <c r="L1010" t="s">
        <v>2645</v>
      </c>
      <c r="M1010" t="s">
        <v>35</v>
      </c>
      <c r="N1010">
        <v>1424714369</v>
      </c>
      <c r="O1010" t="s">
        <v>2646</v>
      </c>
      <c r="P1010" t="s">
        <v>3018</v>
      </c>
      <c r="R1010" t="s">
        <v>2647</v>
      </c>
      <c r="S1010" t="s">
        <v>2648</v>
      </c>
      <c r="T1010" t="s">
        <v>58</v>
      </c>
      <c r="U1010" t="s">
        <v>40</v>
      </c>
      <c r="V1010" s="1">
        <v>44254</v>
      </c>
      <c r="W1010">
        <v>0</v>
      </c>
      <c r="X1010">
        <v>18</v>
      </c>
      <c r="AA1010" t="s">
        <v>42</v>
      </c>
      <c r="AB1010" t="s">
        <v>43</v>
      </c>
      <c r="AC1010" t="s">
        <v>43</v>
      </c>
    </row>
    <row r="1011" spans="1:29" x14ac:dyDescent="0.4">
      <c r="A1011" t="s">
        <v>27</v>
      </c>
      <c r="B1011">
        <v>2347</v>
      </c>
      <c r="C1011" t="s">
        <v>3018</v>
      </c>
      <c r="D1011">
        <v>327</v>
      </c>
      <c r="E1011" t="s">
        <v>68</v>
      </c>
      <c r="F1011" t="s">
        <v>714</v>
      </c>
      <c r="G1011" t="s">
        <v>2643</v>
      </c>
      <c r="H1011" t="s">
        <v>2644</v>
      </c>
      <c r="J1011" t="s">
        <v>1732</v>
      </c>
      <c r="K1011" t="s">
        <v>495</v>
      </c>
      <c r="L1011" t="s">
        <v>2645</v>
      </c>
      <c r="M1011" t="s">
        <v>35</v>
      </c>
      <c r="N1011">
        <v>1424714369</v>
      </c>
      <c r="O1011" t="s">
        <v>2646</v>
      </c>
      <c r="P1011" t="s">
        <v>3018</v>
      </c>
      <c r="R1011" t="s">
        <v>2649</v>
      </c>
      <c r="S1011" t="s">
        <v>2650</v>
      </c>
      <c r="T1011" t="s">
        <v>58</v>
      </c>
      <c r="U1011" t="s">
        <v>40</v>
      </c>
      <c r="V1011" s="1">
        <v>42805</v>
      </c>
      <c r="W1011">
        <v>0</v>
      </c>
      <c r="X1011">
        <v>18</v>
      </c>
      <c r="AA1011" t="s">
        <v>42</v>
      </c>
      <c r="AB1011" t="s">
        <v>43</v>
      </c>
      <c r="AC1011" t="s">
        <v>43</v>
      </c>
    </row>
    <row r="1012" spans="1:29" x14ac:dyDescent="0.4">
      <c r="A1012" t="s">
        <v>27</v>
      </c>
      <c r="B1012">
        <v>757</v>
      </c>
      <c r="C1012" t="s">
        <v>3019</v>
      </c>
      <c r="D1012">
        <v>329</v>
      </c>
      <c r="E1012" t="s">
        <v>68</v>
      </c>
      <c r="F1012" t="s">
        <v>2519</v>
      </c>
      <c r="G1012" t="s">
        <v>2651</v>
      </c>
      <c r="H1012" t="s">
        <v>2652</v>
      </c>
      <c r="I1012" t="s">
        <v>2653</v>
      </c>
      <c r="J1012" t="s">
        <v>691</v>
      </c>
      <c r="K1012" t="s">
        <v>242</v>
      </c>
      <c r="L1012" t="s">
        <v>2654</v>
      </c>
      <c r="M1012" t="s">
        <v>35</v>
      </c>
      <c r="N1012">
        <v>1980862957</v>
      </c>
      <c r="O1012" t="s">
        <v>2655</v>
      </c>
      <c r="P1012" t="s">
        <v>3019</v>
      </c>
      <c r="R1012" t="s">
        <v>2656</v>
      </c>
      <c r="S1012" t="s">
        <v>2657</v>
      </c>
      <c r="T1012" t="s">
        <v>94</v>
      </c>
      <c r="U1012" t="s">
        <v>40</v>
      </c>
      <c r="V1012" s="1">
        <v>44625</v>
      </c>
      <c r="W1012">
        <v>0</v>
      </c>
      <c r="X1012">
        <v>11</v>
      </c>
      <c r="AA1012" t="s">
        <v>42</v>
      </c>
      <c r="AB1012" t="s">
        <v>43</v>
      </c>
      <c r="AC1012" t="s">
        <v>43</v>
      </c>
    </row>
    <row r="1013" spans="1:29" x14ac:dyDescent="0.4">
      <c r="A1013" t="s">
        <v>27</v>
      </c>
      <c r="B1013">
        <v>757</v>
      </c>
      <c r="C1013" t="s">
        <v>3019</v>
      </c>
      <c r="D1013">
        <v>330</v>
      </c>
      <c r="E1013" t="s">
        <v>68</v>
      </c>
      <c r="F1013" t="s">
        <v>2519</v>
      </c>
      <c r="G1013" t="s">
        <v>2651</v>
      </c>
      <c r="H1013" t="s">
        <v>2652</v>
      </c>
      <c r="I1013" t="s">
        <v>2653</v>
      </c>
      <c r="J1013" t="s">
        <v>691</v>
      </c>
      <c r="K1013" t="s">
        <v>242</v>
      </c>
      <c r="L1013" t="s">
        <v>2654</v>
      </c>
      <c r="M1013" t="s">
        <v>35</v>
      </c>
      <c r="N1013">
        <v>1980862957</v>
      </c>
      <c r="O1013" t="s">
        <v>2655</v>
      </c>
      <c r="P1013" t="s">
        <v>3019</v>
      </c>
      <c r="R1013" t="s">
        <v>2658</v>
      </c>
      <c r="S1013" t="s">
        <v>2659</v>
      </c>
      <c r="T1013" t="s">
        <v>94</v>
      </c>
      <c r="U1013" t="s">
        <v>40</v>
      </c>
      <c r="V1013" s="1">
        <v>42800</v>
      </c>
      <c r="W1013">
        <v>0</v>
      </c>
      <c r="X1013">
        <v>11</v>
      </c>
      <c r="AA1013" t="s">
        <v>42</v>
      </c>
      <c r="AB1013" t="s">
        <v>43</v>
      </c>
      <c r="AC1013" t="s">
        <v>43</v>
      </c>
    </row>
    <row r="1014" spans="1:29" x14ac:dyDescent="0.4">
      <c r="A1014" t="s">
        <v>27</v>
      </c>
      <c r="B1014">
        <v>757</v>
      </c>
      <c r="C1014" t="s">
        <v>3019</v>
      </c>
      <c r="D1014">
        <v>330</v>
      </c>
      <c r="E1014" t="s">
        <v>68</v>
      </c>
      <c r="F1014" t="s">
        <v>2519</v>
      </c>
      <c r="G1014" t="s">
        <v>2651</v>
      </c>
      <c r="H1014" t="s">
        <v>2652</v>
      </c>
      <c r="I1014" t="s">
        <v>2653</v>
      </c>
      <c r="J1014" t="s">
        <v>691</v>
      </c>
      <c r="K1014" t="s">
        <v>242</v>
      </c>
      <c r="L1014" t="s">
        <v>2654</v>
      </c>
      <c r="M1014" t="s">
        <v>35</v>
      </c>
      <c r="N1014">
        <v>1980862957</v>
      </c>
      <c r="O1014" t="s">
        <v>2655</v>
      </c>
      <c r="P1014" t="s">
        <v>3019</v>
      </c>
      <c r="R1014" t="s">
        <v>2658</v>
      </c>
      <c r="S1014" t="s">
        <v>2659</v>
      </c>
      <c r="T1014" t="s">
        <v>94</v>
      </c>
      <c r="U1014" t="s">
        <v>40</v>
      </c>
      <c r="V1014" s="1">
        <v>42800</v>
      </c>
      <c r="W1014">
        <v>0</v>
      </c>
      <c r="X1014">
        <v>12</v>
      </c>
      <c r="AA1014" t="s">
        <v>42</v>
      </c>
      <c r="AB1014" t="s">
        <v>43</v>
      </c>
      <c r="AC1014" t="s">
        <v>43</v>
      </c>
    </row>
    <row r="1015" spans="1:29" x14ac:dyDescent="0.4">
      <c r="A1015" t="s">
        <v>27</v>
      </c>
      <c r="B1015">
        <v>584</v>
      </c>
      <c r="C1015" t="s">
        <v>3020</v>
      </c>
      <c r="D1015">
        <v>328</v>
      </c>
      <c r="E1015" t="s">
        <v>68</v>
      </c>
      <c r="F1015" t="s">
        <v>1333</v>
      </c>
      <c r="G1015" t="s">
        <v>2651</v>
      </c>
      <c r="H1015" t="s">
        <v>2660</v>
      </c>
      <c r="I1015" t="s">
        <v>2661</v>
      </c>
      <c r="J1015" t="s">
        <v>1732</v>
      </c>
      <c r="K1015" t="s">
        <v>495</v>
      </c>
      <c r="L1015" t="s">
        <v>2662</v>
      </c>
      <c r="M1015" t="s">
        <v>35</v>
      </c>
      <c r="N1015">
        <v>1424815168</v>
      </c>
      <c r="O1015" t="s">
        <v>2663</v>
      </c>
      <c r="P1015" t="s">
        <v>3020</v>
      </c>
      <c r="R1015" t="s">
        <v>2664</v>
      </c>
      <c r="S1015" t="s">
        <v>2665</v>
      </c>
      <c r="T1015" t="s">
        <v>169</v>
      </c>
      <c r="U1015" t="s">
        <v>40</v>
      </c>
      <c r="V1015" s="1">
        <v>43678</v>
      </c>
      <c r="W1015">
        <v>0</v>
      </c>
      <c r="X1015">
        <v>5</v>
      </c>
      <c r="Y1015" t="s">
        <v>66</v>
      </c>
      <c r="AA1015" t="s">
        <v>42</v>
      </c>
      <c r="AB1015" t="s">
        <v>43</v>
      </c>
      <c r="AC1015" t="s">
        <v>42</v>
      </c>
    </row>
    <row r="1016" spans="1:29" x14ac:dyDescent="0.4">
      <c r="A1016" t="s">
        <v>27</v>
      </c>
      <c r="B1016">
        <v>584</v>
      </c>
      <c r="C1016" t="s">
        <v>3020</v>
      </c>
      <c r="D1016">
        <v>328</v>
      </c>
      <c r="E1016" t="s">
        <v>68</v>
      </c>
      <c r="F1016" t="s">
        <v>1333</v>
      </c>
      <c r="G1016" t="s">
        <v>2651</v>
      </c>
      <c r="H1016" t="s">
        <v>2660</v>
      </c>
      <c r="I1016" t="s">
        <v>2661</v>
      </c>
      <c r="J1016" t="s">
        <v>1732</v>
      </c>
      <c r="K1016" t="s">
        <v>495</v>
      </c>
      <c r="L1016" t="s">
        <v>2662</v>
      </c>
      <c r="M1016" t="s">
        <v>35</v>
      </c>
      <c r="N1016">
        <v>1424815168</v>
      </c>
      <c r="O1016" t="s">
        <v>2663</v>
      </c>
      <c r="P1016" t="s">
        <v>3020</v>
      </c>
      <c r="R1016" t="s">
        <v>2664</v>
      </c>
      <c r="S1016" t="s">
        <v>2665</v>
      </c>
      <c r="T1016" t="s">
        <v>169</v>
      </c>
      <c r="U1016" t="s">
        <v>40</v>
      </c>
      <c r="V1016" s="1">
        <v>43678</v>
      </c>
      <c r="W1016">
        <v>0</v>
      </c>
      <c r="X1016">
        <v>6</v>
      </c>
      <c r="Y1016" t="s">
        <v>83</v>
      </c>
      <c r="AA1016" t="s">
        <v>42</v>
      </c>
      <c r="AB1016" t="s">
        <v>43</v>
      </c>
      <c r="AC1016" t="s">
        <v>42</v>
      </c>
    </row>
    <row r="1017" spans="1:29" x14ac:dyDescent="0.4">
      <c r="A1017" t="s">
        <v>27</v>
      </c>
      <c r="B1017">
        <v>584</v>
      </c>
      <c r="C1017" t="s">
        <v>3020</v>
      </c>
      <c r="D1017">
        <v>328</v>
      </c>
      <c r="E1017" t="s">
        <v>68</v>
      </c>
      <c r="F1017" t="s">
        <v>1333</v>
      </c>
      <c r="G1017" t="s">
        <v>2651</v>
      </c>
      <c r="H1017" t="s">
        <v>2660</v>
      </c>
      <c r="I1017" t="s">
        <v>2661</v>
      </c>
      <c r="J1017" t="s">
        <v>1732</v>
      </c>
      <c r="K1017" t="s">
        <v>495</v>
      </c>
      <c r="L1017" t="s">
        <v>2662</v>
      </c>
      <c r="M1017" t="s">
        <v>35</v>
      </c>
      <c r="N1017">
        <v>1424815168</v>
      </c>
      <c r="O1017" t="s">
        <v>2663</v>
      </c>
      <c r="P1017" t="s">
        <v>3020</v>
      </c>
      <c r="R1017" t="s">
        <v>2664</v>
      </c>
      <c r="S1017" t="s">
        <v>2665</v>
      </c>
      <c r="T1017" t="s">
        <v>169</v>
      </c>
      <c r="U1017" t="s">
        <v>40</v>
      </c>
      <c r="V1017" s="1">
        <v>43678</v>
      </c>
      <c r="W1017">
        <v>0</v>
      </c>
      <c r="X1017">
        <v>16</v>
      </c>
      <c r="AA1017" t="s">
        <v>42</v>
      </c>
      <c r="AB1017" t="s">
        <v>43</v>
      </c>
      <c r="AC1017" t="s">
        <v>42</v>
      </c>
    </row>
    <row r="1018" spans="1:29" x14ac:dyDescent="0.4">
      <c r="A1018" t="s">
        <v>27</v>
      </c>
      <c r="B1018">
        <v>584</v>
      </c>
      <c r="C1018" t="s">
        <v>3020</v>
      </c>
      <c r="D1018">
        <v>328</v>
      </c>
      <c r="E1018" t="s">
        <v>68</v>
      </c>
      <c r="F1018" t="s">
        <v>1333</v>
      </c>
      <c r="G1018" t="s">
        <v>2651</v>
      </c>
      <c r="H1018" t="s">
        <v>2660</v>
      </c>
      <c r="I1018" t="s">
        <v>2661</v>
      </c>
      <c r="J1018" t="s">
        <v>1732</v>
      </c>
      <c r="K1018" t="s">
        <v>495</v>
      </c>
      <c r="L1018" t="s">
        <v>2662</v>
      </c>
      <c r="M1018" t="s">
        <v>35</v>
      </c>
      <c r="N1018">
        <v>1424815168</v>
      </c>
      <c r="O1018" t="s">
        <v>2663</v>
      </c>
      <c r="P1018" t="s">
        <v>3020</v>
      </c>
      <c r="R1018" t="s">
        <v>2664</v>
      </c>
      <c r="S1018" t="s">
        <v>2665</v>
      </c>
      <c r="T1018" t="s">
        <v>169</v>
      </c>
      <c r="U1018" t="s">
        <v>40</v>
      </c>
      <c r="V1018" s="1">
        <v>43678</v>
      </c>
      <c r="W1018">
        <v>0</v>
      </c>
      <c r="X1018">
        <v>14</v>
      </c>
      <c r="AA1018" t="s">
        <v>42</v>
      </c>
      <c r="AB1018" t="s">
        <v>43</v>
      </c>
      <c r="AC1018" t="s">
        <v>42</v>
      </c>
    </row>
    <row r="1019" spans="1:29" x14ac:dyDescent="0.4">
      <c r="A1019" t="s">
        <v>27</v>
      </c>
      <c r="B1019">
        <v>549</v>
      </c>
      <c r="C1019" t="s">
        <v>3021</v>
      </c>
      <c r="D1019">
        <v>331</v>
      </c>
      <c r="E1019" t="s">
        <v>68</v>
      </c>
      <c r="F1019" t="s">
        <v>2666</v>
      </c>
      <c r="G1019" t="s">
        <v>2667</v>
      </c>
      <c r="H1019" t="s">
        <v>2668</v>
      </c>
      <c r="J1019" t="s">
        <v>1448</v>
      </c>
      <c r="K1019" t="s">
        <v>370</v>
      </c>
      <c r="L1019" t="s">
        <v>2669</v>
      </c>
      <c r="M1019" t="s">
        <v>35</v>
      </c>
      <c r="N1019" t="s">
        <v>2670</v>
      </c>
      <c r="O1019" t="s">
        <v>2671</v>
      </c>
      <c r="P1019" t="s">
        <v>3021</v>
      </c>
      <c r="R1019" t="s">
        <v>2672</v>
      </c>
      <c r="S1019" t="s">
        <v>2673</v>
      </c>
      <c r="T1019" t="s">
        <v>58</v>
      </c>
      <c r="U1019" t="s">
        <v>82</v>
      </c>
      <c r="V1019" s="1">
        <v>44536</v>
      </c>
      <c r="W1019">
        <v>0</v>
      </c>
      <c r="X1019">
        <v>5</v>
      </c>
      <c r="Y1019" t="s">
        <v>66</v>
      </c>
      <c r="AA1019" t="s">
        <v>42</v>
      </c>
      <c r="AB1019" t="s">
        <v>43</v>
      </c>
      <c r="AC1019" t="s">
        <v>43</v>
      </c>
    </row>
    <row r="1020" spans="1:29" x14ac:dyDescent="0.4">
      <c r="A1020" t="s">
        <v>27</v>
      </c>
      <c r="B1020">
        <v>549</v>
      </c>
      <c r="C1020" t="s">
        <v>3021</v>
      </c>
      <c r="D1020">
        <v>331</v>
      </c>
      <c r="E1020" t="s">
        <v>68</v>
      </c>
      <c r="F1020" t="s">
        <v>2666</v>
      </c>
      <c r="G1020" t="s">
        <v>2667</v>
      </c>
      <c r="H1020" t="s">
        <v>2668</v>
      </c>
      <c r="J1020" t="s">
        <v>1448</v>
      </c>
      <c r="K1020" t="s">
        <v>370</v>
      </c>
      <c r="L1020" t="s">
        <v>2669</v>
      </c>
      <c r="M1020" t="s">
        <v>35</v>
      </c>
      <c r="N1020" t="s">
        <v>2670</v>
      </c>
      <c r="O1020" t="s">
        <v>2671</v>
      </c>
      <c r="P1020" t="s">
        <v>3021</v>
      </c>
      <c r="R1020" t="s">
        <v>2672</v>
      </c>
      <c r="S1020" t="s">
        <v>2673</v>
      </c>
      <c r="T1020" t="s">
        <v>58</v>
      </c>
      <c r="U1020" t="s">
        <v>82</v>
      </c>
      <c r="V1020" s="1">
        <v>44536</v>
      </c>
      <c r="W1020">
        <v>0</v>
      </c>
      <c r="X1020">
        <v>6</v>
      </c>
      <c r="Y1020" t="s">
        <v>83</v>
      </c>
      <c r="AA1020" t="s">
        <v>42</v>
      </c>
      <c r="AB1020" t="s">
        <v>43</v>
      </c>
      <c r="AC1020" t="s">
        <v>43</v>
      </c>
    </row>
    <row r="1021" spans="1:29" x14ac:dyDescent="0.4">
      <c r="A1021" t="s">
        <v>27</v>
      </c>
      <c r="B1021">
        <v>549</v>
      </c>
      <c r="C1021" t="s">
        <v>3021</v>
      </c>
      <c r="D1021">
        <v>331</v>
      </c>
      <c r="E1021" t="s">
        <v>68</v>
      </c>
      <c r="F1021" t="s">
        <v>2666</v>
      </c>
      <c r="G1021" t="s">
        <v>2667</v>
      </c>
      <c r="H1021" t="s">
        <v>2668</v>
      </c>
      <c r="J1021" t="s">
        <v>1448</v>
      </c>
      <c r="K1021" t="s">
        <v>370</v>
      </c>
      <c r="L1021" t="s">
        <v>2669</v>
      </c>
      <c r="M1021" t="s">
        <v>35</v>
      </c>
      <c r="N1021" t="s">
        <v>2670</v>
      </c>
      <c r="O1021" t="s">
        <v>2671</v>
      </c>
      <c r="P1021" t="s">
        <v>3021</v>
      </c>
      <c r="R1021" t="s">
        <v>2672</v>
      </c>
      <c r="S1021" t="s">
        <v>2673</v>
      </c>
      <c r="T1021" t="s">
        <v>58</v>
      </c>
      <c r="U1021" t="s">
        <v>82</v>
      </c>
      <c r="V1021" s="1">
        <v>44536</v>
      </c>
      <c r="W1021">
        <v>0</v>
      </c>
      <c r="X1021">
        <v>15</v>
      </c>
      <c r="AA1021" t="s">
        <v>42</v>
      </c>
      <c r="AB1021" t="s">
        <v>43</v>
      </c>
      <c r="AC1021" t="s">
        <v>43</v>
      </c>
    </row>
    <row r="1022" spans="1:29" x14ac:dyDescent="0.4">
      <c r="A1022" t="s">
        <v>27</v>
      </c>
      <c r="B1022">
        <v>549</v>
      </c>
      <c r="C1022" t="s">
        <v>3021</v>
      </c>
      <c r="D1022">
        <v>331</v>
      </c>
      <c r="E1022" t="s">
        <v>68</v>
      </c>
      <c r="F1022" t="s">
        <v>2666</v>
      </c>
      <c r="G1022" t="s">
        <v>2667</v>
      </c>
      <c r="H1022" t="s">
        <v>2668</v>
      </c>
      <c r="J1022" t="s">
        <v>1448</v>
      </c>
      <c r="K1022" t="s">
        <v>370</v>
      </c>
      <c r="L1022" t="s">
        <v>2669</v>
      </c>
      <c r="M1022" t="s">
        <v>35</v>
      </c>
      <c r="N1022" t="s">
        <v>2670</v>
      </c>
      <c r="O1022" t="s">
        <v>2671</v>
      </c>
      <c r="P1022" t="s">
        <v>3021</v>
      </c>
      <c r="R1022" t="s">
        <v>2672</v>
      </c>
      <c r="S1022" t="s">
        <v>2673</v>
      </c>
      <c r="T1022" t="s">
        <v>58</v>
      </c>
      <c r="U1022" t="s">
        <v>82</v>
      </c>
      <c r="V1022" s="1">
        <v>44536</v>
      </c>
      <c r="W1022">
        <v>0</v>
      </c>
      <c r="X1022">
        <v>17</v>
      </c>
      <c r="AA1022" t="s">
        <v>42</v>
      </c>
      <c r="AB1022" t="s">
        <v>43</v>
      </c>
      <c r="AC1022" t="s">
        <v>43</v>
      </c>
    </row>
    <row r="1023" spans="1:29" x14ac:dyDescent="0.4">
      <c r="A1023" t="s">
        <v>27</v>
      </c>
      <c r="B1023">
        <v>1034</v>
      </c>
      <c r="C1023" t="s">
        <v>2682</v>
      </c>
      <c r="D1023">
        <v>332</v>
      </c>
      <c r="E1023" t="s">
        <v>68</v>
      </c>
      <c r="F1023" t="s">
        <v>2674</v>
      </c>
      <c r="G1023" t="s">
        <v>2675</v>
      </c>
      <c r="H1023" t="s">
        <v>2676</v>
      </c>
      <c r="I1023" t="s">
        <v>2677</v>
      </c>
      <c r="J1023" t="s">
        <v>2678</v>
      </c>
      <c r="K1023" t="s">
        <v>51</v>
      </c>
      <c r="L1023" t="s">
        <v>2679</v>
      </c>
      <c r="M1023" t="s">
        <v>35</v>
      </c>
      <c r="N1023" t="s">
        <v>2680</v>
      </c>
      <c r="O1023" t="s">
        <v>2681</v>
      </c>
      <c r="P1023" t="s">
        <v>2682</v>
      </c>
      <c r="R1023" t="s">
        <v>2683</v>
      </c>
      <c r="S1023" t="s">
        <v>2684</v>
      </c>
      <c r="T1023" t="s">
        <v>555</v>
      </c>
      <c r="U1023" t="s">
        <v>40</v>
      </c>
      <c r="V1023" s="1">
        <v>44423</v>
      </c>
      <c r="W1023">
        <v>0</v>
      </c>
      <c r="X1023">
        <v>11</v>
      </c>
      <c r="AA1023" t="s">
        <v>42</v>
      </c>
      <c r="AB1023" t="s">
        <v>43</v>
      </c>
      <c r="AC1023" t="s">
        <v>43</v>
      </c>
    </row>
    <row r="1024" spans="1:29" hidden="1" x14ac:dyDescent="0.4">
      <c r="A1024" t="s">
        <v>27</v>
      </c>
      <c r="B1024">
        <v>1267</v>
      </c>
      <c r="C1024" t="s">
        <v>3022</v>
      </c>
      <c r="E1024" t="s">
        <v>28</v>
      </c>
      <c r="F1024" t="s">
        <v>687</v>
      </c>
      <c r="G1024" t="s">
        <v>2685</v>
      </c>
      <c r="H1024" t="s">
        <v>2686</v>
      </c>
      <c r="I1024" t="s">
        <v>2687</v>
      </c>
      <c r="J1024" t="s">
        <v>2688</v>
      </c>
      <c r="K1024" t="s">
        <v>201</v>
      </c>
      <c r="L1024" t="s">
        <v>2689</v>
      </c>
      <c r="M1024" t="s">
        <v>35</v>
      </c>
      <c r="N1024" t="s">
        <v>2690</v>
      </c>
      <c r="O1024" t="s">
        <v>2691</v>
      </c>
      <c r="P1024" t="s">
        <v>2692</v>
      </c>
      <c r="R1024" t="s">
        <v>2693</v>
      </c>
      <c r="S1024" t="s">
        <v>2694</v>
      </c>
      <c r="T1024" t="s">
        <v>376</v>
      </c>
      <c r="U1024" t="s">
        <v>40</v>
      </c>
      <c r="V1024" s="1">
        <v>41433</v>
      </c>
      <c r="W1024">
        <v>0</v>
      </c>
      <c r="X1024">
        <v>0</v>
      </c>
      <c r="Y1024" t="s">
        <v>59</v>
      </c>
      <c r="AA1024" t="s">
        <v>42</v>
      </c>
      <c r="AB1024" t="s">
        <v>43</v>
      </c>
      <c r="AC1024" t="s">
        <v>43</v>
      </c>
    </row>
    <row r="1025" spans="1:29" hidden="1" x14ac:dyDescent="0.4">
      <c r="A1025" t="s">
        <v>27</v>
      </c>
      <c r="B1025">
        <v>1267</v>
      </c>
      <c r="C1025" t="s">
        <v>3022</v>
      </c>
      <c r="E1025" t="s">
        <v>28</v>
      </c>
      <c r="F1025" t="s">
        <v>687</v>
      </c>
      <c r="G1025" t="s">
        <v>2685</v>
      </c>
      <c r="H1025" t="s">
        <v>2686</v>
      </c>
      <c r="I1025" t="s">
        <v>2687</v>
      </c>
      <c r="J1025" t="s">
        <v>2688</v>
      </c>
      <c r="K1025" t="s">
        <v>201</v>
      </c>
      <c r="L1025" t="s">
        <v>2689</v>
      </c>
      <c r="M1025" t="s">
        <v>35</v>
      </c>
      <c r="N1025" t="s">
        <v>2690</v>
      </c>
      <c r="O1025" t="s">
        <v>2691</v>
      </c>
      <c r="P1025" t="s">
        <v>2692</v>
      </c>
      <c r="R1025" t="s">
        <v>2695</v>
      </c>
      <c r="S1025" t="s">
        <v>2696</v>
      </c>
      <c r="T1025" t="s">
        <v>2697</v>
      </c>
      <c r="U1025" t="s">
        <v>40</v>
      </c>
      <c r="V1025" s="1">
        <v>45579</v>
      </c>
      <c r="W1025">
        <v>0</v>
      </c>
      <c r="X1025">
        <v>0</v>
      </c>
      <c r="Y1025" t="s">
        <v>59</v>
      </c>
      <c r="AA1025" t="s">
        <v>42</v>
      </c>
      <c r="AB1025" t="s">
        <v>43</v>
      </c>
      <c r="AC1025" t="s">
        <v>43</v>
      </c>
    </row>
    <row r="1026" spans="1:29" x14ac:dyDescent="0.4">
      <c r="A1026" t="s">
        <v>27</v>
      </c>
      <c r="B1026">
        <v>1267</v>
      </c>
      <c r="C1026" t="s">
        <v>3022</v>
      </c>
      <c r="D1026">
        <v>333</v>
      </c>
      <c r="E1026" t="s">
        <v>28</v>
      </c>
      <c r="F1026" t="s">
        <v>687</v>
      </c>
      <c r="G1026" t="s">
        <v>2685</v>
      </c>
      <c r="H1026" t="s">
        <v>2686</v>
      </c>
      <c r="I1026" t="s">
        <v>2687</v>
      </c>
      <c r="J1026" t="s">
        <v>2688</v>
      </c>
      <c r="K1026" t="s">
        <v>201</v>
      </c>
      <c r="L1026" t="s">
        <v>2689</v>
      </c>
      <c r="M1026" t="s">
        <v>35</v>
      </c>
      <c r="N1026" t="s">
        <v>2690</v>
      </c>
      <c r="O1026" t="s">
        <v>2691</v>
      </c>
      <c r="P1026" t="s">
        <v>3022</v>
      </c>
      <c r="R1026" t="s">
        <v>2698</v>
      </c>
      <c r="S1026" t="s">
        <v>2699</v>
      </c>
      <c r="T1026" t="s">
        <v>376</v>
      </c>
      <c r="U1026" t="s">
        <v>40</v>
      </c>
      <c r="V1026" s="1">
        <v>43831</v>
      </c>
      <c r="W1026">
        <v>0</v>
      </c>
      <c r="X1026">
        <v>4</v>
      </c>
      <c r="Y1026" t="s">
        <v>65</v>
      </c>
      <c r="AA1026" t="s">
        <v>42</v>
      </c>
      <c r="AB1026" t="s">
        <v>43</v>
      </c>
      <c r="AC1026" t="s">
        <v>43</v>
      </c>
    </row>
    <row r="1027" spans="1:29" x14ac:dyDescent="0.4">
      <c r="A1027" t="s">
        <v>27</v>
      </c>
      <c r="B1027">
        <v>1267</v>
      </c>
      <c r="C1027" t="s">
        <v>3022</v>
      </c>
      <c r="D1027">
        <v>333</v>
      </c>
      <c r="E1027" t="s">
        <v>28</v>
      </c>
      <c r="F1027" t="s">
        <v>687</v>
      </c>
      <c r="G1027" t="s">
        <v>2685</v>
      </c>
      <c r="H1027" t="s">
        <v>2686</v>
      </c>
      <c r="I1027" t="s">
        <v>2687</v>
      </c>
      <c r="J1027" t="s">
        <v>2688</v>
      </c>
      <c r="K1027" t="s">
        <v>201</v>
      </c>
      <c r="L1027" t="s">
        <v>2689</v>
      </c>
      <c r="M1027" t="s">
        <v>35</v>
      </c>
      <c r="N1027" t="s">
        <v>2690</v>
      </c>
      <c r="O1027" t="s">
        <v>2691</v>
      </c>
      <c r="P1027" t="s">
        <v>3022</v>
      </c>
      <c r="R1027" t="s">
        <v>2698</v>
      </c>
      <c r="S1027" t="s">
        <v>2699</v>
      </c>
      <c r="T1027" t="s">
        <v>376</v>
      </c>
      <c r="U1027" t="s">
        <v>40</v>
      </c>
      <c r="V1027" s="1">
        <v>43831</v>
      </c>
      <c r="W1027">
        <v>0</v>
      </c>
      <c r="X1027">
        <v>5</v>
      </c>
      <c r="Y1027" t="s">
        <v>66</v>
      </c>
      <c r="AA1027" t="s">
        <v>42</v>
      </c>
      <c r="AB1027" t="s">
        <v>43</v>
      </c>
      <c r="AC1027" t="s">
        <v>43</v>
      </c>
    </row>
    <row r="1028" spans="1:29" x14ac:dyDescent="0.4">
      <c r="A1028" t="s">
        <v>27</v>
      </c>
      <c r="B1028">
        <v>1267</v>
      </c>
      <c r="C1028" t="s">
        <v>3022</v>
      </c>
      <c r="D1028">
        <v>333</v>
      </c>
      <c r="E1028" t="s">
        <v>28</v>
      </c>
      <c r="F1028" t="s">
        <v>687</v>
      </c>
      <c r="G1028" t="s">
        <v>2685</v>
      </c>
      <c r="H1028" t="s">
        <v>2686</v>
      </c>
      <c r="I1028" t="s">
        <v>2687</v>
      </c>
      <c r="J1028" t="s">
        <v>2688</v>
      </c>
      <c r="K1028" t="s">
        <v>201</v>
      </c>
      <c r="L1028" t="s">
        <v>2689</v>
      </c>
      <c r="M1028" t="s">
        <v>35</v>
      </c>
      <c r="N1028" t="s">
        <v>2690</v>
      </c>
      <c r="O1028" t="s">
        <v>2691</v>
      </c>
      <c r="P1028" t="s">
        <v>3022</v>
      </c>
      <c r="R1028" t="s">
        <v>2698</v>
      </c>
      <c r="S1028" t="s">
        <v>2699</v>
      </c>
      <c r="T1028" t="s">
        <v>376</v>
      </c>
      <c r="U1028" t="s">
        <v>40</v>
      </c>
      <c r="V1028" s="1">
        <v>43831</v>
      </c>
      <c r="W1028">
        <v>0</v>
      </c>
      <c r="X1028">
        <v>12</v>
      </c>
      <c r="AA1028" t="s">
        <v>42</v>
      </c>
      <c r="AB1028" t="s">
        <v>43</v>
      </c>
      <c r="AC1028" t="s">
        <v>43</v>
      </c>
    </row>
    <row r="1029" spans="1:29" x14ac:dyDescent="0.4">
      <c r="A1029" t="s">
        <v>27</v>
      </c>
      <c r="B1029">
        <v>1267</v>
      </c>
      <c r="C1029" t="s">
        <v>3022</v>
      </c>
      <c r="D1029">
        <v>333</v>
      </c>
      <c r="E1029" t="s">
        <v>28</v>
      </c>
      <c r="F1029" t="s">
        <v>687</v>
      </c>
      <c r="G1029" t="s">
        <v>2685</v>
      </c>
      <c r="H1029" t="s">
        <v>2686</v>
      </c>
      <c r="I1029" t="s">
        <v>2687</v>
      </c>
      <c r="J1029" t="s">
        <v>2688</v>
      </c>
      <c r="K1029" t="s">
        <v>201</v>
      </c>
      <c r="L1029" t="s">
        <v>2689</v>
      </c>
      <c r="M1029" t="s">
        <v>35</v>
      </c>
      <c r="N1029" t="s">
        <v>2690</v>
      </c>
      <c r="O1029" t="s">
        <v>2691</v>
      </c>
      <c r="P1029" t="s">
        <v>3022</v>
      </c>
      <c r="R1029" t="s">
        <v>2698</v>
      </c>
      <c r="S1029" t="s">
        <v>2699</v>
      </c>
      <c r="T1029" t="s">
        <v>376</v>
      </c>
      <c r="U1029" t="s">
        <v>40</v>
      </c>
      <c r="V1029" s="1">
        <v>43831</v>
      </c>
      <c r="W1029">
        <v>0</v>
      </c>
      <c r="X1029">
        <v>14</v>
      </c>
      <c r="AA1029" t="s">
        <v>42</v>
      </c>
      <c r="AB1029" t="s">
        <v>43</v>
      </c>
      <c r="AC1029" t="s">
        <v>43</v>
      </c>
    </row>
    <row r="1030" spans="1:29" hidden="1" x14ac:dyDescent="0.4">
      <c r="A1030" t="s">
        <v>27</v>
      </c>
      <c r="B1030">
        <v>1267</v>
      </c>
      <c r="C1030" t="s">
        <v>3022</v>
      </c>
      <c r="E1030" t="s">
        <v>28</v>
      </c>
      <c r="F1030" t="s">
        <v>687</v>
      </c>
      <c r="G1030" t="s">
        <v>2685</v>
      </c>
      <c r="H1030" t="s">
        <v>2686</v>
      </c>
      <c r="I1030" t="s">
        <v>2687</v>
      </c>
      <c r="J1030" t="s">
        <v>2688</v>
      </c>
      <c r="K1030" t="s">
        <v>201</v>
      </c>
      <c r="L1030" t="s">
        <v>2689</v>
      </c>
      <c r="M1030" t="s">
        <v>35</v>
      </c>
      <c r="N1030" t="s">
        <v>2690</v>
      </c>
      <c r="O1030" t="s">
        <v>2691</v>
      </c>
      <c r="P1030" t="s">
        <v>2692</v>
      </c>
      <c r="R1030" t="s">
        <v>2695</v>
      </c>
      <c r="S1030" t="s">
        <v>2696</v>
      </c>
      <c r="T1030" t="s">
        <v>2697</v>
      </c>
      <c r="U1030" t="s">
        <v>40</v>
      </c>
      <c r="V1030" s="1">
        <v>45579</v>
      </c>
      <c r="W1030">
        <v>0</v>
      </c>
      <c r="X1030">
        <v>0</v>
      </c>
      <c r="Y1030" t="s">
        <v>59</v>
      </c>
      <c r="AA1030" t="s">
        <v>42</v>
      </c>
      <c r="AB1030" t="s">
        <v>43</v>
      </c>
      <c r="AC1030" t="s">
        <v>43</v>
      </c>
    </row>
    <row r="1031" spans="1:29" hidden="1" x14ac:dyDescent="0.4">
      <c r="A1031" t="s">
        <v>27</v>
      </c>
      <c r="B1031">
        <v>1267</v>
      </c>
      <c r="C1031" t="s">
        <v>3022</v>
      </c>
      <c r="E1031" t="s">
        <v>28</v>
      </c>
      <c r="F1031" t="s">
        <v>687</v>
      </c>
      <c r="G1031" t="s">
        <v>2685</v>
      </c>
      <c r="H1031" t="s">
        <v>2686</v>
      </c>
      <c r="I1031" t="s">
        <v>2687</v>
      </c>
      <c r="J1031" t="s">
        <v>2688</v>
      </c>
      <c r="K1031" t="s">
        <v>201</v>
      </c>
      <c r="L1031" t="s">
        <v>2689</v>
      </c>
      <c r="M1031" t="s">
        <v>35</v>
      </c>
      <c r="N1031" t="s">
        <v>2690</v>
      </c>
      <c r="O1031" t="s">
        <v>2691</v>
      </c>
      <c r="P1031" t="s">
        <v>2692</v>
      </c>
      <c r="R1031" t="s">
        <v>2693</v>
      </c>
      <c r="S1031" t="s">
        <v>2694</v>
      </c>
      <c r="T1031" t="s">
        <v>376</v>
      </c>
      <c r="U1031" t="s">
        <v>40</v>
      </c>
      <c r="V1031" s="1">
        <v>41433</v>
      </c>
      <c r="W1031">
        <v>0</v>
      </c>
      <c r="X1031">
        <v>0</v>
      </c>
      <c r="Y1031" t="s">
        <v>59</v>
      </c>
      <c r="AA1031" t="s">
        <v>42</v>
      </c>
      <c r="AB1031" t="s">
        <v>43</v>
      </c>
      <c r="AC1031" t="s">
        <v>43</v>
      </c>
    </row>
    <row r="1032" spans="1:29" x14ac:dyDescent="0.4">
      <c r="A1032" t="s">
        <v>27</v>
      </c>
      <c r="B1032">
        <v>6003</v>
      </c>
      <c r="C1032" t="s">
        <v>2904</v>
      </c>
      <c r="D1032">
        <v>337</v>
      </c>
      <c r="E1032" t="s">
        <v>195</v>
      </c>
      <c r="F1032" t="s">
        <v>2290</v>
      </c>
      <c r="G1032" t="s">
        <v>2700</v>
      </c>
      <c r="H1032" t="s">
        <v>2701</v>
      </c>
      <c r="J1032" t="s">
        <v>1732</v>
      </c>
      <c r="K1032" t="s">
        <v>495</v>
      </c>
      <c r="L1032" t="s">
        <v>2702</v>
      </c>
      <c r="M1032" t="s">
        <v>35</v>
      </c>
      <c r="N1032">
        <v>7710524922</v>
      </c>
      <c r="O1032" t="s">
        <v>2703</v>
      </c>
      <c r="P1032" t="s">
        <v>2904</v>
      </c>
      <c r="R1032" t="s">
        <v>2906</v>
      </c>
      <c r="S1032" t="s">
        <v>2705</v>
      </c>
      <c r="T1032" t="s">
        <v>376</v>
      </c>
      <c r="U1032" t="s">
        <v>40</v>
      </c>
      <c r="V1032" s="1">
        <v>43644</v>
      </c>
      <c r="W1032">
        <v>0</v>
      </c>
      <c r="X1032">
        <v>1</v>
      </c>
      <c r="AA1032" t="s">
        <v>42</v>
      </c>
      <c r="AB1032" t="s">
        <v>43</v>
      </c>
      <c r="AC1032" t="s">
        <v>43</v>
      </c>
    </row>
    <row r="1033" spans="1:29" x14ac:dyDescent="0.4">
      <c r="A1033" t="s">
        <v>27</v>
      </c>
      <c r="B1033">
        <v>6003</v>
      </c>
      <c r="C1033" t="s">
        <v>2904</v>
      </c>
      <c r="D1033">
        <v>337</v>
      </c>
      <c r="E1033" t="s">
        <v>195</v>
      </c>
      <c r="F1033" t="s">
        <v>2290</v>
      </c>
      <c r="G1033" t="s">
        <v>2700</v>
      </c>
      <c r="H1033" t="s">
        <v>2701</v>
      </c>
      <c r="J1033" t="s">
        <v>1732</v>
      </c>
      <c r="K1033" t="s">
        <v>495</v>
      </c>
      <c r="L1033" t="s">
        <v>2702</v>
      </c>
      <c r="M1033" t="s">
        <v>35</v>
      </c>
      <c r="N1033">
        <v>7710524922</v>
      </c>
      <c r="O1033" t="s">
        <v>2703</v>
      </c>
      <c r="P1033" t="s">
        <v>2904</v>
      </c>
      <c r="R1033" t="s">
        <v>2906</v>
      </c>
      <c r="S1033" t="s">
        <v>2705</v>
      </c>
      <c r="T1033" t="s">
        <v>376</v>
      </c>
      <c r="U1033" t="s">
        <v>40</v>
      </c>
      <c r="V1033" s="1">
        <v>43644</v>
      </c>
      <c r="W1033">
        <v>0</v>
      </c>
      <c r="X1033">
        <v>2</v>
      </c>
      <c r="AA1033" t="s">
        <v>42</v>
      </c>
      <c r="AB1033" t="s">
        <v>43</v>
      </c>
      <c r="AC1033" t="s">
        <v>43</v>
      </c>
    </row>
    <row r="1034" spans="1:29" x14ac:dyDescent="0.4">
      <c r="A1034" t="s">
        <v>27</v>
      </c>
      <c r="B1034">
        <v>6003</v>
      </c>
      <c r="C1034" t="s">
        <v>2904</v>
      </c>
      <c r="D1034">
        <v>337</v>
      </c>
      <c r="E1034" t="s">
        <v>195</v>
      </c>
      <c r="F1034" t="s">
        <v>2290</v>
      </c>
      <c r="G1034" t="s">
        <v>2700</v>
      </c>
      <c r="H1034" t="s">
        <v>2701</v>
      </c>
      <c r="J1034" t="s">
        <v>1732</v>
      </c>
      <c r="K1034" t="s">
        <v>495</v>
      </c>
      <c r="L1034" t="s">
        <v>2702</v>
      </c>
      <c r="M1034" t="s">
        <v>35</v>
      </c>
      <c r="N1034">
        <v>7710524922</v>
      </c>
      <c r="O1034" t="s">
        <v>2703</v>
      </c>
      <c r="P1034" t="s">
        <v>2904</v>
      </c>
      <c r="R1034" t="s">
        <v>2906</v>
      </c>
      <c r="S1034" t="s">
        <v>2705</v>
      </c>
      <c r="T1034" t="s">
        <v>376</v>
      </c>
      <c r="U1034" t="s">
        <v>40</v>
      </c>
      <c r="V1034" s="1">
        <v>43644</v>
      </c>
      <c r="W1034">
        <v>0</v>
      </c>
      <c r="X1034">
        <v>8</v>
      </c>
      <c r="AA1034" t="s">
        <v>42</v>
      </c>
      <c r="AB1034" t="s">
        <v>43</v>
      </c>
      <c r="AC1034" t="s">
        <v>43</v>
      </c>
    </row>
    <row r="1035" spans="1:29" x14ac:dyDescent="0.4">
      <c r="A1035" t="s">
        <v>27</v>
      </c>
      <c r="B1035">
        <v>6003</v>
      </c>
      <c r="C1035" t="s">
        <v>2904</v>
      </c>
      <c r="D1035">
        <v>337</v>
      </c>
      <c r="E1035" t="s">
        <v>195</v>
      </c>
      <c r="F1035" t="s">
        <v>2290</v>
      </c>
      <c r="G1035" t="s">
        <v>2700</v>
      </c>
      <c r="H1035" t="s">
        <v>2701</v>
      </c>
      <c r="J1035" t="s">
        <v>1732</v>
      </c>
      <c r="K1035" t="s">
        <v>495</v>
      </c>
      <c r="L1035" t="s">
        <v>2702</v>
      </c>
      <c r="M1035" t="s">
        <v>35</v>
      </c>
      <c r="N1035">
        <v>7710524922</v>
      </c>
      <c r="O1035" t="s">
        <v>2703</v>
      </c>
      <c r="P1035" t="s">
        <v>2904</v>
      </c>
      <c r="R1035" t="s">
        <v>2906</v>
      </c>
      <c r="S1035" t="s">
        <v>2705</v>
      </c>
      <c r="T1035" t="s">
        <v>376</v>
      </c>
      <c r="U1035" t="s">
        <v>40</v>
      </c>
      <c r="V1035" s="1">
        <v>43644</v>
      </c>
      <c r="W1035">
        <v>0</v>
      </c>
      <c r="X1035">
        <v>9</v>
      </c>
      <c r="AA1035" t="s">
        <v>42</v>
      </c>
      <c r="AB1035" t="s">
        <v>43</v>
      </c>
      <c r="AC1035" t="s">
        <v>43</v>
      </c>
    </row>
    <row r="1036" spans="1:29" x14ac:dyDescent="0.4">
      <c r="A1036" t="s">
        <v>27</v>
      </c>
      <c r="B1036">
        <v>5191</v>
      </c>
      <c r="C1036" t="s">
        <v>3023</v>
      </c>
      <c r="D1036">
        <v>334</v>
      </c>
      <c r="E1036" t="s">
        <v>68</v>
      </c>
      <c r="F1036" t="s">
        <v>85</v>
      </c>
      <c r="G1036" t="s">
        <v>2700</v>
      </c>
      <c r="H1036" t="s">
        <v>2706</v>
      </c>
      <c r="I1036" t="s">
        <v>2707</v>
      </c>
      <c r="J1036" t="s">
        <v>2239</v>
      </c>
      <c r="K1036" t="s">
        <v>73</v>
      </c>
      <c r="L1036" t="s">
        <v>2708</v>
      </c>
      <c r="M1036" t="s">
        <v>35</v>
      </c>
      <c r="N1036">
        <v>7584050059</v>
      </c>
      <c r="O1036" t="s">
        <v>2709</v>
      </c>
      <c r="P1036" t="s">
        <v>3023</v>
      </c>
      <c r="R1036" t="s">
        <v>2710</v>
      </c>
      <c r="S1036" t="s">
        <v>2711</v>
      </c>
      <c r="T1036" t="s">
        <v>138</v>
      </c>
      <c r="U1036" t="s">
        <v>82</v>
      </c>
      <c r="V1036" s="1">
        <v>45061</v>
      </c>
      <c r="W1036">
        <v>0</v>
      </c>
      <c r="X1036">
        <v>4</v>
      </c>
      <c r="Y1036" t="s">
        <v>65</v>
      </c>
      <c r="AA1036" t="s">
        <v>42</v>
      </c>
      <c r="AB1036" t="s">
        <v>43</v>
      </c>
      <c r="AC1036" t="s">
        <v>43</v>
      </c>
    </row>
    <row r="1037" spans="1:29" x14ac:dyDescent="0.4">
      <c r="A1037" t="s">
        <v>27</v>
      </c>
      <c r="B1037">
        <v>5191</v>
      </c>
      <c r="C1037" t="s">
        <v>3023</v>
      </c>
      <c r="D1037">
        <v>336</v>
      </c>
      <c r="E1037" t="s">
        <v>68</v>
      </c>
      <c r="F1037" t="s">
        <v>85</v>
      </c>
      <c r="G1037" t="s">
        <v>2700</v>
      </c>
      <c r="H1037" t="s">
        <v>2706</v>
      </c>
      <c r="I1037" t="s">
        <v>2707</v>
      </c>
      <c r="J1037" t="s">
        <v>2239</v>
      </c>
      <c r="K1037" t="s">
        <v>73</v>
      </c>
      <c r="L1037" t="s">
        <v>2708</v>
      </c>
      <c r="M1037" t="s">
        <v>35</v>
      </c>
      <c r="N1037">
        <v>7584050059</v>
      </c>
      <c r="O1037" t="s">
        <v>2709</v>
      </c>
      <c r="P1037" t="s">
        <v>3023</v>
      </c>
      <c r="R1037" t="s">
        <v>2712</v>
      </c>
      <c r="S1037" t="s">
        <v>2713</v>
      </c>
      <c r="T1037" t="s">
        <v>58</v>
      </c>
      <c r="U1037" t="s">
        <v>82</v>
      </c>
      <c r="V1037" s="1">
        <v>44459</v>
      </c>
      <c r="W1037">
        <v>0</v>
      </c>
      <c r="X1037">
        <v>4</v>
      </c>
      <c r="Y1037" t="s">
        <v>65</v>
      </c>
      <c r="AA1037" t="s">
        <v>42</v>
      </c>
      <c r="AB1037" t="s">
        <v>43</v>
      </c>
      <c r="AC1037" t="s">
        <v>43</v>
      </c>
    </row>
    <row r="1038" spans="1:29" x14ac:dyDescent="0.4">
      <c r="A1038" t="s">
        <v>27</v>
      </c>
      <c r="B1038">
        <v>5191</v>
      </c>
      <c r="C1038" t="s">
        <v>3023</v>
      </c>
      <c r="D1038">
        <v>335</v>
      </c>
      <c r="E1038" t="s">
        <v>68</v>
      </c>
      <c r="F1038" t="s">
        <v>85</v>
      </c>
      <c r="G1038" t="s">
        <v>2700</v>
      </c>
      <c r="H1038" t="s">
        <v>2706</v>
      </c>
      <c r="I1038" t="s">
        <v>2707</v>
      </c>
      <c r="J1038" t="s">
        <v>2239</v>
      </c>
      <c r="K1038" t="s">
        <v>73</v>
      </c>
      <c r="L1038" t="s">
        <v>2708</v>
      </c>
      <c r="M1038" t="s">
        <v>35</v>
      </c>
      <c r="N1038">
        <v>7584050059</v>
      </c>
      <c r="O1038" t="s">
        <v>2709</v>
      </c>
      <c r="P1038" t="s">
        <v>3023</v>
      </c>
      <c r="R1038" t="s">
        <v>2714</v>
      </c>
      <c r="S1038" t="s">
        <v>2715</v>
      </c>
      <c r="T1038" t="s">
        <v>376</v>
      </c>
      <c r="U1038" t="s">
        <v>82</v>
      </c>
      <c r="V1038" s="1">
        <v>44717</v>
      </c>
      <c r="W1038">
        <v>0</v>
      </c>
      <c r="X1038">
        <v>5</v>
      </c>
      <c r="Y1038" t="s">
        <v>66</v>
      </c>
      <c r="AA1038" t="s">
        <v>42</v>
      </c>
      <c r="AB1038" t="s">
        <v>43</v>
      </c>
      <c r="AC1038" t="s">
        <v>43</v>
      </c>
    </row>
    <row r="1039" spans="1:29" x14ac:dyDescent="0.4">
      <c r="A1039" t="s">
        <v>27</v>
      </c>
      <c r="B1039">
        <v>5191</v>
      </c>
      <c r="C1039" t="s">
        <v>3023</v>
      </c>
      <c r="D1039">
        <v>335</v>
      </c>
      <c r="E1039" t="s">
        <v>68</v>
      </c>
      <c r="F1039" t="s">
        <v>85</v>
      </c>
      <c r="G1039" t="s">
        <v>2700</v>
      </c>
      <c r="H1039" t="s">
        <v>2706</v>
      </c>
      <c r="I1039" t="s">
        <v>2707</v>
      </c>
      <c r="J1039" t="s">
        <v>2239</v>
      </c>
      <c r="K1039" t="s">
        <v>73</v>
      </c>
      <c r="L1039" t="s">
        <v>2708</v>
      </c>
      <c r="M1039" t="s">
        <v>35</v>
      </c>
      <c r="N1039">
        <v>7584050059</v>
      </c>
      <c r="O1039" t="s">
        <v>2709</v>
      </c>
      <c r="P1039" t="s">
        <v>3023</v>
      </c>
      <c r="R1039" t="s">
        <v>2714</v>
      </c>
      <c r="S1039" t="s">
        <v>2715</v>
      </c>
      <c r="T1039" t="s">
        <v>376</v>
      </c>
      <c r="U1039" t="s">
        <v>82</v>
      </c>
      <c r="V1039" s="1">
        <v>44717</v>
      </c>
      <c r="W1039">
        <v>0</v>
      </c>
      <c r="X1039">
        <v>6</v>
      </c>
      <c r="Y1039" t="s">
        <v>83</v>
      </c>
      <c r="AA1039" t="s">
        <v>42</v>
      </c>
      <c r="AB1039" t="s">
        <v>43</v>
      </c>
      <c r="AC1039" t="s">
        <v>43</v>
      </c>
    </row>
    <row r="1040" spans="1:29" x14ac:dyDescent="0.4">
      <c r="A1040" t="s">
        <v>27</v>
      </c>
      <c r="B1040">
        <v>5191</v>
      </c>
      <c r="C1040" t="s">
        <v>3023</v>
      </c>
      <c r="D1040">
        <v>334</v>
      </c>
      <c r="E1040" t="s">
        <v>68</v>
      </c>
      <c r="F1040" t="s">
        <v>85</v>
      </c>
      <c r="G1040" t="s">
        <v>2700</v>
      </c>
      <c r="H1040" t="s">
        <v>2706</v>
      </c>
      <c r="I1040" t="s">
        <v>2707</v>
      </c>
      <c r="J1040" t="s">
        <v>2239</v>
      </c>
      <c r="K1040" t="s">
        <v>73</v>
      </c>
      <c r="L1040" t="s">
        <v>2708</v>
      </c>
      <c r="M1040" t="s">
        <v>35</v>
      </c>
      <c r="N1040">
        <v>7584050059</v>
      </c>
      <c r="O1040" t="s">
        <v>2709</v>
      </c>
      <c r="P1040" t="s">
        <v>3023</v>
      </c>
      <c r="R1040" t="s">
        <v>2710</v>
      </c>
      <c r="S1040" t="s">
        <v>2711</v>
      </c>
      <c r="T1040" t="s">
        <v>138</v>
      </c>
      <c r="U1040" t="s">
        <v>82</v>
      </c>
      <c r="V1040" s="1">
        <v>45061</v>
      </c>
      <c r="W1040">
        <v>0</v>
      </c>
      <c r="X1040">
        <v>13</v>
      </c>
      <c r="AA1040" t="s">
        <v>42</v>
      </c>
      <c r="AB1040" t="s">
        <v>43</v>
      </c>
      <c r="AC1040" t="s">
        <v>43</v>
      </c>
    </row>
    <row r="1041" spans="1:30" x14ac:dyDescent="0.4">
      <c r="A1041" t="s">
        <v>27</v>
      </c>
      <c r="B1041">
        <v>5191</v>
      </c>
      <c r="C1041" t="s">
        <v>3023</v>
      </c>
      <c r="D1041">
        <v>336</v>
      </c>
      <c r="E1041" t="s">
        <v>68</v>
      </c>
      <c r="F1041" t="s">
        <v>85</v>
      </c>
      <c r="G1041" t="s">
        <v>2700</v>
      </c>
      <c r="H1041" t="s">
        <v>2706</v>
      </c>
      <c r="I1041" t="s">
        <v>2707</v>
      </c>
      <c r="J1041" t="s">
        <v>2239</v>
      </c>
      <c r="K1041" t="s">
        <v>73</v>
      </c>
      <c r="L1041" t="s">
        <v>2708</v>
      </c>
      <c r="M1041" t="s">
        <v>35</v>
      </c>
      <c r="N1041">
        <v>7584050059</v>
      </c>
      <c r="O1041" t="s">
        <v>2709</v>
      </c>
      <c r="P1041" t="s">
        <v>3023</v>
      </c>
      <c r="R1041" t="s">
        <v>2712</v>
      </c>
      <c r="S1041" t="s">
        <v>2713</v>
      </c>
      <c r="T1041" t="s">
        <v>58</v>
      </c>
      <c r="U1041" t="s">
        <v>82</v>
      </c>
      <c r="V1041" s="1">
        <v>44459</v>
      </c>
      <c r="W1041">
        <v>0</v>
      </c>
      <c r="X1041">
        <v>13</v>
      </c>
      <c r="AA1041" t="s">
        <v>42</v>
      </c>
      <c r="AB1041" t="s">
        <v>43</v>
      </c>
      <c r="AC1041" t="s">
        <v>43</v>
      </c>
    </row>
    <row r="1042" spans="1:30" x14ac:dyDescent="0.4">
      <c r="A1042" t="s">
        <v>27</v>
      </c>
      <c r="B1042">
        <v>5191</v>
      </c>
      <c r="C1042" t="s">
        <v>3023</v>
      </c>
      <c r="D1042">
        <v>335</v>
      </c>
      <c r="E1042" t="s">
        <v>68</v>
      </c>
      <c r="F1042" t="s">
        <v>85</v>
      </c>
      <c r="G1042" t="s">
        <v>2700</v>
      </c>
      <c r="H1042" t="s">
        <v>2706</v>
      </c>
      <c r="I1042" t="s">
        <v>2707</v>
      </c>
      <c r="J1042" t="s">
        <v>2239</v>
      </c>
      <c r="K1042" t="s">
        <v>73</v>
      </c>
      <c r="L1042" t="s">
        <v>2708</v>
      </c>
      <c r="M1042" t="s">
        <v>35</v>
      </c>
      <c r="N1042">
        <v>7584050059</v>
      </c>
      <c r="O1042" t="s">
        <v>2709</v>
      </c>
      <c r="P1042" t="s">
        <v>3023</v>
      </c>
      <c r="R1042" t="s">
        <v>2714</v>
      </c>
      <c r="S1042" t="s">
        <v>2715</v>
      </c>
      <c r="T1042" t="s">
        <v>376</v>
      </c>
      <c r="U1042" t="s">
        <v>82</v>
      </c>
      <c r="V1042" s="1">
        <v>44717</v>
      </c>
      <c r="W1042">
        <v>0</v>
      </c>
      <c r="X1042">
        <v>15</v>
      </c>
      <c r="AA1042" t="s">
        <v>42</v>
      </c>
      <c r="AB1042" t="s">
        <v>43</v>
      </c>
      <c r="AC1042" t="s">
        <v>43</v>
      </c>
    </row>
    <row r="1043" spans="1:30" x14ac:dyDescent="0.4">
      <c r="A1043" t="s">
        <v>27</v>
      </c>
      <c r="B1043">
        <v>5191</v>
      </c>
      <c r="C1043" t="s">
        <v>3023</v>
      </c>
      <c r="D1043">
        <v>335</v>
      </c>
      <c r="E1043" t="s">
        <v>68</v>
      </c>
      <c r="F1043" t="s">
        <v>85</v>
      </c>
      <c r="G1043" t="s">
        <v>2700</v>
      </c>
      <c r="H1043" t="s">
        <v>2706</v>
      </c>
      <c r="I1043" t="s">
        <v>2707</v>
      </c>
      <c r="J1043" t="s">
        <v>2239</v>
      </c>
      <c r="K1043" t="s">
        <v>73</v>
      </c>
      <c r="L1043" t="s">
        <v>2708</v>
      </c>
      <c r="M1043" t="s">
        <v>35</v>
      </c>
      <c r="N1043">
        <v>7584050059</v>
      </c>
      <c r="O1043" t="s">
        <v>2709</v>
      </c>
      <c r="P1043" t="s">
        <v>3023</v>
      </c>
      <c r="R1043" t="s">
        <v>2714</v>
      </c>
      <c r="S1043" t="s">
        <v>2715</v>
      </c>
      <c r="T1043" t="s">
        <v>376</v>
      </c>
      <c r="U1043" t="s">
        <v>82</v>
      </c>
      <c r="V1043" s="1">
        <v>44717</v>
      </c>
      <c r="W1043">
        <v>0</v>
      </c>
      <c r="X1043">
        <v>17</v>
      </c>
      <c r="AA1043" t="s">
        <v>42</v>
      </c>
      <c r="AB1043" t="s">
        <v>43</v>
      </c>
      <c r="AC1043" t="s">
        <v>43</v>
      </c>
    </row>
    <row r="1044" spans="1:30" x14ac:dyDescent="0.4">
      <c r="A1044" t="s">
        <v>27</v>
      </c>
      <c r="B1044">
        <v>1839</v>
      </c>
      <c r="C1044" t="s">
        <v>3024</v>
      </c>
      <c r="D1044">
        <v>338</v>
      </c>
      <c r="E1044" t="s">
        <v>257</v>
      </c>
      <c r="F1044" t="s">
        <v>2716</v>
      </c>
      <c r="G1044" t="s">
        <v>242</v>
      </c>
      <c r="H1044" t="s">
        <v>2717</v>
      </c>
      <c r="I1044" t="s">
        <v>2718</v>
      </c>
      <c r="J1044" t="s">
        <v>2719</v>
      </c>
      <c r="K1044" t="s">
        <v>242</v>
      </c>
      <c r="L1044" t="s">
        <v>2720</v>
      </c>
      <c r="M1044" t="s">
        <v>35</v>
      </c>
      <c r="N1044">
        <v>1225793330</v>
      </c>
      <c r="O1044" t="s">
        <v>2721</v>
      </c>
      <c r="P1044" t="s">
        <v>3024</v>
      </c>
      <c r="R1044" t="s">
        <v>2722</v>
      </c>
      <c r="S1044" t="s">
        <v>2723</v>
      </c>
      <c r="T1044" t="s">
        <v>284</v>
      </c>
      <c r="U1044" t="s">
        <v>40</v>
      </c>
      <c r="V1044" s="1">
        <v>45084</v>
      </c>
      <c r="W1044">
        <v>0</v>
      </c>
      <c r="X1044">
        <v>16</v>
      </c>
      <c r="AA1044" t="s">
        <v>42</v>
      </c>
      <c r="AB1044" t="s">
        <v>43</v>
      </c>
      <c r="AC1044" t="s">
        <v>43</v>
      </c>
    </row>
    <row r="1045" spans="1:30" x14ac:dyDescent="0.4">
      <c r="A1045" t="s">
        <v>27</v>
      </c>
      <c r="B1045">
        <v>1839</v>
      </c>
      <c r="C1045" t="s">
        <v>3024</v>
      </c>
      <c r="D1045">
        <v>340</v>
      </c>
      <c r="E1045" t="s">
        <v>257</v>
      </c>
      <c r="F1045" t="s">
        <v>2716</v>
      </c>
      <c r="G1045" t="s">
        <v>242</v>
      </c>
      <c r="H1045" t="s">
        <v>2717</v>
      </c>
      <c r="I1045" t="s">
        <v>2718</v>
      </c>
      <c r="J1045" t="s">
        <v>2719</v>
      </c>
      <c r="K1045" t="s">
        <v>242</v>
      </c>
      <c r="L1045" t="s">
        <v>2720</v>
      </c>
      <c r="M1045" t="s">
        <v>35</v>
      </c>
      <c r="N1045">
        <v>1225793330</v>
      </c>
      <c r="O1045" t="s">
        <v>2721</v>
      </c>
      <c r="P1045" t="s">
        <v>3024</v>
      </c>
      <c r="R1045" t="s">
        <v>2724</v>
      </c>
      <c r="S1045" t="s">
        <v>2725</v>
      </c>
      <c r="T1045" t="s">
        <v>284</v>
      </c>
      <c r="U1045" t="s">
        <v>40</v>
      </c>
      <c r="V1045" s="1">
        <v>42346</v>
      </c>
      <c r="W1045">
        <v>0</v>
      </c>
      <c r="X1045">
        <v>18</v>
      </c>
      <c r="AA1045" t="s">
        <v>42</v>
      </c>
      <c r="AB1045" t="s">
        <v>43</v>
      </c>
      <c r="AC1045" t="s">
        <v>43</v>
      </c>
    </row>
    <row r="1046" spans="1:30" x14ac:dyDescent="0.4">
      <c r="A1046" t="s">
        <v>27</v>
      </c>
      <c r="B1046">
        <v>1839</v>
      </c>
      <c r="C1046" t="s">
        <v>3024</v>
      </c>
      <c r="D1046">
        <v>338</v>
      </c>
      <c r="E1046" t="s">
        <v>257</v>
      </c>
      <c r="F1046" t="s">
        <v>2716</v>
      </c>
      <c r="G1046" t="s">
        <v>242</v>
      </c>
      <c r="H1046" t="s">
        <v>2717</v>
      </c>
      <c r="I1046" t="s">
        <v>2718</v>
      </c>
      <c r="J1046" t="s">
        <v>2719</v>
      </c>
      <c r="K1046" t="s">
        <v>242</v>
      </c>
      <c r="L1046" t="s">
        <v>2720</v>
      </c>
      <c r="M1046" t="s">
        <v>35</v>
      </c>
      <c r="N1046">
        <v>1225793330</v>
      </c>
      <c r="O1046" t="s">
        <v>2721</v>
      </c>
      <c r="P1046" t="s">
        <v>3024</v>
      </c>
      <c r="R1046" t="s">
        <v>2722</v>
      </c>
      <c r="S1046" t="s">
        <v>2723</v>
      </c>
      <c r="T1046" t="s">
        <v>284</v>
      </c>
      <c r="U1046" t="s">
        <v>40</v>
      </c>
      <c r="V1046" s="1">
        <v>45084</v>
      </c>
      <c r="W1046">
        <v>0</v>
      </c>
      <c r="X1046">
        <v>14</v>
      </c>
      <c r="AA1046" t="s">
        <v>42</v>
      </c>
      <c r="AB1046" t="s">
        <v>43</v>
      </c>
      <c r="AC1046" t="s">
        <v>43</v>
      </c>
    </row>
    <row r="1047" spans="1:30" x14ac:dyDescent="0.4">
      <c r="A1047" t="s">
        <v>27</v>
      </c>
      <c r="B1047">
        <v>4728</v>
      </c>
      <c r="C1047" t="s">
        <v>3025</v>
      </c>
      <c r="D1047">
        <v>339</v>
      </c>
      <c r="E1047" t="s">
        <v>68</v>
      </c>
      <c r="F1047" t="s">
        <v>594</v>
      </c>
      <c r="G1047" t="s">
        <v>242</v>
      </c>
      <c r="H1047" t="s">
        <v>2717</v>
      </c>
      <c r="I1047" t="s">
        <v>2718</v>
      </c>
      <c r="J1047" t="s">
        <v>2726</v>
      </c>
      <c r="K1047" t="s">
        <v>242</v>
      </c>
      <c r="L1047" t="s">
        <v>2720</v>
      </c>
      <c r="M1047" t="s">
        <v>35</v>
      </c>
      <c r="N1047" t="s">
        <v>2727</v>
      </c>
      <c r="O1047" t="s">
        <v>2728</v>
      </c>
      <c r="P1047" t="s">
        <v>3087</v>
      </c>
      <c r="R1047" t="s">
        <v>2729</v>
      </c>
      <c r="S1047" t="s">
        <v>2730</v>
      </c>
      <c r="T1047" t="s">
        <v>284</v>
      </c>
      <c r="U1047" t="s">
        <v>82</v>
      </c>
      <c r="V1047" s="1">
        <v>43259</v>
      </c>
      <c r="W1047">
        <v>0</v>
      </c>
      <c r="X1047">
        <v>15</v>
      </c>
      <c r="AA1047" t="s">
        <v>42</v>
      </c>
      <c r="AB1047" t="s">
        <v>43</v>
      </c>
      <c r="AC1047" t="s">
        <v>43</v>
      </c>
    </row>
    <row r="1048" spans="1:30" x14ac:dyDescent="0.4">
      <c r="A1048" t="s">
        <v>27</v>
      </c>
      <c r="B1048">
        <v>4728</v>
      </c>
      <c r="C1048" t="s">
        <v>3025</v>
      </c>
      <c r="D1048">
        <v>339</v>
      </c>
      <c r="E1048" t="s">
        <v>68</v>
      </c>
      <c r="F1048" t="s">
        <v>594</v>
      </c>
      <c r="G1048" t="s">
        <v>242</v>
      </c>
      <c r="H1048" t="s">
        <v>2717</v>
      </c>
      <c r="I1048" t="s">
        <v>2718</v>
      </c>
      <c r="J1048" t="s">
        <v>2726</v>
      </c>
      <c r="K1048" t="s">
        <v>242</v>
      </c>
      <c r="L1048" t="s">
        <v>2720</v>
      </c>
      <c r="M1048" t="s">
        <v>35</v>
      </c>
      <c r="N1048" t="s">
        <v>2727</v>
      </c>
      <c r="O1048" t="s">
        <v>2728</v>
      </c>
      <c r="P1048" t="s">
        <v>3087</v>
      </c>
      <c r="R1048" t="s">
        <v>2729</v>
      </c>
      <c r="S1048" t="s">
        <v>2730</v>
      </c>
      <c r="T1048" t="s">
        <v>284</v>
      </c>
      <c r="U1048" t="s">
        <v>82</v>
      </c>
      <c r="V1048" s="1">
        <v>43259</v>
      </c>
      <c r="W1048">
        <v>0</v>
      </c>
      <c r="X1048">
        <v>17</v>
      </c>
      <c r="AA1048" t="s">
        <v>42</v>
      </c>
      <c r="AB1048" t="s">
        <v>43</v>
      </c>
      <c r="AC1048" t="s">
        <v>43</v>
      </c>
    </row>
    <row r="1049" spans="1:30" x14ac:dyDescent="0.4">
      <c r="A1049" t="s">
        <v>27</v>
      </c>
      <c r="B1049">
        <v>850</v>
      </c>
      <c r="C1049" t="s">
        <v>3026</v>
      </c>
      <c r="D1049">
        <v>342</v>
      </c>
      <c r="E1049" t="s">
        <v>28</v>
      </c>
      <c r="F1049" t="s">
        <v>2731</v>
      </c>
      <c r="G1049" t="s">
        <v>2732</v>
      </c>
      <c r="H1049" t="s">
        <v>2733</v>
      </c>
      <c r="J1049" t="s">
        <v>2734</v>
      </c>
      <c r="K1049" t="s">
        <v>189</v>
      </c>
      <c r="L1049" t="s">
        <v>2735</v>
      </c>
      <c r="M1049" t="s">
        <v>35</v>
      </c>
      <c r="N1049">
        <v>1277657769</v>
      </c>
      <c r="O1049" t="s">
        <v>2736</v>
      </c>
      <c r="P1049" t="s">
        <v>3026</v>
      </c>
      <c r="R1049" t="s">
        <v>2737</v>
      </c>
      <c r="S1049" t="s">
        <v>2738</v>
      </c>
      <c r="T1049" t="s">
        <v>284</v>
      </c>
      <c r="U1049" t="s">
        <v>82</v>
      </c>
      <c r="V1049" s="1">
        <v>43382</v>
      </c>
      <c r="W1049">
        <v>0</v>
      </c>
      <c r="X1049">
        <v>4</v>
      </c>
      <c r="Y1049" t="s">
        <v>65</v>
      </c>
      <c r="AA1049" t="s">
        <v>42</v>
      </c>
      <c r="AB1049" t="s">
        <v>43</v>
      </c>
      <c r="AC1049" t="s">
        <v>43</v>
      </c>
    </row>
    <row r="1050" spans="1:30" x14ac:dyDescent="0.4">
      <c r="A1050" t="s">
        <v>27</v>
      </c>
      <c r="B1050">
        <v>850</v>
      </c>
      <c r="C1050" t="s">
        <v>3026</v>
      </c>
      <c r="D1050">
        <v>341</v>
      </c>
      <c r="E1050" t="s">
        <v>28</v>
      </c>
      <c r="F1050" t="s">
        <v>2731</v>
      </c>
      <c r="G1050" t="s">
        <v>2732</v>
      </c>
      <c r="H1050" t="s">
        <v>2733</v>
      </c>
      <c r="J1050" t="s">
        <v>2734</v>
      </c>
      <c r="K1050" t="s">
        <v>189</v>
      </c>
      <c r="L1050" t="s">
        <v>2735</v>
      </c>
      <c r="M1050" t="s">
        <v>35</v>
      </c>
      <c r="N1050">
        <v>1277657769</v>
      </c>
      <c r="O1050" t="s">
        <v>2736</v>
      </c>
      <c r="P1050" t="s">
        <v>3026</v>
      </c>
      <c r="R1050" t="s">
        <v>2739</v>
      </c>
      <c r="S1050" t="s">
        <v>2740</v>
      </c>
      <c r="T1050" t="s">
        <v>284</v>
      </c>
      <c r="U1050" t="s">
        <v>82</v>
      </c>
      <c r="V1050" s="1">
        <v>44248</v>
      </c>
      <c r="W1050">
        <v>0</v>
      </c>
      <c r="X1050">
        <v>7</v>
      </c>
      <c r="AA1050" t="s">
        <v>42</v>
      </c>
      <c r="AB1050" t="s">
        <v>43</v>
      </c>
      <c r="AC1050" t="s">
        <v>43</v>
      </c>
    </row>
    <row r="1051" spans="1:30" x14ac:dyDescent="0.4">
      <c r="A1051" t="s">
        <v>27</v>
      </c>
      <c r="B1051">
        <v>850</v>
      </c>
      <c r="C1051" t="s">
        <v>3026</v>
      </c>
      <c r="D1051">
        <v>342</v>
      </c>
      <c r="E1051" t="s">
        <v>28</v>
      </c>
      <c r="F1051" t="s">
        <v>2731</v>
      </c>
      <c r="G1051" t="s">
        <v>2732</v>
      </c>
      <c r="H1051" t="s">
        <v>2733</v>
      </c>
      <c r="J1051" t="s">
        <v>2734</v>
      </c>
      <c r="K1051" t="s">
        <v>189</v>
      </c>
      <c r="L1051" t="s">
        <v>2735</v>
      </c>
      <c r="M1051" t="s">
        <v>35</v>
      </c>
      <c r="N1051">
        <v>1277657769</v>
      </c>
      <c r="O1051" t="s">
        <v>2736</v>
      </c>
      <c r="P1051" t="s">
        <v>3026</v>
      </c>
      <c r="R1051" t="s">
        <v>2737</v>
      </c>
      <c r="S1051" t="s">
        <v>2738</v>
      </c>
      <c r="T1051" t="s">
        <v>284</v>
      </c>
      <c r="U1051" t="s">
        <v>82</v>
      </c>
      <c r="V1051" s="1">
        <v>43382</v>
      </c>
      <c r="W1051">
        <v>0</v>
      </c>
      <c r="X1051">
        <v>13</v>
      </c>
      <c r="AA1051" t="s">
        <v>42</v>
      </c>
      <c r="AB1051" t="s">
        <v>43</v>
      </c>
      <c r="AC1051" t="s">
        <v>43</v>
      </c>
    </row>
    <row r="1052" spans="1:30" x14ac:dyDescent="0.4">
      <c r="A1052" t="s">
        <v>27</v>
      </c>
      <c r="B1052">
        <v>850</v>
      </c>
      <c r="C1052" t="s">
        <v>3026</v>
      </c>
      <c r="D1052">
        <v>341</v>
      </c>
      <c r="E1052" t="s">
        <v>28</v>
      </c>
      <c r="F1052" t="s">
        <v>2731</v>
      </c>
      <c r="G1052" t="s">
        <v>2732</v>
      </c>
      <c r="H1052" t="s">
        <v>2733</v>
      </c>
      <c r="J1052" t="s">
        <v>2734</v>
      </c>
      <c r="K1052" t="s">
        <v>189</v>
      </c>
      <c r="L1052" t="s">
        <v>2735</v>
      </c>
      <c r="M1052" t="s">
        <v>35</v>
      </c>
      <c r="N1052">
        <v>1277657769</v>
      </c>
      <c r="O1052" t="s">
        <v>2736</v>
      </c>
      <c r="P1052" t="s">
        <v>3026</v>
      </c>
      <c r="R1052" t="s">
        <v>2739</v>
      </c>
      <c r="S1052" t="s">
        <v>2740</v>
      </c>
      <c r="T1052" t="s">
        <v>284</v>
      </c>
      <c r="U1052" t="s">
        <v>82</v>
      </c>
      <c r="V1052" s="1">
        <v>44248</v>
      </c>
      <c r="W1052">
        <v>0</v>
      </c>
      <c r="X1052">
        <v>19</v>
      </c>
      <c r="AA1052" t="s">
        <v>42</v>
      </c>
      <c r="AB1052" t="s">
        <v>43</v>
      </c>
      <c r="AC1052" t="s">
        <v>43</v>
      </c>
    </row>
    <row r="1053" spans="1:30" x14ac:dyDescent="0.4">
      <c r="A1053" t="s">
        <v>27</v>
      </c>
      <c r="B1053">
        <v>649</v>
      </c>
      <c r="C1053" t="s">
        <v>2749</v>
      </c>
      <c r="D1053">
        <v>344</v>
      </c>
      <c r="E1053" t="s">
        <v>68</v>
      </c>
      <c r="F1053" t="s">
        <v>2741</v>
      </c>
      <c r="G1053" t="s">
        <v>2742</v>
      </c>
      <c r="H1053" t="s">
        <v>2743</v>
      </c>
      <c r="I1053" t="s">
        <v>2744</v>
      </c>
      <c r="J1053" t="s">
        <v>2745</v>
      </c>
      <c r="K1053" t="s">
        <v>189</v>
      </c>
      <c r="L1053" t="s">
        <v>2746</v>
      </c>
      <c r="M1053" t="s">
        <v>35</v>
      </c>
      <c r="N1053" t="s">
        <v>2747</v>
      </c>
      <c r="O1053" t="s">
        <v>2748</v>
      </c>
      <c r="P1053" t="s">
        <v>3088</v>
      </c>
      <c r="R1053" t="s">
        <v>2750</v>
      </c>
      <c r="S1053" t="s">
        <v>2751</v>
      </c>
      <c r="T1053" t="s">
        <v>376</v>
      </c>
      <c r="U1053" t="s">
        <v>40</v>
      </c>
      <c r="V1053" s="1">
        <v>43909</v>
      </c>
      <c r="W1053">
        <v>0</v>
      </c>
      <c r="X1053">
        <v>20</v>
      </c>
      <c r="AA1053" t="s">
        <v>42</v>
      </c>
      <c r="AB1053" t="s">
        <v>43</v>
      </c>
      <c r="AC1053" t="s">
        <v>43</v>
      </c>
    </row>
    <row r="1054" spans="1:30" x14ac:dyDescent="0.4">
      <c r="A1054" t="s">
        <v>27</v>
      </c>
      <c r="B1054">
        <v>649</v>
      </c>
      <c r="C1054" t="s">
        <v>2749</v>
      </c>
      <c r="D1054">
        <v>343</v>
      </c>
      <c r="E1054" t="s">
        <v>68</v>
      </c>
      <c r="F1054" t="s">
        <v>2741</v>
      </c>
      <c r="G1054" t="s">
        <v>2742</v>
      </c>
      <c r="H1054" t="s">
        <v>2743</v>
      </c>
      <c r="I1054" t="s">
        <v>2744</v>
      </c>
      <c r="J1054" t="s">
        <v>2745</v>
      </c>
      <c r="K1054" t="s">
        <v>189</v>
      </c>
      <c r="L1054" t="s">
        <v>2746</v>
      </c>
      <c r="M1054" t="s">
        <v>35</v>
      </c>
      <c r="N1054" t="s">
        <v>2747</v>
      </c>
      <c r="O1054" t="s">
        <v>2748</v>
      </c>
      <c r="P1054" t="s">
        <v>3088</v>
      </c>
      <c r="R1054" t="s">
        <v>3129</v>
      </c>
      <c r="S1054" t="s">
        <v>2753</v>
      </c>
      <c r="T1054" t="s">
        <v>94</v>
      </c>
      <c r="U1054" t="s">
        <v>40</v>
      </c>
      <c r="V1054" s="1">
        <v>42417</v>
      </c>
      <c r="W1054">
        <v>0</v>
      </c>
      <c r="X1054">
        <v>20</v>
      </c>
      <c r="AA1054" t="s">
        <v>42</v>
      </c>
      <c r="AB1054" t="s">
        <v>43</v>
      </c>
      <c r="AC1054" t="s">
        <v>43</v>
      </c>
    </row>
    <row r="1055" spans="1:30" x14ac:dyDescent="0.4">
      <c r="A1055" t="s">
        <v>27</v>
      </c>
      <c r="B1055">
        <v>4435</v>
      </c>
      <c r="C1055" t="s">
        <v>3027</v>
      </c>
      <c r="D1055">
        <v>345</v>
      </c>
      <c r="E1055" t="s">
        <v>28</v>
      </c>
      <c r="F1055" t="s">
        <v>2754</v>
      </c>
      <c r="G1055" t="s">
        <v>2755</v>
      </c>
      <c r="H1055" t="s">
        <v>2756</v>
      </c>
      <c r="I1055" t="s">
        <v>2757</v>
      </c>
      <c r="J1055" t="s">
        <v>2758</v>
      </c>
      <c r="K1055" t="s">
        <v>426</v>
      </c>
      <c r="L1055" t="s">
        <v>2759</v>
      </c>
      <c r="M1055" t="s">
        <v>35</v>
      </c>
      <c r="N1055">
        <v>1732845255</v>
      </c>
      <c r="O1055" t="s">
        <v>2760</v>
      </c>
      <c r="P1055" t="s">
        <v>3027</v>
      </c>
      <c r="R1055" t="s">
        <v>2762</v>
      </c>
      <c r="S1055" t="s">
        <v>2763</v>
      </c>
      <c r="T1055" t="s">
        <v>58</v>
      </c>
      <c r="U1055" t="s">
        <v>82</v>
      </c>
      <c r="V1055" s="1">
        <v>43226</v>
      </c>
      <c r="W1055">
        <v>0</v>
      </c>
      <c r="X1055">
        <v>4</v>
      </c>
      <c r="Y1055" t="s">
        <v>65</v>
      </c>
      <c r="AA1055" t="s">
        <v>42</v>
      </c>
      <c r="AB1055" t="s">
        <v>43</v>
      </c>
      <c r="AC1055" t="s">
        <v>43</v>
      </c>
      <c r="AD1055" t="s">
        <v>2764</v>
      </c>
    </row>
    <row r="1056" spans="1:30" x14ac:dyDescent="0.4">
      <c r="A1056" t="s">
        <v>27</v>
      </c>
      <c r="B1056">
        <v>4435</v>
      </c>
      <c r="C1056" t="s">
        <v>3027</v>
      </c>
      <c r="D1056">
        <v>346</v>
      </c>
      <c r="E1056" t="s">
        <v>28</v>
      </c>
      <c r="F1056" t="s">
        <v>2754</v>
      </c>
      <c r="G1056" t="s">
        <v>2755</v>
      </c>
      <c r="H1056" t="s">
        <v>2756</v>
      </c>
      <c r="I1056" t="s">
        <v>2757</v>
      </c>
      <c r="J1056" t="s">
        <v>2758</v>
      </c>
      <c r="K1056" t="s">
        <v>426</v>
      </c>
      <c r="L1056" t="s">
        <v>2759</v>
      </c>
      <c r="M1056" t="s">
        <v>35</v>
      </c>
      <c r="N1056">
        <v>1732845255</v>
      </c>
      <c r="O1056" t="s">
        <v>2760</v>
      </c>
      <c r="P1056" t="s">
        <v>3027</v>
      </c>
      <c r="R1056" t="s">
        <v>2765</v>
      </c>
      <c r="S1056" t="s">
        <v>2766</v>
      </c>
      <c r="T1056" t="s">
        <v>94</v>
      </c>
      <c r="U1056" t="s">
        <v>40</v>
      </c>
      <c r="V1056" s="1">
        <v>44593</v>
      </c>
      <c r="W1056">
        <v>0</v>
      </c>
      <c r="X1056">
        <v>4</v>
      </c>
      <c r="Y1056" t="s">
        <v>65</v>
      </c>
      <c r="AA1056" t="s">
        <v>42</v>
      </c>
      <c r="AB1056" t="s">
        <v>43</v>
      </c>
      <c r="AC1056" t="s">
        <v>43</v>
      </c>
      <c r="AD1056" t="s">
        <v>2764</v>
      </c>
    </row>
    <row r="1057" spans="1:30" x14ac:dyDescent="0.4">
      <c r="A1057" t="s">
        <v>27</v>
      </c>
      <c r="B1057">
        <v>4435</v>
      </c>
      <c r="C1057" t="s">
        <v>3027</v>
      </c>
      <c r="D1057">
        <v>345</v>
      </c>
      <c r="E1057" t="s">
        <v>28</v>
      </c>
      <c r="F1057" t="s">
        <v>2754</v>
      </c>
      <c r="G1057" t="s">
        <v>2755</v>
      </c>
      <c r="H1057" t="s">
        <v>2756</v>
      </c>
      <c r="I1057" t="s">
        <v>2757</v>
      </c>
      <c r="J1057" t="s">
        <v>2758</v>
      </c>
      <c r="K1057" t="s">
        <v>426</v>
      </c>
      <c r="L1057" t="s">
        <v>2759</v>
      </c>
      <c r="M1057" t="s">
        <v>35</v>
      </c>
      <c r="N1057">
        <v>1732845255</v>
      </c>
      <c r="O1057" t="s">
        <v>2760</v>
      </c>
      <c r="P1057" t="s">
        <v>3027</v>
      </c>
      <c r="R1057" t="s">
        <v>2762</v>
      </c>
      <c r="S1057" t="s">
        <v>2763</v>
      </c>
      <c r="T1057" t="s">
        <v>58</v>
      </c>
      <c r="U1057" t="s">
        <v>82</v>
      </c>
      <c r="V1057" s="1">
        <v>43226</v>
      </c>
      <c r="W1057">
        <v>0</v>
      </c>
      <c r="X1057">
        <v>5</v>
      </c>
      <c r="Y1057" t="s">
        <v>66</v>
      </c>
      <c r="AA1057" t="s">
        <v>42</v>
      </c>
      <c r="AB1057" t="s">
        <v>43</v>
      </c>
      <c r="AC1057" t="s">
        <v>43</v>
      </c>
      <c r="AD1057" t="s">
        <v>2764</v>
      </c>
    </row>
    <row r="1058" spans="1:30" x14ac:dyDescent="0.4">
      <c r="A1058" t="s">
        <v>27</v>
      </c>
      <c r="B1058">
        <v>4435</v>
      </c>
      <c r="C1058" t="s">
        <v>3027</v>
      </c>
      <c r="D1058">
        <v>346</v>
      </c>
      <c r="E1058" t="s">
        <v>28</v>
      </c>
      <c r="F1058" t="s">
        <v>2754</v>
      </c>
      <c r="G1058" t="s">
        <v>2755</v>
      </c>
      <c r="H1058" t="s">
        <v>2756</v>
      </c>
      <c r="I1058" t="s">
        <v>2757</v>
      </c>
      <c r="J1058" t="s">
        <v>2758</v>
      </c>
      <c r="K1058" t="s">
        <v>426</v>
      </c>
      <c r="L1058" t="s">
        <v>2759</v>
      </c>
      <c r="M1058" t="s">
        <v>35</v>
      </c>
      <c r="N1058">
        <v>1732845255</v>
      </c>
      <c r="O1058" t="s">
        <v>2760</v>
      </c>
      <c r="P1058" t="s">
        <v>3027</v>
      </c>
      <c r="R1058" t="s">
        <v>2765</v>
      </c>
      <c r="S1058" t="s">
        <v>2766</v>
      </c>
      <c r="T1058" t="s">
        <v>94</v>
      </c>
      <c r="U1058" t="s">
        <v>40</v>
      </c>
      <c r="V1058" s="1">
        <v>44593</v>
      </c>
      <c r="W1058">
        <v>0</v>
      </c>
      <c r="X1058">
        <v>5</v>
      </c>
      <c r="Y1058" t="s">
        <v>66</v>
      </c>
      <c r="AA1058" t="s">
        <v>42</v>
      </c>
      <c r="AB1058" t="s">
        <v>43</v>
      </c>
      <c r="AC1058" t="s">
        <v>43</v>
      </c>
      <c r="AD1058" t="s">
        <v>2764</v>
      </c>
    </row>
    <row r="1059" spans="1:30" x14ac:dyDescent="0.4">
      <c r="A1059" t="s">
        <v>27</v>
      </c>
      <c r="B1059">
        <v>4435</v>
      </c>
      <c r="C1059" t="s">
        <v>3027</v>
      </c>
      <c r="D1059">
        <v>345</v>
      </c>
      <c r="E1059" t="s">
        <v>28</v>
      </c>
      <c r="F1059" t="s">
        <v>2754</v>
      </c>
      <c r="G1059" t="s">
        <v>2755</v>
      </c>
      <c r="H1059" t="s">
        <v>2756</v>
      </c>
      <c r="I1059" t="s">
        <v>2757</v>
      </c>
      <c r="J1059" t="s">
        <v>2758</v>
      </c>
      <c r="K1059" t="s">
        <v>426</v>
      </c>
      <c r="L1059" t="s">
        <v>2759</v>
      </c>
      <c r="M1059" t="s">
        <v>35</v>
      </c>
      <c r="N1059">
        <v>1732845255</v>
      </c>
      <c r="O1059" t="s">
        <v>2760</v>
      </c>
      <c r="P1059" t="s">
        <v>3027</v>
      </c>
      <c r="R1059" t="s">
        <v>2762</v>
      </c>
      <c r="S1059" t="s">
        <v>2763</v>
      </c>
      <c r="T1059" t="s">
        <v>58</v>
      </c>
      <c r="U1059" t="s">
        <v>82</v>
      </c>
      <c r="V1059" s="1">
        <v>43226</v>
      </c>
      <c r="W1059">
        <v>0</v>
      </c>
      <c r="X1059">
        <v>6</v>
      </c>
      <c r="Y1059" t="s">
        <v>83</v>
      </c>
      <c r="AA1059" t="s">
        <v>42</v>
      </c>
      <c r="AB1059" t="s">
        <v>43</v>
      </c>
      <c r="AC1059" t="s">
        <v>43</v>
      </c>
      <c r="AD1059" t="s">
        <v>2764</v>
      </c>
    </row>
    <row r="1060" spans="1:30" hidden="1" x14ac:dyDescent="0.4">
      <c r="A1060" t="s">
        <v>27</v>
      </c>
      <c r="B1060">
        <v>4435</v>
      </c>
      <c r="C1060" t="s">
        <v>3027</v>
      </c>
      <c r="E1060" t="s">
        <v>28</v>
      </c>
      <c r="F1060" t="s">
        <v>2754</v>
      </c>
      <c r="G1060" t="s">
        <v>2755</v>
      </c>
      <c r="H1060" t="s">
        <v>2756</v>
      </c>
      <c r="I1060" t="s">
        <v>2757</v>
      </c>
      <c r="J1060" t="s">
        <v>2758</v>
      </c>
      <c r="K1060" t="s">
        <v>426</v>
      </c>
      <c r="L1060" t="s">
        <v>2759</v>
      </c>
      <c r="M1060" t="s">
        <v>35</v>
      </c>
      <c r="N1060">
        <v>1732845255</v>
      </c>
      <c r="O1060" t="s">
        <v>2760</v>
      </c>
      <c r="P1060" t="s">
        <v>2761</v>
      </c>
      <c r="R1060" t="s">
        <v>2767</v>
      </c>
      <c r="S1060" t="s">
        <v>2768</v>
      </c>
      <c r="T1060" t="s">
        <v>94</v>
      </c>
      <c r="U1060" t="s">
        <v>40</v>
      </c>
      <c r="V1060" s="1">
        <v>40609</v>
      </c>
      <c r="W1060">
        <v>0</v>
      </c>
      <c r="X1060">
        <v>0</v>
      </c>
      <c r="Y1060" t="s">
        <v>59</v>
      </c>
      <c r="AA1060" t="s">
        <v>42</v>
      </c>
      <c r="AB1060" t="s">
        <v>43</v>
      </c>
      <c r="AC1060" t="s">
        <v>43</v>
      </c>
      <c r="AD1060" t="s">
        <v>2764</v>
      </c>
    </row>
    <row r="1061" spans="1:30" hidden="1" x14ac:dyDescent="0.4">
      <c r="A1061" t="s">
        <v>27</v>
      </c>
      <c r="B1061">
        <v>4435</v>
      </c>
      <c r="C1061" t="s">
        <v>3027</v>
      </c>
      <c r="E1061" t="s">
        <v>28</v>
      </c>
      <c r="F1061" t="s">
        <v>2754</v>
      </c>
      <c r="G1061" t="s">
        <v>2755</v>
      </c>
      <c r="H1061" t="s">
        <v>2756</v>
      </c>
      <c r="I1061" t="s">
        <v>2757</v>
      </c>
      <c r="J1061" t="s">
        <v>2758</v>
      </c>
      <c r="K1061" t="s">
        <v>426</v>
      </c>
      <c r="L1061" t="s">
        <v>2759</v>
      </c>
      <c r="M1061" t="s">
        <v>35</v>
      </c>
      <c r="N1061">
        <v>1732845255</v>
      </c>
      <c r="O1061" t="s">
        <v>2760</v>
      </c>
      <c r="P1061" t="s">
        <v>2761</v>
      </c>
      <c r="R1061" t="s">
        <v>2769</v>
      </c>
      <c r="S1061" t="s">
        <v>2770</v>
      </c>
      <c r="T1061" t="s">
        <v>58</v>
      </c>
      <c r="U1061" t="s">
        <v>40</v>
      </c>
      <c r="V1061" s="1">
        <v>41192</v>
      </c>
      <c r="W1061">
        <v>0</v>
      </c>
      <c r="X1061">
        <v>0</v>
      </c>
      <c r="Y1061" t="s">
        <v>59</v>
      </c>
      <c r="AA1061" t="s">
        <v>42</v>
      </c>
      <c r="AB1061" t="s">
        <v>43</v>
      </c>
      <c r="AC1061" t="s">
        <v>43</v>
      </c>
      <c r="AD1061" t="s">
        <v>2764</v>
      </c>
    </row>
    <row r="1062" spans="1:30" hidden="1" x14ac:dyDescent="0.4">
      <c r="A1062" t="s">
        <v>27</v>
      </c>
      <c r="B1062">
        <v>787</v>
      </c>
      <c r="C1062" t="s">
        <v>3028</v>
      </c>
      <c r="E1062" t="s">
        <v>68</v>
      </c>
      <c r="F1062" t="s">
        <v>2771</v>
      </c>
      <c r="G1062" t="s">
        <v>2772</v>
      </c>
      <c r="H1062" t="s">
        <v>2773</v>
      </c>
      <c r="J1062" t="s">
        <v>2774</v>
      </c>
      <c r="K1062" t="s">
        <v>1227</v>
      </c>
      <c r="L1062" t="s">
        <v>2775</v>
      </c>
      <c r="M1062" t="s">
        <v>35</v>
      </c>
      <c r="N1062">
        <v>1179855172</v>
      </c>
      <c r="O1062" t="s">
        <v>2776</v>
      </c>
      <c r="P1062" t="s">
        <v>2777</v>
      </c>
      <c r="R1062" t="s">
        <v>2778</v>
      </c>
      <c r="S1062" t="s">
        <v>2779</v>
      </c>
      <c r="T1062" t="s">
        <v>94</v>
      </c>
      <c r="U1062" t="s">
        <v>40</v>
      </c>
      <c r="V1062" s="1">
        <v>40733</v>
      </c>
      <c r="W1062">
        <v>0</v>
      </c>
      <c r="X1062">
        <v>0</v>
      </c>
      <c r="Y1062" t="s">
        <v>59</v>
      </c>
      <c r="AA1062" t="s">
        <v>42</v>
      </c>
      <c r="AB1062" t="s">
        <v>43</v>
      </c>
      <c r="AC1062" t="s">
        <v>43</v>
      </c>
    </row>
    <row r="1063" spans="1:30" hidden="1" x14ac:dyDescent="0.4">
      <c r="A1063" t="s">
        <v>27</v>
      </c>
      <c r="B1063">
        <v>787</v>
      </c>
      <c r="C1063" t="s">
        <v>3028</v>
      </c>
      <c r="E1063" t="s">
        <v>68</v>
      </c>
      <c r="F1063" t="s">
        <v>2771</v>
      </c>
      <c r="G1063" t="s">
        <v>2772</v>
      </c>
      <c r="H1063" t="s">
        <v>2773</v>
      </c>
      <c r="J1063" t="s">
        <v>2774</v>
      </c>
      <c r="K1063" t="s">
        <v>1227</v>
      </c>
      <c r="L1063" t="s">
        <v>2775</v>
      </c>
      <c r="M1063" t="s">
        <v>35</v>
      </c>
      <c r="N1063">
        <v>1179855172</v>
      </c>
      <c r="O1063" t="s">
        <v>2776</v>
      </c>
      <c r="P1063" t="s">
        <v>2777</v>
      </c>
      <c r="R1063" t="s">
        <v>2780</v>
      </c>
      <c r="S1063" t="s">
        <v>2781</v>
      </c>
      <c r="T1063" t="s">
        <v>94</v>
      </c>
      <c r="U1063" t="s">
        <v>82</v>
      </c>
      <c r="V1063" s="1">
        <v>41012</v>
      </c>
      <c r="W1063">
        <v>0</v>
      </c>
      <c r="X1063">
        <v>0</v>
      </c>
      <c r="Y1063" t="s">
        <v>59</v>
      </c>
      <c r="AA1063" t="s">
        <v>42</v>
      </c>
      <c r="AB1063" t="s">
        <v>43</v>
      </c>
      <c r="AC1063" t="s">
        <v>43</v>
      </c>
    </row>
    <row r="1064" spans="1:30" x14ac:dyDescent="0.4">
      <c r="A1064" t="s">
        <v>27</v>
      </c>
      <c r="B1064">
        <v>787</v>
      </c>
      <c r="C1064" t="s">
        <v>3028</v>
      </c>
      <c r="D1064">
        <v>348</v>
      </c>
      <c r="E1064" t="s">
        <v>68</v>
      </c>
      <c r="F1064" t="s">
        <v>2771</v>
      </c>
      <c r="G1064" t="s">
        <v>2772</v>
      </c>
      <c r="H1064" t="s">
        <v>2773</v>
      </c>
      <c r="J1064" t="s">
        <v>2774</v>
      </c>
      <c r="K1064" t="s">
        <v>1227</v>
      </c>
      <c r="L1064" t="s">
        <v>2775</v>
      </c>
      <c r="M1064" t="s">
        <v>35</v>
      </c>
      <c r="N1064">
        <v>1179855172</v>
      </c>
      <c r="O1064" t="s">
        <v>2776</v>
      </c>
      <c r="P1064" t="s">
        <v>3028</v>
      </c>
      <c r="R1064" t="s">
        <v>2782</v>
      </c>
      <c r="S1064" t="s">
        <v>2783</v>
      </c>
      <c r="T1064" t="s">
        <v>94</v>
      </c>
      <c r="U1064" t="s">
        <v>40</v>
      </c>
      <c r="V1064" s="1">
        <v>44916</v>
      </c>
      <c r="W1064">
        <v>0</v>
      </c>
      <c r="X1064">
        <v>18</v>
      </c>
      <c r="AA1064" t="s">
        <v>42</v>
      </c>
      <c r="AB1064" t="s">
        <v>43</v>
      </c>
      <c r="AC1064" t="s">
        <v>43</v>
      </c>
    </row>
    <row r="1065" spans="1:30" x14ac:dyDescent="0.4">
      <c r="A1065" t="s">
        <v>27</v>
      </c>
      <c r="B1065">
        <v>787</v>
      </c>
      <c r="C1065" t="s">
        <v>3028</v>
      </c>
      <c r="D1065">
        <v>347</v>
      </c>
      <c r="E1065" t="s">
        <v>68</v>
      </c>
      <c r="F1065" t="s">
        <v>2771</v>
      </c>
      <c r="G1065" t="s">
        <v>2772</v>
      </c>
      <c r="H1065" t="s">
        <v>2773</v>
      </c>
      <c r="J1065" t="s">
        <v>2774</v>
      </c>
      <c r="K1065" t="s">
        <v>1227</v>
      </c>
      <c r="L1065" t="s">
        <v>2775</v>
      </c>
      <c r="M1065" t="s">
        <v>35</v>
      </c>
      <c r="N1065">
        <v>1179855172</v>
      </c>
      <c r="O1065" t="s">
        <v>2776</v>
      </c>
      <c r="P1065" t="s">
        <v>3028</v>
      </c>
      <c r="R1065" t="s">
        <v>2784</v>
      </c>
      <c r="S1065" t="s">
        <v>2785</v>
      </c>
      <c r="T1065" t="s">
        <v>94</v>
      </c>
      <c r="U1065" t="s">
        <v>82</v>
      </c>
      <c r="V1065" s="1">
        <v>43116</v>
      </c>
      <c r="W1065">
        <v>0</v>
      </c>
      <c r="X1065">
        <v>19</v>
      </c>
      <c r="AA1065" t="s">
        <v>42</v>
      </c>
      <c r="AB1065" t="s">
        <v>43</v>
      </c>
      <c r="AC1065" t="s">
        <v>43</v>
      </c>
    </row>
    <row r="1066" spans="1:30" x14ac:dyDescent="0.4">
      <c r="A1066" t="s">
        <v>27</v>
      </c>
      <c r="B1066">
        <v>787</v>
      </c>
      <c r="C1066" t="s">
        <v>3028</v>
      </c>
      <c r="D1066">
        <v>347</v>
      </c>
      <c r="E1066" t="s">
        <v>68</v>
      </c>
      <c r="F1066" t="s">
        <v>2771</v>
      </c>
      <c r="G1066" t="s">
        <v>2772</v>
      </c>
      <c r="H1066" t="s">
        <v>2773</v>
      </c>
      <c r="J1066" t="s">
        <v>2774</v>
      </c>
      <c r="K1066" t="s">
        <v>1227</v>
      </c>
      <c r="L1066" t="s">
        <v>2775</v>
      </c>
      <c r="M1066" t="s">
        <v>35</v>
      </c>
      <c r="N1066">
        <v>1179855172</v>
      </c>
      <c r="O1066" t="s">
        <v>2776</v>
      </c>
      <c r="P1066" t="s">
        <v>3028</v>
      </c>
      <c r="R1066" t="s">
        <v>2784</v>
      </c>
      <c r="S1066" t="s">
        <v>2785</v>
      </c>
      <c r="T1066" t="s">
        <v>94</v>
      </c>
      <c r="U1066" t="s">
        <v>82</v>
      </c>
      <c r="V1066" s="1">
        <v>43116</v>
      </c>
      <c r="W1066">
        <v>0</v>
      </c>
      <c r="X1066">
        <v>21</v>
      </c>
      <c r="AA1066" t="s">
        <v>42</v>
      </c>
      <c r="AB1066" t="s">
        <v>43</v>
      </c>
      <c r="AC1066" t="s">
        <v>43</v>
      </c>
    </row>
    <row r="1067" spans="1:30" x14ac:dyDescent="0.4">
      <c r="A1067" t="s">
        <v>27</v>
      </c>
      <c r="B1067">
        <v>1240</v>
      </c>
      <c r="C1067" t="s">
        <v>3029</v>
      </c>
      <c r="D1067">
        <v>349</v>
      </c>
      <c r="E1067" t="s">
        <v>68</v>
      </c>
      <c r="F1067" t="s">
        <v>2786</v>
      </c>
      <c r="G1067" t="s">
        <v>2787</v>
      </c>
      <c r="H1067" t="s">
        <v>2788</v>
      </c>
      <c r="I1067" t="s">
        <v>2789</v>
      </c>
      <c r="J1067" t="s">
        <v>225</v>
      </c>
      <c r="K1067" t="s">
        <v>426</v>
      </c>
      <c r="L1067" t="s">
        <v>2790</v>
      </c>
      <c r="M1067" t="s">
        <v>35</v>
      </c>
      <c r="N1067">
        <v>7920795013</v>
      </c>
      <c r="O1067" t="s">
        <v>2791</v>
      </c>
      <c r="P1067" t="s">
        <v>3029</v>
      </c>
      <c r="R1067" t="s">
        <v>3130</v>
      </c>
      <c r="S1067" t="s">
        <v>2793</v>
      </c>
      <c r="T1067" t="s">
        <v>3135</v>
      </c>
      <c r="U1067" t="s">
        <v>82</v>
      </c>
      <c r="V1067" s="1">
        <v>44155</v>
      </c>
      <c r="W1067">
        <v>0</v>
      </c>
      <c r="X1067">
        <v>21</v>
      </c>
      <c r="AA1067" t="s">
        <v>42</v>
      </c>
      <c r="AB1067" t="s">
        <v>43</v>
      </c>
      <c r="AC1067" t="s">
        <v>43</v>
      </c>
    </row>
    <row r="1068" spans="1:30" x14ac:dyDescent="0.4">
      <c r="A1068" t="s">
        <v>27</v>
      </c>
      <c r="B1068">
        <v>1240</v>
      </c>
      <c r="C1068" t="s">
        <v>3029</v>
      </c>
      <c r="D1068">
        <v>349</v>
      </c>
      <c r="E1068" t="s">
        <v>68</v>
      </c>
      <c r="F1068" t="s">
        <v>2786</v>
      </c>
      <c r="G1068" t="s">
        <v>2787</v>
      </c>
      <c r="H1068" t="s">
        <v>2788</v>
      </c>
      <c r="I1068" t="s">
        <v>2789</v>
      </c>
      <c r="J1068" t="s">
        <v>225</v>
      </c>
      <c r="K1068" t="s">
        <v>426</v>
      </c>
      <c r="L1068" t="s">
        <v>2790</v>
      </c>
      <c r="M1068" t="s">
        <v>35</v>
      </c>
      <c r="N1068">
        <v>7920795013</v>
      </c>
      <c r="O1068" t="s">
        <v>2791</v>
      </c>
      <c r="P1068" t="s">
        <v>3029</v>
      </c>
      <c r="R1068" t="s">
        <v>3130</v>
      </c>
      <c r="S1068" t="s">
        <v>2793</v>
      </c>
      <c r="T1068" t="s">
        <v>3135</v>
      </c>
      <c r="U1068" t="s">
        <v>82</v>
      </c>
      <c r="V1068" s="1">
        <v>44155</v>
      </c>
      <c r="W1068">
        <v>0</v>
      </c>
      <c r="X1068">
        <v>19</v>
      </c>
      <c r="AA1068" t="s">
        <v>42</v>
      </c>
      <c r="AB1068" t="s">
        <v>43</v>
      </c>
      <c r="AC1068" t="s">
        <v>43</v>
      </c>
    </row>
    <row r="1069" spans="1:30" x14ac:dyDescent="0.4">
      <c r="A1069" t="s">
        <v>27</v>
      </c>
      <c r="B1069">
        <v>5798</v>
      </c>
      <c r="C1069" t="s">
        <v>3030</v>
      </c>
      <c r="D1069">
        <v>350</v>
      </c>
      <c r="E1069" t="s">
        <v>68</v>
      </c>
      <c r="F1069" t="s">
        <v>2794</v>
      </c>
      <c r="G1069" t="s">
        <v>2795</v>
      </c>
      <c r="H1069" t="s">
        <v>2796</v>
      </c>
      <c r="I1069" t="s">
        <v>2797</v>
      </c>
      <c r="J1069" t="s">
        <v>2798</v>
      </c>
      <c r="K1069" t="s">
        <v>528</v>
      </c>
      <c r="L1069" t="s">
        <v>2799</v>
      </c>
      <c r="M1069" t="s">
        <v>35</v>
      </c>
      <c r="N1069">
        <v>7854397610</v>
      </c>
      <c r="O1069" t="s">
        <v>2800</v>
      </c>
      <c r="P1069" t="s">
        <v>3030</v>
      </c>
      <c r="R1069" t="s">
        <v>3131</v>
      </c>
      <c r="S1069" t="s">
        <v>2802</v>
      </c>
      <c r="T1069" t="s">
        <v>58</v>
      </c>
      <c r="U1069" t="s">
        <v>40</v>
      </c>
      <c r="V1069" s="1">
        <v>44688</v>
      </c>
      <c r="W1069">
        <v>0</v>
      </c>
      <c r="X1069">
        <v>8</v>
      </c>
      <c r="AA1069" t="s">
        <v>42</v>
      </c>
      <c r="AB1069" t="s">
        <v>43</v>
      </c>
      <c r="AC1069" t="s">
        <v>42</v>
      </c>
    </row>
    <row r="1070" spans="1:30" x14ac:dyDescent="0.4">
      <c r="A1070" t="s">
        <v>27</v>
      </c>
      <c r="B1070">
        <v>5798</v>
      </c>
      <c r="C1070" t="s">
        <v>3030</v>
      </c>
      <c r="D1070">
        <v>350</v>
      </c>
      <c r="E1070" t="s">
        <v>68</v>
      </c>
      <c r="F1070" t="s">
        <v>2794</v>
      </c>
      <c r="G1070" t="s">
        <v>2795</v>
      </c>
      <c r="H1070" t="s">
        <v>2796</v>
      </c>
      <c r="I1070" t="s">
        <v>2797</v>
      </c>
      <c r="J1070" t="s">
        <v>2798</v>
      </c>
      <c r="K1070" t="s">
        <v>528</v>
      </c>
      <c r="L1070" t="s">
        <v>2799</v>
      </c>
      <c r="M1070" t="s">
        <v>35</v>
      </c>
      <c r="N1070">
        <v>7854397610</v>
      </c>
      <c r="O1070" t="s">
        <v>2800</v>
      </c>
      <c r="P1070" t="s">
        <v>3030</v>
      </c>
      <c r="R1070" t="s">
        <v>3131</v>
      </c>
      <c r="S1070" t="s">
        <v>2802</v>
      </c>
      <c r="T1070" t="s">
        <v>58</v>
      </c>
      <c r="U1070" t="s">
        <v>40</v>
      </c>
      <c r="V1070" s="1">
        <v>44688</v>
      </c>
      <c r="W1070">
        <v>0</v>
      </c>
      <c r="X1070">
        <v>10</v>
      </c>
      <c r="AA1070" t="s">
        <v>42</v>
      </c>
      <c r="AB1070" t="s">
        <v>43</v>
      </c>
      <c r="AC1070" t="s">
        <v>42</v>
      </c>
    </row>
    <row r="1071" spans="1:30" x14ac:dyDescent="0.4">
      <c r="A1071" t="s">
        <v>27</v>
      </c>
      <c r="B1071" t="s">
        <v>2803</v>
      </c>
      <c r="C1071" t="s">
        <v>2811</v>
      </c>
      <c r="D1071">
        <v>208</v>
      </c>
      <c r="F1071" t="s">
        <v>2804</v>
      </c>
      <c r="G1071" t="s">
        <v>2805</v>
      </c>
      <c r="H1071" t="s">
        <v>2806</v>
      </c>
      <c r="I1071" t="s">
        <v>2807</v>
      </c>
      <c r="J1071" t="s">
        <v>2808</v>
      </c>
      <c r="K1071" t="s">
        <v>215</v>
      </c>
      <c r="L1071" t="s">
        <v>2809</v>
      </c>
      <c r="M1071" t="s">
        <v>35</v>
      </c>
      <c r="N1071">
        <v>7711807109</v>
      </c>
      <c r="O1071" s="3" t="s">
        <v>2810</v>
      </c>
      <c r="P1071" t="s">
        <v>2811</v>
      </c>
      <c r="R1071" t="s">
        <v>2812</v>
      </c>
      <c r="T1071" t="s">
        <v>555</v>
      </c>
      <c r="U1071" t="s">
        <v>40</v>
      </c>
      <c r="V1071" s="1">
        <v>42722</v>
      </c>
      <c r="W1071">
        <v>0</v>
      </c>
      <c r="X1071">
        <v>8</v>
      </c>
      <c r="AA1071" t="s">
        <v>42</v>
      </c>
      <c r="AB1071" t="s">
        <v>43</v>
      </c>
      <c r="AC1071" t="s">
        <v>43</v>
      </c>
    </row>
    <row r="1072" spans="1:30" x14ac:dyDescent="0.4">
      <c r="A1072" t="s">
        <v>27</v>
      </c>
      <c r="B1072" t="s">
        <v>2803</v>
      </c>
      <c r="C1072" t="s">
        <v>2811</v>
      </c>
      <c r="D1072">
        <v>208</v>
      </c>
      <c r="F1072" t="s">
        <v>2804</v>
      </c>
      <c r="G1072" t="s">
        <v>2805</v>
      </c>
      <c r="H1072" t="s">
        <v>2806</v>
      </c>
      <c r="I1072" t="s">
        <v>2807</v>
      </c>
      <c r="J1072" t="s">
        <v>2808</v>
      </c>
      <c r="K1072" t="s">
        <v>215</v>
      </c>
      <c r="L1072" t="s">
        <v>2809</v>
      </c>
      <c r="M1072" t="s">
        <v>35</v>
      </c>
      <c r="N1072">
        <v>7711807109</v>
      </c>
      <c r="O1072" s="3" t="s">
        <v>2810</v>
      </c>
      <c r="P1072" t="s">
        <v>2811</v>
      </c>
      <c r="R1072" t="s">
        <v>2812</v>
      </c>
      <c r="T1072" t="s">
        <v>555</v>
      </c>
      <c r="U1072" t="s">
        <v>40</v>
      </c>
      <c r="V1072" s="1">
        <v>42722</v>
      </c>
      <c r="W1072">
        <v>0</v>
      </c>
      <c r="X1072">
        <v>10</v>
      </c>
      <c r="AA1072" t="s">
        <v>42</v>
      </c>
      <c r="AB1072" t="s">
        <v>43</v>
      </c>
      <c r="AC1072" t="s">
        <v>43</v>
      </c>
    </row>
    <row r="1073" spans="1:29" x14ac:dyDescent="0.4">
      <c r="A1073" t="s">
        <v>27</v>
      </c>
      <c r="B1073" t="s">
        <v>2803</v>
      </c>
      <c r="C1073" t="s">
        <v>2811</v>
      </c>
      <c r="D1073">
        <v>208</v>
      </c>
      <c r="F1073" t="s">
        <v>2804</v>
      </c>
      <c r="G1073" t="s">
        <v>2805</v>
      </c>
      <c r="H1073" t="s">
        <v>2806</v>
      </c>
      <c r="I1073" t="s">
        <v>2807</v>
      </c>
      <c r="J1073" t="s">
        <v>2808</v>
      </c>
      <c r="K1073" t="s">
        <v>215</v>
      </c>
      <c r="L1073" t="s">
        <v>2809</v>
      </c>
      <c r="M1073" t="s">
        <v>35</v>
      </c>
      <c r="N1073">
        <v>7711807109</v>
      </c>
      <c r="O1073" s="3" t="s">
        <v>2810</v>
      </c>
      <c r="P1073" t="s">
        <v>2811</v>
      </c>
      <c r="R1073" t="s">
        <v>2812</v>
      </c>
      <c r="T1073" t="s">
        <v>555</v>
      </c>
      <c r="U1073" t="s">
        <v>40</v>
      </c>
      <c r="V1073" s="1">
        <v>42722</v>
      </c>
      <c r="W1073">
        <v>0</v>
      </c>
      <c r="X1073">
        <v>11</v>
      </c>
      <c r="AA1073" t="s">
        <v>42</v>
      </c>
      <c r="AB1073" t="s">
        <v>43</v>
      </c>
      <c r="AC1073" t="s">
        <v>43</v>
      </c>
    </row>
    <row r="1074" spans="1:29" x14ac:dyDescent="0.4">
      <c r="A1074" t="s">
        <v>27</v>
      </c>
      <c r="B1074" t="s">
        <v>2813</v>
      </c>
      <c r="C1074" t="s">
        <v>2821</v>
      </c>
      <c r="D1074">
        <v>54</v>
      </c>
      <c r="E1074" t="s">
        <v>68</v>
      </c>
      <c r="F1074" t="s">
        <v>2814</v>
      </c>
      <c r="G1074" t="s">
        <v>2815</v>
      </c>
      <c r="H1074" t="s">
        <v>2816</v>
      </c>
      <c r="I1074" t="s">
        <v>2817</v>
      </c>
      <c r="J1074" t="s">
        <v>2818</v>
      </c>
      <c r="K1074" t="s">
        <v>528</v>
      </c>
      <c r="L1074" t="s">
        <v>2819</v>
      </c>
      <c r="M1074" t="s">
        <v>35</v>
      </c>
      <c r="N1074">
        <v>1903877336</v>
      </c>
      <c r="O1074" s="3" t="s">
        <v>2820</v>
      </c>
      <c r="P1074" t="s">
        <v>2821</v>
      </c>
      <c r="R1074" t="s">
        <v>2822</v>
      </c>
      <c r="S1074" t="s">
        <v>61</v>
      </c>
      <c r="T1074" t="s">
        <v>94</v>
      </c>
      <c r="U1074" t="s">
        <v>40</v>
      </c>
      <c r="V1074" s="1">
        <v>42644</v>
      </c>
      <c r="W1074">
        <v>0</v>
      </c>
      <c r="X1074">
        <v>7</v>
      </c>
      <c r="AA1074" t="s">
        <v>42</v>
      </c>
      <c r="AB1074" t="s">
        <v>43</v>
      </c>
      <c r="AC1074" t="s">
        <v>43</v>
      </c>
    </row>
    <row r="1075" spans="1:29" x14ac:dyDescent="0.4">
      <c r="A1075" t="s">
        <v>27</v>
      </c>
      <c r="B1075" t="s">
        <v>2813</v>
      </c>
      <c r="C1075" t="s">
        <v>2821</v>
      </c>
      <c r="D1075">
        <v>54</v>
      </c>
      <c r="E1075" t="s">
        <v>68</v>
      </c>
      <c r="F1075" t="s">
        <v>2814</v>
      </c>
      <c r="G1075" t="s">
        <v>2815</v>
      </c>
      <c r="H1075" t="s">
        <v>2816</v>
      </c>
      <c r="I1075" t="s">
        <v>2817</v>
      </c>
      <c r="J1075" t="s">
        <v>2818</v>
      </c>
      <c r="K1075" t="s">
        <v>528</v>
      </c>
      <c r="L1075" t="s">
        <v>2819</v>
      </c>
      <c r="M1075" t="s">
        <v>35</v>
      </c>
      <c r="N1075">
        <v>1903877336</v>
      </c>
      <c r="O1075" s="3" t="s">
        <v>2820</v>
      </c>
      <c r="P1075" t="s">
        <v>2821</v>
      </c>
      <c r="R1075" t="s">
        <v>2822</v>
      </c>
      <c r="S1075" t="s">
        <v>61</v>
      </c>
      <c r="T1075" t="s">
        <v>94</v>
      </c>
      <c r="U1075" t="s">
        <v>40</v>
      </c>
      <c r="V1075" s="1">
        <v>42644</v>
      </c>
      <c r="W1075">
        <v>0</v>
      </c>
      <c r="X1075">
        <v>18</v>
      </c>
      <c r="AA1075" t="s">
        <v>42</v>
      </c>
      <c r="AB1075" t="s">
        <v>43</v>
      </c>
      <c r="AC1075" t="s">
        <v>43</v>
      </c>
    </row>
    <row r="1076" spans="1:29" x14ac:dyDescent="0.4">
      <c r="A1076" t="s">
        <v>27</v>
      </c>
      <c r="B1076" t="s">
        <v>2813</v>
      </c>
      <c r="C1076" t="s">
        <v>2821</v>
      </c>
      <c r="D1076">
        <v>54</v>
      </c>
      <c r="E1076" t="s">
        <v>68</v>
      </c>
      <c r="F1076" t="s">
        <v>2814</v>
      </c>
      <c r="G1076" t="s">
        <v>2815</v>
      </c>
      <c r="H1076" t="s">
        <v>2816</v>
      </c>
      <c r="I1076" t="s">
        <v>2817</v>
      </c>
      <c r="J1076" t="s">
        <v>2818</v>
      </c>
      <c r="K1076" t="s">
        <v>528</v>
      </c>
      <c r="L1076" t="s">
        <v>2819</v>
      </c>
      <c r="M1076" t="s">
        <v>35</v>
      </c>
      <c r="N1076">
        <v>1903877336</v>
      </c>
      <c r="O1076" s="3" t="s">
        <v>2820</v>
      </c>
      <c r="P1076" t="s">
        <v>2821</v>
      </c>
      <c r="R1076" t="s">
        <v>2822</v>
      </c>
      <c r="S1076" t="s">
        <v>61</v>
      </c>
      <c r="T1076" t="s">
        <v>94</v>
      </c>
      <c r="U1076" t="s">
        <v>40</v>
      </c>
      <c r="V1076" s="1">
        <v>42644</v>
      </c>
      <c r="W1076">
        <v>0</v>
      </c>
      <c r="X1076">
        <v>20</v>
      </c>
      <c r="AA1076" t="s">
        <v>42</v>
      </c>
      <c r="AB1076" t="s">
        <v>43</v>
      </c>
      <c r="AC1076" t="s">
        <v>43</v>
      </c>
    </row>
    <row r="1078" spans="1:29" x14ac:dyDescent="0.4">
      <c r="T1078" t="s">
        <v>2845</v>
      </c>
      <c r="V1078" s="6" t="s">
        <v>2844</v>
      </c>
      <c r="W1078" t="s">
        <v>2846</v>
      </c>
    </row>
    <row r="1079" spans="1:29" x14ac:dyDescent="0.4">
      <c r="T1079">
        <v>1</v>
      </c>
      <c r="U1079" t="s">
        <v>382</v>
      </c>
      <c r="W1079" t="s">
        <v>2823</v>
      </c>
      <c r="X1079">
        <f t="shared" ref="X1079:X1099" si="0">COUNTIF($X$1:$X$1076,$T1079)</f>
        <v>6</v>
      </c>
    </row>
    <row r="1080" spans="1:29" x14ac:dyDescent="0.4">
      <c r="T1080">
        <v>2</v>
      </c>
      <c r="U1080" t="s">
        <v>382</v>
      </c>
      <c r="W1080" t="s">
        <v>2824</v>
      </c>
      <c r="X1080">
        <f t="shared" si="0"/>
        <v>15</v>
      </c>
    </row>
    <row r="1081" spans="1:29" x14ac:dyDescent="0.4">
      <c r="T1081">
        <v>3</v>
      </c>
      <c r="U1081" t="s">
        <v>170</v>
      </c>
      <c r="W1081" t="s">
        <v>2825</v>
      </c>
      <c r="X1081">
        <f t="shared" si="0"/>
        <v>23</v>
      </c>
    </row>
    <row r="1082" spans="1:29" x14ac:dyDescent="0.4">
      <c r="T1082">
        <v>4</v>
      </c>
      <c r="U1082" t="s">
        <v>65</v>
      </c>
      <c r="V1082" t="s">
        <v>2841</v>
      </c>
      <c r="W1082" t="s">
        <v>2826</v>
      </c>
      <c r="X1082">
        <f t="shared" si="0"/>
        <v>92</v>
      </c>
      <c r="Y1082">
        <f>X1082/2</f>
        <v>46</v>
      </c>
    </row>
    <row r="1083" spans="1:29" x14ac:dyDescent="0.4">
      <c r="T1083">
        <v>5</v>
      </c>
      <c r="U1083" t="s">
        <v>66</v>
      </c>
      <c r="V1083" t="s">
        <v>2842</v>
      </c>
      <c r="W1083" t="s">
        <v>2827</v>
      </c>
      <c r="X1083">
        <f t="shared" si="0"/>
        <v>91</v>
      </c>
      <c r="Y1083">
        <f>X1083/2</f>
        <v>45.5</v>
      </c>
    </row>
    <row r="1084" spans="1:29" x14ac:dyDescent="0.4">
      <c r="T1084">
        <v>6</v>
      </c>
      <c r="U1084" t="s">
        <v>83</v>
      </c>
      <c r="V1084" s="5" t="s">
        <v>41</v>
      </c>
      <c r="W1084" t="s">
        <v>2828</v>
      </c>
      <c r="X1084">
        <f t="shared" si="0"/>
        <v>63</v>
      </c>
      <c r="Y1084">
        <f>X1084/2</f>
        <v>31.5</v>
      </c>
    </row>
    <row r="1085" spans="1:29" x14ac:dyDescent="0.4">
      <c r="T1085">
        <v>7</v>
      </c>
      <c r="U1085" t="s">
        <v>104</v>
      </c>
      <c r="W1085" t="s">
        <v>2829</v>
      </c>
      <c r="X1085">
        <f t="shared" si="0"/>
        <v>55</v>
      </c>
    </row>
    <row r="1086" spans="1:29" x14ac:dyDescent="0.4">
      <c r="T1086">
        <v>8</v>
      </c>
      <c r="U1086" t="s">
        <v>377</v>
      </c>
      <c r="W1086" t="s">
        <v>2830</v>
      </c>
      <c r="X1086">
        <f t="shared" si="0"/>
        <v>22</v>
      </c>
    </row>
    <row r="1087" spans="1:29" x14ac:dyDescent="0.4">
      <c r="T1087">
        <v>9</v>
      </c>
      <c r="U1087" t="s">
        <v>2842</v>
      </c>
      <c r="W1087" t="s">
        <v>2823</v>
      </c>
      <c r="X1087">
        <f t="shared" si="0"/>
        <v>16</v>
      </c>
    </row>
    <row r="1088" spans="1:29" x14ac:dyDescent="0.4">
      <c r="T1088">
        <v>10</v>
      </c>
      <c r="U1088" t="s">
        <v>382</v>
      </c>
      <c r="W1088" t="s">
        <v>2824</v>
      </c>
      <c r="X1088">
        <f t="shared" si="0"/>
        <v>23</v>
      </c>
    </row>
    <row r="1089" spans="20:24" x14ac:dyDescent="0.4">
      <c r="T1089">
        <v>11</v>
      </c>
      <c r="U1089" t="s">
        <v>297</v>
      </c>
      <c r="W1089" t="s">
        <v>2825</v>
      </c>
      <c r="X1089">
        <f t="shared" si="0"/>
        <v>29</v>
      </c>
    </row>
    <row r="1090" spans="20:24" x14ac:dyDescent="0.4">
      <c r="T1090">
        <v>12</v>
      </c>
      <c r="U1090" t="s">
        <v>323</v>
      </c>
      <c r="W1090" t="s">
        <v>2831</v>
      </c>
      <c r="X1090">
        <f t="shared" si="0"/>
        <v>51</v>
      </c>
    </row>
    <row r="1091" spans="20:24" x14ac:dyDescent="0.4">
      <c r="T1091">
        <v>13</v>
      </c>
      <c r="U1091" t="s">
        <v>95</v>
      </c>
      <c r="W1091" t="s">
        <v>2832</v>
      </c>
      <c r="X1091">
        <f t="shared" si="0"/>
        <v>43</v>
      </c>
    </row>
    <row r="1092" spans="20:24" x14ac:dyDescent="0.4">
      <c r="T1092">
        <v>14</v>
      </c>
      <c r="U1092" t="s">
        <v>67</v>
      </c>
      <c r="W1092" t="s">
        <v>2833</v>
      </c>
      <c r="X1092">
        <f t="shared" si="0"/>
        <v>55</v>
      </c>
    </row>
    <row r="1093" spans="20:24" x14ac:dyDescent="0.4">
      <c r="T1093">
        <v>15</v>
      </c>
      <c r="U1093" t="s">
        <v>84</v>
      </c>
      <c r="W1093" t="s">
        <v>2834</v>
      </c>
      <c r="X1093">
        <f t="shared" si="0"/>
        <v>40</v>
      </c>
    </row>
    <row r="1094" spans="20:24" x14ac:dyDescent="0.4">
      <c r="T1094">
        <v>16</v>
      </c>
      <c r="U1094" s="5"/>
      <c r="W1094" t="s">
        <v>2835</v>
      </c>
      <c r="X1094">
        <f t="shared" si="0"/>
        <v>44</v>
      </c>
    </row>
    <row r="1095" spans="20:24" x14ac:dyDescent="0.4">
      <c r="T1095">
        <v>17</v>
      </c>
      <c r="U1095" t="s">
        <v>2843</v>
      </c>
      <c r="W1095" t="s">
        <v>2836</v>
      </c>
      <c r="X1095">
        <f t="shared" si="0"/>
        <v>30</v>
      </c>
    </row>
    <row r="1096" spans="20:24" x14ac:dyDescent="0.4">
      <c r="T1096">
        <v>18</v>
      </c>
      <c r="U1096" s="5" t="s">
        <v>210</v>
      </c>
      <c r="W1096" t="s">
        <v>2837</v>
      </c>
      <c r="X1096">
        <f t="shared" si="0"/>
        <v>36</v>
      </c>
    </row>
    <row r="1097" spans="20:24" x14ac:dyDescent="0.4">
      <c r="T1097">
        <v>19</v>
      </c>
      <c r="U1097" t="s">
        <v>104</v>
      </c>
      <c r="W1097" t="s">
        <v>2838</v>
      </c>
      <c r="X1097">
        <f t="shared" si="0"/>
        <v>28</v>
      </c>
    </row>
    <row r="1098" spans="20:24" x14ac:dyDescent="0.4">
      <c r="T1098">
        <v>20</v>
      </c>
      <c r="U1098" t="s">
        <v>141</v>
      </c>
      <c r="W1098" t="s">
        <v>2839</v>
      </c>
      <c r="X1098">
        <f t="shared" si="0"/>
        <v>24</v>
      </c>
    </row>
    <row r="1099" spans="20:24" x14ac:dyDescent="0.4">
      <c r="T1099">
        <v>21</v>
      </c>
      <c r="U1099" t="s">
        <v>113</v>
      </c>
      <c r="W1099" t="s">
        <v>2840</v>
      </c>
      <c r="X1099">
        <f t="shared" si="0"/>
        <v>18</v>
      </c>
    </row>
    <row r="1100" spans="20:24" x14ac:dyDescent="0.4">
      <c r="X1100" s="6">
        <f>SUM(X1079:X1099)</f>
        <v>804</v>
      </c>
    </row>
    <row r="1102" spans="20:24" x14ac:dyDescent="0.4">
      <c r="T1102">
        <v>0</v>
      </c>
      <c r="W1102" t="s">
        <v>2893</v>
      </c>
      <c r="X1102">
        <f>COUNTIF($X$1:$X$1076,$T1102)</f>
        <v>271</v>
      </c>
    </row>
  </sheetData>
  <autoFilter ref="A1:AD1076" xr:uid="{25CABAA0-275A-9F41-B0AA-A47AA0C7650E}">
    <filterColumn colId="23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3"/>
        <filter val="4"/>
        <filter val="5"/>
        <filter val="6"/>
        <filter val="7"/>
        <filter val="8"/>
        <filter val="9"/>
      </filters>
    </filterColumn>
  </autoFilter>
  <hyperlinks>
    <hyperlink ref="O1074" r:id="rId1" xr:uid="{F6BC5911-3EEC-41EA-8DE2-0A31CA81FEA9}"/>
    <hyperlink ref="O1075" r:id="rId2" xr:uid="{00CA5831-9388-46FA-96ED-756FB08635BE}"/>
    <hyperlink ref="O1076" r:id="rId3" xr:uid="{E748758C-7C57-4300-AB09-BE3E13208F3B}"/>
    <hyperlink ref="O1071" r:id="rId4" xr:uid="{AA816603-698C-47E3-974E-044860787BF4}"/>
    <hyperlink ref="O1072" r:id="rId5" xr:uid="{DB8E3F8D-A229-4761-A693-2AFD425FB311}"/>
    <hyperlink ref="O1073" r:id="rId6" xr:uid="{F0A419C4-93E8-4D36-A8B2-02C90505FD1F}"/>
  </hyperlinks>
  <pageMargins left="0.75" right="0.75" top="1" bottom="1" header="0.5" footer="0.5"/>
  <pageSetup paperSize="9" orientation="portrait" horizontalDpi="0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ABAA-1022-4615-901B-AB8E46573CAA}">
  <dimension ref="A1:AE1102"/>
  <sheetViews>
    <sheetView workbookViewId="0">
      <selection sqref="A1:XFD1048576"/>
    </sheetView>
  </sheetViews>
  <sheetFormatPr defaultColWidth="11" defaultRowHeight="16" x14ac:dyDescent="0.4"/>
  <cols>
    <col min="1" max="1" width="63.08203125" bestFit="1" customWidth="1"/>
    <col min="2" max="2" width="11" customWidth="1"/>
    <col min="3" max="3" width="13" customWidth="1"/>
    <col min="4" max="4" width="7.5" customWidth="1"/>
    <col min="5" max="15" width="11" customWidth="1"/>
    <col min="16" max="16" width="24.83203125" customWidth="1"/>
    <col min="17" max="17" width="11" customWidth="1"/>
    <col min="18" max="18" width="39.25" bestFit="1" customWidth="1"/>
    <col min="19" max="19" width="11" customWidth="1"/>
    <col min="20" max="20" width="26.33203125" customWidth="1"/>
    <col min="22" max="23" width="11" customWidth="1"/>
    <col min="26" max="29" width="11" customWidth="1"/>
    <col min="30" max="30" width="31.83203125" customWidth="1"/>
    <col min="31" max="31" width="0" hidden="1" customWidth="1"/>
  </cols>
  <sheetData>
    <row r="1" spans="1:30" x14ac:dyDescent="0.4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3141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4">
      <c r="A2" t="s">
        <v>27</v>
      </c>
      <c r="B2">
        <v>2670</v>
      </c>
      <c r="C2" t="str">
        <f>F2&amp;" "&amp;G2</f>
        <v>Annie Abbott</v>
      </c>
      <c r="D2">
        <f>VLOOKUP(R2,'Ring numbers'!G:H,2,FALSE)</f>
        <v>1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M2" t="s">
        <v>35</v>
      </c>
      <c r="N2">
        <v>7934997677</v>
      </c>
      <c r="O2" t="s">
        <v>36</v>
      </c>
      <c r="P2" t="s">
        <v>37</v>
      </c>
      <c r="R2" t="s">
        <v>38</v>
      </c>
      <c r="S2" t="s">
        <v>39</v>
      </c>
      <c r="T2" t="s">
        <v>1498</v>
      </c>
      <c r="U2" t="s">
        <v>40</v>
      </c>
      <c r="V2" s="1">
        <v>45309</v>
      </c>
      <c r="W2">
        <v>0</v>
      </c>
      <c r="X2">
        <v>2</v>
      </c>
      <c r="AA2" t="s">
        <v>42</v>
      </c>
      <c r="AB2" t="s">
        <v>43</v>
      </c>
      <c r="AC2" t="s">
        <v>43</v>
      </c>
    </row>
    <row r="3" spans="1:30" x14ac:dyDescent="0.4">
      <c r="A3" t="s">
        <v>27</v>
      </c>
      <c r="B3">
        <v>2670</v>
      </c>
      <c r="C3" t="s">
        <v>37</v>
      </c>
      <c r="D3">
        <v>2</v>
      </c>
      <c r="E3" t="s">
        <v>28</v>
      </c>
      <c r="F3" t="s">
        <v>29</v>
      </c>
      <c r="G3" t="s">
        <v>30</v>
      </c>
      <c r="H3" t="s">
        <v>31</v>
      </c>
      <c r="J3" t="s">
        <v>32</v>
      </c>
      <c r="K3" t="s">
        <v>33</v>
      </c>
      <c r="L3" t="s">
        <v>34</v>
      </c>
      <c r="M3" t="s">
        <v>35</v>
      </c>
      <c r="N3">
        <v>7934997677</v>
      </c>
      <c r="O3" t="s">
        <v>36</v>
      </c>
      <c r="P3" t="s">
        <v>37</v>
      </c>
      <c r="R3" t="s">
        <v>3032</v>
      </c>
      <c r="S3" t="s">
        <v>45</v>
      </c>
      <c r="T3" t="s">
        <v>46</v>
      </c>
      <c r="U3" t="s">
        <v>40</v>
      </c>
      <c r="V3" s="1">
        <v>41476</v>
      </c>
      <c r="W3">
        <v>0</v>
      </c>
      <c r="X3">
        <v>2</v>
      </c>
      <c r="AA3" t="s">
        <v>42</v>
      </c>
      <c r="AB3" t="s">
        <v>43</v>
      </c>
      <c r="AC3" t="s">
        <v>43</v>
      </c>
    </row>
    <row r="4" spans="1:30" x14ac:dyDescent="0.4">
      <c r="A4" t="s">
        <v>27</v>
      </c>
      <c r="B4">
        <v>2649</v>
      </c>
      <c r="C4" t="s">
        <v>2907</v>
      </c>
      <c r="E4" t="s">
        <v>28</v>
      </c>
      <c r="F4" t="s">
        <v>47</v>
      </c>
      <c r="G4" t="s">
        <v>48</v>
      </c>
      <c r="H4" t="s">
        <v>49</v>
      </c>
      <c r="J4" t="s">
        <v>50</v>
      </c>
      <c r="K4" t="s">
        <v>51</v>
      </c>
      <c r="L4" t="s">
        <v>52</v>
      </c>
      <c r="M4" t="s">
        <v>35</v>
      </c>
      <c r="N4" t="s">
        <v>53</v>
      </c>
      <c r="O4" t="s">
        <v>54</v>
      </c>
      <c r="P4" t="s">
        <v>55</v>
      </c>
      <c r="R4" t="s">
        <v>56</v>
      </c>
      <c r="S4" t="s">
        <v>57</v>
      </c>
      <c r="T4" t="s">
        <v>58</v>
      </c>
      <c r="U4" t="s">
        <v>40</v>
      </c>
      <c r="V4" s="1">
        <v>41397</v>
      </c>
      <c r="W4">
        <v>0</v>
      </c>
      <c r="X4">
        <v>0</v>
      </c>
      <c r="Y4" t="s">
        <v>59</v>
      </c>
      <c r="AA4" t="s">
        <v>42</v>
      </c>
      <c r="AB4" t="s">
        <v>43</v>
      </c>
      <c r="AC4" t="s">
        <v>43</v>
      </c>
    </row>
    <row r="5" spans="1:30" x14ac:dyDescent="0.4">
      <c r="A5" t="s">
        <v>27</v>
      </c>
      <c r="B5">
        <v>2649</v>
      </c>
      <c r="C5" t="s">
        <v>2907</v>
      </c>
      <c r="E5" t="s">
        <v>28</v>
      </c>
      <c r="F5" t="s">
        <v>47</v>
      </c>
      <c r="G5" t="s">
        <v>48</v>
      </c>
      <c r="H5" t="s">
        <v>49</v>
      </c>
      <c r="J5" t="s">
        <v>50</v>
      </c>
      <c r="K5" t="s">
        <v>51</v>
      </c>
      <c r="L5" t="s">
        <v>52</v>
      </c>
      <c r="M5" t="s">
        <v>35</v>
      </c>
      <c r="N5" t="s">
        <v>53</v>
      </c>
      <c r="O5" t="s">
        <v>54</v>
      </c>
      <c r="P5" t="s">
        <v>55</v>
      </c>
      <c r="R5" t="s">
        <v>60</v>
      </c>
      <c r="S5" t="s">
        <v>61</v>
      </c>
      <c r="T5" t="s">
        <v>62</v>
      </c>
      <c r="U5" t="s">
        <v>40</v>
      </c>
      <c r="V5" s="1">
        <v>45630</v>
      </c>
      <c r="W5">
        <v>0</v>
      </c>
      <c r="X5">
        <v>0</v>
      </c>
      <c r="Y5" t="s">
        <v>59</v>
      </c>
      <c r="AA5" t="s">
        <v>42</v>
      </c>
      <c r="AB5" t="s">
        <v>43</v>
      </c>
      <c r="AC5" t="s">
        <v>43</v>
      </c>
    </row>
    <row r="6" spans="1:30" x14ac:dyDescent="0.4">
      <c r="A6" t="s">
        <v>27</v>
      </c>
      <c r="B6">
        <v>2649</v>
      </c>
      <c r="C6" t="s">
        <v>2907</v>
      </c>
      <c r="D6">
        <v>3</v>
      </c>
      <c r="E6" t="s">
        <v>28</v>
      </c>
      <c r="F6" t="s">
        <v>47</v>
      </c>
      <c r="G6" t="s">
        <v>48</v>
      </c>
      <c r="H6" t="s">
        <v>49</v>
      </c>
      <c r="J6" t="s">
        <v>50</v>
      </c>
      <c r="K6" t="s">
        <v>51</v>
      </c>
      <c r="L6" t="s">
        <v>52</v>
      </c>
      <c r="M6" t="s">
        <v>35</v>
      </c>
      <c r="N6" t="s">
        <v>53</v>
      </c>
      <c r="O6" t="s">
        <v>54</v>
      </c>
      <c r="P6" t="s">
        <v>2907</v>
      </c>
      <c r="R6" t="s">
        <v>3046</v>
      </c>
      <c r="S6" t="s">
        <v>64</v>
      </c>
      <c r="T6" t="s">
        <v>58</v>
      </c>
      <c r="U6" t="s">
        <v>40</v>
      </c>
      <c r="V6" s="1">
        <v>43157</v>
      </c>
      <c r="W6">
        <v>0</v>
      </c>
      <c r="X6">
        <v>4</v>
      </c>
      <c r="Y6" t="s">
        <v>65</v>
      </c>
      <c r="AA6" t="s">
        <v>42</v>
      </c>
      <c r="AB6" t="s">
        <v>43</v>
      </c>
      <c r="AC6" t="s">
        <v>43</v>
      </c>
    </row>
    <row r="7" spans="1:30" x14ac:dyDescent="0.4">
      <c r="A7" t="s">
        <v>27</v>
      </c>
      <c r="B7">
        <v>2649</v>
      </c>
      <c r="C7" t="s">
        <v>2907</v>
      </c>
      <c r="D7">
        <v>3</v>
      </c>
      <c r="E7" t="s">
        <v>28</v>
      </c>
      <c r="F7" t="s">
        <v>47</v>
      </c>
      <c r="G7" t="s">
        <v>48</v>
      </c>
      <c r="H7" t="s">
        <v>49</v>
      </c>
      <c r="J7" t="s">
        <v>50</v>
      </c>
      <c r="K7" t="s">
        <v>51</v>
      </c>
      <c r="L7" t="s">
        <v>52</v>
      </c>
      <c r="M7" t="s">
        <v>35</v>
      </c>
      <c r="N7" t="s">
        <v>53</v>
      </c>
      <c r="O7" t="s">
        <v>54</v>
      </c>
      <c r="P7" t="s">
        <v>2907</v>
      </c>
      <c r="R7" t="s">
        <v>3046</v>
      </c>
      <c r="S7" t="s">
        <v>64</v>
      </c>
      <c r="T7" t="s">
        <v>58</v>
      </c>
      <c r="U7" t="s">
        <v>40</v>
      </c>
      <c r="V7" s="1">
        <v>43157</v>
      </c>
      <c r="W7">
        <v>0</v>
      </c>
      <c r="X7">
        <v>5</v>
      </c>
      <c r="Y7" t="s">
        <v>66</v>
      </c>
      <c r="AA7" t="s">
        <v>42</v>
      </c>
      <c r="AB7" t="s">
        <v>43</v>
      </c>
      <c r="AC7" t="s">
        <v>43</v>
      </c>
    </row>
    <row r="8" spans="1:30" x14ac:dyDescent="0.4">
      <c r="A8" t="s">
        <v>27</v>
      </c>
      <c r="B8">
        <v>2649</v>
      </c>
      <c r="C8" t="s">
        <v>2907</v>
      </c>
      <c r="D8">
        <v>3</v>
      </c>
      <c r="E8" t="s">
        <v>28</v>
      </c>
      <c r="F8" t="s">
        <v>47</v>
      </c>
      <c r="G8" t="s">
        <v>48</v>
      </c>
      <c r="H8" t="s">
        <v>49</v>
      </c>
      <c r="J8" t="s">
        <v>50</v>
      </c>
      <c r="K8" t="s">
        <v>51</v>
      </c>
      <c r="L8" t="s">
        <v>52</v>
      </c>
      <c r="M8" t="s">
        <v>35</v>
      </c>
      <c r="N8" t="s">
        <v>53</v>
      </c>
      <c r="O8" t="s">
        <v>54</v>
      </c>
      <c r="P8" t="s">
        <v>2907</v>
      </c>
      <c r="R8" t="s">
        <v>3046</v>
      </c>
      <c r="S8" t="s">
        <v>64</v>
      </c>
      <c r="T8" t="s">
        <v>58</v>
      </c>
      <c r="U8" t="s">
        <v>40</v>
      </c>
      <c r="V8" s="1">
        <v>43157</v>
      </c>
      <c r="W8">
        <v>0</v>
      </c>
      <c r="X8">
        <v>12</v>
      </c>
      <c r="AA8" t="s">
        <v>42</v>
      </c>
      <c r="AB8" t="s">
        <v>43</v>
      </c>
      <c r="AC8" t="s">
        <v>43</v>
      </c>
    </row>
    <row r="9" spans="1:30" x14ac:dyDescent="0.4">
      <c r="A9" t="s">
        <v>27</v>
      </c>
      <c r="B9">
        <v>2649</v>
      </c>
      <c r="C9" t="s">
        <v>2907</v>
      </c>
      <c r="D9">
        <v>3</v>
      </c>
      <c r="E9" t="s">
        <v>28</v>
      </c>
      <c r="F9" t="s">
        <v>47</v>
      </c>
      <c r="G9" t="s">
        <v>48</v>
      </c>
      <c r="H9" t="s">
        <v>49</v>
      </c>
      <c r="J9" t="s">
        <v>50</v>
      </c>
      <c r="K9" t="s">
        <v>51</v>
      </c>
      <c r="L9" t="s">
        <v>52</v>
      </c>
      <c r="M9" t="s">
        <v>35</v>
      </c>
      <c r="N9" t="s">
        <v>53</v>
      </c>
      <c r="O9" t="s">
        <v>54</v>
      </c>
      <c r="P9" t="s">
        <v>2907</v>
      </c>
      <c r="R9" t="s">
        <v>3046</v>
      </c>
      <c r="S9" t="s">
        <v>64</v>
      </c>
      <c r="T9" t="s">
        <v>58</v>
      </c>
      <c r="U9" t="s">
        <v>40</v>
      </c>
      <c r="V9" s="1">
        <v>43157</v>
      </c>
      <c r="W9">
        <v>0</v>
      </c>
      <c r="X9">
        <v>14</v>
      </c>
      <c r="AA9" t="s">
        <v>42</v>
      </c>
      <c r="AB9" t="s">
        <v>43</v>
      </c>
      <c r="AC9" t="s">
        <v>43</v>
      </c>
    </row>
    <row r="10" spans="1:30" x14ac:dyDescent="0.4">
      <c r="A10" t="s">
        <v>27</v>
      </c>
      <c r="B10">
        <v>2999</v>
      </c>
      <c r="C10" t="s">
        <v>2908</v>
      </c>
      <c r="E10" t="s">
        <v>68</v>
      </c>
      <c r="F10" t="s">
        <v>69</v>
      </c>
      <c r="G10" t="s">
        <v>70</v>
      </c>
      <c r="H10" t="s">
        <v>71</v>
      </c>
      <c r="J10" t="s">
        <v>72</v>
      </c>
      <c r="K10" t="s">
        <v>73</v>
      </c>
      <c r="L10" t="s">
        <v>74</v>
      </c>
      <c r="M10" t="s">
        <v>35</v>
      </c>
      <c r="N10">
        <v>7852469499</v>
      </c>
      <c r="O10" t="s">
        <v>75</v>
      </c>
      <c r="P10" t="s">
        <v>76</v>
      </c>
      <c r="R10" t="s">
        <v>77</v>
      </c>
      <c r="S10" t="s">
        <v>78</v>
      </c>
      <c r="T10" t="s">
        <v>79</v>
      </c>
      <c r="U10" t="s">
        <v>40</v>
      </c>
      <c r="V10" s="1">
        <v>45263</v>
      </c>
      <c r="W10">
        <v>0</v>
      </c>
      <c r="X10">
        <v>0</v>
      </c>
      <c r="Y10" t="s">
        <v>59</v>
      </c>
      <c r="AA10" t="s">
        <v>42</v>
      </c>
      <c r="AB10" t="s">
        <v>43</v>
      </c>
      <c r="AC10" t="s">
        <v>43</v>
      </c>
    </row>
    <row r="11" spans="1:30" x14ac:dyDescent="0.4">
      <c r="A11" t="s">
        <v>27</v>
      </c>
      <c r="B11">
        <v>2999</v>
      </c>
      <c r="C11" t="s">
        <v>2908</v>
      </c>
      <c r="D11">
        <v>4</v>
      </c>
      <c r="E11" t="s">
        <v>68</v>
      </c>
      <c r="F11" t="s">
        <v>69</v>
      </c>
      <c r="G11" t="s">
        <v>70</v>
      </c>
      <c r="H11" t="s">
        <v>71</v>
      </c>
      <c r="J11" t="s">
        <v>72</v>
      </c>
      <c r="K11" t="s">
        <v>73</v>
      </c>
      <c r="L11" t="s">
        <v>74</v>
      </c>
      <c r="M11" t="s">
        <v>35</v>
      </c>
      <c r="N11">
        <v>7852469499</v>
      </c>
      <c r="O11" t="s">
        <v>75</v>
      </c>
      <c r="P11" t="s">
        <v>3070</v>
      </c>
      <c r="R11" t="s">
        <v>80</v>
      </c>
      <c r="S11" t="s">
        <v>81</v>
      </c>
      <c r="T11" t="s">
        <v>94</v>
      </c>
      <c r="U11" t="s">
        <v>82</v>
      </c>
      <c r="V11" s="1">
        <v>43211</v>
      </c>
      <c r="W11">
        <v>0</v>
      </c>
      <c r="X11">
        <v>5</v>
      </c>
      <c r="Y11" t="s">
        <v>66</v>
      </c>
      <c r="AA11" t="s">
        <v>42</v>
      </c>
      <c r="AB11" t="s">
        <v>43</v>
      </c>
      <c r="AC11" t="s">
        <v>43</v>
      </c>
    </row>
    <row r="12" spans="1:30" x14ac:dyDescent="0.4">
      <c r="A12" t="s">
        <v>27</v>
      </c>
      <c r="B12">
        <v>2999</v>
      </c>
      <c r="C12" t="s">
        <v>2908</v>
      </c>
      <c r="D12">
        <v>4</v>
      </c>
      <c r="E12" t="s">
        <v>68</v>
      </c>
      <c r="F12" t="s">
        <v>69</v>
      </c>
      <c r="G12" t="s">
        <v>70</v>
      </c>
      <c r="H12" t="s">
        <v>71</v>
      </c>
      <c r="J12" t="s">
        <v>72</v>
      </c>
      <c r="K12" t="s">
        <v>73</v>
      </c>
      <c r="L12" t="s">
        <v>74</v>
      </c>
      <c r="M12" t="s">
        <v>35</v>
      </c>
      <c r="N12">
        <v>7852469499</v>
      </c>
      <c r="O12" t="s">
        <v>75</v>
      </c>
      <c r="P12" t="s">
        <v>3070</v>
      </c>
      <c r="R12" t="s">
        <v>80</v>
      </c>
      <c r="S12" t="s">
        <v>81</v>
      </c>
      <c r="T12" t="s">
        <v>94</v>
      </c>
      <c r="U12" t="s">
        <v>82</v>
      </c>
      <c r="V12" s="1">
        <v>43211</v>
      </c>
      <c r="W12">
        <v>0</v>
      </c>
      <c r="X12">
        <v>6</v>
      </c>
      <c r="Y12" t="s">
        <v>83</v>
      </c>
      <c r="AA12" t="s">
        <v>42</v>
      </c>
      <c r="AB12" t="s">
        <v>43</v>
      </c>
      <c r="AC12" t="s">
        <v>43</v>
      </c>
    </row>
    <row r="13" spans="1:30" x14ac:dyDescent="0.4">
      <c r="A13" t="s">
        <v>27</v>
      </c>
      <c r="B13">
        <v>2999</v>
      </c>
      <c r="C13" t="s">
        <v>2908</v>
      </c>
      <c r="E13" t="s">
        <v>68</v>
      </c>
      <c r="F13" t="s">
        <v>69</v>
      </c>
      <c r="G13" t="s">
        <v>70</v>
      </c>
      <c r="H13" t="s">
        <v>71</v>
      </c>
      <c r="J13" t="s">
        <v>72</v>
      </c>
      <c r="K13" t="s">
        <v>73</v>
      </c>
      <c r="L13" t="s">
        <v>74</v>
      </c>
      <c r="M13" t="s">
        <v>35</v>
      </c>
      <c r="N13">
        <v>7852469499</v>
      </c>
      <c r="O13" t="s">
        <v>75</v>
      </c>
      <c r="P13" t="s">
        <v>76</v>
      </c>
      <c r="R13" t="s">
        <v>77</v>
      </c>
      <c r="S13" t="s">
        <v>78</v>
      </c>
      <c r="T13" t="s">
        <v>79</v>
      </c>
      <c r="U13" t="s">
        <v>40</v>
      </c>
      <c r="V13" s="1">
        <v>45263</v>
      </c>
      <c r="W13">
        <v>0</v>
      </c>
      <c r="X13">
        <v>0</v>
      </c>
      <c r="Y13" t="s">
        <v>59</v>
      </c>
      <c r="AA13" t="s">
        <v>42</v>
      </c>
      <c r="AB13" t="s">
        <v>43</v>
      </c>
      <c r="AC13" t="s">
        <v>43</v>
      </c>
    </row>
    <row r="14" spans="1:30" x14ac:dyDescent="0.4">
      <c r="A14" t="s">
        <v>27</v>
      </c>
      <c r="B14">
        <v>2999</v>
      </c>
      <c r="C14" t="s">
        <v>2908</v>
      </c>
      <c r="D14">
        <v>4</v>
      </c>
      <c r="E14" t="s">
        <v>68</v>
      </c>
      <c r="F14" t="s">
        <v>69</v>
      </c>
      <c r="G14" t="s">
        <v>70</v>
      </c>
      <c r="H14" t="s">
        <v>71</v>
      </c>
      <c r="J14" t="s">
        <v>72</v>
      </c>
      <c r="K14" t="s">
        <v>73</v>
      </c>
      <c r="L14" t="s">
        <v>74</v>
      </c>
      <c r="M14" t="s">
        <v>35</v>
      </c>
      <c r="N14">
        <v>7852469499</v>
      </c>
      <c r="O14" t="s">
        <v>75</v>
      </c>
      <c r="P14" t="s">
        <v>3070</v>
      </c>
      <c r="R14" t="s">
        <v>80</v>
      </c>
      <c r="S14" t="s">
        <v>81</v>
      </c>
      <c r="T14" t="s">
        <v>94</v>
      </c>
      <c r="U14" t="s">
        <v>82</v>
      </c>
      <c r="V14" s="1">
        <v>43211</v>
      </c>
      <c r="W14">
        <v>0</v>
      </c>
      <c r="X14">
        <v>15</v>
      </c>
      <c r="AA14" t="s">
        <v>42</v>
      </c>
      <c r="AB14" t="s">
        <v>43</v>
      </c>
      <c r="AC14" t="s">
        <v>43</v>
      </c>
    </row>
    <row r="15" spans="1:30" x14ac:dyDescent="0.4">
      <c r="A15" t="s">
        <v>27</v>
      </c>
      <c r="B15">
        <v>2999</v>
      </c>
      <c r="C15" t="s">
        <v>2908</v>
      </c>
      <c r="D15">
        <v>4</v>
      </c>
      <c r="E15" t="s">
        <v>68</v>
      </c>
      <c r="F15" t="s">
        <v>69</v>
      </c>
      <c r="G15" t="s">
        <v>70</v>
      </c>
      <c r="H15" t="s">
        <v>71</v>
      </c>
      <c r="J15" t="s">
        <v>72</v>
      </c>
      <c r="K15" t="s">
        <v>73</v>
      </c>
      <c r="L15" t="s">
        <v>74</v>
      </c>
      <c r="M15" t="s">
        <v>35</v>
      </c>
      <c r="N15">
        <v>7852469499</v>
      </c>
      <c r="O15" t="s">
        <v>75</v>
      </c>
      <c r="P15" t="s">
        <v>3070</v>
      </c>
      <c r="R15" t="s">
        <v>80</v>
      </c>
      <c r="S15" t="s">
        <v>81</v>
      </c>
      <c r="T15" t="s">
        <v>94</v>
      </c>
      <c r="U15" t="s">
        <v>82</v>
      </c>
      <c r="V15" s="1">
        <v>43211</v>
      </c>
      <c r="W15">
        <v>0</v>
      </c>
      <c r="X15">
        <v>17</v>
      </c>
      <c r="AA15" t="s">
        <v>42</v>
      </c>
      <c r="AB15" t="s">
        <v>43</v>
      </c>
      <c r="AC15" t="s">
        <v>43</v>
      </c>
    </row>
    <row r="16" spans="1:30" x14ac:dyDescent="0.4">
      <c r="A16" t="s">
        <v>27</v>
      </c>
      <c r="B16">
        <v>2387</v>
      </c>
      <c r="C16" t="s">
        <v>2909</v>
      </c>
      <c r="D16">
        <v>8</v>
      </c>
      <c r="E16" t="s">
        <v>68</v>
      </c>
      <c r="F16" t="s">
        <v>85</v>
      </c>
      <c r="G16" t="s">
        <v>86</v>
      </c>
      <c r="H16" t="s">
        <v>87</v>
      </c>
      <c r="J16" t="s">
        <v>88</v>
      </c>
      <c r="K16" t="s">
        <v>89</v>
      </c>
      <c r="L16" t="s">
        <v>90</v>
      </c>
      <c r="M16" t="s">
        <v>35</v>
      </c>
      <c r="N16">
        <v>447970863728</v>
      </c>
      <c r="O16" t="s">
        <v>91</v>
      </c>
      <c r="P16" t="s">
        <v>2909</v>
      </c>
      <c r="R16" t="s">
        <v>92</v>
      </c>
      <c r="S16" t="s">
        <v>93</v>
      </c>
      <c r="T16" t="s">
        <v>94</v>
      </c>
      <c r="U16" t="s">
        <v>82</v>
      </c>
      <c r="V16" s="1">
        <v>44971</v>
      </c>
      <c r="W16">
        <v>0</v>
      </c>
      <c r="X16">
        <v>13</v>
      </c>
      <c r="AA16" t="s">
        <v>42</v>
      </c>
      <c r="AB16" t="s">
        <v>43</v>
      </c>
      <c r="AC16" t="s">
        <v>43</v>
      </c>
    </row>
    <row r="17" spans="1:31" x14ac:dyDescent="0.4">
      <c r="A17" t="s">
        <v>27</v>
      </c>
      <c r="B17">
        <v>2387</v>
      </c>
      <c r="C17" t="s">
        <v>2909</v>
      </c>
      <c r="D17">
        <v>9</v>
      </c>
      <c r="E17" t="s">
        <v>68</v>
      </c>
      <c r="F17" t="s">
        <v>85</v>
      </c>
      <c r="G17" t="s">
        <v>86</v>
      </c>
      <c r="H17" t="s">
        <v>87</v>
      </c>
      <c r="J17" t="s">
        <v>88</v>
      </c>
      <c r="K17" t="s">
        <v>89</v>
      </c>
      <c r="L17" t="s">
        <v>90</v>
      </c>
      <c r="M17" t="s">
        <v>35</v>
      </c>
      <c r="N17">
        <v>447970863728</v>
      </c>
      <c r="O17" t="s">
        <v>91</v>
      </c>
      <c r="P17" t="s">
        <v>2909</v>
      </c>
      <c r="R17" t="s">
        <v>96</v>
      </c>
      <c r="S17" t="s">
        <v>97</v>
      </c>
      <c r="T17" t="s">
        <v>94</v>
      </c>
      <c r="U17" t="s">
        <v>82</v>
      </c>
      <c r="V17" s="1">
        <v>44058</v>
      </c>
      <c r="W17">
        <v>0</v>
      </c>
      <c r="X17">
        <v>17</v>
      </c>
      <c r="AA17" t="s">
        <v>42</v>
      </c>
      <c r="AB17" t="s">
        <v>43</v>
      </c>
      <c r="AC17" t="s">
        <v>43</v>
      </c>
    </row>
    <row r="18" spans="1:31" x14ac:dyDescent="0.4">
      <c r="A18" t="s">
        <v>27</v>
      </c>
      <c r="B18">
        <v>2387</v>
      </c>
      <c r="C18" t="s">
        <v>2909</v>
      </c>
      <c r="D18">
        <v>6</v>
      </c>
      <c r="E18" t="s">
        <v>68</v>
      </c>
      <c r="F18" t="s">
        <v>85</v>
      </c>
      <c r="G18" t="s">
        <v>86</v>
      </c>
      <c r="H18" t="s">
        <v>87</v>
      </c>
      <c r="J18" t="s">
        <v>88</v>
      </c>
      <c r="K18" t="s">
        <v>89</v>
      </c>
      <c r="L18" t="s">
        <v>90</v>
      </c>
      <c r="M18" t="s">
        <v>35</v>
      </c>
      <c r="N18">
        <v>447970863728</v>
      </c>
      <c r="O18" t="s">
        <v>91</v>
      </c>
      <c r="P18" t="s">
        <v>2909</v>
      </c>
      <c r="R18" t="s">
        <v>98</v>
      </c>
      <c r="S18" t="s">
        <v>99</v>
      </c>
      <c r="T18" t="s">
        <v>94</v>
      </c>
      <c r="U18" t="s">
        <v>40</v>
      </c>
      <c r="V18" s="1">
        <v>44106</v>
      </c>
      <c r="W18">
        <v>0</v>
      </c>
      <c r="X18">
        <v>18</v>
      </c>
      <c r="AA18" t="s">
        <v>42</v>
      </c>
      <c r="AB18" t="s">
        <v>43</v>
      </c>
      <c r="AC18" t="s">
        <v>43</v>
      </c>
    </row>
    <row r="19" spans="1:31" x14ac:dyDescent="0.4">
      <c r="A19" t="s">
        <v>27</v>
      </c>
      <c r="B19">
        <v>2387</v>
      </c>
      <c r="C19" t="s">
        <v>2909</v>
      </c>
      <c r="D19">
        <v>5</v>
      </c>
      <c r="E19" t="s">
        <v>68</v>
      </c>
      <c r="F19" t="s">
        <v>85</v>
      </c>
      <c r="G19" t="s">
        <v>86</v>
      </c>
      <c r="H19" t="s">
        <v>87</v>
      </c>
      <c r="J19" t="s">
        <v>88</v>
      </c>
      <c r="K19" t="s">
        <v>89</v>
      </c>
      <c r="L19" t="s">
        <v>90</v>
      </c>
      <c r="M19" t="s">
        <v>35</v>
      </c>
      <c r="N19">
        <v>447970863728</v>
      </c>
      <c r="O19" t="s">
        <v>91</v>
      </c>
      <c r="P19" t="s">
        <v>2909</v>
      </c>
      <c r="R19" t="s">
        <v>100</v>
      </c>
      <c r="S19" t="s">
        <v>101</v>
      </c>
      <c r="T19" t="s">
        <v>58</v>
      </c>
      <c r="U19" t="s">
        <v>40</v>
      </c>
      <c r="V19" s="1">
        <v>42810</v>
      </c>
      <c r="W19">
        <v>0</v>
      </c>
      <c r="X19">
        <v>18</v>
      </c>
      <c r="AA19" t="s">
        <v>42</v>
      </c>
      <c r="AB19" t="s">
        <v>43</v>
      </c>
      <c r="AC19" t="s">
        <v>43</v>
      </c>
    </row>
    <row r="20" spans="1:31" x14ac:dyDescent="0.4">
      <c r="A20" t="s">
        <v>27</v>
      </c>
      <c r="B20">
        <v>2387</v>
      </c>
      <c r="C20" t="s">
        <v>2909</v>
      </c>
      <c r="D20">
        <v>7</v>
      </c>
      <c r="E20" t="s">
        <v>68</v>
      </c>
      <c r="F20" t="s">
        <v>85</v>
      </c>
      <c r="G20" t="s">
        <v>86</v>
      </c>
      <c r="H20" t="s">
        <v>87</v>
      </c>
      <c r="J20" t="s">
        <v>88</v>
      </c>
      <c r="K20" t="s">
        <v>89</v>
      </c>
      <c r="L20" t="s">
        <v>90</v>
      </c>
      <c r="M20" t="s">
        <v>35</v>
      </c>
      <c r="N20">
        <v>447970863728</v>
      </c>
      <c r="O20" t="s">
        <v>91</v>
      </c>
      <c r="P20" t="s">
        <v>2909</v>
      </c>
      <c r="R20" t="s">
        <v>102</v>
      </c>
      <c r="S20" t="s">
        <v>103</v>
      </c>
      <c r="T20" t="s">
        <v>94</v>
      </c>
      <c r="U20" t="s">
        <v>82</v>
      </c>
      <c r="V20" s="1">
        <v>42996</v>
      </c>
      <c r="W20">
        <v>0</v>
      </c>
      <c r="X20">
        <v>19</v>
      </c>
      <c r="AA20" t="s">
        <v>42</v>
      </c>
      <c r="AB20" t="s">
        <v>43</v>
      </c>
      <c r="AC20" t="s">
        <v>43</v>
      </c>
    </row>
    <row r="21" spans="1:31" ht="15" customHeight="1" x14ac:dyDescent="0.4">
      <c r="A21" t="s">
        <v>27</v>
      </c>
      <c r="B21">
        <v>1500</v>
      </c>
      <c r="C21" t="s">
        <v>113</v>
      </c>
      <c r="D21">
        <v>10</v>
      </c>
      <c r="E21" t="s">
        <v>68</v>
      </c>
      <c r="F21" t="s">
        <v>105</v>
      </c>
      <c r="G21" t="s">
        <v>106</v>
      </c>
      <c r="H21" t="s">
        <v>107</v>
      </c>
      <c r="I21" t="s">
        <v>108</v>
      </c>
      <c r="J21" t="s">
        <v>109</v>
      </c>
      <c r="K21" t="s">
        <v>110</v>
      </c>
      <c r="L21" t="s">
        <v>111</v>
      </c>
      <c r="M21" t="s">
        <v>35</v>
      </c>
      <c r="N21">
        <v>1566785587</v>
      </c>
      <c r="O21" t="s">
        <v>112</v>
      </c>
      <c r="P21" t="s">
        <v>113</v>
      </c>
      <c r="R21" t="s">
        <v>114</v>
      </c>
      <c r="S21" t="s">
        <v>115</v>
      </c>
      <c r="T21" t="s">
        <v>58</v>
      </c>
      <c r="U21" t="s">
        <v>40</v>
      </c>
      <c r="V21" s="1">
        <v>43422</v>
      </c>
      <c r="W21">
        <v>0</v>
      </c>
      <c r="X21">
        <v>5</v>
      </c>
      <c r="Y21" t="s">
        <v>66</v>
      </c>
      <c r="AA21" t="s">
        <v>42</v>
      </c>
      <c r="AB21" t="s">
        <v>43</v>
      </c>
      <c r="AC21" t="s">
        <v>42</v>
      </c>
      <c r="AE21" s="2" t="s">
        <v>116</v>
      </c>
    </row>
    <row r="22" spans="1:31" ht="48" x14ac:dyDescent="0.4">
      <c r="A22" t="s">
        <v>27</v>
      </c>
      <c r="B22">
        <v>1500</v>
      </c>
      <c r="C22" t="s">
        <v>113</v>
      </c>
      <c r="E22" t="s">
        <v>68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35</v>
      </c>
      <c r="N22">
        <v>1566785587</v>
      </c>
      <c r="O22" t="s">
        <v>112</v>
      </c>
      <c r="P22" t="s">
        <v>113</v>
      </c>
      <c r="R22" t="s">
        <v>117</v>
      </c>
      <c r="S22" t="s">
        <v>118</v>
      </c>
      <c r="T22" t="s">
        <v>58</v>
      </c>
      <c r="U22" t="s">
        <v>82</v>
      </c>
      <c r="V22" s="1">
        <v>41709</v>
      </c>
      <c r="W22">
        <v>0</v>
      </c>
      <c r="X22">
        <v>0</v>
      </c>
      <c r="Y22" t="s">
        <v>59</v>
      </c>
      <c r="AA22" t="s">
        <v>42</v>
      </c>
      <c r="AB22" t="s">
        <v>43</v>
      </c>
      <c r="AC22" t="s">
        <v>42</v>
      </c>
      <c r="AD22" s="2" t="s">
        <v>116</v>
      </c>
    </row>
    <row r="23" spans="1:31" ht="48" x14ac:dyDescent="0.4">
      <c r="A23" t="s">
        <v>27</v>
      </c>
      <c r="B23">
        <v>1500</v>
      </c>
      <c r="C23" t="s">
        <v>113</v>
      </c>
      <c r="E23" t="s">
        <v>68</v>
      </c>
      <c r="F23" t="s">
        <v>105</v>
      </c>
      <c r="G23" t="s">
        <v>106</v>
      </c>
      <c r="H23" t="s">
        <v>107</v>
      </c>
      <c r="I23" t="s">
        <v>108</v>
      </c>
      <c r="J23" t="s">
        <v>109</v>
      </c>
      <c r="K23" t="s">
        <v>110</v>
      </c>
      <c r="L23" t="s">
        <v>111</v>
      </c>
      <c r="M23" t="s">
        <v>35</v>
      </c>
      <c r="N23">
        <v>1566785587</v>
      </c>
      <c r="O23" t="s">
        <v>112</v>
      </c>
      <c r="P23" t="s">
        <v>113</v>
      </c>
      <c r="R23" t="s">
        <v>119</v>
      </c>
      <c r="S23" t="s">
        <v>120</v>
      </c>
      <c r="T23" t="s">
        <v>58</v>
      </c>
      <c r="U23" t="s">
        <v>82</v>
      </c>
      <c r="V23" s="1">
        <v>43422</v>
      </c>
      <c r="W23">
        <v>0</v>
      </c>
      <c r="X23">
        <v>0</v>
      </c>
      <c r="Y23" t="s">
        <v>59</v>
      </c>
      <c r="AA23" t="s">
        <v>42</v>
      </c>
      <c r="AB23" t="s">
        <v>43</v>
      </c>
      <c r="AC23" t="s">
        <v>42</v>
      </c>
      <c r="AD23" s="2" t="s">
        <v>116</v>
      </c>
    </row>
    <row r="24" spans="1:31" ht="48" x14ac:dyDescent="0.4">
      <c r="A24" t="s">
        <v>27</v>
      </c>
      <c r="B24">
        <v>1500</v>
      </c>
      <c r="C24" t="s">
        <v>113</v>
      </c>
      <c r="E24" t="s">
        <v>68</v>
      </c>
      <c r="F24" t="s">
        <v>105</v>
      </c>
      <c r="G24" t="s">
        <v>106</v>
      </c>
      <c r="H24" t="s">
        <v>107</v>
      </c>
      <c r="I24" t="s">
        <v>108</v>
      </c>
      <c r="J24" t="s">
        <v>109</v>
      </c>
      <c r="K24" t="s">
        <v>110</v>
      </c>
      <c r="L24" t="s">
        <v>111</v>
      </c>
      <c r="M24" t="s">
        <v>35</v>
      </c>
      <c r="N24">
        <v>1566785587</v>
      </c>
      <c r="O24" t="s">
        <v>112</v>
      </c>
      <c r="P24" t="s">
        <v>113</v>
      </c>
      <c r="R24" t="s">
        <v>121</v>
      </c>
      <c r="S24" t="s">
        <v>122</v>
      </c>
      <c r="T24" t="s">
        <v>58</v>
      </c>
      <c r="U24" t="s">
        <v>40</v>
      </c>
      <c r="V24" s="1">
        <v>42744</v>
      </c>
      <c r="W24">
        <v>0</v>
      </c>
      <c r="X24">
        <v>0</v>
      </c>
      <c r="Y24" t="s">
        <v>59</v>
      </c>
      <c r="AA24" t="s">
        <v>42</v>
      </c>
      <c r="AB24" t="s">
        <v>43</v>
      </c>
      <c r="AC24" t="s">
        <v>42</v>
      </c>
      <c r="AD24" s="2" t="s">
        <v>116</v>
      </c>
    </row>
    <row r="25" spans="1:31" ht="48" x14ac:dyDescent="0.4">
      <c r="A25" t="s">
        <v>27</v>
      </c>
      <c r="B25">
        <v>1500</v>
      </c>
      <c r="C25" t="s">
        <v>113</v>
      </c>
      <c r="E25" t="s">
        <v>68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35</v>
      </c>
      <c r="N25">
        <v>1566785587</v>
      </c>
      <c r="O25" t="s">
        <v>112</v>
      </c>
      <c r="P25" t="s">
        <v>113</v>
      </c>
      <c r="R25" t="s">
        <v>123</v>
      </c>
      <c r="S25" t="s">
        <v>124</v>
      </c>
      <c r="T25" t="s">
        <v>58</v>
      </c>
      <c r="U25" t="s">
        <v>82</v>
      </c>
      <c r="V25" s="1">
        <v>44931</v>
      </c>
      <c r="W25">
        <v>0</v>
      </c>
      <c r="X25">
        <v>0</v>
      </c>
      <c r="Y25" t="s">
        <v>59</v>
      </c>
      <c r="AA25" t="s">
        <v>42</v>
      </c>
      <c r="AB25" t="s">
        <v>43</v>
      </c>
      <c r="AC25" t="s">
        <v>42</v>
      </c>
      <c r="AD25" s="2" t="s">
        <v>116</v>
      </c>
    </row>
    <row r="26" spans="1:31" ht="48" x14ac:dyDescent="0.4">
      <c r="A26" t="s">
        <v>27</v>
      </c>
      <c r="B26">
        <v>1500</v>
      </c>
      <c r="C26" t="s">
        <v>113</v>
      </c>
      <c r="E26" t="s">
        <v>68</v>
      </c>
      <c r="F26" t="s">
        <v>105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111</v>
      </c>
      <c r="M26" t="s">
        <v>35</v>
      </c>
      <c r="N26">
        <v>1566785587</v>
      </c>
      <c r="O26" t="s">
        <v>112</v>
      </c>
      <c r="P26" t="s">
        <v>113</v>
      </c>
      <c r="R26" t="s">
        <v>119</v>
      </c>
      <c r="S26" t="s">
        <v>120</v>
      </c>
      <c r="T26" t="s">
        <v>58</v>
      </c>
      <c r="U26" t="s">
        <v>82</v>
      </c>
      <c r="V26" s="1">
        <v>43422</v>
      </c>
      <c r="W26">
        <v>0</v>
      </c>
      <c r="X26">
        <v>0</v>
      </c>
      <c r="Y26" t="s">
        <v>59</v>
      </c>
      <c r="AA26" t="s">
        <v>42</v>
      </c>
      <c r="AB26" t="s">
        <v>43</v>
      </c>
      <c r="AC26" t="s">
        <v>42</v>
      </c>
      <c r="AD26" s="2" t="s">
        <v>116</v>
      </c>
    </row>
    <row r="27" spans="1:31" ht="48" x14ac:dyDescent="0.4">
      <c r="A27" t="s">
        <v>27</v>
      </c>
      <c r="B27">
        <v>1500</v>
      </c>
      <c r="C27" t="s">
        <v>113</v>
      </c>
      <c r="E27" t="s">
        <v>68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35</v>
      </c>
      <c r="N27">
        <v>1566785587</v>
      </c>
      <c r="O27" t="s">
        <v>112</v>
      </c>
      <c r="P27" t="s">
        <v>113</v>
      </c>
      <c r="R27" t="s">
        <v>114</v>
      </c>
      <c r="S27" t="s">
        <v>115</v>
      </c>
      <c r="T27" t="s">
        <v>58</v>
      </c>
      <c r="U27" t="s">
        <v>40</v>
      </c>
      <c r="V27" s="1">
        <v>43422</v>
      </c>
      <c r="W27">
        <v>0</v>
      </c>
      <c r="X27">
        <v>0</v>
      </c>
      <c r="Y27" t="s">
        <v>59</v>
      </c>
      <c r="AA27" t="s">
        <v>42</v>
      </c>
      <c r="AB27" t="s">
        <v>43</v>
      </c>
      <c r="AC27" t="s">
        <v>42</v>
      </c>
      <c r="AD27" s="2" t="s">
        <v>116</v>
      </c>
    </row>
    <row r="28" spans="1:31" ht="48" x14ac:dyDescent="0.4">
      <c r="A28" t="s">
        <v>27</v>
      </c>
      <c r="B28">
        <v>1500</v>
      </c>
      <c r="C28" t="s">
        <v>113</v>
      </c>
      <c r="E28" t="s">
        <v>68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35</v>
      </c>
      <c r="N28">
        <v>1566785587</v>
      </c>
      <c r="O28" t="s">
        <v>112</v>
      </c>
      <c r="P28" t="s">
        <v>113</v>
      </c>
      <c r="R28" t="s">
        <v>121</v>
      </c>
      <c r="S28" t="s">
        <v>122</v>
      </c>
      <c r="T28" t="s">
        <v>58</v>
      </c>
      <c r="U28" t="s">
        <v>40</v>
      </c>
      <c r="V28" s="1">
        <v>42744</v>
      </c>
      <c r="W28">
        <v>0</v>
      </c>
      <c r="X28">
        <v>0</v>
      </c>
      <c r="Y28" t="s">
        <v>59</v>
      </c>
      <c r="AA28" t="s">
        <v>42</v>
      </c>
      <c r="AB28" t="s">
        <v>43</v>
      </c>
      <c r="AC28" t="s">
        <v>42</v>
      </c>
      <c r="AD28" s="2" t="s">
        <v>116</v>
      </c>
    </row>
    <row r="29" spans="1:31" ht="48" x14ac:dyDescent="0.4">
      <c r="A29" t="s">
        <v>27</v>
      </c>
      <c r="B29">
        <v>1500</v>
      </c>
      <c r="C29" t="s">
        <v>113</v>
      </c>
      <c r="E29" t="s">
        <v>68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35</v>
      </c>
      <c r="N29">
        <v>1566785587</v>
      </c>
      <c r="O29" t="s">
        <v>112</v>
      </c>
      <c r="P29" t="s">
        <v>113</v>
      </c>
      <c r="R29" t="s">
        <v>117</v>
      </c>
      <c r="S29" t="s">
        <v>118</v>
      </c>
      <c r="T29" t="s">
        <v>58</v>
      </c>
      <c r="U29" t="s">
        <v>82</v>
      </c>
      <c r="V29" s="1">
        <v>41709</v>
      </c>
      <c r="W29">
        <v>0</v>
      </c>
      <c r="X29">
        <v>0</v>
      </c>
      <c r="Y29" t="s">
        <v>59</v>
      </c>
      <c r="AA29" t="s">
        <v>42</v>
      </c>
      <c r="AB29" t="s">
        <v>43</v>
      </c>
      <c r="AC29" t="s">
        <v>42</v>
      </c>
      <c r="AD29" s="2" t="s">
        <v>116</v>
      </c>
    </row>
    <row r="30" spans="1:31" ht="48" x14ac:dyDescent="0.4">
      <c r="A30" t="s">
        <v>27</v>
      </c>
      <c r="B30">
        <v>1500</v>
      </c>
      <c r="C30" t="s">
        <v>113</v>
      </c>
      <c r="E30" t="s">
        <v>68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35</v>
      </c>
      <c r="N30">
        <v>1566785587</v>
      </c>
      <c r="O30" t="s">
        <v>112</v>
      </c>
      <c r="P30" t="s">
        <v>113</v>
      </c>
      <c r="R30" t="s">
        <v>123</v>
      </c>
      <c r="S30" t="s">
        <v>124</v>
      </c>
      <c r="T30" t="s">
        <v>58</v>
      </c>
      <c r="U30" t="s">
        <v>82</v>
      </c>
      <c r="V30" s="1">
        <v>44931</v>
      </c>
      <c r="W30">
        <v>0</v>
      </c>
      <c r="X30">
        <v>0</v>
      </c>
      <c r="Y30" t="s">
        <v>59</v>
      </c>
      <c r="AA30" t="s">
        <v>42</v>
      </c>
      <c r="AB30" t="s">
        <v>43</v>
      </c>
      <c r="AC30" t="s">
        <v>42</v>
      </c>
      <c r="AD30" s="2" t="s">
        <v>116</v>
      </c>
    </row>
    <row r="31" spans="1:31" x14ac:dyDescent="0.4">
      <c r="A31" t="s">
        <v>27</v>
      </c>
      <c r="B31">
        <v>701</v>
      </c>
      <c r="C31" t="s">
        <v>2847</v>
      </c>
      <c r="D31">
        <v>11</v>
      </c>
      <c r="E31" t="s">
        <v>68</v>
      </c>
      <c r="F31" t="s">
        <v>125</v>
      </c>
      <c r="G31" t="s">
        <v>126</v>
      </c>
      <c r="H31" t="s">
        <v>127</v>
      </c>
      <c r="J31" t="s">
        <v>128</v>
      </c>
      <c r="K31" t="s">
        <v>129</v>
      </c>
      <c r="L31" t="s">
        <v>130</v>
      </c>
      <c r="M31" t="s">
        <v>35</v>
      </c>
      <c r="N31">
        <v>1933353038</v>
      </c>
      <c r="O31" t="s">
        <v>131</v>
      </c>
      <c r="P31" t="s">
        <v>2847</v>
      </c>
      <c r="R31" t="s">
        <v>133</v>
      </c>
      <c r="S31" t="s">
        <v>134</v>
      </c>
      <c r="T31" t="s">
        <v>376</v>
      </c>
      <c r="U31" t="s">
        <v>82</v>
      </c>
      <c r="V31" s="1">
        <v>44890</v>
      </c>
      <c r="W31">
        <v>0</v>
      </c>
      <c r="X31">
        <v>4</v>
      </c>
      <c r="Y31" t="s">
        <v>65</v>
      </c>
      <c r="Z31" t="s">
        <v>135</v>
      </c>
      <c r="AA31" t="s">
        <v>42</v>
      </c>
      <c r="AB31" t="s">
        <v>43</v>
      </c>
      <c r="AC31" t="s">
        <v>43</v>
      </c>
    </row>
    <row r="32" spans="1:31" x14ac:dyDescent="0.4">
      <c r="A32" t="s">
        <v>27</v>
      </c>
      <c r="B32">
        <v>701</v>
      </c>
      <c r="C32" t="s">
        <v>2847</v>
      </c>
      <c r="D32">
        <v>13</v>
      </c>
      <c r="E32" t="s">
        <v>68</v>
      </c>
      <c r="F32" t="s">
        <v>125</v>
      </c>
      <c r="G32" t="s">
        <v>126</v>
      </c>
      <c r="H32" t="s">
        <v>127</v>
      </c>
      <c r="J32" t="s">
        <v>128</v>
      </c>
      <c r="K32" t="s">
        <v>129</v>
      </c>
      <c r="L32" t="s">
        <v>130</v>
      </c>
      <c r="M32" t="s">
        <v>35</v>
      </c>
      <c r="N32">
        <v>1933353038</v>
      </c>
      <c r="O32" t="s">
        <v>131</v>
      </c>
      <c r="P32" t="s">
        <v>2847</v>
      </c>
      <c r="R32" t="s">
        <v>136</v>
      </c>
      <c r="S32" t="s">
        <v>137</v>
      </c>
      <c r="T32" t="s">
        <v>138</v>
      </c>
      <c r="U32" t="s">
        <v>82</v>
      </c>
      <c r="V32" s="1">
        <v>44754</v>
      </c>
      <c r="W32">
        <v>0</v>
      </c>
      <c r="X32">
        <v>6</v>
      </c>
      <c r="Y32" t="s">
        <v>83</v>
      </c>
      <c r="Z32" t="s">
        <v>135</v>
      </c>
      <c r="AA32" t="s">
        <v>42</v>
      </c>
      <c r="AB32" t="s">
        <v>43</v>
      </c>
      <c r="AC32" t="s">
        <v>43</v>
      </c>
    </row>
    <row r="33" spans="1:29" x14ac:dyDescent="0.4">
      <c r="A33" t="s">
        <v>27</v>
      </c>
      <c r="B33">
        <v>701</v>
      </c>
      <c r="C33" t="s">
        <v>2847</v>
      </c>
      <c r="D33">
        <v>13</v>
      </c>
      <c r="E33" t="s">
        <v>68</v>
      </c>
      <c r="F33" t="s">
        <v>125</v>
      </c>
      <c r="G33" t="s">
        <v>126</v>
      </c>
      <c r="H33" t="s">
        <v>127</v>
      </c>
      <c r="J33" t="s">
        <v>128</v>
      </c>
      <c r="K33" t="s">
        <v>129</v>
      </c>
      <c r="L33" t="s">
        <v>130</v>
      </c>
      <c r="M33" t="s">
        <v>35</v>
      </c>
      <c r="N33">
        <v>1933353038</v>
      </c>
      <c r="O33" t="s">
        <v>131</v>
      </c>
      <c r="P33" t="s">
        <v>2847</v>
      </c>
      <c r="R33" t="s">
        <v>136</v>
      </c>
      <c r="S33" t="s">
        <v>137</v>
      </c>
      <c r="T33" t="s">
        <v>138</v>
      </c>
      <c r="U33" t="s">
        <v>82</v>
      </c>
      <c r="V33" s="1">
        <v>44754</v>
      </c>
      <c r="W33">
        <v>0</v>
      </c>
      <c r="X33">
        <v>5</v>
      </c>
      <c r="Y33" t="s">
        <v>66</v>
      </c>
      <c r="Z33" t="s">
        <v>135</v>
      </c>
      <c r="AA33" t="s">
        <v>42</v>
      </c>
      <c r="AB33" t="s">
        <v>43</v>
      </c>
      <c r="AC33" t="s">
        <v>43</v>
      </c>
    </row>
    <row r="34" spans="1:29" x14ac:dyDescent="0.4">
      <c r="A34" t="s">
        <v>27</v>
      </c>
      <c r="B34">
        <v>701</v>
      </c>
      <c r="C34" t="s">
        <v>2847</v>
      </c>
      <c r="D34">
        <v>12</v>
      </c>
      <c r="E34" t="s">
        <v>68</v>
      </c>
      <c r="F34" t="s">
        <v>125</v>
      </c>
      <c r="G34" t="s">
        <v>126</v>
      </c>
      <c r="H34" t="s">
        <v>127</v>
      </c>
      <c r="J34" t="s">
        <v>128</v>
      </c>
      <c r="K34" t="s">
        <v>129</v>
      </c>
      <c r="L34" t="s">
        <v>130</v>
      </c>
      <c r="M34" t="s">
        <v>35</v>
      </c>
      <c r="N34">
        <v>1933353038</v>
      </c>
      <c r="O34" t="s">
        <v>131</v>
      </c>
      <c r="P34" t="s">
        <v>2847</v>
      </c>
      <c r="R34" t="s">
        <v>139</v>
      </c>
      <c r="S34" t="s">
        <v>140</v>
      </c>
      <c r="T34" t="s">
        <v>138</v>
      </c>
      <c r="U34" t="s">
        <v>40</v>
      </c>
      <c r="V34" s="1">
        <v>42657</v>
      </c>
      <c r="W34">
        <v>0</v>
      </c>
      <c r="X34">
        <v>7</v>
      </c>
      <c r="Z34" t="s">
        <v>135</v>
      </c>
      <c r="AA34" t="s">
        <v>42</v>
      </c>
      <c r="AB34" t="s">
        <v>43</v>
      </c>
      <c r="AC34" t="s">
        <v>43</v>
      </c>
    </row>
    <row r="35" spans="1:29" x14ac:dyDescent="0.4">
      <c r="A35" t="s">
        <v>27</v>
      </c>
      <c r="B35">
        <v>701</v>
      </c>
      <c r="C35" t="s">
        <v>2847</v>
      </c>
      <c r="D35">
        <v>11</v>
      </c>
      <c r="E35" t="s">
        <v>68</v>
      </c>
      <c r="F35" t="s">
        <v>125</v>
      </c>
      <c r="G35" t="s">
        <v>126</v>
      </c>
      <c r="H35" t="s">
        <v>127</v>
      </c>
      <c r="J35" t="s">
        <v>128</v>
      </c>
      <c r="K35" t="s">
        <v>129</v>
      </c>
      <c r="L35" t="s">
        <v>130</v>
      </c>
      <c r="M35" t="s">
        <v>35</v>
      </c>
      <c r="N35">
        <v>1933353038</v>
      </c>
      <c r="O35" t="s">
        <v>131</v>
      </c>
      <c r="P35" t="s">
        <v>2847</v>
      </c>
      <c r="R35" t="s">
        <v>133</v>
      </c>
      <c r="S35" t="s">
        <v>134</v>
      </c>
      <c r="T35" t="s">
        <v>376</v>
      </c>
      <c r="U35" t="s">
        <v>82</v>
      </c>
      <c r="V35" s="1">
        <v>44890</v>
      </c>
      <c r="W35">
        <v>0</v>
      </c>
      <c r="X35">
        <v>13</v>
      </c>
      <c r="Z35" t="s">
        <v>135</v>
      </c>
      <c r="AA35" t="s">
        <v>42</v>
      </c>
      <c r="AB35" t="s">
        <v>43</v>
      </c>
      <c r="AC35" t="s">
        <v>43</v>
      </c>
    </row>
    <row r="36" spans="1:29" x14ac:dyDescent="0.4">
      <c r="A36" t="s">
        <v>27</v>
      </c>
      <c r="B36">
        <v>701</v>
      </c>
      <c r="C36" t="s">
        <v>2847</v>
      </c>
      <c r="D36">
        <v>13</v>
      </c>
      <c r="E36" t="s">
        <v>68</v>
      </c>
      <c r="F36" t="s">
        <v>125</v>
      </c>
      <c r="G36" t="s">
        <v>126</v>
      </c>
      <c r="H36" t="s">
        <v>127</v>
      </c>
      <c r="J36" t="s">
        <v>128</v>
      </c>
      <c r="K36" t="s">
        <v>129</v>
      </c>
      <c r="L36" t="s">
        <v>130</v>
      </c>
      <c r="M36" t="s">
        <v>35</v>
      </c>
      <c r="N36">
        <v>1933353038</v>
      </c>
      <c r="O36" t="s">
        <v>131</v>
      </c>
      <c r="P36" t="s">
        <v>2847</v>
      </c>
      <c r="R36" t="s">
        <v>136</v>
      </c>
      <c r="S36" t="s">
        <v>137</v>
      </c>
      <c r="T36" t="s">
        <v>138</v>
      </c>
      <c r="U36" t="s">
        <v>82</v>
      </c>
      <c r="V36" s="1">
        <v>44754</v>
      </c>
      <c r="W36">
        <v>0</v>
      </c>
      <c r="X36">
        <v>15</v>
      </c>
      <c r="Z36" t="s">
        <v>135</v>
      </c>
      <c r="AA36" t="s">
        <v>42</v>
      </c>
      <c r="AB36" t="s">
        <v>43</v>
      </c>
      <c r="AC36" t="s">
        <v>43</v>
      </c>
    </row>
    <row r="37" spans="1:29" x14ac:dyDescent="0.4">
      <c r="A37" t="s">
        <v>27</v>
      </c>
      <c r="B37">
        <v>701</v>
      </c>
      <c r="C37" t="s">
        <v>2847</v>
      </c>
      <c r="D37">
        <v>13</v>
      </c>
      <c r="E37" t="s">
        <v>68</v>
      </c>
      <c r="F37" t="s">
        <v>125</v>
      </c>
      <c r="G37" t="s">
        <v>126</v>
      </c>
      <c r="H37" t="s">
        <v>127</v>
      </c>
      <c r="J37" t="s">
        <v>128</v>
      </c>
      <c r="K37" t="s">
        <v>129</v>
      </c>
      <c r="L37" t="s">
        <v>130</v>
      </c>
      <c r="M37" t="s">
        <v>35</v>
      </c>
      <c r="N37">
        <v>1933353038</v>
      </c>
      <c r="O37" t="s">
        <v>131</v>
      </c>
      <c r="P37" t="s">
        <v>2847</v>
      </c>
      <c r="R37" t="s">
        <v>136</v>
      </c>
      <c r="S37" t="s">
        <v>137</v>
      </c>
      <c r="T37" t="s">
        <v>138</v>
      </c>
      <c r="U37" t="s">
        <v>82</v>
      </c>
      <c r="V37" s="1">
        <v>44754</v>
      </c>
      <c r="W37">
        <v>0</v>
      </c>
      <c r="X37">
        <v>17</v>
      </c>
      <c r="Z37" t="s">
        <v>135</v>
      </c>
      <c r="AA37" t="s">
        <v>42</v>
      </c>
      <c r="AB37" t="s">
        <v>43</v>
      </c>
      <c r="AC37" t="s">
        <v>43</v>
      </c>
    </row>
    <row r="38" spans="1:29" x14ac:dyDescent="0.4">
      <c r="A38" t="s">
        <v>27</v>
      </c>
      <c r="B38">
        <v>701</v>
      </c>
      <c r="C38" t="s">
        <v>2847</v>
      </c>
      <c r="D38">
        <v>12</v>
      </c>
      <c r="E38" t="s">
        <v>68</v>
      </c>
      <c r="F38" t="s">
        <v>125</v>
      </c>
      <c r="G38" t="s">
        <v>126</v>
      </c>
      <c r="H38" t="s">
        <v>127</v>
      </c>
      <c r="J38" t="s">
        <v>128</v>
      </c>
      <c r="K38" t="s">
        <v>129</v>
      </c>
      <c r="L38" t="s">
        <v>130</v>
      </c>
      <c r="M38" t="s">
        <v>35</v>
      </c>
      <c r="N38">
        <v>1933353038</v>
      </c>
      <c r="O38" t="s">
        <v>131</v>
      </c>
      <c r="P38" t="s">
        <v>2847</v>
      </c>
      <c r="R38" t="s">
        <v>139</v>
      </c>
      <c r="S38" t="s">
        <v>140</v>
      </c>
      <c r="T38" t="s">
        <v>138</v>
      </c>
      <c r="U38" t="s">
        <v>40</v>
      </c>
      <c r="V38" s="1">
        <v>42657</v>
      </c>
      <c r="W38">
        <v>0</v>
      </c>
      <c r="X38">
        <v>20</v>
      </c>
      <c r="Z38" t="s">
        <v>135</v>
      </c>
      <c r="AA38" t="s">
        <v>42</v>
      </c>
      <c r="AB38" t="s">
        <v>43</v>
      </c>
      <c r="AC38" t="s">
        <v>43</v>
      </c>
    </row>
    <row r="39" spans="1:29" x14ac:dyDescent="0.4">
      <c r="A39" t="s">
        <v>27</v>
      </c>
      <c r="B39">
        <v>701</v>
      </c>
      <c r="C39" t="s">
        <v>2847</v>
      </c>
      <c r="E39" t="s">
        <v>68</v>
      </c>
      <c r="F39" t="s">
        <v>125</v>
      </c>
      <c r="G39" t="s">
        <v>126</v>
      </c>
      <c r="H39" t="s">
        <v>127</v>
      </c>
      <c r="J39" t="s">
        <v>128</v>
      </c>
      <c r="K39" t="s">
        <v>129</v>
      </c>
      <c r="L39" t="s">
        <v>130</v>
      </c>
      <c r="M39" t="s">
        <v>35</v>
      </c>
      <c r="N39">
        <v>1933353038</v>
      </c>
      <c r="O39" t="s">
        <v>131</v>
      </c>
      <c r="P39" t="s">
        <v>132</v>
      </c>
      <c r="R39" t="s">
        <v>142</v>
      </c>
      <c r="S39" t="s">
        <v>143</v>
      </c>
      <c r="T39" t="s">
        <v>138</v>
      </c>
      <c r="U39" t="s">
        <v>40</v>
      </c>
      <c r="V39" s="1">
        <v>41005</v>
      </c>
      <c r="W39">
        <v>0</v>
      </c>
      <c r="X39">
        <v>0</v>
      </c>
      <c r="Y39" t="s">
        <v>59</v>
      </c>
      <c r="Z39" t="s">
        <v>135</v>
      </c>
      <c r="AA39" t="s">
        <v>42</v>
      </c>
      <c r="AB39" t="s">
        <v>43</v>
      </c>
      <c r="AC39" t="s">
        <v>43</v>
      </c>
    </row>
    <row r="40" spans="1:29" x14ac:dyDescent="0.4">
      <c r="A40" t="s">
        <v>27</v>
      </c>
      <c r="B40">
        <v>701</v>
      </c>
      <c r="C40" t="s">
        <v>2847</v>
      </c>
      <c r="E40" t="s">
        <v>68</v>
      </c>
      <c r="F40" t="s">
        <v>125</v>
      </c>
      <c r="G40" t="s">
        <v>126</v>
      </c>
      <c r="H40" t="s">
        <v>127</v>
      </c>
      <c r="J40" t="s">
        <v>128</v>
      </c>
      <c r="K40" t="s">
        <v>129</v>
      </c>
      <c r="L40" t="s">
        <v>130</v>
      </c>
      <c r="M40" t="s">
        <v>35</v>
      </c>
      <c r="N40">
        <v>1933353038</v>
      </c>
      <c r="O40" t="s">
        <v>131</v>
      </c>
      <c r="P40" t="s">
        <v>132</v>
      </c>
      <c r="R40" t="s">
        <v>144</v>
      </c>
      <c r="S40" t="s">
        <v>145</v>
      </c>
      <c r="T40" t="s">
        <v>146</v>
      </c>
      <c r="U40" t="s">
        <v>82</v>
      </c>
      <c r="V40" s="1">
        <v>43595</v>
      </c>
      <c r="W40">
        <v>0</v>
      </c>
      <c r="X40">
        <v>0</v>
      </c>
      <c r="Y40" t="s">
        <v>59</v>
      </c>
      <c r="Z40" t="s">
        <v>135</v>
      </c>
      <c r="AA40" t="s">
        <v>42</v>
      </c>
      <c r="AB40" t="s">
        <v>43</v>
      </c>
      <c r="AC40" t="s">
        <v>43</v>
      </c>
    </row>
    <row r="41" spans="1:29" x14ac:dyDescent="0.4">
      <c r="A41" t="s">
        <v>27</v>
      </c>
      <c r="B41">
        <v>701</v>
      </c>
      <c r="C41" t="s">
        <v>2847</v>
      </c>
      <c r="E41" t="s">
        <v>68</v>
      </c>
      <c r="F41" t="s">
        <v>125</v>
      </c>
      <c r="G41" t="s">
        <v>126</v>
      </c>
      <c r="H41" t="s">
        <v>127</v>
      </c>
      <c r="J41" t="s">
        <v>128</v>
      </c>
      <c r="K41" t="s">
        <v>129</v>
      </c>
      <c r="L41" t="s">
        <v>130</v>
      </c>
      <c r="M41" t="s">
        <v>35</v>
      </c>
      <c r="N41">
        <v>1933353038</v>
      </c>
      <c r="O41" t="s">
        <v>131</v>
      </c>
      <c r="P41" t="s">
        <v>132</v>
      </c>
      <c r="R41" t="s">
        <v>147</v>
      </c>
      <c r="S41" t="s">
        <v>148</v>
      </c>
      <c r="T41" t="s">
        <v>138</v>
      </c>
      <c r="U41" t="s">
        <v>82</v>
      </c>
      <c r="V41" s="1">
        <v>41773</v>
      </c>
      <c r="W41">
        <v>0</v>
      </c>
      <c r="X41">
        <v>0</v>
      </c>
      <c r="Y41" t="s">
        <v>59</v>
      </c>
      <c r="Z41" t="s">
        <v>135</v>
      </c>
      <c r="AA41" t="s">
        <v>42</v>
      </c>
      <c r="AB41" t="s">
        <v>43</v>
      </c>
      <c r="AC41" t="s">
        <v>43</v>
      </c>
    </row>
    <row r="42" spans="1:29" x14ac:dyDescent="0.4">
      <c r="A42" t="s">
        <v>27</v>
      </c>
      <c r="B42">
        <v>701</v>
      </c>
      <c r="C42" t="s">
        <v>2847</v>
      </c>
      <c r="E42" t="s">
        <v>68</v>
      </c>
      <c r="F42" t="s">
        <v>125</v>
      </c>
      <c r="G42" t="s">
        <v>126</v>
      </c>
      <c r="H42" t="s">
        <v>127</v>
      </c>
      <c r="J42" t="s">
        <v>128</v>
      </c>
      <c r="K42" t="s">
        <v>129</v>
      </c>
      <c r="L42" t="s">
        <v>130</v>
      </c>
      <c r="M42" t="s">
        <v>35</v>
      </c>
      <c r="N42">
        <v>1933353038</v>
      </c>
      <c r="O42" t="s">
        <v>131</v>
      </c>
      <c r="P42" t="s">
        <v>132</v>
      </c>
      <c r="R42" t="s">
        <v>142</v>
      </c>
      <c r="S42" t="s">
        <v>143</v>
      </c>
      <c r="T42" t="s">
        <v>138</v>
      </c>
      <c r="U42" t="s">
        <v>40</v>
      </c>
      <c r="V42" s="1">
        <v>41005</v>
      </c>
      <c r="W42">
        <v>0</v>
      </c>
      <c r="X42">
        <v>0</v>
      </c>
      <c r="Y42" t="s">
        <v>59</v>
      </c>
      <c r="Z42" t="s">
        <v>135</v>
      </c>
      <c r="AA42" t="s">
        <v>42</v>
      </c>
      <c r="AB42" t="s">
        <v>43</v>
      </c>
      <c r="AC42" t="s">
        <v>43</v>
      </c>
    </row>
    <row r="43" spans="1:29" x14ac:dyDescent="0.4">
      <c r="A43" t="s">
        <v>27</v>
      </c>
      <c r="B43">
        <v>701</v>
      </c>
      <c r="C43" t="s">
        <v>2847</v>
      </c>
      <c r="E43" t="s">
        <v>68</v>
      </c>
      <c r="F43" t="s">
        <v>125</v>
      </c>
      <c r="G43" t="s">
        <v>126</v>
      </c>
      <c r="H43" t="s">
        <v>127</v>
      </c>
      <c r="J43" t="s">
        <v>128</v>
      </c>
      <c r="K43" t="s">
        <v>129</v>
      </c>
      <c r="L43" t="s">
        <v>130</v>
      </c>
      <c r="M43" t="s">
        <v>35</v>
      </c>
      <c r="N43">
        <v>1933353038</v>
      </c>
      <c r="O43" t="s">
        <v>131</v>
      </c>
      <c r="P43" t="s">
        <v>132</v>
      </c>
      <c r="R43" t="s">
        <v>144</v>
      </c>
      <c r="S43" t="s">
        <v>145</v>
      </c>
      <c r="T43" t="s">
        <v>146</v>
      </c>
      <c r="U43" t="s">
        <v>82</v>
      </c>
      <c r="V43" s="1">
        <v>43595</v>
      </c>
      <c r="W43">
        <v>0</v>
      </c>
      <c r="X43">
        <v>0</v>
      </c>
      <c r="Y43" t="s">
        <v>59</v>
      </c>
      <c r="Z43" t="s">
        <v>135</v>
      </c>
      <c r="AA43" t="s">
        <v>42</v>
      </c>
      <c r="AB43" t="s">
        <v>43</v>
      </c>
      <c r="AC43" t="s">
        <v>43</v>
      </c>
    </row>
    <row r="44" spans="1:29" x14ac:dyDescent="0.4">
      <c r="A44" t="s">
        <v>27</v>
      </c>
      <c r="B44">
        <v>701</v>
      </c>
      <c r="C44" t="s">
        <v>2847</v>
      </c>
      <c r="E44" t="s">
        <v>68</v>
      </c>
      <c r="F44" t="s">
        <v>125</v>
      </c>
      <c r="G44" t="s">
        <v>126</v>
      </c>
      <c r="H44" t="s">
        <v>127</v>
      </c>
      <c r="J44" t="s">
        <v>128</v>
      </c>
      <c r="K44" t="s">
        <v>129</v>
      </c>
      <c r="L44" t="s">
        <v>130</v>
      </c>
      <c r="M44" t="s">
        <v>35</v>
      </c>
      <c r="N44">
        <v>1933353038</v>
      </c>
      <c r="O44" t="s">
        <v>131</v>
      </c>
      <c r="P44" t="s">
        <v>132</v>
      </c>
      <c r="R44" t="s">
        <v>147</v>
      </c>
      <c r="S44" t="s">
        <v>148</v>
      </c>
      <c r="T44" t="s">
        <v>138</v>
      </c>
      <c r="U44" t="s">
        <v>82</v>
      </c>
      <c r="V44" s="1">
        <v>41773</v>
      </c>
      <c r="W44">
        <v>0</v>
      </c>
      <c r="X44">
        <v>0</v>
      </c>
      <c r="Y44" t="s">
        <v>59</v>
      </c>
      <c r="Z44" t="s">
        <v>135</v>
      </c>
      <c r="AA44" t="s">
        <v>42</v>
      </c>
      <c r="AB44" t="s">
        <v>43</v>
      </c>
      <c r="AC44" t="s">
        <v>43</v>
      </c>
    </row>
    <row r="45" spans="1:29" x14ac:dyDescent="0.4">
      <c r="A45" t="s">
        <v>27</v>
      </c>
      <c r="B45">
        <v>2342</v>
      </c>
      <c r="C45" t="s">
        <v>2910</v>
      </c>
      <c r="D45">
        <v>15</v>
      </c>
      <c r="E45" t="s">
        <v>28</v>
      </c>
      <c r="F45" t="s">
        <v>149</v>
      </c>
      <c r="G45" t="s">
        <v>150</v>
      </c>
      <c r="H45" t="s">
        <v>151</v>
      </c>
      <c r="J45" t="s">
        <v>152</v>
      </c>
      <c r="K45" t="s">
        <v>73</v>
      </c>
      <c r="L45" t="s">
        <v>153</v>
      </c>
      <c r="M45" t="s">
        <v>35</v>
      </c>
      <c r="N45">
        <v>7778388879</v>
      </c>
      <c r="O45" t="s">
        <v>154</v>
      </c>
      <c r="P45" t="s">
        <v>2910</v>
      </c>
      <c r="R45" t="s">
        <v>156</v>
      </c>
      <c r="S45" t="s">
        <v>157</v>
      </c>
      <c r="T45" t="s">
        <v>94</v>
      </c>
      <c r="U45" t="s">
        <v>40</v>
      </c>
      <c r="V45" s="1">
        <v>45348</v>
      </c>
      <c r="W45">
        <v>0</v>
      </c>
      <c r="X45">
        <v>4</v>
      </c>
      <c r="Y45" t="s">
        <v>65</v>
      </c>
      <c r="AA45" t="s">
        <v>42</v>
      </c>
      <c r="AB45" t="s">
        <v>43</v>
      </c>
      <c r="AC45" t="s">
        <v>43</v>
      </c>
    </row>
    <row r="46" spans="1:29" x14ac:dyDescent="0.4">
      <c r="A46" t="s">
        <v>27</v>
      </c>
      <c r="B46">
        <v>2342</v>
      </c>
      <c r="C46" t="s">
        <v>2910</v>
      </c>
      <c r="D46">
        <v>14</v>
      </c>
      <c r="E46" t="s">
        <v>28</v>
      </c>
      <c r="F46" t="s">
        <v>149</v>
      </c>
      <c r="G46" t="s">
        <v>150</v>
      </c>
      <c r="H46" t="s">
        <v>151</v>
      </c>
      <c r="J46" t="s">
        <v>152</v>
      </c>
      <c r="K46" t="s">
        <v>73</v>
      </c>
      <c r="L46" t="s">
        <v>153</v>
      </c>
      <c r="M46" t="s">
        <v>35</v>
      </c>
      <c r="N46">
        <v>7778388879</v>
      </c>
      <c r="O46" t="s">
        <v>154</v>
      </c>
      <c r="P46" t="s">
        <v>2910</v>
      </c>
      <c r="R46" t="s">
        <v>158</v>
      </c>
      <c r="S46" t="s">
        <v>159</v>
      </c>
      <c r="T46" t="s">
        <v>58</v>
      </c>
      <c r="U46" t="s">
        <v>40</v>
      </c>
      <c r="V46" s="1">
        <v>43302</v>
      </c>
      <c r="W46">
        <v>0</v>
      </c>
      <c r="X46">
        <v>5</v>
      </c>
      <c r="Y46" t="s">
        <v>66</v>
      </c>
      <c r="AA46" t="s">
        <v>42</v>
      </c>
      <c r="AB46" t="s">
        <v>43</v>
      </c>
      <c r="AC46" t="s">
        <v>43</v>
      </c>
    </row>
    <row r="47" spans="1:29" x14ac:dyDescent="0.4">
      <c r="A47" t="s">
        <v>27</v>
      </c>
      <c r="B47">
        <v>2342</v>
      </c>
      <c r="C47" t="s">
        <v>2910</v>
      </c>
      <c r="D47">
        <v>14</v>
      </c>
      <c r="E47" t="s">
        <v>28</v>
      </c>
      <c r="F47" t="s">
        <v>149</v>
      </c>
      <c r="G47" t="s">
        <v>150</v>
      </c>
      <c r="H47" t="s">
        <v>151</v>
      </c>
      <c r="J47" t="s">
        <v>152</v>
      </c>
      <c r="K47" t="s">
        <v>73</v>
      </c>
      <c r="L47" t="s">
        <v>153</v>
      </c>
      <c r="M47" t="s">
        <v>35</v>
      </c>
      <c r="N47">
        <v>7778388879</v>
      </c>
      <c r="O47" t="s">
        <v>154</v>
      </c>
      <c r="P47" t="s">
        <v>2910</v>
      </c>
      <c r="R47" t="s">
        <v>158</v>
      </c>
      <c r="S47" t="s">
        <v>159</v>
      </c>
      <c r="T47" t="s">
        <v>58</v>
      </c>
      <c r="U47" t="s">
        <v>40</v>
      </c>
      <c r="V47" s="1">
        <v>43302</v>
      </c>
      <c r="W47">
        <v>0</v>
      </c>
      <c r="X47">
        <v>6</v>
      </c>
      <c r="Y47" t="s">
        <v>83</v>
      </c>
      <c r="AA47" t="s">
        <v>42</v>
      </c>
      <c r="AB47" t="s">
        <v>43</v>
      </c>
      <c r="AC47" t="s">
        <v>43</v>
      </c>
    </row>
    <row r="48" spans="1:29" x14ac:dyDescent="0.4">
      <c r="A48" t="s">
        <v>27</v>
      </c>
      <c r="B48">
        <v>2342</v>
      </c>
      <c r="C48" t="s">
        <v>2910</v>
      </c>
      <c r="E48" t="s">
        <v>28</v>
      </c>
      <c r="F48" t="s">
        <v>149</v>
      </c>
      <c r="G48" t="s">
        <v>150</v>
      </c>
      <c r="H48" t="s">
        <v>151</v>
      </c>
      <c r="J48" t="s">
        <v>152</v>
      </c>
      <c r="K48" t="s">
        <v>73</v>
      </c>
      <c r="L48" t="s">
        <v>153</v>
      </c>
      <c r="M48" t="s">
        <v>35</v>
      </c>
      <c r="N48">
        <v>7778388879</v>
      </c>
      <c r="O48" t="s">
        <v>154</v>
      </c>
      <c r="P48" t="s">
        <v>155</v>
      </c>
      <c r="R48" t="s">
        <v>158</v>
      </c>
      <c r="S48" t="s">
        <v>159</v>
      </c>
      <c r="T48" t="s">
        <v>58</v>
      </c>
      <c r="U48" t="s">
        <v>40</v>
      </c>
      <c r="V48" s="1">
        <v>43302</v>
      </c>
      <c r="W48">
        <v>0</v>
      </c>
      <c r="X48">
        <v>0</v>
      </c>
      <c r="Y48" t="s">
        <v>59</v>
      </c>
      <c r="AA48" t="s">
        <v>42</v>
      </c>
      <c r="AB48" t="s">
        <v>43</v>
      </c>
      <c r="AC48" t="s">
        <v>43</v>
      </c>
    </row>
    <row r="49" spans="1:30" x14ac:dyDescent="0.4">
      <c r="A49" t="s">
        <v>27</v>
      </c>
      <c r="B49">
        <v>2342</v>
      </c>
      <c r="C49" t="s">
        <v>2910</v>
      </c>
      <c r="E49" t="s">
        <v>28</v>
      </c>
      <c r="F49" t="s">
        <v>149</v>
      </c>
      <c r="G49" t="s">
        <v>150</v>
      </c>
      <c r="H49" t="s">
        <v>151</v>
      </c>
      <c r="J49" t="s">
        <v>152</v>
      </c>
      <c r="K49" t="s">
        <v>73</v>
      </c>
      <c r="L49" t="s">
        <v>153</v>
      </c>
      <c r="M49" t="s">
        <v>35</v>
      </c>
      <c r="N49">
        <v>7778388879</v>
      </c>
      <c r="O49" t="s">
        <v>154</v>
      </c>
      <c r="P49" t="s">
        <v>155</v>
      </c>
      <c r="R49" t="s">
        <v>156</v>
      </c>
      <c r="S49" t="s">
        <v>157</v>
      </c>
      <c r="T49" t="s">
        <v>94</v>
      </c>
      <c r="U49" t="s">
        <v>40</v>
      </c>
      <c r="V49" s="1">
        <v>45348</v>
      </c>
      <c r="W49">
        <v>0</v>
      </c>
      <c r="X49">
        <v>0</v>
      </c>
      <c r="Y49" t="s">
        <v>59</v>
      </c>
      <c r="AA49" t="s">
        <v>42</v>
      </c>
      <c r="AB49" t="s">
        <v>43</v>
      </c>
      <c r="AC49" t="s">
        <v>43</v>
      </c>
    </row>
    <row r="50" spans="1:30" x14ac:dyDescent="0.4">
      <c r="A50" t="s">
        <v>27</v>
      </c>
      <c r="B50">
        <v>2162</v>
      </c>
      <c r="C50" t="s">
        <v>2911</v>
      </c>
      <c r="D50">
        <v>16</v>
      </c>
      <c r="E50" t="s">
        <v>28</v>
      </c>
      <c r="F50" t="s">
        <v>160</v>
      </c>
      <c r="G50" t="s">
        <v>161</v>
      </c>
      <c r="H50" t="s">
        <v>162</v>
      </c>
      <c r="J50" t="s">
        <v>163</v>
      </c>
      <c r="K50" t="s">
        <v>164</v>
      </c>
      <c r="L50" t="s">
        <v>165</v>
      </c>
      <c r="M50" t="s">
        <v>35</v>
      </c>
      <c r="N50">
        <v>1380721236</v>
      </c>
      <c r="O50" t="s">
        <v>166</v>
      </c>
      <c r="P50" t="s">
        <v>2911</v>
      </c>
      <c r="R50" t="s">
        <v>3033</v>
      </c>
      <c r="S50" t="s">
        <v>168</v>
      </c>
      <c r="T50" t="s">
        <v>169</v>
      </c>
      <c r="U50" t="s">
        <v>82</v>
      </c>
      <c r="V50" s="1">
        <v>41975</v>
      </c>
      <c r="W50">
        <v>0</v>
      </c>
      <c r="X50">
        <v>2</v>
      </c>
      <c r="AA50" t="s">
        <v>42</v>
      </c>
      <c r="AB50" t="s">
        <v>43</v>
      </c>
      <c r="AC50" t="s">
        <v>43</v>
      </c>
    </row>
    <row r="51" spans="1:30" x14ac:dyDescent="0.4">
      <c r="A51" t="s">
        <v>27</v>
      </c>
      <c r="B51">
        <v>2162</v>
      </c>
      <c r="C51" t="s">
        <v>2911</v>
      </c>
      <c r="D51">
        <v>16</v>
      </c>
      <c r="E51" t="s">
        <v>28</v>
      </c>
      <c r="F51" t="s">
        <v>160</v>
      </c>
      <c r="G51" t="s">
        <v>161</v>
      </c>
      <c r="H51" t="s">
        <v>162</v>
      </c>
      <c r="J51" t="s">
        <v>163</v>
      </c>
      <c r="K51" t="s">
        <v>164</v>
      </c>
      <c r="L51" t="s">
        <v>165</v>
      </c>
      <c r="M51" t="s">
        <v>35</v>
      </c>
      <c r="N51">
        <v>1380721236</v>
      </c>
      <c r="O51" t="s">
        <v>166</v>
      </c>
      <c r="P51" t="s">
        <v>2911</v>
      </c>
      <c r="R51" t="s">
        <v>3033</v>
      </c>
      <c r="S51" t="s">
        <v>168</v>
      </c>
      <c r="T51" t="s">
        <v>169</v>
      </c>
      <c r="U51" t="s">
        <v>82</v>
      </c>
      <c r="V51" s="1">
        <v>41975</v>
      </c>
      <c r="W51">
        <v>0</v>
      </c>
      <c r="X51">
        <v>3</v>
      </c>
      <c r="AA51" t="s">
        <v>42</v>
      </c>
      <c r="AB51" t="s">
        <v>43</v>
      </c>
      <c r="AC51" t="s">
        <v>43</v>
      </c>
    </row>
    <row r="52" spans="1:30" x14ac:dyDescent="0.4">
      <c r="A52" t="s">
        <v>27</v>
      </c>
      <c r="B52">
        <v>1549</v>
      </c>
      <c r="C52" t="s">
        <v>179</v>
      </c>
      <c r="E52" t="s">
        <v>28</v>
      </c>
      <c r="F52" t="s">
        <v>171</v>
      </c>
      <c r="G52" t="s">
        <v>172</v>
      </c>
      <c r="H52" t="s">
        <v>173</v>
      </c>
      <c r="I52" t="s">
        <v>174</v>
      </c>
      <c r="J52" t="s">
        <v>175</v>
      </c>
      <c r="K52" t="s">
        <v>176</v>
      </c>
      <c r="L52" t="s">
        <v>177</v>
      </c>
      <c r="M52" t="s">
        <v>35</v>
      </c>
      <c r="N52">
        <v>7989311982</v>
      </c>
      <c r="O52" t="s">
        <v>178</v>
      </c>
      <c r="P52" t="s">
        <v>179</v>
      </c>
      <c r="R52" t="s">
        <v>180</v>
      </c>
      <c r="S52" t="s">
        <v>181</v>
      </c>
      <c r="T52" t="s">
        <v>58</v>
      </c>
      <c r="U52" t="s">
        <v>82</v>
      </c>
      <c r="V52" s="1">
        <v>42085</v>
      </c>
      <c r="W52">
        <v>0</v>
      </c>
      <c r="X52">
        <v>0</v>
      </c>
      <c r="Y52" t="s">
        <v>59</v>
      </c>
      <c r="AA52" t="s">
        <v>42</v>
      </c>
      <c r="AB52" t="s">
        <v>43</v>
      </c>
      <c r="AC52" t="s">
        <v>43</v>
      </c>
    </row>
    <row r="53" spans="1:30" x14ac:dyDescent="0.4">
      <c r="A53" t="s">
        <v>27</v>
      </c>
      <c r="B53">
        <v>1549</v>
      </c>
      <c r="C53" t="s">
        <v>179</v>
      </c>
      <c r="E53" t="s">
        <v>28</v>
      </c>
      <c r="F53" t="s">
        <v>171</v>
      </c>
      <c r="G53" t="s">
        <v>172</v>
      </c>
      <c r="H53" t="s">
        <v>173</v>
      </c>
      <c r="I53" t="s">
        <v>174</v>
      </c>
      <c r="J53" t="s">
        <v>175</v>
      </c>
      <c r="K53" t="s">
        <v>176</v>
      </c>
      <c r="L53" t="s">
        <v>177</v>
      </c>
      <c r="M53" t="s">
        <v>35</v>
      </c>
      <c r="N53">
        <v>7989311982</v>
      </c>
      <c r="O53" t="s">
        <v>178</v>
      </c>
      <c r="P53" t="s">
        <v>179</v>
      </c>
      <c r="R53" t="s">
        <v>182</v>
      </c>
      <c r="S53" t="s">
        <v>183</v>
      </c>
      <c r="T53" t="s">
        <v>58</v>
      </c>
      <c r="U53" t="s">
        <v>40</v>
      </c>
      <c r="V53" s="1">
        <v>45442</v>
      </c>
      <c r="W53">
        <v>0</v>
      </c>
      <c r="X53">
        <v>0</v>
      </c>
      <c r="Y53" t="s">
        <v>59</v>
      </c>
      <c r="AA53" t="s">
        <v>42</v>
      </c>
      <c r="AB53" t="s">
        <v>43</v>
      </c>
      <c r="AC53" t="s">
        <v>43</v>
      </c>
    </row>
    <row r="54" spans="1:30" x14ac:dyDescent="0.4">
      <c r="A54" t="s">
        <v>27</v>
      </c>
      <c r="B54">
        <v>1549</v>
      </c>
      <c r="C54" t="s">
        <v>179</v>
      </c>
      <c r="E54" t="s">
        <v>28</v>
      </c>
      <c r="F54" t="s">
        <v>171</v>
      </c>
      <c r="G54" t="s">
        <v>172</v>
      </c>
      <c r="H54" t="s">
        <v>173</v>
      </c>
      <c r="I54" t="s">
        <v>174</v>
      </c>
      <c r="J54" t="s">
        <v>175</v>
      </c>
      <c r="K54" t="s">
        <v>176</v>
      </c>
      <c r="L54" t="s">
        <v>177</v>
      </c>
      <c r="M54" t="s">
        <v>35</v>
      </c>
      <c r="N54">
        <v>7989311982</v>
      </c>
      <c r="O54" t="s">
        <v>178</v>
      </c>
      <c r="P54" t="s">
        <v>179</v>
      </c>
      <c r="R54" t="s">
        <v>180</v>
      </c>
      <c r="S54" t="s">
        <v>181</v>
      </c>
      <c r="T54" t="s">
        <v>58</v>
      </c>
      <c r="U54" t="s">
        <v>82</v>
      </c>
      <c r="V54" s="1">
        <v>42085</v>
      </c>
      <c r="W54">
        <v>0</v>
      </c>
      <c r="X54">
        <v>0</v>
      </c>
      <c r="Y54" t="s">
        <v>59</v>
      </c>
      <c r="AA54" t="s">
        <v>42</v>
      </c>
      <c r="AB54" t="s">
        <v>43</v>
      </c>
      <c r="AC54" t="s">
        <v>43</v>
      </c>
    </row>
    <row r="55" spans="1:30" x14ac:dyDescent="0.4">
      <c r="A55" t="s">
        <v>27</v>
      </c>
      <c r="B55">
        <v>1549</v>
      </c>
      <c r="C55" t="s">
        <v>179</v>
      </c>
      <c r="E55" t="s">
        <v>28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176</v>
      </c>
      <c r="L55" t="s">
        <v>177</v>
      </c>
      <c r="M55" t="s">
        <v>35</v>
      </c>
      <c r="N55">
        <v>7989311982</v>
      </c>
      <c r="O55" t="s">
        <v>178</v>
      </c>
      <c r="P55" t="s">
        <v>179</v>
      </c>
      <c r="R55" t="s">
        <v>182</v>
      </c>
      <c r="S55" t="s">
        <v>183</v>
      </c>
      <c r="T55" t="s">
        <v>58</v>
      </c>
      <c r="U55" t="s">
        <v>40</v>
      </c>
      <c r="V55" s="1">
        <v>45442</v>
      </c>
      <c r="W55">
        <v>0</v>
      </c>
      <c r="X55">
        <v>0</v>
      </c>
      <c r="Y55" t="s">
        <v>59</v>
      </c>
      <c r="AA55" t="s">
        <v>42</v>
      </c>
      <c r="AB55" t="s">
        <v>43</v>
      </c>
      <c r="AC55" t="s">
        <v>43</v>
      </c>
    </row>
    <row r="56" spans="1:30" x14ac:dyDescent="0.4">
      <c r="A56" t="s">
        <v>27</v>
      </c>
      <c r="B56">
        <v>1384</v>
      </c>
      <c r="C56" t="s">
        <v>2912</v>
      </c>
      <c r="D56">
        <v>17</v>
      </c>
      <c r="E56" t="s">
        <v>68</v>
      </c>
      <c r="F56" t="s">
        <v>184</v>
      </c>
      <c r="G56" t="s">
        <v>185</v>
      </c>
      <c r="H56" t="s">
        <v>186</v>
      </c>
      <c r="I56" t="s">
        <v>187</v>
      </c>
      <c r="J56" t="s">
        <v>188</v>
      </c>
      <c r="K56" t="s">
        <v>189</v>
      </c>
      <c r="L56" t="s">
        <v>190</v>
      </c>
      <c r="M56" t="s">
        <v>35</v>
      </c>
      <c r="N56">
        <v>7921452558</v>
      </c>
      <c r="O56" t="s">
        <v>191</v>
      </c>
      <c r="P56" t="s">
        <v>3040</v>
      </c>
      <c r="R56" t="s">
        <v>192</v>
      </c>
      <c r="S56" t="s">
        <v>193</v>
      </c>
      <c r="T56" t="s">
        <v>194</v>
      </c>
      <c r="U56" t="s">
        <v>40</v>
      </c>
      <c r="V56" s="1">
        <v>44514</v>
      </c>
      <c r="W56">
        <v>0</v>
      </c>
      <c r="X56">
        <v>4</v>
      </c>
      <c r="Y56" t="s">
        <v>65</v>
      </c>
      <c r="AA56" t="s">
        <v>42</v>
      </c>
      <c r="AB56" t="s">
        <v>43</v>
      </c>
      <c r="AC56" t="s">
        <v>43</v>
      </c>
    </row>
    <row r="57" spans="1:30" x14ac:dyDescent="0.4">
      <c r="A57" t="s">
        <v>27</v>
      </c>
      <c r="B57">
        <v>1384</v>
      </c>
      <c r="C57" t="s">
        <v>2912</v>
      </c>
      <c r="D57">
        <v>17</v>
      </c>
      <c r="E57" t="s">
        <v>68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35</v>
      </c>
      <c r="N57">
        <v>7921452558</v>
      </c>
      <c r="O57" t="s">
        <v>191</v>
      </c>
      <c r="P57" t="s">
        <v>3040</v>
      </c>
      <c r="R57" t="s">
        <v>192</v>
      </c>
      <c r="S57" t="s">
        <v>193</v>
      </c>
      <c r="T57" t="s">
        <v>194</v>
      </c>
      <c r="U57" t="s">
        <v>40</v>
      </c>
      <c r="V57" s="1">
        <v>44514</v>
      </c>
      <c r="W57">
        <v>0</v>
      </c>
      <c r="X57">
        <v>5</v>
      </c>
      <c r="Y57" t="s">
        <v>66</v>
      </c>
      <c r="AA57" t="s">
        <v>42</v>
      </c>
      <c r="AB57" t="s">
        <v>43</v>
      </c>
      <c r="AC57" t="s">
        <v>43</v>
      </c>
    </row>
    <row r="58" spans="1:30" x14ac:dyDescent="0.4">
      <c r="A58" t="s">
        <v>27</v>
      </c>
      <c r="B58">
        <v>1131</v>
      </c>
      <c r="C58" t="s">
        <v>205</v>
      </c>
      <c r="E58" t="s">
        <v>195</v>
      </c>
      <c r="F58" t="s">
        <v>196</v>
      </c>
      <c r="G58" t="s">
        <v>197</v>
      </c>
      <c r="H58" t="s">
        <v>198</v>
      </c>
      <c r="I58" t="s">
        <v>199</v>
      </c>
      <c r="J58" t="s">
        <v>200</v>
      </c>
      <c r="K58" t="s">
        <v>201</v>
      </c>
      <c r="L58" t="s">
        <v>202</v>
      </c>
      <c r="M58" t="s">
        <v>35</v>
      </c>
      <c r="N58" t="s">
        <v>203</v>
      </c>
      <c r="O58" t="s">
        <v>204</v>
      </c>
      <c r="P58" t="s">
        <v>205</v>
      </c>
      <c r="R58" t="s">
        <v>206</v>
      </c>
      <c r="S58" t="s">
        <v>207</v>
      </c>
      <c r="T58" t="s">
        <v>94</v>
      </c>
      <c r="U58" t="s">
        <v>82</v>
      </c>
      <c r="V58" s="1">
        <v>42451</v>
      </c>
      <c r="W58">
        <v>0</v>
      </c>
      <c r="X58">
        <v>0</v>
      </c>
      <c r="Y58" t="s">
        <v>59</v>
      </c>
      <c r="AA58" t="s">
        <v>42</v>
      </c>
      <c r="AB58" t="s">
        <v>43</v>
      </c>
      <c r="AC58" t="s">
        <v>43</v>
      </c>
    </row>
    <row r="59" spans="1:30" x14ac:dyDescent="0.4">
      <c r="A59" t="s">
        <v>27</v>
      </c>
      <c r="B59">
        <v>1131</v>
      </c>
      <c r="C59" t="s">
        <v>205</v>
      </c>
      <c r="E59" t="s">
        <v>195</v>
      </c>
      <c r="F59" t="s">
        <v>196</v>
      </c>
      <c r="G59" t="s">
        <v>197</v>
      </c>
      <c r="H59" t="s">
        <v>198</v>
      </c>
      <c r="I59" t="s">
        <v>199</v>
      </c>
      <c r="J59" t="s">
        <v>200</v>
      </c>
      <c r="K59" t="s">
        <v>201</v>
      </c>
      <c r="L59" t="s">
        <v>202</v>
      </c>
      <c r="M59" t="s">
        <v>35</v>
      </c>
      <c r="N59" t="s">
        <v>203</v>
      </c>
      <c r="O59" t="s">
        <v>204</v>
      </c>
      <c r="P59" t="s">
        <v>205</v>
      </c>
      <c r="R59" t="s">
        <v>206</v>
      </c>
      <c r="S59" t="s">
        <v>207</v>
      </c>
      <c r="T59" t="s">
        <v>94</v>
      </c>
      <c r="U59" t="s">
        <v>82</v>
      </c>
      <c r="V59" s="1">
        <v>42451</v>
      </c>
      <c r="W59">
        <v>0</v>
      </c>
      <c r="X59">
        <v>0</v>
      </c>
      <c r="Y59" t="s">
        <v>59</v>
      </c>
      <c r="AA59" t="s">
        <v>42</v>
      </c>
      <c r="AB59" t="s">
        <v>43</v>
      </c>
      <c r="AC59" t="s">
        <v>43</v>
      </c>
    </row>
    <row r="60" spans="1:30" x14ac:dyDescent="0.4">
      <c r="A60" t="s">
        <v>27</v>
      </c>
      <c r="B60">
        <v>1131</v>
      </c>
      <c r="C60" t="s">
        <v>205</v>
      </c>
      <c r="D60">
        <v>18</v>
      </c>
      <c r="E60" t="s">
        <v>195</v>
      </c>
      <c r="F60" t="s">
        <v>196</v>
      </c>
      <c r="G60" t="s">
        <v>197</v>
      </c>
      <c r="H60" t="s">
        <v>198</v>
      </c>
      <c r="I60" t="s">
        <v>199</v>
      </c>
      <c r="J60" t="s">
        <v>200</v>
      </c>
      <c r="K60" t="s">
        <v>201</v>
      </c>
      <c r="L60" t="s">
        <v>202</v>
      </c>
      <c r="M60" t="s">
        <v>35</v>
      </c>
      <c r="N60" t="s">
        <v>203</v>
      </c>
      <c r="O60" t="s">
        <v>204</v>
      </c>
      <c r="P60" t="s">
        <v>205</v>
      </c>
      <c r="R60" t="s">
        <v>208</v>
      </c>
      <c r="S60" t="s">
        <v>209</v>
      </c>
      <c r="T60" t="s">
        <v>58</v>
      </c>
      <c r="U60" t="s">
        <v>40</v>
      </c>
      <c r="V60" s="1">
        <v>43217</v>
      </c>
      <c r="W60">
        <v>0</v>
      </c>
      <c r="X60">
        <v>6</v>
      </c>
      <c r="Y60" t="s">
        <v>83</v>
      </c>
      <c r="AA60" t="s">
        <v>42</v>
      </c>
      <c r="AB60" t="s">
        <v>43</v>
      </c>
      <c r="AC60" t="s">
        <v>43</v>
      </c>
    </row>
    <row r="61" spans="1:30" x14ac:dyDescent="0.4">
      <c r="A61" t="s">
        <v>27</v>
      </c>
      <c r="B61">
        <v>1131</v>
      </c>
      <c r="C61" t="s">
        <v>205</v>
      </c>
      <c r="D61">
        <v>18</v>
      </c>
      <c r="E61" t="s">
        <v>195</v>
      </c>
      <c r="F61" t="s">
        <v>196</v>
      </c>
      <c r="G61" t="s">
        <v>197</v>
      </c>
      <c r="H61" t="s">
        <v>198</v>
      </c>
      <c r="I61" t="s">
        <v>199</v>
      </c>
      <c r="J61" t="s">
        <v>200</v>
      </c>
      <c r="K61" t="s">
        <v>201</v>
      </c>
      <c r="L61" t="s">
        <v>202</v>
      </c>
      <c r="M61" t="s">
        <v>35</v>
      </c>
      <c r="N61" t="s">
        <v>203</v>
      </c>
      <c r="O61" t="s">
        <v>204</v>
      </c>
      <c r="P61" t="s">
        <v>205</v>
      </c>
      <c r="R61" t="s">
        <v>208</v>
      </c>
      <c r="S61" t="s">
        <v>209</v>
      </c>
      <c r="T61" t="s">
        <v>58</v>
      </c>
      <c r="U61" t="s">
        <v>40</v>
      </c>
      <c r="V61" s="1">
        <v>43217</v>
      </c>
      <c r="W61">
        <v>0</v>
      </c>
      <c r="X61">
        <v>16</v>
      </c>
      <c r="AA61" t="s">
        <v>42</v>
      </c>
      <c r="AB61" t="s">
        <v>43</v>
      </c>
      <c r="AC61" t="s">
        <v>43</v>
      </c>
    </row>
    <row r="62" spans="1:30" x14ac:dyDescent="0.4">
      <c r="A62" t="s">
        <v>27</v>
      </c>
      <c r="B62">
        <v>1131</v>
      </c>
      <c r="C62" t="s">
        <v>205</v>
      </c>
      <c r="D62">
        <v>18</v>
      </c>
      <c r="E62" t="s">
        <v>195</v>
      </c>
      <c r="F62" t="s">
        <v>196</v>
      </c>
      <c r="G62" t="s">
        <v>197</v>
      </c>
      <c r="H62" t="s">
        <v>198</v>
      </c>
      <c r="I62" t="s">
        <v>199</v>
      </c>
      <c r="J62" t="s">
        <v>200</v>
      </c>
      <c r="K62" t="s">
        <v>201</v>
      </c>
      <c r="L62" t="s">
        <v>202</v>
      </c>
      <c r="M62" t="s">
        <v>35</v>
      </c>
      <c r="N62" t="s">
        <v>203</v>
      </c>
      <c r="O62" t="s">
        <v>204</v>
      </c>
      <c r="P62" t="s">
        <v>205</v>
      </c>
      <c r="R62" t="s">
        <v>208</v>
      </c>
      <c r="S62" t="s">
        <v>209</v>
      </c>
      <c r="T62" t="s">
        <v>58</v>
      </c>
      <c r="U62" t="s">
        <v>40</v>
      </c>
      <c r="V62" s="1">
        <v>43217</v>
      </c>
      <c r="W62">
        <v>0</v>
      </c>
      <c r="X62">
        <v>18</v>
      </c>
      <c r="AA62" t="s">
        <v>42</v>
      </c>
      <c r="AB62" t="s">
        <v>43</v>
      </c>
      <c r="AC62" t="s">
        <v>43</v>
      </c>
    </row>
    <row r="63" spans="1:30" x14ac:dyDescent="0.4">
      <c r="A63" t="s">
        <v>27</v>
      </c>
      <c r="B63">
        <v>892</v>
      </c>
      <c r="C63" t="s">
        <v>2913</v>
      </c>
      <c r="D63">
        <v>20</v>
      </c>
      <c r="E63" t="s">
        <v>68</v>
      </c>
      <c r="F63" t="s">
        <v>211</v>
      </c>
      <c r="G63" t="s">
        <v>212</v>
      </c>
      <c r="H63" t="s">
        <v>213</v>
      </c>
      <c r="J63" t="s">
        <v>214</v>
      </c>
      <c r="K63" t="s">
        <v>215</v>
      </c>
      <c r="L63" t="s">
        <v>216</v>
      </c>
      <c r="M63" t="s">
        <v>35</v>
      </c>
      <c r="N63">
        <v>7956649566</v>
      </c>
      <c r="O63" t="s">
        <v>217</v>
      </c>
      <c r="P63" t="s">
        <v>2913</v>
      </c>
      <c r="R63" t="s">
        <v>3089</v>
      </c>
      <c r="S63" t="s">
        <v>219</v>
      </c>
      <c r="T63" t="s">
        <v>58</v>
      </c>
      <c r="U63" t="s">
        <v>82</v>
      </c>
      <c r="V63" s="1">
        <v>43886</v>
      </c>
      <c r="W63">
        <v>0</v>
      </c>
      <c r="X63">
        <v>13</v>
      </c>
      <c r="AA63" t="s">
        <v>42</v>
      </c>
      <c r="AB63" t="s">
        <v>43</v>
      </c>
      <c r="AC63" t="s">
        <v>42</v>
      </c>
      <c r="AD63" t="s">
        <v>220</v>
      </c>
    </row>
    <row r="64" spans="1:30" x14ac:dyDescent="0.4">
      <c r="A64" t="s">
        <v>27</v>
      </c>
      <c r="B64">
        <v>892</v>
      </c>
      <c r="C64" t="s">
        <v>2913</v>
      </c>
      <c r="D64">
        <v>20</v>
      </c>
      <c r="E64" t="s">
        <v>68</v>
      </c>
      <c r="F64" t="s">
        <v>211</v>
      </c>
      <c r="G64" t="s">
        <v>212</v>
      </c>
      <c r="H64" t="s">
        <v>213</v>
      </c>
      <c r="J64" t="s">
        <v>214</v>
      </c>
      <c r="K64" t="s">
        <v>215</v>
      </c>
      <c r="L64" t="s">
        <v>216</v>
      </c>
      <c r="M64" t="s">
        <v>35</v>
      </c>
      <c r="N64">
        <v>7956649566</v>
      </c>
      <c r="O64" t="s">
        <v>217</v>
      </c>
      <c r="P64" t="s">
        <v>2913</v>
      </c>
      <c r="R64" t="s">
        <v>3089</v>
      </c>
      <c r="S64" t="s">
        <v>219</v>
      </c>
      <c r="T64" t="s">
        <v>58</v>
      </c>
      <c r="U64" t="s">
        <v>82</v>
      </c>
      <c r="V64" s="1">
        <v>43886</v>
      </c>
      <c r="W64">
        <v>0</v>
      </c>
      <c r="X64">
        <v>15</v>
      </c>
      <c r="AA64" t="s">
        <v>42</v>
      </c>
      <c r="AB64" t="s">
        <v>43</v>
      </c>
      <c r="AC64" t="s">
        <v>42</v>
      </c>
      <c r="AD64" t="s">
        <v>220</v>
      </c>
    </row>
    <row r="65" spans="1:30" x14ac:dyDescent="0.4">
      <c r="A65" t="s">
        <v>27</v>
      </c>
      <c r="B65">
        <v>892</v>
      </c>
      <c r="C65" t="s">
        <v>2913</v>
      </c>
      <c r="D65">
        <v>19</v>
      </c>
      <c r="E65" t="s">
        <v>68</v>
      </c>
      <c r="F65" t="s">
        <v>211</v>
      </c>
      <c r="G65" t="s">
        <v>212</v>
      </c>
      <c r="H65" t="s">
        <v>213</v>
      </c>
      <c r="J65" t="s">
        <v>214</v>
      </c>
      <c r="K65" t="s">
        <v>215</v>
      </c>
      <c r="L65" t="s">
        <v>216</v>
      </c>
      <c r="M65" t="s">
        <v>35</v>
      </c>
      <c r="N65">
        <v>7956649566</v>
      </c>
      <c r="O65" t="s">
        <v>217</v>
      </c>
      <c r="P65" t="s">
        <v>2913</v>
      </c>
      <c r="R65" t="s">
        <v>221</v>
      </c>
      <c r="S65" t="s">
        <v>222</v>
      </c>
      <c r="T65" t="s">
        <v>58</v>
      </c>
      <c r="U65" t="s">
        <v>82</v>
      </c>
      <c r="V65" s="1">
        <v>44869</v>
      </c>
      <c r="W65">
        <v>0</v>
      </c>
      <c r="X65">
        <v>13</v>
      </c>
      <c r="AA65" t="s">
        <v>42</v>
      </c>
      <c r="AB65" t="s">
        <v>43</v>
      </c>
      <c r="AC65" t="s">
        <v>42</v>
      </c>
      <c r="AD65" t="s">
        <v>220</v>
      </c>
    </row>
    <row r="66" spans="1:30" x14ac:dyDescent="0.4">
      <c r="A66" t="s">
        <v>27</v>
      </c>
      <c r="B66">
        <v>892</v>
      </c>
      <c r="C66" t="s">
        <v>2913</v>
      </c>
      <c r="D66">
        <v>19</v>
      </c>
      <c r="E66" t="s">
        <v>68</v>
      </c>
      <c r="F66" t="s">
        <v>211</v>
      </c>
      <c r="G66" t="s">
        <v>212</v>
      </c>
      <c r="H66" t="s">
        <v>213</v>
      </c>
      <c r="J66" t="s">
        <v>214</v>
      </c>
      <c r="K66" t="s">
        <v>215</v>
      </c>
      <c r="L66" t="s">
        <v>216</v>
      </c>
      <c r="M66" t="s">
        <v>35</v>
      </c>
      <c r="N66">
        <v>7956649566</v>
      </c>
      <c r="O66" t="s">
        <v>217</v>
      </c>
      <c r="P66" t="s">
        <v>2913</v>
      </c>
      <c r="R66" t="s">
        <v>221</v>
      </c>
      <c r="S66" t="s">
        <v>222</v>
      </c>
      <c r="T66" t="s">
        <v>58</v>
      </c>
      <c r="U66" t="s">
        <v>82</v>
      </c>
      <c r="V66" s="1">
        <v>44869</v>
      </c>
      <c r="W66">
        <v>0</v>
      </c>
      <c r="X66">
        <v>15</v>
      </c>
      <c r="AA66" t="s">
        <v>42</v>
      </c>
      <c r="AB66" t="s">
        <v>43</v>
      </c>
      <c r="AC66" t="s">
        <v>42</v>
      </c>
      <c r="AD66" t="s">
        <v>220</v>
      </c>
    </row>
    <row r="67" spans="1:30" x14ac:dyDescent="0.4">
      <c r="A67" t="s">
        <v>27</v>
      </c>
      <c r="B67">
        <v>237</v>
      </c>
      <c r="C67" t="s">
        <v>2848</v>
      </c>
      <c r="D67">
        <v>22</v>
      </c>
      <c r="E67" t="s">
        <v>68</v>
      </c>
      <c r="F67" t="s">
        <v>85</v>
      </c>
      <c r="G67" t="s">
        <v>223</v>
      </c>
      <c r="H67" t="s">
        <v>224</v>
      </c>
      <c r="J67" t="s">
        <v>225</v>
      </c>
      <c r="K67" t="s">
        <v>226</v>
      </c>
      <c r="L67" t="s">
        <v>227</v>
      </c>
      <c r="M67" t="s">
        <v>35</v>
      </c>
      <c r="N67">
        <v>1784246235</v>
      </c>
      <c r="O67" t="s">
        <v>228</v>
      </c>
      <c r="P67" t="s">
        <v>2848</v>
      </c>
      <c r="R67" t="s">
        <v>3090</v>
      </c>
      <c r="S67" t="s">
        <v>231</v>
      </c>
      <c r="T67" t="s">
        <v>232</v>
      </c>
      <c r="U67" t="s">
        <v>40</v>
      </c>
      <c r="V67" s="1">
        <v>44817</v>
      </c>
      <c r="W67">
        <v>0</v>
      </c>
      <c r="X67">
        <v>4</v>
      </c>
      <c r="Y67" t="s">
        <v>65</v>
      </c>
      <c r="Z67" t="s">
        <v>135</v>
      </c>
      <c r="AA67" t="s">
        <v>42</v>
      </c>
      <c r="AB67" t="s">
        <v>43</v>
      </c>
      <c r="AC67" t="s">
        <v>43</v>
      </c>
    </row>
    <row r="68" spans="1:30" x14ac:dyDescent="0.4">
      <c r="A68" t="s">
        <v>27</v>
      </c>
      <c r="B68">
        <v>237</v>
      </c>
      <c r="C68" t="s">
        <v>2848</v>
      </c>
      <c r="D68">
        <v>22</v>
      </c>
      <c r="E68" t="s">
        <v>68</v>
      </c>
      <c r="F68" t="s">
        <v>85</v>
      </c>
      <c r="G68" t="s">
        <v>223</v>
      </c>
      <c r="H68" t="s">
        <v>224</v>
      </c>
      <c r="J68" t="s">
        <v>225</v>
      </c>
      <c r="K68" t="s">
        <v>226</v>
      </c>
      <c r="L68" t="s">
        <v>227</v>
      </c>
      <c r="M68" t="s">
        <v>35</v>
      </c>
      <c r="N68">
        <v>1784246235</v>
      </c>
      <c r="O68" t="s">
        <v>228</v>
      </c>
      <c r="P68" t="s">
        <v>2848</v>
      </c>
      <c r="R68" t="s">
        <v>3090</v>
      </c>
      <c r="S68" t="s">
        <v>231</v>
      </c>
      <c r="T68" t="s">
        <v>232</v>
      </c>
      <c r="U68" t="s">
        <v>40</v>
      </c>
      <c r="V68" s="1">
        <v>44817</v>
      </c>
      <c r="W68">
        <v>0</v>
      </c>
      <c r="X68">
        <v>5</v>
      </c>
      <c r="Y68" t="s">
        <v>66</v>
      </c>
      <c r="Z68" t="s">
        <v>135</v>
      </c>
      <c r="AA68" t="s">
        <v>42</v>
      </c>
      <c r="AB68" t="s">
        <v>43</v>
      </c>
      <c r="AC68" t="s">
        <v>43</v>
      </c>
    </row>
    <row r="69" spans="1:30" x14ac:dyDescent="0.4">
      <c r="A69" t="s">
        <v>27</v>
      </c>
      <c r="B69">
        <v>237</v>
      </c>
      <c r="C69" t="s">
        <v>2848</v>
      </c>
      <c r="E69" t="s">
        <v>68</v>
      </c>
      <c r="F69" t="s">
        <v>85</v>
      </c>
      <c r="G69" t="s">
        <v>223</v>
      </c>
      <c r="H69" t="s">
        <v>224</v>
      </c>
      <c r="J69" t="s">
        <v>225</v>
      </c>
      <c r="K69" t="s">
        <v>226</v>
      </c>
      <c r="L69" t="s">
        <v>227</v>
      </c>
      <c r="M69" t="s">
        <v>35</v>
      </c>
      <c r="N69">
        <v>1784246235</v>
      </c>
      <c r="O69" t="s">
        <v>228</v>
      </c>
      <c r="P69" t="s">
        <v>229</v>
      </c>
      <c r="R69" t="s">
        <v>233</v>
      </c>
      <c r="S69" t="s">
        <v>234</v>
      </c>
      <c r="T69" t="s">
        <v>232</v>
      </c>
      <c r="U69" t="s">
        <v>40</v>
      </c>
      <c r="V69" s="1">
        <v>43008</v>
      </c>
      <c r="W69">
        <v>0</v>
      </c>
      <c r="X69">
        <v>0</v>
      </c>
      <c r="Y69" t="s">
        <v>59</v>
      </c>
      <c r="Z69" t="s">
        <v>135</v>
      </c>
      <c r="AA69" t="s">
        <v>42</v>
      </c>
      <c r="AB69" t="s">
        <v>43</v>
      </c>
      <c r="AC69" t="s">
        <v>43</v>
      </c>
    </row>
    <row r="70" spans="1:30" x14ac:dyDescent="0.4">
      <c r="A70" t="s">
        <v>27</v>
      </c>
      <c r="B70">
        <v>237</v>
      </c>
      <c r="C70" t="s">
        <v>2848</v>
      </c>
      <c r="E70" t="s">
        <v>68</v>
      </c>
      <c r="F70" t="s">
        <v>85</v>
      </c>
      <c r="G70" t="s">
        <v>223</v>
      </c>
      <c r="H70" t="s">
        <v>224</v>
      </c>
      <c r="J70" t="s">
        <v>225</v>
      </c>
      <c r="K70" t="s">
        <v>226</v>
      </c>
      <c r="L70" t="s">
        <v>227</v>
      </c>
      <c r="M70" t="s">
        <v>35</v>
      </c>
      <c r="N70">
        <v>1784246235</v>
      </c>
      <c r="O70" t="s">
        <v>228</v>
      </c>
      <c r="P70" t="s">
        <v>229</v>
      </c>
      <c r="R70" t="s">
        <v>235</v>
      </c>
      <c r="S70" t="s">
        <v>236</v>
      </c>
      <c r="T70" t="s">
        <v>237</v>
      </c>
      <c r="U70" t="s">
        <v>40</v>
      </c>
      <c r="V70" s="1">
        <v>41544</v>
      </c>
      <c r="W70">
        <v>0</v>
      </c>
      <c r="X70">
        <v>0</v>
      </c>
      <c r="Y70" t="s">
        <v>59</v>
      </c>
      <c r="Z70" t="s">
        <v>135</v>
      </c>
      <c r="AA70" t="s">
        <v>42</v>
      </c>
      <c r="AB70" t="s">
        <v>43</v>
      </c>
      <c r="AC70" t="s">
        <v>43</v>
      </c>
    </row>
    <row r="71" spans="1:30" x14ac:dyDescent="0.4">
      <c r="A71" t="s">
        <v>27</v>
      </c>
      <c r="B71">
        <v>237</v>
      </c>
      <c r="C71" t="s">
        <v>2848</v>
      </c>
      <c r="E71" t="s">
        <v>68</v>
      </c>
      <c r="F71" t="s">
        <v>85</v>
      </c>
      <c r="G71" t="s">
        <v>223</v>
      </c>
      <c r="H71" t="s">
        <v>224</v>
      </c>
      <c r="J71" t="s">
        <v>225</v>
      </c>
      <c r="K71" t="s">
        <v>226</v>
      </c>
      <c r="L71" t="s">
        <v>227</v>
      </c>
      <c r="M71" t="s">
        <v>35</v>
      </c>
      <c r="N71">
        <v>1784246235</v>
      </c>
      <c r="O71" t="s">
        <v>228</v>
      </c>
      <c r="P71" t="s">
        <v>229</v>
      </c>
      <c r="R71" t="s">
        <v>235</v>
      </c>
      <c r="S71" t="s">
        <v>236</v>
      </c>
      <c r="T71" t="s">
        <v>237</v>
      </c>
      <c r="U71" t="s">
        <v>40</v>
      </c>
      <c r="V71" s="1">
        <v>41544</v>
      </c>
      <c r="W71">
        <v>0</v>
      </c>
      <c r="X71">
        <v>0</v>
      </c>
      <c r="Y71" t="s">
        <v>59</v>
      </c>
      <c r="Z71" t="s">
        <v>135</v>
      </c>
      <c r="AA71" t="s">
        <v>42</v>
      </c>
      <c r="AB71" t="s">
        <v>43</v>
      </c>
      <c r="AC71" t="s">
        <v>43</v>
      </c>
    </row>
    <row r="72" spans="1:30" x14ac:dyDescent="0.4">
      <c r="A72" t="s">
        <v>27</v>
      </c>
      <c r="B72">
        <v>237</v>
      </c>
      <c r="C72" t="s">
        <v>2848</v>
      </c>
      <c r="D72">
        <v>21</v>
      </c>
      <c r="E72" t="s">
        <v>68</v>
      </c>
      <c r="F72" t="s">
        <v>85</v>
      </c>
      <c r="G72" t="s">
        <v>223</v>
      </c>
      <c r="H72" t="s">
        <v>224</v>
      </c>
      <c r="J72" t="s">
        <v>225</v>
      </c>
      <c r="K72" t="s">
        <v>226</v>
      </c>
      <c r="L72" t="s">
        <v>227</v>
      </c>
      <c r="M72" t="s">
        <v>35</v>
      </c>
      <c r="N72">
        <v>1784246235</v>
      </c>
      <c r="O72" t="s">
        <v>228</v>
      </c>
      <c r="P72" t="s">
        <v>2848</v>
      </c>
      <c r="R72" t="s">
        <v>3091</v>
      </c>
      <c r="S72" t="s">
        <v>234</v>
      </c>
      <c r="T72" t="s">
        <v>232</v>
      </c>
      <c r="U72" t="s">
        <v>40</v>
      </c>
      <c r="V72" s="1">
        <v>43008</v>
      </c>
      <c r="W72">
        <v>0</v>
      </c>
      <c r="X72">
        <v>20</v>
      </c>
      <c r="Z72" t="s">
        <v>135</v>
      </c>
      <c r="AA72" t="s">
        <v>42</v>
      </c>
      <c r="AB72" t="s">
        <v>43</v>
      </c>
      <c r="AC72" t="s">
        <v>43</v>
      </c>
    </row>
    <row r="73" spans="1:30" x14ac:dyDescent="0.4">
      <c r="A73" t="s">
        <v>27</v>
      </c>
      <c r="B73">
        <v>237</v>
      </c>
      <c r="C73" t="s">
        <v>2848</v>
      </c>
      <c r="D73">
        <v>22</v>
      </c>
      <c r="E73" t="s">
        <v>68</v>
      </c>
      <c r="F73" t="s">
        <v>85</v>
      </c>
      <c r="G73" t="s">
        <v>223</v>
      </c>
      <c r="H73" t="s">
        <v>224</v>
      </c>
      <c r="J73" t="s">
        <v>225</v>
      </c>
      <c r="K73" t="s">
        <v>226</v>
      </c>
      <c r="L73" t="s">
        <v>227</v>
      </c>
      <c r="M73" t="s">
        <v>35</v>
      </c>
      <c r="N73">
        <v>1784246235</v>
      </c>
      <c r="O73" t="s">
        <v>228</v>
      </c>
      <c r="P73" t="s">
        <v>2848</v>
      </c>
      <c r="R73" t="s">
        <v>3090</v>
      </c>
      <c r="S73" t="s">
        <v>231</v>
      </c>
      <c r="T73" t="s">
        <v>232</v>
      </c>
      <c r="U73" t="s">
        <v>40</v>
      </c>
      <c r="V73" s="1">
        <v>44817</v>
      </c>
      <c r="W73">
        <v>0</v>
      </c>
      <c r="X73">
        <v>12</v>
      </c>
      <c r="Z73" t="s">
        <v>135</v>
      </c>
      <c r="AA73" t="s">
        <v>42</v>
      </c>
      <c r="AB73" t="s">
        <v>43</v>
      </c>
      <c r="AC73" t="s">
        <v>43</v>
      </c>
    </row>
    <row r="74" spans="1:30" x14ac:dyDescent="0.4">
      <c r="A74" t="s">
        <v>27</v>
      </c>
      <c r="B74">
        <v>681</v>
      </c>
      <c r="C74" t="s">
        <v>245</v>
      </c>
      <c r="E74" t="s">
        <v>68</v>
      </c>
      <c r="F74" t="s">
        <v>238</v>
      </c>
      <c r="G74" t="s">
        <v>239</v>
      </c>
      <c r="H74" t="s">
        <v>240</v>
      </c>
      <c r="J74" t="s">
        <v>241</v>
      </c>
      <c r="K74" t="s">
        <v>242</v>
      </c>
      <c r="L74" t="s">
        <v>243</v>
      </c>
      <c r="M74" t="s">
        <v>35</v>
      </c>
      <c r="N74">
        <v>7977869117</v>
      </c>
      <c r="O74" t="s">
        <v>244</v>
      </c>
      <c r="P74" t="s">
        <v>245</v>
      </c>
      <c r="R74" t="s">
        <v>246</v>
      </c>
      <c r="S74" t="s">
        <v>247</v>
      </c>
      <c r="T74" t="s">
        <v>248</v>
      </c>
      <c r="U74" t="s">
        <v>40</v>
      </c>
      <c r="V74" s="1">
        <v>40238</v>
      </c>
      <c r="W74">
        <v>0</v>
      </c>
      <c r="X74">
        <v>0</v>
      </c>
      <c r="Y74" t="s">
        <v>59</v>
      </c>
      <c r="AA74" t="s">
        <v>42</v>
      </c>
      <c r="AB74" t="s">
        <v>43</v>
      </c>
      <c r="AC74" t="s">
        <v>43</v>
      </c>
    </row>
    <row r="75" spans="1:30" x14ac:dyDescent="0.4">
      <c r="A75" t="s">
        <v>27</v>
      </c>
      <c r="B75">
        <v>681</v>
      </c>
      <c r="C75" t="s">
        <v>245</v>
      </c>
      <c r="E75" t="s">
        <v>68</v>
      </c>
      <c r="F75" t="s">
        <v>238</v>
      </c>
      <c r="G75" t="s">
        <v>239</v>
      </c>
      <c r="H75" t="s">
        <v>240</v>
      </c>
      <c r="J75" t="s">
        <v>241</v>
      </c>
      <c r="K75" t="s">
        <v>242</v>
      </c>
      <c r="L75" t="s">
        <v>243</v>
      </c>
      <c r="M75" t="s">
        <v>35</v>
      </c>
      <c r="N75">
        <v>7977869117</v>
      </c>
      <c r="O75" t="s">
        <v>244</v>
      </c>
      <c r="P75" t="s">
        <v>245</v>
      </c>
      <c r="R75" t="s">
        <v>249</v>
      </c>
      <c r="S75" t="s">
        <v>250</v>
      </c>
      <c r="T75" t="s">
        <v>248</v>
      </c>
      <c r="U75" t="s">
        <v>40</v>
      </c>
      <c r="V75" s="1">
        <v>40585</v>
      </c>
      <c r="W75">
        <v>0</v>
      </c>
      <c r="X75">
        <v>0</v>
      </c>
      <c r="Y75" t="s">
        <v>59</v>
      </c>
      <c r="AA75" t="s">
        <v>42</v>
      </c>
      <c r="AB75" t="s">
        <v>43</v>
      </c>
      <c r="AC75" t="s">
        <v>43</v>
      </c>
    </row>
    <row r="76" spans="1:30" x14ac:dyDescent="0.4">
      <c r="A76" t="s">
        <v>27</v>
      </c>
      <c r="B76">
        <v>681</v>
      </c>
      <c r="C76" t="s">
        <v>245</v>
      </c>
      <c r="D76">
        <v>23</v>
      </c>
      <c r="E76" t="s">
        <v>68</v>
      </c>
      <c r="F76" t="s">
        <v>238</v>
      </c>
      <c r="G76" t="s">
        <v>239</v>
      </c>
      <c r="H76" t="s">
        <v>240</v>
      </c>
      <c r="J76" t="s">
        <v>241</v>
      </c>
      <c r="K76" t="s">
        <v>242</v>
      </c>
      <c r="L76" t="s">
        <v>243</v>
      </c>
      <c r="M76" t="s">
        <v>35</v>
      </c>
      <c r="N76">
        <v>7977869117</v>
      </c>
      <c r="O76" t="s">
        <v>244</v>
      </c>
      <c r="P76" t="s">
        <v>245</v>
      </c>
      <c r="R76" t="s">
        <v>251</v>
      </c>
      <c r="S76" t="s">
        <v>252</v>
      </c>
      <c r="T76" t="s">
        <v>94</v>
      </c>
      <c r="U76" t="s">
        <v>82</v>
      </c>
      <c r="V76" s="1">
        <v>45257</v>
      </c>
      <c r="W76">
        <v>0</v>
      </c>
      <c r="X76">
        <v>15</v>
      </c>
      <c r="AA76" t="s">
        <v>42</v>
      </c>
      <c r="AB76" t="s">
        <v>43</v>
      </c>
      <c r="AC76" t="s">
        <v>43</v>
      </c>
    </row>
    <row r="77" spans="1:30" x14ac:dyDescent="0.4">
      <c r="A77" t="s">
        <v>27</v>
      </c>
      <c r="B77">
        <v>681</v>
      </c>
      <c r="C77" t="s">
        <v>245</v>
      </c>
      <c r="D77">
        <v>23</v>
      </c>
      <c r="E77" t="s">
        <v>68</v>
      </c>
      <c r="F77" t="s">
        <v>238</v>
      </c>
      <c r="G77" t="s">
        <v>239</v>
      </c>
      <c r="H77" t="s">
        <v>240</v>
      </c>
      <c r="J77" t="s">
        <v>241</v>
      </c>
      <c r="K77" t="s">
        <v>242</v>
      </c>
      <c r="L77" t="s">
        <v>243</v>
      </c>
      <c r="M77" t="s">
        <v>35</v>
      </c>
      <c r="N77">
        <v>7977869117</v>
      </c>
      <c r="O77" t="s">
        <v>244</v>
      </c>
      <c r="P77" t="s">
        <v>245</v>
      </c>
      <c r="R77" t="s">
        <v>251</v>
      </c>
      <c r="S77" t="s">
        <v>252</v>
      </c>
      <c r="T77" t="s">
        <v>94</v>
      </c>
      <c r="U77" t="s">
        <v>82</v>
      </c>
      <c r="V77" s="1">
        <v>45257</v>
      </c>
      <c r="W77">
        <v>0</v>
      </c>
      <c r="X77">
        <v>17</v>
      </c>
      <c r="AA77" t="s">
        <v>42</v>
      </c>
      <c r="AB77" t="s">
        <v>43</v>
      </c>
      <c r="AC77" t="s">
        <v>43</v>
      </c>
    </row>
    <row r="78" spans="1:30" x14ac:dyDescent="0.4">
      <c r="A78" t="s">
        <v>27</v>
      </c>
      <c r="B78">
        <v>681</v>
      </c>
      <c r="C78" t="s">
        <v>245</v>
      </c>
      <c r="D78">
        <v>25</v>
      </c>
      <c r="E78" t="s">
        <v>68</v>
      </c>
      <c r="F78" t="s">
        <v>238</v>
      </c>
      <c r="G78" t="s">
        <v>239</v>
      </c>
      <c r="H78" t="s">
        <v>240</v>
      </c>
      <c r="J78" t="s">
        <v>241</v>
      </c>
      <c r="K78" t="s">
        <v>242</v>
      </c>
      <c r="L78" t="s">
        <v>243</v>
      </c>
      <c r="M78" t="s">
        <v>35</v>
      </c>
      <c r="N78">
        <v>7977869117</v>
      </c>
      <c r="O78" t="s">
        <v>244</v>
      </c>
      <c r="P78" t="s">
        <v>245</v>
      </c>
      <c r="R78" t="s">
        <v>253</v>
      </c>
      <c r="S78" t="s">
        <v>254</v>
      </c>
      <c r="T78" t="s">
        <v>94</v>
      </c>
      <c r="U78" t="s">
        <v>40</v>
      </c>
      <c r="V78" s="1">
        <v>43393</v>
      </c>
      <c r="W78">
        <v>0</v>
      </c>
      <c r="X78">
        <v>16</v>
      </c>
      <c r="AA78" t="s">
        <v>42</v>
      </c>
      <c r="AB78" t="s">
        <v>43</v>
      </c>
      <c r="AC78" t="s">
        <v>43</v>
      </c>
    </row>
    <row r="79" spans="1:30" x14ac:dyDescent="0.4">
      <c r="A79" t="s">
        <v>27</v>
      </c>
      <c r="B79">
        <v>681</v>
      </c>
      <c r="C79" t="s">
        <v>245</v>
      </c>
      <c r="D79">
        <v>24</v>
      </c>
      <c r="E79" t="s">
        <v>68</v>
      </c>
      <c r="F79" t="s">
        <v>238</v>
      </c>
      <c r="G79" t="s">
        <v>239</v>
      </c>
      <c r="H79" t="s">
        <v>240</v>
      </c>
      <c r="J79" t="s">
        <v>241</v>
      </c>
      <c r="K79" t="s">
        <v>242</v>
      </c>
      <c r="L79" t="s">
        <v>243</v>
      </c>
      <c r="M79" t="s">
        <v>35</v>
      </c>
      <c r="N79">
        <v>7977869117</v>
      </c>
      <c r="O79" t="s">
        <v>244</v>
      </c>
      <c r="P79" t="s">
        <v>245</v>
      </c>
      <c r="R79" t="s">
        <v>255</v>
      </c>
      <c r="S79" t="s">
        <v>256</v>
      </c>
      <c r="T79" t="s">
        <v>94</v>
      </c>
      <c r="U79" t="s">
        <v>82</v>
      </c>
      <c r="V79" s="1">
        <v>42069</v>
      </c>
      <c r="W79">
        <v>0</v>
      </c>
      <c r="X79">
        <v>19</v>
      </c>
      <c r="AA79" t="s">
        <v>42</v>
      </c>
      <c r="AB79" t="s">
        <v>43</v>
      </c>
      <c r="AC79" t="s">
        <v>43</v>
      </c>
    </row>
    <row r="80" spans="1:30" x14ac:dyDescent="0.4">
      <c r="A80" t="s">
        <v>27</v>
      </c>
      <c r="B80">
        <v>681</v>
      </c>
      <c r="C80" t="s">
        <v>245</v>
      </c>
      <c r="D80">
        <v>24</v>
      </c>
      <c r="E80" t="s">
        <v>68</v>
      </c>
      <c r="F80" t="s">
        <v>238</v>
      </c>
      <c r="G80" t="s">
        <v>239</v>
      </c>
      <c r="H80" t="s">
        <v>240</v>
      </c>
      <c r="J80" t="s">
        <v>241</v>
      </c>
      <c r="K80" t="s">
        <v>242</v>
      </c>
      <c r="L80" t="s">
        <v>243</v>
      </c>
      <c r="M80" t="s">
        <v>35</v>
      </c>
      <c r="N80">
        <v>7977869117</v>
      </c>
      <c r="O80" t="s">
        <v>244</v>
      </c>
      <c r="P80" t="s">
        <v>245</v>
      </c>
      <c r="R80" t="s">
        <v>255</v>
      </c>
      <c r="S80" t="s">
        <v>256</v>
      </c>
      <c r="T80" t="s">
        <v>94</v>
      </c>
      <c r="U80" t="s">
        <v>82</v>
      </c>
      <c r="V80" s="1">
        <v>42069</v>
      </c>
      <c r="W80">
        <v>0</v>
      </c>
      <c r="X80">
        <v>21</v>
      </c>
      <c r="AA80" t="s">
        <v>42</v>
      </c>
      <c r="AB80" t="s">
        <v>43</v>
      </c>
      <c r="AC80" t="s">
        <v>43</v>
      </c>
    </row>
    <row r="81" spans="1:31" x14ac:dyDescent="0.4">
      <c r="A81" t="s">
        <v>27</v>
      </c>
      <c r="B81">
        <v>96</v>
      </c>
      <c r="C81" t="s">
        <v>2914</v>
      </c>
      <c r="E81" t="s">
        <v>257</v>
      </c>
      <c r="F81" t="s">
        <v>258</v>
      </c>
      <c r="G81" t="s">
        <v>259</v>
      </c>
      <c r="H81" t="s">
        <v>260</v>
      </c>
      <c r="I81" t="s">
        <v>261</v>
      </c>
      <c r="J81" t="s">
        <v>262</v>
      </c>
      <c r="K81" t="s">
        <v>51</v>
      </c>
      <c r="L81" t="s">
        <v>263</v>
      </c>
      <c r="M81" t="s">
        <v>35</v>
      </c>
      <c r="N81" t="s">
        <v>264</v>
      </c>
      <c r="O81" t="s">
        <v>265</v>
      </c>
      <c r="P81" t="s">
        <v>266</v>
      </c>
      <c r="R81" t="s">
        <v>267</v>
      </c>
      <c r="S81" t="s">
        <v>268</v>
      </c>
      <c r="T81" t="s">
        <v>269</v>
      </c>
      <c r="U81" t="s">
        <v>40</v>
      </c>
      <c r="V81" s="1">
        <v>43238</v>
      </c>
      <c r="W81">
        <v>0</v>
      </c>
      <c r="X81">
        <v>0</v>
      </c>
      <c r="Y81" t="s">
        <v>59</v>
      </c>
      <c r="AA81" t="s">
        <v>42</v>
      </c>
      <c r="AB81" t="s">
        <v>43</v>
      </c>
      <c r="AC81" t="s">
        <v>43</v>
      </c>
    </row>
    <row r="82" spans="1:31" x14ac:dyDescent="0.4">
      <c r="A82" t="s">
        <v>27</v>
      </c>
      <c r="B82">
        <v>96</v>
      </c>
      <c r="C82" t="s">
        <v>2914</v>
      </c>
      <c r="E82" t="s">
        <v>257</v>
      </c>
      <c r="F82" t="s">
        <v>258</v>
      </c>
      <c r="G82" t="s">
        <v>259</v>
      </c>
      <c r="H82" t="s">
        <v>260</v>
      </c>
      <c r="I82" t="s">
        <v>261</v>
      </c>
      <c r="J82" t="s">
        <v>262</v>
      </c>
      <c r="K82" t="s">
        <v>51</v>
      </c>
      <c r="L82" t="s">
        <v>263</v>
      </c>
      <c r="M82" t="s">
        <v>35</v>
      </c>
      <c r="N82" t="s">
        <v>264</v>
      </c>
      <c r="O82" t="s">
        <v>265</v>
      </c>
      <c r="P82" t="s">
        <v>266</v>
      </c>
      <c r="R82" t="s">
        <v>270</v>
      </c>
      <c r="S82" t="s">
        <v>271</v>
      </c>
      <c r="T82" t="s">
        <v>272</v>
      </c>
      <c r="U82" t="s">
        <v>40</v>
      </c>
      <c r="V82" s="1">
        <v>40713</v>
      </c>
      <c r="W82">
        <v>0</v>
      </c>
      <c r="X82">
        <v>0</v>
      </c>
      <c r="Y82" t="s">
        <v>59</v>
      </c>
      <c r="AA82" t="s">
        <v>42</v>
      </c>
      <c r="AB82" t="s">
        <v>43</v>
      </c>
      <c r="AC82" t="s">
        <v>43</v>
      </c>
    </row>
    <row r="83" spans="1:31" x14ac:dyDescent="0.4">
      <c r="A83" t="s">
        <v>27</v>
      </c>
      <c r="B83">
        <v>96</v>
      </c>
      <c r="C83" t="s">
        <v>2914</v>
      </c>
      <c r="E83" t="s">
        <v>257</v>
      </c>
      <c r="F83" t="s">
        <v>258</v>
      </c>
      <c r="G83" t="s">
        <v>259</v>
      </c>
      <c r="H83" t="s">
        <v>260</v>
      </c>
      <c r="I83" t="s">
        <v>261</v>
      </c>
      <c r="J83" t="s">
        <v>262</v>
      </c>
      <c r="K83" t="s">
        <v>51</v>
      </c>
      <c r="L83" t="s">
        <v>263</v>
      </c>
      <c r="M83" t="s">
        <v>35</v>
      </c>
      <c r="N83" t="s">
        <v>264</v>
      </c>
      <c r="O83" t="s">
        <v>265</v>
      </c>
      <c r="P83" t="s">
        <v>266</v>
      </c>
      <c r="R83" t="s">
        <v>267</v>
      </c>
      <c r="S83" t="s">
        <v>268</v>
      </c>
      <c r="T83" t="s">
        <v>269</v>
      </c>
      <c r="U83" t="s">
        <v>40</v>
      </c>
      <c r="V83" s="1">
        <v>43238</v>
      </c>
      <c r="W83">
        <v>0</v>
      </c>
      <c r="X83">
        <v>0</v>
      </c>
      <c r="Y83" t="s">
        <v>59</v>
      </c>
      <c r="AA83" t="s">
        <v>42</v>
      </c>
      <c r="AB83" t="s">
        <v>43</v>
      </c>
      <c r="AC83" t="s">
        <v>43</v>
      </c>
    </row>
    <row r="84" spans="1:31" x14ac:dyDescent="0.4">
      <c r="A84" t="s">
        <v>27</v>
      </c>
      <c r="B84">
        <v>96</v>
      </c>
      <c r="C84" t="s">
        <v>2914</v>
      </c>
      <c r="E84" t="s">
        <v>257</v>
      </c>
      <c r="F84" t="s">
        <v>258</v>
      </c>
      <c r="G84" t="s">
        <v>259</v>
      </c>
      <c r="H84" t="s">
        <v>260</v>
      </c>
      <c r="I84" t="s">
        <v>261</v>
      </c>
      <c r="J84" t="s">
        <v>262</v>
      </c>
      <c r="K84" t="s">
        <v>51</v>
      </c>
      <c r="L84" t="s">
        <v>263</v>
      </c>
      <c r="M84" t="s">
        <v>35</v>
      </c>
      <c r="N84" t="s">
        <v>264</v>
      </c>
      <c r="O84" t="s">
        <v>265</v>
      </c>
      <c r="P84" t="s">
        <v>266</v>
      </c>
      <c r="R84" t="s">
        <v>270</v>
      </c>
      <c r="S84" t="s">
        <v>271</v>
      </c>
      <c r="T84" t="s">
        <v>272</v>
      </c>
      <c r="U84" t="s">
        <v>40</v>
      </c>
      <c r="V84" s="1">
        <v>40713</v>
      </c>
      <c r="W84">
        <v>0</v>
      </c>
      <c r="X84">
        <v>0</v>
      </c>
      <c r="Y84" t="s">
        <v>59</v>
      </c>
      <c r="AA84" t="s">
        <v>42</v>
      </c>
      <c r="AB84" t="s">
        <v>43</v>
      </c>
      <c r="AC84" t="s">
        <v>43</v>
      </c>
    </row>
    <row r="85" spans="1:31" x14ac:dyDescent="0.4">
      <c r="A85" t="s">
        <v>27</v>
      </c>
      <c r="B85">
        <v>96</v>
      </c>
      <c r="C85" t="s">
        <v>2914</v>
      </c>
      <c r="D85">
        <v>26</v>
      </c>
      <c r="E85" t="s">
        <v>257</v>
      </c>
      <c r="F85" t="s">
        <v>258</v>
      </c>
      <c r="G85" t="s">
        <v>259</v>
      </c>
      <c r="H85" t="s">
        <v>260</v>
      </c>
      <c r="I85" t="s">
        <v>261</v>
      </c>
      <c r="J85" t="s">
        <v>262</v>
      </c>
      <c r="K85" t="s">
        <v>51</v>
      </c>
      <c r="L85" t="s">
        <v>263</v>
      </c>
      <c r="M85" t="s">
        <v>35</v>
      </c>
      <c r="N85" t="s">
        <v>264</v>
      </c>
      <c r="O85" t="s">
        <v>265</v>
      </c>
      <c r="P85" t="s">
        <v>2914</v>
      </c>
      <c r="R85" t="s">
        <v>273</v>
      </c>
      <c r="S85" t="s">
        <v>274</v>
      </c>
      <c r="T85" t="s">
        <v>3135</v>
      </c>
      <c r="U85" t="s">
        <v>82</v>
      </c>
      <c r="V85" s="1">
        <v>43330</v>
      </c>
      <c r="W85">
        <v>0</v>
      </c>
      <c r="X85">
        <v>7</v>
      </c>
      <c r="AA85" t="s">
        <v>42</v>
      </c>
      <c r="AB85" t="s">
        <v>43</v>
      </c>
      <c r="AC85" t="s">
        <v>43</v>
      </c>
    </row>
    <row r="86" spans="1:31" x14ac:dyDescent="0.4">
      <c r="A86" t="s">
        <v>27</v>
      </c>
      <c r="B86">
        <v>96</v>
      </c>
      <c r="C86" t="s">
        <v>2914</v>
      </c>
      <c r="D86">
        <v>26</v>
      </c>
      <c r="E86" t="s">
        <v>257</v>
      </c>
      <c r="F86" t="s">
        <v>258</v>
      </c>
      <c r="G86" t="s">
        <v>259</v>
      </c>
      <c r="H86" t="s">
        <v>260</v>
      </c>
      <c r="I86" t="s">
        <v>261</v>
      </c>
      <c r="J86" t="s">
        <v>262</v>
      </c>
      <c r="K86" t="s">
        <v>51</v>
      </c>
      <c r="L86" t="s">
        <v>263</v>
      </c>
      <c r="M86" t="s">
        <v>35</v>
      </c>
      <c r="N86" t="s">
        <v>264</v>
      </c>
      <c r="O86" t="s">
        <v>265</v>
      </c>
      <c r="P86" t="s">
        <v>2914</v>
      </c>
      <c r="R86" t="s">
        <v>273</v>
      </c>
      <c r="S86" t="s">
        <v>274</v>
      </c>
      <c r="T86" t="s">
        <v>3135</v>
      </c>
      <c r="U86" t="s">
        <v>82</v>
      </c>
      <c r="V86" s="1">
        <v>43330</v>
      </c>
      <c r="W86">
        <v>0</v>
      </c>
      <c r="X86">
        <v>19</v>
      </c>
      <c r="AA86" t="s">
        <v>42</v>
      </c>
      <c r="AB86" t="s">
        <v>43</v>
      </c>
      <c r="AC86" t="s">
        <v>43</v>
      </c>
    </row>
    <row r="87" spans="1:31" x14ac:dyDescent="0.4">
      <c r="A87" t="s">
        <v>27</v>
      </c>
      <c r="B87">
        <v>2370</v>
      </c>
      <c r="C87" t="s">
        <v>2849</v>
      </c>
      <c r="D87">
        <v>27</v>
      </c>
      <c r="E87" t="s">
        <v>195</v>
      </c>
      <c r="F87" t="s">
        <v>160</v>
      </c>
      <c r="G87" t="s">
        <v>276</v>
      </c>
      <c r="H87" t="s">
        <v>277</v>
      </c>
      <c r="J87" t="s">
        <v>278</v>
      </c>
      <c r="K87" t="s">
        <v>73</v>
      </c>
      <c r="L87" t="s">
        <v>279</v>
      </c>
      <c r="M87" t="s">
        <v>35</v>
      </c>
      <c r="N87">
        <v>7941875227</v>
      </c>
      <c r="O87" t="s">
        <v>280</v>
      </c>
      <c r="P87" t="s">
        <v>2849</v>
      </c>
      <c r="R87" t="s">
        <v>3092</v>
      </c>
      <c r="S87" t="s">
        <v>283</v>
      </c>
      <c r="T87" t="s">
        <v>284</v>
      </c>
      <c r="U87" t="s">
        <v>40</v>
      </c>
      <c r="V87" s="1">
        <v>44280</v>
      </c>
      <c r="W87">
        <v>0</v>
      </c>
      <c r="X87">
        <v>6</v>
      </c>
      <c r="Y87" t="s">
        <v>83</v>
      </c>
      <c r="Z87" t="s">
        <v>135</v>
      </c>
      <c r="AA87" t="s">
        <v>42</v>
      </c>
      <c r="AB87" t="s">
        <v>43</v>
      </c>
      <c r="AC87" t="s">
        <v>43</v>
      </c>
    </row>
    <row r="88" spans="1:31" x14ac:dyDescent="0.4">
      <c r="A88" t="s">
        <v>27</v>
      </c>
      <c r="B88">
        <v>2370</v>
      </c>
      <c r="C88" t="s">
        <v>2849</v>
      </c>
      <c r="D88">
        <v>27</v>
      </c>
      <c r="E88" t="s">
        <v>195</v>
      </c>
      <c r="F88" t="s">
        <v>160</v>
      </c>
      <c r="G88" t="s">
        <v>276</v>
      </c>
      <c r="H88" t="s">
        <v>277</v>
      </c>
      <c r="J88" t="s">
        <v>278</v>
      </c>
      <c r="K88" t="s">
        <v>73</v>
      </c>
      <c r="L88" t="s">
        <v>279</v>
      </c>
      <c r="M88" t="s">
        <v>35</v>
      </c>
      <c r="N88">
        <v>7941875227</v>
      </c>
      <c r="O88" t="s">
        <v>280</v>
      </c>
      <c r="P88" t="s">
        <v>2849</v>
      </c>
      <c r="R88" t="s">
        <v>3092</v>
      </c>
      <c r="S88" t="s">
        <v>283</v>
      </c>
      <c r="T88" t="s">
        <v>284</v>
      </c>
      <c r="U88" t="s">
        <v>40</v>
      </c>
      <c r="V88" s="1">
        <v>44280</v>
      </c>
      <c r="W88">
        <v>0</v>
      </c>
      <c r="X88">
        <v>16</v>
      </c>
      <c r="Z88" t="s">
        <v>135</v>
      </c>
      <c r="AA88" t="s">
        <v>42</v>
      </c>
      <c r="AB88" t="s">
        <v>43</v>
      </c>
      <c r="AC88" t="s">
        <v>43</v>
      </c>
    </row>
    <row r="89" spans="1:31" x14ac:dyDescent="0.4">
      <c r="A89" t="s">
        <v>27</v>
      </c>
      <c r="B89">
        <v>2370</v>
      </c>
      <c r="C89" t="s">
        <v>2849</v>
      </c>
      <c r="E89" t="s">
        <v>195</v>
      </c>
      <c r="F89" t="s">
        <v>160</v>
      </c>
      <c r="G89" t="s">
        <v>276</v>
      </c>
      <c r="H89" t="s">
        <v>277</v>
      </c>
      <c r="J89" t="s">
        <v>278</v>
      </c>
      <c r="K89" t="s">
        <v>73</v>
      </c>
      <c r="L89" t="s">
        <v>279</v>
      </c>
      <c r="M89" t="s">
        <v>35</v>
      </c>
      <c r="N89">
        <v>7941875227</v>
      </c>
      <c r="O89" t="s">
        <v>280</v>
      </c>
      <c r="P89" t="s">
        <v>281</v>
      </c>
      <c r="R89" t="s">
        <v>285</v>
      </c>
      <c r="S89" t="s">
        <v>286</v>
      </c>
      <c r="T89" t="s">
        <v>287</v>
      </c>
      <c r="U89" t="s">
        <v>40</v>
      </c>
      <c r="V89" s="1">
        <v>45015</v>
      </c>
      <c r="W89">
        <v>0</v>
      </c>
      <c r="X89">
        <v>0</v>
      </c>
      <c r="Y89" t="s">
        <v>59</v>
      </c>
      <c r="Z89" t="s">
        <v>135</v>
      </c>
      <c r="AA89" t="s">
        <v>42</v>
      </c>
      <c r="AB89" t="s">
        <v>43</v>
      </c>
      <c r="AC89" t="s">
        <v>43</v>
      </c>
    </row>
    <row r="90" spans="1:31" x14ac:dyDescent="0.4">
      <c r="A90" t="s">
        <v>27</v>
      </c>
      <c r="B90">
        <v>2370</v>
      </c>
      <c r="C90" t="s">
        <v>2849</v>
      </c>
      <c r="E90" t="s">
        <v>195</v>
      </c>
      <c r="F90" t="s">
        <v>160</v>
      </c>
      <c r="G90" t="s">
        <v>276</v>
      </c>
      <c r="H90" t="s">
        <v>277</v>
      </c>
      <c r="J90" t="s">
        <v>278</v>
      </c>
      <c r="K90" t="s">
        <v>73</v>
      </c>
      <c r="L90" t="s">
        <v>279</v>
      </c>
      <c r="M90" t="s">
        <v>35</v>
      </c>
      <c r="N90">
        <v>7941875227</v>
      </c>
      <c r="O90" t="s">
        <v>280</v>
      </c>
      <c r="P90" t="s">
        <v>281</v>
      </c>
      <c r="R90" t="s">
        <v>285</v>
      </c>
      <c r="S90" t="s">
        <v>286</v>
      </c>
      <c r="T90" t="s">
        <v>287</v>
      </c>
      <c r="U90" t="s">
        <v>40</v>
      </c>
      <c r="V90" s="1">
        <v>45015</v>
      </c>
      <c r="W90">
        <v>0</v>
      </c>
      <c r="X90">
        <v>0</v>
      </c>
      <c r="Y90" t="s">
        <v>59</v>
      </c>
      <c r="Z90" t="s">
        <v>135</v>
      </c>
      <c r="AA90" t="s">
        <v>42</v>
      </c>
      <c r="AB90" t="s">
        <v>43</v>
      </c>
      <c r="AC90" t="s">
        <v>43</v>
      </c>
    </row>
    <row r="91" spans="1:31" ht="160" x14ac:dyDescent="0.4">
      <c r="A91" t="s">
        <v>27</v>
      </c>
      <c r="B91">
        <v>197</v>
      </c>
      <c r="C91" t="s">
        <v>2915</v>
      </c>
      <c r="D91">
        <v>29</v>
      </c>
      <c r="E91" t="s">
        <v>257</v>
      </c>
      <c r="F91" t="s">
        <v>288</v>
      </c>
      <c r="G91" t="s">
        <v>289</v>
      </c>
      <c r="H91" t="s">
        <v>290</v>
      </c>
      <c r="J91" t="s">
        <v>291</v>
      </c>
      <c r="K91" t="s">
        <v>51</v>
      </c>
      <c r="L91" t="s">
        <v>292</v>
      </c>
      <c r="M91" t="s">
        <v>35</v>
      </c>
      <c r="N91">
        <v>441425470839</v>
      </c>
      <c r="O91" t="s">
        <v>293</v>
      </c>
      <c r="P91" t="s">
        <v>2915</v>
      </c>
      <c r="R91" t="s">
        <v>295</v>
      </c>
      <c r="S91" t="s">
        <v>296</v>
      </c>
      <c r="T91" t="s">
        <v>94</v>
      </c>
      <c r="U91" t="s">
        <v>40</v>
      </c>
      <c r="V91" s="1">
        <v>44157</v>
      </c>
      <c r="W91">
        <v>0</v>
      </c>
      <c r="X91">
        <v>11</v>
      </c>
      <c r="AA91" t="s">
        <v>42</v>
      </c>
      <c r="AB91" t="s">
        <v>43</v>
      </c>
      <c r="AC91" t="s">
        <v>43</v>
      </c>
      <c r="AE91" s="2" t="s">
        <v>298</v>
      </c>
    </row>
    <row r="92" spans="1:31" ht="160" x14ac:dyDescent="0.4">
      <c r="A92" t="s">
        <v>27</v>
      </c>
      <c r="B92">
        <v>197</v>
      </c>
      <c r="C92" t="s">
        <v>2915</v>
      </c>
      <c r="D92">
        <v>28</v>
      </c>
      <c r="E92" t="s">
        <v>257</v>
      </c>
      <c r="F92" t="s">
        <v>288</v>
      </c>
      <c r="G92" t="s">
        <v>289</v>
      </c>
      <c r="H92" t="s">
        <v>290</v>
      </c>
      <c r="J92" t="s">
        <v>291</v>
      </c>
      <c r="K92" t="s">
        <v>51</v>
      </c>
      <c r="L92" t="s">
        <v>292</v>
      </c>
      <c r="M92" t="s">
        <v>35</v>
      </c>
      <c r="N92">
        <v>441425470839</v>
      </c>
      <c r="O92" t="s">
        <v>293</v>
      </c>
      <c r="P92" t="s">
        <v>2915</v>
      </c>
      <c r="R92" t="s">
        <v>294</v>
      </c>
      <c r="S92" t="s">
        <v>299</v>
      </c>
      <c r="T92" t="s">
        <v>58</v>
      </c>
      <c r="U92" t="s">
        <v>40</v>
      </c>
      <c r="V92" s="1">
        <v>42646</v>
      </c>
      <c r="W92">
        <v>0</v>
      </c>
      <c r="X92">
        <v>12</v>
      </c>
      <c r="AA92" t="s">
        <v>42</v>
      </c>
      <c r="AB92" t="s">
        <v>43</v>
      </c>
      <c r="AC92" t="s">
        <v>43</v>
      </c>
      <c r="AE92" s="2" t="s">
        <v>298</v>
      </c>
    </row>
    <row r="93" spans="1:31" ht="160" x14ac:dyDescent="0.4">
      <c r="A93" t="s">
        <v>27</v>
      </c>
      <c r="B93">
        <v>197</v>
      </c>
      <c r="C93" t="s">
        <v>2915</v>
      </c>
      <c r="D93">
        <v>29</v>
      </c>
      <c r="E93" t="s">
        <v>257</v>
      </c>
      <c r="F93" t="s">
        <v>288</v>
      </c>
      <c r="G93" t="s">
        <v>289</v>
      </c>
      <c r="H93" t="s">
        <v>290</v>
      </c>
      <c r="J93" t="s">
        <v>291</v>
      </c>
      <c r="K93" t="s">
        <v>51</v>
      </c>
      <c r="L93" t="s">
        <v>292</v>
      </c>
      <c r="M93" t="s">
        <v>35</v>
      </c>
      <c r="N93">
        <v>441425470839</v>
      </c>
      <c r="O93" t="s">
        <v>293</v>
      </c>
      <c r="P93" t="s">
        <v>2915</v>
      </c>
      <c r="R93" t="s">
        <v>295</v>
      </c>
      <c r="S93" t="s">
        <v>296</v>
      </c>
      <c r="T93" t="s">
        <v>94</v>
      </c>
      <c r="U93" t="s">
        <v>40</v>
      </c>
      <c r="V93" s="1">
        <v>44157</v>
      </c>
      <c r="W93">
        <v>0</v>
      </c>
      <c r="X93">
        <v>12</v>
      </c>
      <c r="AA93" t="s">
        <v>42</v>
      </c>
      <c r="AB93" t="s">
        <v>43</v>
      </c>
      <c r="AC93" t="s">
        <v>43</v>
      </c>
      <c r="AE93" s="2" t="s">
        <v>298</v>
      </c>
    </row>
    <row r="94" spans="1:31" x14ac:dyDescent="0.4">
      <c r="A94" t="s">
        <v>27</v>
      </c>
      <c r="B94">
        <v>1099</v>
      </c>
      <c r="C94" t="s">
        <v>2916</v>
      </c>
      <c r="D94">
        <v>34</v>
      </c>
      <c r="E94" t="s">
        <v>68</v>
      </c>
      <c r="F94" t="s">
        <v>300</v>
      </c>
      <c r="G94" t="s">
        <v>301</v>
      </c>
      <c r="H94" t="s">
        <v>302</v>
      </c>
      <c r="I94" t="s">
        <v>303</v>
      </c>
      <c r="J94" t="s">
        <v>200</v>
      </c>
      <c r="K94" t="s">
        <v>304</v>
      </c>
      <c r="L94" t="s">
        <v>305</v>
      </c>
      <c r="M94" t="s">
        <v>35</v>
      </c>
      <c r="N94" t="s">
        <v>306</v>
      </c>
      <c r="O94" t="s">
        <v>307</v>
      </c>
      <c r="P94" t="s">
        <v>2916</v>
      </c>
      <c r="R94" t="s">
        <v>308</v>
      </c>
      <c r="S94" t="s">
        <v>309</v>
      </c>
      <c r="T94" t="s">
        <v>94</v>
      </c>
      <c r="U94" t="s">
        <v>82</v>
      </c>
      <c r="V94" s="1">
        <v>44690</v>
      </c>
      <c r="W94">
        <v>0</v>
      </c>
      <c r="X94">
        <v>13</v>
      </c>
      <c r="AA94" t="s">
        <v>42</v>
      </c>
      <c r="AB94" t="s">
        <v>43</v>
      </c>
      <c r="AC94" t="s">
        <v>43</v>
      </c>
    </row>
    <row r="95" spans="1:31" x14ac:dyDescent="0.4">
      <c r="A95" t="s">
        <v>27</v>
      </c>
      <c r="B95">
        <v>1099</v>
      </c>
      <c r="C95" t="s">
        <v>2916</v>
      </c>
      <c r="D95">
        <v>33</v>
      </c>
      <c r="E95" t="s">
        <v>68</v>
      </c>
      <c r="F95" t="s">
        <v>300</v>
      </c>
      <c r="G95" t="s">
        <v>301</v>
      </c>
      <c r="H95" t="s">
        <v>302</v>
      </c>
      <c r="I95" t="s">
        <v>303</v>
      </c>
      <c r="J95" t="s">
        <v>200</v>
      </c>
      <c r="K95" t="s">
        <v>304</v>
      </c>
      <c r="L95" t="s">
        <v>305</v>
      </c>
      <c r="M95" t="s">
        <v>35</v>
      </c>
      <c r="N95" t="s">
        <v>306</v>
      </c>
      <c r="O95" t="s">
        <v>307</v>
      </c>
      <c r="P95" t="s">
        <v>2916</v>
      </c>
      <c r="R95" t="s">
        <v>310</v>
      </c>
      <c r="S95" t="s">
        <v>311</v>
      </c>
      <c r="T95" t="s">
        <v>58</v>
      </c>
      <c r="U95" t="s">
        <v>40</v>
      </c>
      <c r="V95" s="1">
        <v>43720</v>
      </c>
      <c r="W95">
        <v>0</v>
      </c>
      <c r="X95">
        <v>16</v>
      </c>
      <c r="AA95" t="s">
        <v>42</v>
      </c>
      <c r="AB95" t="s">
        <v>43</v>
      </c>
      <c r="AC95" t="s">
        <v>43</v>
      </c>
    </row>
    <row r="96" spans="1:31" x14ac:dyDescent="0.4">
      <c r="A96" t="s">
        <v>27</v>
      </c>
      <c r="B96">
        <v>1099</v>
      </c>
      <c r="C96" t="s">
        <v>2916</v>
      </c>
      <c r="D96">
        <v>32</v>
      </c>
      <c r="E96" t="s">
        <v>68</v>
      </c>
      <c r="F96" t="s">
        <v>300</v>
      </c>
      <c r="G96" t="s">
        <v>301</v>
      </c>
      <c r="H96" t="s">
        <v>302</v>
      </c>
      <c r="I96" t="s">
        <v>303</v>
      </c>
      <c r="J96" t="s">
        <v>200</v>
      </c>
      <c r="K96" t="s">
        <v>304</v>
      </c>
      <c r="L96" t="s">
        <v>305</v>
      </c>
      <c r="M96" t="s">
        <v>35</v>
      </c>
      <c r="N96" t="s">
        <v>306</v>
      </c>
      <c r="O96" t="s">
        <v>307</v>
      </c>
      <c r="P96" t="s">
        <v>2916</v>
      </c>
      <c r="R96" t="s">
        <v>312</v>
      </c>
      <c r="S96" t="s">
        <v>313</v>
      </c>
      <c r="T96" t="s">
        <v>58</v>
      </c>
      <c r="U96" t="s">
        <v>40</v>
      </c>
      <c r="V96" s="1">
        <v>42011</v>
      </c>
      <c r="W96">
        <v>0</v>
      </c>
      <c r="X96">
        <v>18</v>
      </c>
      <c r="AA96" t="s">
        <v>42</v>
      </c>
      <c r="AB96" t="s">
        <v>43</v>
      </c>
      <c r="AC96" t="s">
        <v>43</v>
      </c>
    </row>
    <row r="97" spans="1:29" x14ac:dyDescent="0.4">
      <c r="A97" t="s">
        <v>27</v>
      </c>
      <c r="B97">
        <v>1099</v>
      </c>
      <c r="C97" t="s">
        <v>2916</v>
      </c>
      <c r="D97">
        <v>32</v>
      </c>
      <c r="E97" t="s">
        <v>68</v>
      </c>
      <c r="F97" t="s">
        <v>300</v>
      </c>
      <c r="G97" t="s">
        <v>301</v>
      </c>
      <c r="H97" t="s">
        <v>302</v>
      </c>
      <c r="I97" t="s">
        <v>303</v>
      </c>
      <c r="J97" t="s">
        <v>200</v>
      </c>
      <c r="K97" t="s">
        <v>304</v>
      </c>
      <c r="L97" t="s">
        <v>305</v>
      </c>
      <c r="M97" t="s">
        <v>35</v>
      </c>
      <c r="N97" t="s">
        <v>306</v>
      </c>
      <c r="O97" t="s">
        <v>307</v>
      </c>
      <c r="P97" t="s">
        <v>2916</v>
      </c>
      <c r="R97" t="s">
        <v>312</v>
      </c>
      <c r="S97" t="s">
        <v>313</v>
      </c>
      <c r="T97" t="s">
        <v>58</v>
      </c>
      <c r="U97" t="s">
        <v>40</v>
      </c>
      <c r="V97" s="1">
        <v>42011</v>
      </c>
      <c r="W97">
        <v>0</v>
      </c>
      <c r="X97">
        <v>20</v>
      </c>
      <c r="AA97" t="s">
        <v>42</v>
      </c>
      <c r="AB97" t="s">
        <v>43</v>
      </c>
      <c r="AC97" t="s">
        <v>43</v>
      </c>
    </row>
    <row r="98" spans="1:29" x14ac:dyDescent="0.4">
      <c r="A98" t="s">
        <v>27</v>
      </c>
      <c r="B98">
        <v>2661</v>
      </c>
      <c r="C98" t="s">
        <v>319</v>
      </c>
      <c r="D98">
        <v>31</v>
      </c>
      <c r="E98" t="s">
        <v>28</v>
      </c>
      <c r="F98" t="s">
        <v>314</v>
      </c>
      <c r="G98" t="s">
        <v>301</v>
      </c>
      <c r="H98" t="s">
        <v>315</v>
      </c>
      <c r="I98" t="s">
        <v>316</v>
      </c>
      <c r="J98" t="s">
        <v>72</v>
      </c>
      <c r="K98" t="s">
        <v>73</v>
      </c>
      <c r="L98" t="s">
        <v>317</v>
      </c>
      <c r="M98" t="s">
        <v>35</v>
      </c>
      <c r="N98">
        <v>7918939154</v>
      </c>
      <c r="O98" t="s">
        <v>318</v>
      </c>
      <c r="P98" t="s">
        <v>319</v>
      </c>
      <c r="R98" t="s">
        <v>320</v>
      </c>
      <c r="S98" t="s">
        <v>321</v>
      </c>
      <c r="T98" t="s">
        <v>322</v>
      </c>
      <c r="U98" t="s">
        <v>40</v>
      </c>
      <c r="V98" s="1">
        <v>43483</v>
      </c>
      <c r="W98">
        <v>0</v>
      </c>
      <c r="X98">
        <v>12</v>
      </c>
      <c r="AA98" t="s">
        <v>42</v>
      </c>
      <c r="AB98" t="s">
        <v>43</v>
      </c>
      <c r="AC98" t="s">
        <v>43</v>
      </c>
    </row>
    <row r="99" spans="1:29" x14ac:dyDescent="0.4">
      <c r="A99" t="s">
        <v>27</v>
      </c>
      <c r="B99">
        <v>2661</v>
      </c>
      <c r="C99" t="s">
        <v>319</v>
      </c>
      <c r="D99">
        <v>30</v>
      </c>
      <c r="E99" t="s">
        <v>28</v>
      </c>
      <c r="F99" t="s">
        <v>314</v>
      </c>
      <c r="G99" t="s">
        <v>301</v>
      </c>
      <c r="H99" t="s">
        <v>315</v>
      </c>
      <c r="I99" t="s">
        <v>316</v>
      </c>
      <c r="J99" t="s">
        <v>72</v>
      </c>
      <c r="K99" t="s">
        <v>73</v>
      </c>
      <c r="L99" t="s">
        <v>317</v>
      </c>
      <c r="M99" t="s">
        <v>35</v>
      </c>
      <c r="N99">
        <v>7918939154</v>
      </c>
      <c r="O99" t="s">
        <v>318</v>
      </c>
      <c r="P99" t="s">
        <v>319</v>
      </c>
      <c r="R99" t="s">
        <v>324</v>
      </c>
      <c r="S99" t="s">
        <v>325</v>
      </c>
      <c r="T99" t="s">
        <v>322</v>
      </c>
      <c r="U99" t="s">
        <v>82</v>
      </c>
      <c r="V99" s="1">
        <v>45233</v>
      </c>
      <c r="W99">
        <v>0</v>
      </c>
      <c r="X99">
        <v>13</v>
      </c>
      <c r="AA99" t="s">
        <v>42</v>
      </c>
      <c r="AB99" t="s">
        <v>43</v>
      </c>
      <c r="AC99" t="s">
        <v>43</v>
      </c>
    </row>
    <row r="100" spans="1:29" x14ac:dyDescent="0.4">
      <c r="A100" t="s">
        <v>27</v>
      </c>
      <c r="B100">
        <v>2661</v>
      </c>
      <c r="C100" t="s">
        <v>319</v>
      </c>
      <c r="D100">
        <v>31</v>
      </c>
      <c r="E100" t="s">
        <v>28</v>
      </c>
      <c r="F100" t="s">
        <v>314</v>
      </c>
      <c r="G100" t="s">
        <v>301</v>
      </c>
      <c r="H100" t="s">
        <v>315</v>
      </c>
      <c r="I100" t="s">
        <v>316</v>
      </c>
      <c r="J100" t="s">
        <v>72</v>
      </c>
      <c r="K100" t="s">
        <v>73</v>
      </c>
      <c r="L100" t="s">
        <v>317</v>
      </c>
      <c r="M100" t="s">
        <v>35</v>
      </c>
      <c r="N100">
        <v>7918939154</v>
      </c>
      <c r="O100" t="s">
        <v>318</v>
      </c>
      <c r="P100" t="s">
        <v>319</v>
      </c>
      <c r="R100" t="s">
        <v>320</v>
      </c>
      <c r="S100" t="s">
        <v>321</v>
      </c>
      <c r="T100" t="s">
        <v>322</v>
      </c>
      <c r="U100" t="s">
        <v>40</v>
      </c>
      <c r="V100" s="1">
        <v>43483</v>
      </c>
      <c r="W100">
        <v>0</v>
      </c>
      <c r="X100">
        <v>14</v>
      </c>
      <c r="AA100" t="s">
        <v>42</v>
      </c>
      <c r="AB100" t="s">
        <v>43</v>
      </c>
      <c r="AC100" t="s">
        <v>43</v>
      </c>
    </row>
    <row r="101" spans="1:29" x14ac:dyDescent="0.4">
      <c r="A101" t="s">
        <v>27</v>
      </c>
      <c r="B101">
        <v>2661</v>
      </c>
      <c r="C101" t="s">
        <v>319</v>
      </c>
      <c r="D101">
        <v>30</v>
      </c>
      <c r="E101" t="s">
        <v>28</v>
      </c>
      <c r="F101" t="s">
        <v>314</v>
      </c>
      <c r="G101" t="s">
        <v>301</v>
      </c>
      <c r="H101" t="s">
        <v>315</v>
      </c>
      <c r="I101" t="s">
        <v>316</v>
      </c>
      <c r="J101" t="s">
        <v>72</v>
      </c>
      <c r="K101" t="s">
        <v>73</v>
      </c>
      <c r="L101" t="s">
        <v>317</v>
      </c>
      <c r="M101" t="s">
        <v>35</v>
      </c>
      <c r="N101">
        <v>7918939154</v>
      </c>
      <c r="O101" t="s">
        <v>318</v>
      </c>
      <c r="P101" t="s">
        <v>319</v>
      </c>
      <c r="R101" t="s">
        <v>324</v>
      </c>
      <c r="S101" t="s">
        <v>325</v>
      </c>
      <c r="T101" t="s">
        <v>322</v>
      </c>
      <c r="U101" t="s">
        <v>82</v>
      </c>
      <c r="V101" s="1">
        <v>45233</v>
      </c>
      <c r="W101">
        <v>0</v>
      </c>
      <c r="X101">
        <v>15</v>
      </c>
      <c r="AA101" t="s">
        <v>42</v>
      </c>
      <c r="AB101" t="s">
        <v>43</v>
      </c>
      <c r="AC101" t="s">
        <v>43</v>
      </c>
    </row>
    <row r="102" spans="1:29" x14ac:dyDescent="0.4">
      <c r="A102" t="s">
        <v>27</v>
      </c>
      <c r="B102">
        <v>2653</v>
      </c>
      <c r="C102" t="s">
        <v>333</v>
      </c>
      <c r="D102">
        <v>35</v>
      </c>
      <c r="E102" t="s">
        <v>68</v>
      </c>
      <c r="F102" t="s">
        <v>326</v>
      </c>
      <c r="G102" t="s">
        <v>327</v>
      </c>
      <c r="H102" t="s">
        <v>328</v>
      </c>
      <c r="J102" t="s">
        <v>329</v>
      </c>
      <c r="K102" t="s">
        <v>330</v>
      </c>
      <c r="L102" t="s">
        <v>331</v>
      </c>
      <c r="M102" t="s">
        <v>35</v>
      </c>
      <c r="N102">
        <v>7855900003</v>
      </c>
      <c r="O102" t="s">
        <v>332</v>
      </c>
      <c r="P102" t="s">
        <v>333</v>
      </c>
      <c r="R102" t="s">
        <v>334</v>
      </c>
      <c r="S102" t="s">
        <v>335</v>
      </c>
      <c r="T102" t="s">
        <v>3132</v>
      </c>
      <c r="U102" t="s">
        <v>40</v>
      </c>
      <c r="V102" s="1">
        <v>44234</v>
      </c>
      <c r="W102">
        <v>0</v>
      </c>
      <c r="X102">
        <v>7</v>
      </c>
      <c r="AA102" t="s">
        <v>42</v>
      </c>
      <c r="AB102" t="s">
        <v>43</v>
      </c>
      <c r="AC102" t="s">
        <v>43</v>
      </c>
    </row>
    <row r="103" spans="1:29" x14ac:dyDescent="0.4">
      <c r="A103" t="s">
        <v>27</v>
      </c>
      <c r="B103">
        <v>2653</v>
      </c>
      <c r="C103" t="s">
        <v>333</v>
      </c>
      <c r="D103">
        <v>35</v>
      </c>
      <c r="E103" t="s">
        <v>68</v>
      </c>
      <c r="F103" t="s">
        <v>326</v>
      </c>
      <c r="G103" t="s">
        <v>327</v>
      </c>
      <c r="H103" t="s">
        <v>328</v>
      </c>
      <c r="J103" t="s">
        <v>329</v>
      </c>
      <c r="K103" t="s">
        <v>330</v>
      </c>
      <c r="L103" t="s">
        <v>331</v>
      </c>
      <c r="M103" t="s">
        <v>35</v>
      </c>
      <c r="N103">
        <v>7855900003</v>
      </c>
      <c r="O103" t="s">
        <v>332</v>
      </c>
      <c r="P103" t="s">
        <v>333</v>
      </c>
      <c r="R103" t="s">
        <v>334</v>
      </c>
      <c r="S103" t="s">
        <v>335</v>
      </c>
      <c r="T103" t="s">
        <v>3132</v>
      </c>
      <c r="U103" t="s">
        <v>40</v>
      </c>
      <c r="V103" s="1">
        <v>44234</v>
      </c>
      <c r="W103">
        <v>0</v>
      </c>
      <c r="X103">
        <v>6</v>
      </c>
      <c r="Y103" t="s">
        <v>83</v>
      </c>
      <c r="AA103" t="s">
        <v>42</v>
      </c>
      <c r="AB103" t="s">
        <v>43</v>
      </c>
      <c r="AC103" t="s">
        <v>43</v>
      </c>
    </row>
    <row r="104" spans="1:29" x14ac:dyDescent="0.4">
      <c r="A104" t="s">
        <v>27</v>
      </c>
      <c r="B104">
        <v>712</v>
      </c>
      <c r="C104" t="s">
        <v>2917</v>
      </c>
      <c r="D104">
        <v>37</v>
      </c>
      <c r="E104" t="s">
        <v>68</v>
      </c>
      <c r="F104" t="s">
        <v>47</v>
      </c>
      <c r="G104" t="s">
        <v>336</v>
      </c>
      <c r="H104" t="s">
        <v>337</v>
      </c>
      <c r="J104" t="s">
        <v>338</v>
      </c>
      <c r="K104" t="s">
        <v>189</v>
      </c>
      <c r="L104" t="s">
        <v>339</v>
      </c>
      <c r="M104" t="s">
        <v>35</v>
      </c>
      <c r="N104">
        <v>1708765846</v>
      </c>
      <c r="O104" t="s">
        <v>340</v>
      </c>
      <c r="P104" t="s">
        <v>2917</v>
      </c>
      <c r="R104" t="s">
        <v>341</v>
      </c>
      <c r="S104" t="s">
        <v>342</v>
      </c>
      <c r="T104" t="s">
        <v>58</v>
      </c>
      <c r="U104" t="s">
        <v>40</v>
      </c>
      <c r="V104" s="1">
        <v>43607</v>
      </c>
      <c r="W104">
        <v>0</v>
      </c>
      <c r="X104">
        <v>16</v>
      </c>
      <c r="AA104" t="s">
        <v>42</v>
      </c>
      <c r="AB104" t="s">
        <v>43</v>
      </c>
      <c r="AC104" t="s">
        <v>43</v>
      </c>
    </row>
    <row r="105" spans="1:29" x14ac:dyDescent="0.4">
      <c r="A105" t="s">
        <v>27</v>
      </c>
      <c r="B105">
        <v>712</v>
      </c>
      <c r="C105" t="s">
        <v>2917</v>
      </c>
      <c r="D105">
        <v>36</v>
      </c>
      <c r="E105" t="s">
        <v>68</v>
      </c>
      <c r="F105" t="s">
        <v>47</v>
      </c>
      <c r="G105" t="s">
        <v>336</v>
      </c>
      <c r="H105" t="s">
        <v>337</v>
      </c>
      <c r="J105" t="s">
        <v>338</v>
      </c>
      <c r="K105" t="s">
        <v>189</v>
      </c>
      <c r="L105" t="s">
        <v>339</v>
      </c>
      <c r="M105" t="s">
        <v>35</v>
      </c>
      <c r="N105">
        <v>1708765846</v>
      </c>
      <c r="O105" t="s">
        <v>340</v>
      </c>
      <c r="P105" t="s">
        <v>2917</v>
      </c>
      <c r="R105" t="s">
        <v>343</v>
      </c>
      <c r="S105" t="s">
        <v>344</v>
      </c>
      <c r="T105" t="s">
        <v>58</v>
      </c>
      <c r="U105" t="s">
        <v>40</v>
      </c>
      <c r="V105" s="1">
        <v>42217</v>
      </c>
      <c r="W105">
        <v>0</v>
      </c>
      <c r="X105">
        <v>18</v>
      </c>
      <c r="AA105" t="s">
        <v>42</v>
      </c>
      <c r="AB105" t="s">
        <v>43</v>
      </c>
      <c r="AC105" t="s">
        <v>43</v>
      </c>
    </row>
    <row r="106" spans="1:29" x14ac:dyDescent="0.4">
      <c r="A106" t="s">
        <v>27</v>
      </c>
      <c r="B106">
        <v>1455</v>
      </c>
      <c r="C106" t="s">
        <v>351</v>
      </c>
      <c r="D106">
        <v>38</v>
      </c>
      <c r="E106" t="s">
        <v>68</v>
      </c>
      <c r="F106" t="s">
        <v>345</v>
      </c>
      <c r="G106" t="s">
        <v>346</v>
      </c>
      <c r="H106" t="s">
        <v>347</v>
      </c>
      <c r="J106" t="s">
        <v>348</v>
      </c>
      <c r="K106" t="s">
        <v>226</v>
      </c>
      <c r="L106" t="s">
        <v>349</v>
      </c>
      <c r="M106" t="s">
        <v>35</v>
      </c>
      <c r="N106">
        <v>1932761191</v>
      </c>
      <c r="O106" t="s">
        <v>350</v>
      </c>
      <c r="P106" t="s">
        <v>351</v>
      </c>
      <c r="R106" t="s">
        <v>3093</v>
      </c>
      <c r="S106" t="s">
        <v>353</v>
      </c>
      <c r="T106" t="s">
        <v>169</v>
      </c>
      <c r="U106" t="s">
        <v>82</v>
      </c>
      <c r="V106" s="1">
        <v>44287</v>
      </c>
      <c r="W106">
        <v>0</v>
      </c>
      <c r="X106">
        <v>5</v>
      </c>
      <c r="Y106" t="s">
        <v>66</v>
      </c>
      <c r="Z106" t="s">
        <v>135</v>
      </c>
      <c r="AA106" t="s">
        <v>42</v>
      </c>
      <c r="AB106" t="s">
        <v>43</v>
      </c>
      <c r="AC106" t="s">
        <v>43</v>
      </c>
    </row>
    <row r="107" spans="1:29" x14ac:dyDescent="0.4">
      <c r="A107" t="s">
        <v>27</v>
      </c>
      <c r="B107">
        <v>1455</v>
      </c>
      <c r="C107" t="s">
        <v>351</v>
      </c>
      <c r="D107">
        <v>38</v>
      </c>
      <c r="E107" t="s">
        <v>68</v>
      </c>
      <c r="F107" t="s">
        <v>345</v>
      </c>
      <c r="G107" t="s">
        <v>346</v>
      </c>
      <c r="H107" t="s">
        <v>347</v>
      </c>
      <c r="J107" t="s">
        <v>348</v>
      </c>
      <c r="K107" t="s">
        <v>226</v>
      </c>
      <c r="L107" t="s">
        <v>349</v>
      </c>
      <c r="M107" t="s">
        <v>35</v>
      </c>
      <c r="N107">
        <v>1932761191</v>
      </c>
      <c r="O107" t="s">
        <v>350</v>
      </c>
      <c r="P107" t="s">
        <v>351</v>
      </c>
      <c r="R107" t="s">
        <v>3093</v>
      </c>
      <c r="S107" t="s">
        <v>353</v>
      </c>
      <c r="T107" t="s">
        <v>169</v>
      </c>
      <c r="U107" t="s">
        <v>82</v>
      </c>
      <c r="V107" s="1">
        <v>44287</v>
      </c>
      <c r="W107">
        <v>0</v>
      </c>
      <c r="X107">
        <v>6</v>
      </c>
      <c r="Y107" t="s">
        <v>83</v>
      </c>
      <c r="Z107" t="s">
        <v>135</v>
      </c>
      <c r="AA107" t="s">
        <v>42</v>
      </c>
      <c r="AB107" t="s">
        <v>43</v>
      </c>
      <c r="AC107" t="s">
        <v>43</v>
      </c>
    </row>
    <row r="108" spans="1:29" x14ac:dyDescent="0.4">
      <c r="A108" t="s">
        <v>27</v>
      </c>
      <c r="B108">
        <v>1455</v>
      </c>
      <c r="C108" t="s">
        <v>351</v>
      </c>
      <c r="D108">
        <v>38</v>
      </c>
      <c r="E108" t="s">
        <v>68</v>
      </c>
      <c r="F108" t="s">
        <v>345</v>
      </c>
      <c r="G108" t="s">
        <v>346</v>
      </c>
      <c r="H108" t="s">
        <v>347</v>
      </c>
      <c r="J108" t="s">
        <v>348</v>
      </c>
      <c r="K108" t="s">
        <v>226</v>
      </c>
      <c r="L108" t="s">
        <v>349</v>
      </c>
      <c r="M108" t="s">
        <v>35</v>
      </c>
      <c r="N108">
        <v>1932761191</v>
      </c>
      <c r="O108" t="s">
        <v>350</v>
      </c>
      <c r="P108" t="s">
        <v>351</v>
      </c>
      <c r="R108" t="s">
        <v>3093</v>
      </c>
      <c r="S108" t="s">
        <v>353</v>
      </c>
      <c r="T108" t="s">
        <v>169</v>
      </c>
      <c r="U108" t="s">
        <v>82</v>
      </c>
      <c r="V108" s="1">
        <v>44287</v>
      </c>
      <c r="W108">
        <v>0</v>
      </c>
      <c r="X108">
        <v>15</v>
      </c>
      <c r="Z108" t="s">
        <v>135</v>
      </c>
      <c r="AA108" t="s">
        <v>42</v>
      </c>
      <c r="AB108" t="s">
        <v>43</v>
      </c>
      <c r="AC108" t="s">
        <v>43</v>
      </c>
    </row>
    <row r="109" spans="1:29" x14ac:dyDescent="0.4">
      <c r="A109" t="s">
        <v>27</v>
      </c>
      <c r="B109">
        <v>1455</v>
      </c>
      <c r="C109" t="s">
        <v>351</v>
      </c>
      <c r="D109">
        <v>38</v>
      </c>
      <c r="E109" t="s">
        <v>68</v>
      </c>
      <c r="F109" t="s">
        <v>345</v>
      </c>
      <c r="G109" t="s">
        <v>346</v>
      </c>
      <c r="H109" t="s">
        <v>347</v>
      </c>
      <c r="J109" t="s">
        <v>348</v>
      </c>
      <c r="K109" t="s">
        <v>226</v>
      </c>
      <c r="L109" t="s">
        <v>349</v>
      </c>
      <c r="M109" t="s">
        <v>35</v>
      </c>
      <c r="N109">
        <v>1932761191</v>
      </c>
      <c r="O109" t="s">
        <v>350</v>
      </c>
      <c r="P109" t="s">
        <v>351</v>
      </c>
      <c r="R109" t="s">
        <v>3093</v>
      </c>
      <c r="S109" t="s">
        <v>353</v>
      </c>
      <c r="T109" t="s">
        <v>169</v>
      </c>
      <c r="U109" t="s">
        <v>82</v>
      </c>
      <c r="V109" s="1">
        <v>44287</v>
      </c>
      <c r="W109">
        <v>0</v>
      </c>
      <c r="X109">
        <v>17</v>
      </c>
      <c r="Z109" t="s">
        <v>135</v>
      </c>
      <c r="AA109" t="s">
        <v>42</v>
      </c>
      <c r="AB109" t="s">
        <v>43</v>
      </c>
      <c r="AC109" t="s">
        <v>43</v>
      </c>
    </row>
    <row r="110" spans="1:29" x14ac:dyDescent="0.4">
      <c r="A110" t="s">
        <v>27</v>
      </c>
      <c r="B110">
        <v>1455</v>
      </c>
      <c r="C110" t="s">
        <v>351</v>
      </c>
      <c r="E110" t="s">
        <v>68</v>
      </c>
      <c r="F110" t="s">
        <v>345</v>
      </c>
      <c r="G110" t="s">
        <v>346</v>
      </c>
      <c r="H110" t="s">
        <v>347</v>
      </c>
      <c r="J110" t="s">
        <v>348</v>
      </c>
      <c r="K110" t="s">
        <v>226</v>
      </c>
      <c r="L110" t="s">
        <v>349</v>
      </c>
      <c r="M110" t="s">
        <v>35</v>
      </c>
      <c r="N110">
        <v>1932761191</v>
      </c>
      <c r="O110" t="s">
        <v>350</v>
      </c>
      <c r="P110" t="s">
        <v>351</v>
      </c>
      <c r="R110" t="s">
        <v>354</v>
      </c>
      <c r="S110" t="s">
        <v>355</v>
      </c>
      <c r="T110" t="s">
        <v>356</v>
      </c>
      <c r="U110" t="s">
        <v>82</v>
      </c>
      <c r="V110" s="1">
        <v>44491</v>
      </c>
      <c r="W110">
        <v>0</v>
      </c>
      <c r="X110">
        <v>0</v>
      </c>
      <c r="Y110" t="s">
        <v>59</v>
      </c>
      <c r="Z110" t="s">
        <v>135</v>
      </c>
      <c r="AA110" t="s">
        <v>42</v>
      </c>
      <c r="AB110" t="s">
        <v>43</v>
      </c>
      <c r="AC110" t="s">
        <v>43</v>
      </c>
    </row>
    <row r="111" spans="1:29" x14ac:dyDescent="0.4">
      <c r="A111" t="s">
        <v>27</v>
      </c>
      <c r="B111">
        <v>1455</v>
      </c>
      <c r="C111" t="s">
        <v>351</v>
      </c>
      <c r="E111" t="s">
        <v>68</v>
      </c>
      <c r="F111" t="s">
        <v>345</v>
      </c>
      <c r="G111" t="s">
        <v>346</v>
      </c>
      <c r="H111" t="s">
        <v>347</v>
      </c>
      <c r="J111" t="s">
        <v>348</v>
      </c>
      <c r="K111" t="s">
        <v>226</v>
      </c>
      <c r="L111" t="s">
        <v>349</v>
      </c>
      <c r="M111" t="s">
        <v>35</v>
      </c>
      <c r="N111">
        <v>1932761191</v>
      </c>
      <c r="O111" t="s">
        <v>350</v>
      </c>
      <c r="P111" t="s">
        <v>351</v>
      </c>
      <c r="R111" t="s">
        <v>357</v>
      </c>
      <c r="S111" t="s">
        <v>358</v>
      </c>
      <c r="T111" t="s">
        <v>359</v>
      </c>
      <c r="U111" t="s">
        <v>40</v>
      </c>
      <c r="V111" s="1">
        <v>44101</v>
      </c>
      <c r="W111">
        <v>0</v>
      </c>
      <c r="X111">
        <v>0</v>
      </c>
      <c r="Y111" t="s">
        <v>59</v>
      </c>
      <c r="Z111" t="s">
        <v>135</v>
      </c>
      <c r="AA111" t="s">
        <v>42</v>
      </c>
      <c r="AB111" t="s">
        <v>43</v>
      </c>
      <c r="AC111" t="s">
        <v>43</v>
      </c>
    </row>
    <row r="112" spans="1:29" x14ac:dyDescent="0.4">
      <c r="A112" t="s">
        <v>27</v>
      </c>
      <c r="B112">
        <v>1455</v>
      </c>
      <c r="C112" t="s">
        <v>351</v>
      </c>
      <c r="E112" t="s">
        <v>68</v>
      </c>
      <c r="F112" t="s">
        <v>345</v>
      </c>
      <c r="G112" t="s">
        <v>346</v>
      </c>
      <c r="H112" t="s">
        <v>347</v>
      </c>
      <c r="J112" t="s">
        <v>348</v>
      </c>
      <c r="K112" t="s">
        <v>226</v>
      </c>
      <c r="L112" t="s">
        <v>349</v>
      </c>
      <c r="M112" t="s">
        <v>35</v>
      </c>
      <c r="N112">
        <v>1932761191</v>
      </c>
      <c r="O112" t="s">
        <v>350</v>
      </c>
      <c r="P112" t="s">
        <v>351</v>
      </c>
      <c r="R112" t="s">
        <v>360</v>
      </c>
      <c r="S112" t="s">
        <v>361</v>
      </c>
      <c r="T112" t="s">
        <v>356</v>
      </c>
      <c r="U112" t="s">
        <v>82</v>
      </c>
      <c r="V112" s="1">
        <v>43441</v>
      </c>
      <c r="W112">
        <v>0</v>
      </c>
      <c r="X112">
        <v>0</v>
      </c>
      <c r="Y112" t="s">
        <v>59</v>
      </c>
      <c r="Z112" t="s">
        <v>135</v>
      </c>
      <c r="AA112" t="s">
        <v>42</v>
      </c>
      <c r="AB112" t="s">
        <v>43</v>
      </c>
      <c r="AC112" t="s">
        <v>43</v>
      </c>
    </row>
    <row r="113" spans="1:30" x14ac:dyDescent="0.4">
      <c r="A113" t="s">
        <v>27</v>
      </c>
      <c r="B113">
        <v>1455</v>
      </c>
      <c r="C113" t="s">
        <v>351</v>
      </c>
      <c r="E113" t="s">
        <v>68</v>
      </c>
      <c r="F113" t="s">
        <v>345</v>
      </c>
      <c r="G113" t="s">
        <v>346</v>
      </c>
      <c r="H113" t="s">
        <v>347</v>
      </c>
      <c r="J113" t="s">
        <v>348</v>
      </c>
      <c r="K113" t="s">
        <v>226</v>
      </c>
      <c r="L113" t="s">
        <v>349</v>
      </c>
      <c r="M113" t="s">
        <v>35</v>
      </c>
      <c r="N113">
        <v>1932761191</v>
      </c>
      <c r="O113" t="s">
        <v>350</v>
      </c>
      <c r="P113" t="s">
        <v>351</v>
      </c>
      <c r="R113" t="s">
        <v>362</v>
      </c>
      <c r="S113" t="s">
        <v>363</v>
      </c>
      <c r="T113" t="s">
        <v>58</v>
      </c>
      <c r="U113" t="s">
        <v>40</v>
      </c>
      <c r="V113" s="1">
        <v>45364</v>
      </c>
      <c r="W113">
        <v>0</v>
      </c>
      <c r="X113">
        <v>0</v>
      </c>
      <c r="Y113" t="s">
        <v>59</v>
      </c>
      <c r="Z113" t="s">
        <v>135</v>
      </c>
      <c r="AA113" t="s">
        <v>42</v>
      </c>
      <c r="AB113" t="s">
        <v>43</v>
      </c>
      <c r="AC113" t="s">
        <v>43</v>
      </c>
    </row>
    <row r="114" spans="1:30" x14ac:dyDescent="0.4">
      <c r="A114" t="s">
        <v>27</v>
      </c>
      <c r="B114">
        <v>1455</v>
      </c>
      <c r="C114" t="s">
        <v>351</v>
      </c>
      <c r="E114" t="s">
        <v>68</v>
      </c>
      <c r="F114" t="s">
        <v>345</v>
      </c>
      <c r="G114" t="s">
        <v>346</v>
      </c>
      <c r="H114" t="s">
        <v>347</v>
      </c>
      <c r="J114" t="s">
        <v>348</v>
      </c>
      <c r="K114" t="s">
        <v>226</v>
      </c>
      <c r="L114" t="s">
        <v>349</v>
      </c>
      <c r="M114" t="s">
        <v>35</v>
      </c>
      <c r="N114">
        <v>1932761191</v>
      </c>
      <c r="O114" t="s">
        <v>350</v>
      </c>
      <c r="P114" t="s">
        <v>351</v>
      </c>
      <c r="R114" t="s">
        <v>364</v>
      </c>
      <c r="S114" t="s">
        <v>365</v>
      </c>
      <c r="T114" t="s">
        <v>356</v>
      </c>
      <c r="U114" t="s">
        <v>40</v>
      </c>
      <c r="V114" s="1">
        <v>40458</v>
      </c>
      <c r="W114">
        <v>0</v>
      </c>
      <c r="X114">
        <v>0</v>
      </c>
      <c r="Y114" t="s">
        <v>59</v>
      </c>
      <c r="Z114" t="s">
        <v>135</v>
      </c>
      <c r="AA114" t="s">
        <v>42</v>
      </c>
      <c r="AB114" t="s">
        <v>43</v>
      </c>
      <c r="AC114" t="s">
        <v>43</v>
      </c>
    </row>
    <row r="115" spans="1:30" x14ac:dyDescent="0.4">
      <c r="A115" t="s">
        <v>27</v>
      </c>
      <c r="B115">
        <v>1455</v>
      </c>
      <c r="C115" t="s">
        <v>351</v>
      </c>
      <c r="E115" t="s">
        <v>68</v>
      </c>
      <c r="F115" t="s">
        <v>345</v>
      </c>
      <c r="G115" t="s">
        <v>346</v>
      </c>
      <c r="H115" t="s">
        <v>347</v>
      </c>
      <c r="J115" t="s">
        <v>348</v>
      </c>
      <c r="K115" t="s">
        <v>226</v>
      </c>
      <c r="L115" t="s">
        <v>349</v>
      </c>
      <c r="M115" t="s">
        <v>35</v>
      </c>
      <c r="N115">
        <v>1932761191</v>
      </c>
      <c r="O115" t="s">
        <v>350</v>
      </c>
      <c r="P115" t="s">
        <v>351</v>
      </c>
      <c r="R115" t="s">
        <v>354</v>
      </c>
      <c r="S115" t="s">
        <v>355</v>
      </c>
      <c r="T115" t="s">
        <v>356</v>
      </c>
      <c r="U115" t="s">
        <v>82</v>
      </c>
      <c r="V115" s="1">
        <v>44491</v>
      </c>
      <c r="W115">
        <v>0</v>
      </c>
      <c r="X115">
        <v>0</v>
      </c>
      <c r="Y115" t="s">
        <v>59</v>
      </c>
      <c r="Z115" t="s">
        <v>135</v>
      </c>
      <c r="AA115" t="s">
        <v>42</v>
      </c>
      <c r="AB115" t="s">
        <v>43</v>
      </c>
      <c r="AC115" t="s">
        <v>43</v>
      </c>
    </row>
    <row r="116" spans="1:30" x14ac:dyDescent="0.4">
      <c r="A116" t="s">
        <v>27</v>
      </c>
      <c r="B116">
        <v>1455</v>
      </c>
      <c r="C116" t="s">
        <v>351</v>
      </c>
      <c r="E116" t="s">
        <v>68</v>
      </c>
      <c r="F116" t="s">
        <v>345</v>
      </c>
      <c r="G116" t="s">
        <v>346</v>
      </c>
      <c r="H116" t="s">
        <v>347</v>
      </c>
      <c r="J116" t="s">
        <v>348</v>
      </c>
      <c r="K116" t="s">
        <v>226</v>
      </c>
      <c r="L116" t="s">
        <v>349</v>
      </c>
      <c r="M116" t="s">
        <v>35</v>
      </c>
      <c r="N116">
        <v>1932761191</v>
      </c>
      <c r="O116" t="s">
        <v>350</v>
      </c>
      <c r="P116" t="s">
        <v>351</v>
      </c>
      <c r="R116" t="s">
        <v>357</v>
      </c>
      <c r="S116" t="s">
        <v>358</v>
      </c>
      <c r="T116" t="s">
        <v>359</v>
      </c>
      <c r="U116" t="s">
        <v>40</v>
      </c>
      <c r="V116" s="1">
        <v>44101</v>
      </c>
      <c r="W116">
        <v>0</v>
      </c>
      <c r="X116">
        <v>0</v>
      </c>
      <c r="Y116" t="s">
        <v>59</v>
      </c>
      <c r="Z116" t="s">
        <v>135</v>
      </c>
      <c r="AA116" t="s">
        <v>42</v>
      </c>
      <c r="AB116" t="s">
        <v>43</v>
      </c>
      <c r="AC116" t="s">
        <v>43</v>
      </c>
    </row>
    <row r="117" spans="1:30" x14ac:dyDescent="0.4">
      <c r="A117" t="s">
        <v>27</v>
      </c>
      <c r="B117">
        <v>1455</v>
      </c>
      <c r="C117" t="s">
        <v>351</v>
      </c>
      <c r="E117" t="s">
        <v>68</v>
      </c>
      <c r="F117" t="s">
        <v>345</v>
      </c>
      <c r="G117" t="s">
        <v>346</v>
      </c>
      <c r="H117" t="s">
        <v>347</v>
      </c>
      <c r="J117" t="s">
        <v>348</v>
      </c>
      <c r="K117" t="s">
        <v>226</v>
      </c>
      <c r="L117" t="s">
        <v>349</v>
      </c>
      <c r="M117" t="s">
        <v>35</v>
      </c>
      <c r="N117">
        <v>1932761191</v>
      </c>
      <c r="O117" t="s">
        <v>350</v>
      </c>
      <c r="P117" t="s">
        <v>351</v>
      </c>
      <c r="R117" t="s">
        <v>360</v>
      </c>
      <c r="S117" t="s">
        <v>361</v>
      </c>
      <c r="T117" t="s">
        <v>356</v>
      </c>
      <c r="U117" t="s">
        <v>82</v>
      </c>
      <c r="V117" s="1">
        <v>43441</v>
      </c>
      <c r="W117">
        <v>0</v>
      </c>
      <c r="X117">
        <v>0</v>
      </c>
      <c r="Y117" t="s">
        <v>59</v>
      </c>
      <c r="Z117" t="s">
        <v>135</v>
      </c>
      <c r="AA117" t="s">
        <v>42</v>
      </c>
      <c r="AB117" t="s">
        <v>43</v>
      </c>
      <c r="AC117" t="s">
        <v>43</v>
      </c>
    </row>
    <row r="118" spans="1:30" x14ac:dyDescent="0.4">
      <c r="A118" t="s">
        <v>27</v>
      </c>
      <c r="B118">
        <v>1455</v>
      </c>
      <c r="C118" t="s">
        <v>351</v>
      </c>
      <c r="E118" t="s">
        <v>68</v>
      </c>
      <c r="F118" t="s">
        <v>345</v>
      </c>
      <c r="G118" t="s">
        <v>346</v>
      </c>
      <c r="H118" t="s">
        <v>347</v>
      </c>
      <c r="J118" t="s">
        <v>348</v>
      </c>
      <c r="K118" t="s">
        <v>226</v>
      </c>
      <c r="L118" t="s">
        <v>349</v>
      </c>
      <c r="M118" t="s">
        <v>35</v>
      </c>
      <c r="N118">
        <v>1932761191</v>
      </c>
      <c r="O118" t="s">
        <v>350</v>
      </c>
      <c r="P118" t="s">
        <v>351</v>
      </c>
      <c r="R118" t="s">
        <v>362</v>
      </c>
      <c r="S118" t="s">
        <v>363</v>
      </c>
      <c r="T118" t="s">
        <v>58</v>
      </c>
      <c r="U118" t="s">
        <v>40</v>
      </c>
      <c r="V118" s="1">
        <v>45364</v>
      </c>
      <c r="W118">
        <v>0</v>
      </c>
      <c r="X118">
        <v>0</v>
      </c>
      <c r="Y118" t="s">
        <v>59</v>
      </c>
      <c r="Z118" t="s">
        <v>135</v>
      </c>
      <c r="AA118" t="s">
        <v>42</v>
      </c>
      <c r="AB118" t="s">
        <v>43</v>
      </c>
      <c r="AC118" t="s">
        <v>43</v>
      </c>
    </row>
    <row r="119" spans="1:30" x14ac:dyDescent="0.4">
      <c r="A119" t="s">
        <v>27</v>
      </c>
      <c r="B119">
        <v>1455</v>
      </c>
      <c r="C119" t="s">
        <v>351</v>
      </c>
      <c r="E119" t="s">
        <v>68</v>
      </c>
      <c r="F119" t="s">
        <v>345</v>
      </c>
      <c r="G119" t="s">
        <v>346</v>
      </c>
      <c r="H119" t="s">
        <v>347</v>
      </c>
      <c r="J119" t="s">
        <v>348</v>
      </c>
      <c r="K119" t="s">
        <v>226</v>
      </c>
      <c r="L119" t="s">
        <v>349</v>
      </c>
      <c r="M119" t="s">
        <v>35</v>
      </c>
      <c r="N119">
        <v>1932761191</v>
      </c>
      <c r="O119" t="s">
        <v>350</v>
      </c>
      <c r="P119" t="s">
        <v>351</v>
      </c>
      <c r="R119" t="s">
        <v>364</v>
      </c>
      <c r="S119" t="s">
        <v>365</v>
      </c>
      <c r="T119" t="s">
        <v>356</v>
      </c>
      <c r="U119" t="s">
        <v>40</v>
      </c>
      <c r="V119" s="1">
        <v>40458</v>
      </c>
      <c r="W119">
        <v>0</v>
      </c>
      <c r="X119">
        <v>0</v>
      </c>
      <c r="Y119" t="s">
        <v>59</v>
      </c>
      <c r="Z119" t="s">
        <v>135</v>
      </c>
      <c r="AA119" t="s">
        <v>42</v>
      </c>
      <c r="AB119" t="s">
        <v>43</v>
      </c>
      <c r="AC119" t="s">
        <v>43</v>
      </c>
    </row>
    <row r="120" spans="1:30" x14ac:dyDescent="0.4">
      <c r="A120" t="s">
        <v>27</v>
      </c>
      <c r="B120">
        <v>4998</v>
      </c>
      <c r="C120" t="s">
        <v>373</v>
      </c>
      <c r="D120">
        <v>40</v>
      </c>
      <c r="E120" t="s">
        <v>195</v>
      </c>
      <c r="F120" t="s">
        <v>366</v>
      </c>
      <c r="G120" t="s">
        <v>367</v>
      </c>
      <c r="H120" t="s">
        <v>368</v>
      </c>
      <c r="J120" t="s">
        <v>369</v>
      </c>
      <c r="K120" t="s">
        <v>370</v>
      </c>
      <c r="L120" t="s">
        <v>371</v>
      </c>
      <c r="M120" t="s">
        <v>35</v>
      </c>
      <c r="N120">
        <v>1344884292</v>
      </c>
      <c r="O120" t="s">
        <v>372</v>
      </c>
      <c r="P120" t="s">
        <v>373</v>
      </c>
      <c r="R120" t="s">
        <v>374</v>
      </c>
      <c r="S120" t="s">
        <v>375</v>
      </c>
      <c r="T120" t="s">
        <v>376</v>
      </c>
      <c r="U120" t="s">
        <v>82</v>
      </c>
      <c r="V120" s="1">
        <v>44976</v>
      </c>
      <c r="W120">
        <v>0</v>
      </c>
      <c r="X120">
        <v>8</v>
      </c>
      <c r="AA120" t="s">
        <v>42</v>
      </c>
      <c r="AB120" t="s">
        <v>43</v>
      </c>
      <c r="AC120" t="s">
        <v>43</v>
      </c>
    </row>
    <row r="121" spans="1:30" x14ac:dyDescent="0.4">
      <c r="A121" t="s">
        <v>27</v>
      </c>
      <c r="B121">
        <v>4998</v>
      </c>
      <c r="C121" t="s">
        <v>373</v>
      </c>
      <c r="D121">
        <v>39</v>
      </c>
      <c r="E121" t="s">
        <v>195</v>
      </c>
      <c r="F121" t="s">
        <v>366</v>
      </c>
      <c r="G121" t="s">
        <v>367</v>
      </c>
      <c r="H121" t="s">
        <v>368</v>
      </c>
      <c r="J121" t="s">
        <v>369</v>
      </c>
      <c r="K121" t="s">
        <v>370</v>
      </c>
      <c r="L121" t="s">
        <v>371</v>
      </c>
      <c r="M121" t="s">
        <v>35</v>
      </c>
      <c r="N121">
        <v>1344884292</v>
      </c>
      <c r="O121" t="s">
        <v>372</v>
      </c>
      <c r="P121" t="s">
        <v>373</v>
      </c>
      <c r="R121" t="s">
        <v>378</v>
      </c>
      <c r="S121" t="s">
        <v>379</v>
      </c>
      <c r="T121" t="s">
        <v>376</v>
      </c>
      <c r="U121" t="s">
        <v>82</v>
      </c>
      <c r="V121" s="1">
        <v>45927</v>
      </c>
      <c r="W121">
        <v>0</v>
      </c>
      <c r="X121">
        <v>8</v>
      </c>
      <c r="AA121" t="s">
        <v>42</v>
      </c>
      <c r="AB121" t="s">
        <v>43</v>
      </c>
      <c r="AC121" t="s">
        <v>43</v>
      </c>
    </row>
    <row r="122" spans="1:30" x14ac:dyDescent="0.4">
      <c r="A122" t="s">
        <v>27</v>
      </c>
      <c r="B122">
        <v>4998</v>
      </c>
      <c r="C122" t="s">
        <v>373</v>
      </c>
      <c r="D122">
        <v>41</v>
      </c>
      <c r="E122" t="s">
        <v>195</v>
      </c>
      <c r="F122" t="s">
        <v>366</v>
      </c>
      <c r="G122" t="s">
        <v>367</v>
      </c>
      <c r="H122" t="s">
        <v>368</v>
      </c>
      <c r="J122" t="s">
        <v>369</v>
      </c>
      <c r="K122" t="s">
        <v>370</v>
      </c>
      <c r="L122" t="s">
        <v>371</v>
      </c>
      <c r="M122" t="s">
        <v>35</v>
      </c>
      <c r="N122">
        <v>1344884292</v>
      </c>
      <c r="O122" t="s">
        <v>372</v>
      </c>
      <c r="P122" t="s">
        <v>373</v>
      </c>
      <c r="R122" t="s">
        <v>380</v>
      </c>
      <c r="S122" t="s">
        <v>381</v>
      </c>
      <c r="T122" t="s">
        <v>376</v>
      </c>
      <c r="U122" t="s">
        <v>82</v>
      </c>
      <c r="V122" s="1">
        <v>42667</v>
      </c>
      <c r="W122">
        <v>0</v>
      </c>
      <c r="X122">
        <v>10</v>
      </c>
      <c r="AA122" t="s">
        <v>42</v>
      </c>
      <c r="AB122" t="s">
        <v>43</v>
      </c>
      <c r="AC122" t="s">
        <v>43</v>
      </c>
    </row>
    <row r="123" spans="1:30" x14ac:dyDescent="0.4">
      <c r="A123" t="s">
        <v>27</v>
      </c>
      <c r="B123">
        <v>405</v>
      </c>
      <c r="C123" t="s">
        <v>2850</v>
      </c>
      <c r="E123" t="s">
        <v>195</v>
      </c>
      <c r="F123" t="s">
        <v>383</v>
      </c>
      <c r="G123" t="s">
        <v>384</v>
      </c>
      <c r="H123" t="s">
        <v>385</v>
      </c>
      <c r="I123" t="s">
        <v>386</v>
      </c>
      <c r="J123" t="s">
        <v>387</v>
      </c>
      <c r="K123" t="s">
        <v>242</v>
      </c>
      <c r="L123" t="s">
        <v>388</v>
      </c>
      <c r="M123" t="s">
        <v>35</v>
      </c>
      <c r="N123">
        <v>1980629343</v>
      </c>
      <c r="O123" t="s">
        <v>389</v>
      </c>
      <c r="P123" t="s">
        <v>2850</v>
      </c>
      <c r="R123" t="s">
        <v>390</v>
      </c>
      <c r="S123" t="s">
        <v>391</v>
      </c>
      <c r="T123" t="s">
        <v>58</v>
      </c>
      <c r="U123" t="s">
        <v>82</v>
      </c>
      <c r="V123" s="1">
        <v>41630</v>
      </c>
      <c r="W123">
        <v>0</v>
      </c>
      <c r="X123">
        <v>0</v>
      </c>
      <c r="Y123" t="s">
        <v>59</v>
      </c>
      <c r="Z123" t="s">
        <v>392</v>
      </c>
      <c r="AA123" t="s">
        <v>42</v>
      </c>
      <c r="AB123" t="s">
        <v>43</v>
      </c>
      <c r="AC123" t="s">
        <v>43</v>
      </c>
      <c r="AD123" t="s">
        <v>393</v>
      </c>
    </row>
    <row r="124" spans="1:30" x14ac:dyDescent="0.4">
      <c r="A124" t="s">
        <v>27</v>
      </c>
      <c r="B124">
        <v>405</v>
      </c>
      <c r="C124" t="s">
        <v>2850</v>
      </c>
      <c r="E124" t="s">
        <v>195</v>
      </c>
      <c r="F124" t="s">
        <v>383</v>
      </c>
      <c r="G124" t="s">
        <v>384</v>
      </c>
      <c r="H124" t="s">
        <v>385</v>
      </c>
      <c r="I124" t="s">
        <v>386</v>
      </c>
      <c r="J124" t="s">
        <v>387</v>
      </c>
      <c r="K124" t="s">
        <v>242</v>
      </c>
      <c r="L124" t="s">
        <v>388</v>
      </c>
      <c r="M124" t="s">
        <v>35</v>
      </c>
      <c r="N124">
        <v>1980629343</v>
      </c>
      <c r="O124" t="s">
        <v>389</v>
      </c>
      <c r="P124" t="s">
        <v>2850</v>
      </c>
      <c r="R124" t="s">
        <v>390</v>
      </c>
      <c r="S124" t="s">
        <v>391</v>
      </c>
      <c r="T124" t="s">
        <v>58</v>
      </c>
      <c r="U124" t="s">
        <v>82</v>
      </c>
      <c r="V124" s="1">
        <v>41630</v>
      </c>
      <c r="W124">
        <v>0</v>
      </c>
      <c r="X124">
        <v>0</v>
      </c>
      <c r="Y124" t="s">
        <v>59</v>
      </c>
      <c r="Z124" t="s">
        <v>392</v>
      </c>
      <c r="AA124" t="s">
        <v>42</v>
      </c>
      <c r="AB124" t="s">
        <v>43</v>
      </c>
      <c r="AC124" t="s">
        <v>43</v>
      </c>
      <c r="AD124" t="s">
        <v>393</v>
      </c>
    </row>
    <row r="125" spans="1:30" x14ac:dyDescent="0.4">
      <c r="A125" t="s">
        <v>27</v>
      </c>
      <c r="B125">
        <v>405</v>
      </c>
      <c r="C125" t="s">
        <v>2850</v>
      </c>
      <c r="D125">
        <v>42</v>
      </c>
      <c r="E125" t="s">
        <v>195</v>
      </c>
      <c r="F125" t="s">
        <v>383</v>
      </c>
      <c r="G125" t="s">
        <v>384</v>
      </c>
      <c r="H125" t="s">
        <v>385</v>
      </c>
      <c r="I125" t="s">
        <v>386</v>
      </c>
      <c r="J125" t="s">
        <v>387</v>
      </c>
      <c r="K125" t="s">
        <v>242</v>
      </c>
      <c r="L125" t="s">
        <v>388</v>
      </c>
      <c r="M125" t="s">
        <v>35</v>
      </c>
      <c r="N125">
        <v>1980629343</v>
      </c>
      <c r="O125" t="s">
        <v>389</v>
      </c>
      <c r="P125" t="s">
        <v>2850</v>
      </c>
      <c r="R125" t="s">
        <v>394</v>
      </c>
      <c r="S125" t="s">
        <v>395</v>
      </c>
      <c r="T125" t="s">
        <v>58</v>
      </c>
      <c r="U125" t="s">
        <v>82</v>
      </c>
      <c r="V125" s="1">
        <v>43339</v>
      </c>
      <c r="W125">
        <v>0</v>
      </c>
      <c r="X125">
        <v>5</v>
      </c>
      <c r="Y125" t="s">
        <v>66</v>
      </c>
      <c r="Z125" t="s">
        <v>392</v>
      </c>
      <c r="AA125" t="s">
        <v>42</v>
      </c>
      <c r="AB125" t="s">
        <v>43</v>
      </c>
      <c r="AC125" t="s">
        <v>43</v>
      </c>
      <c r="AD125" t="s">
        <v>393</v>
      </c>
    </row>
    <row r="126" spans="1:30" x14ac:dyDescent="0.4">
      <c r="A126" t="s">
        <v>27</v>
      </c>
      <c r="B126">
        <v>405</v>
      </c>
      <c r="C126" t="s">
        <v>2850</v>
      </c>
      <c r="D126">
        <v>43</v>
      </c>
      <c r="E126" t="s">
        <v>195</v>
      </c>
      <c r="F126" t="s">
        <v>383</v>
      </c>
      <c r="G126" t="s">
        <v>384</v>
      </c>
      <c r="H126" t="s">
        <v>385</v>
      </c>
      <c r="I126" t="s">
        <v>386</v>
      </c>
      <c r="J126" t="s">
        <v>387</v>
      </c>
      <c r="K126" t="s">
        <v>242</v>
      </c>
      <c r="L126" t="s">
        <v>388</v>
      </c>
      <c r="M126" t="s">
        <v>35</v>
      </c>
      <c r="N126">
        <v>1980629343</v>
      </c>
      <c r="O126" t="s">
        <v>389</v>
      </c>
      <c r="P126" t="s">
        <v>2850</v>
      </c>
      <c r="R126" t="s">
        <v>396</v>
      </c>
      <c r="S126" t="s">
        <v>397</v>
      </c>
      <c r="T126" t="s">
        <v>58</v>
      </c>
      <c r="U126" t="s">
        <v>82</v>
      </c>
      <c r="V126" s="1">
        <v>44904</v>
      </c>
      <c r="W126">
        <v>0</v>
      </c>
      <c r="X126">
        <v>4</v>
      </c>
      <c r="Y126" t="s">
        <v>65</v>
      </c>
      <c r="Z126" t="s">
        <v>392</v>
      </c>
      <c r="AA126" t="s">
        <v>42</v>
      </c>
      <c r="AB126" t="s">
        <v>43</v>
      </c>
      <c r="AC126" t="s">
        <v>43</v>
      </c>
      <c r="AD126" t="s">
        <v>393</v>
      </c>
    </row>
    <row r="127" spans="1:30" x14ac:dyDescent="0.4">
      <c r="A127" t="s">
        <v>27</v>
      </c>
      <c r="B127">
        <v>405</v>
      </c>
      <c r="C127" t="s">
        <v>2850</v>
      </c>
      <c r="D127">
        <v>42</v>
      </c>
      <c r="E127" t="s">
        <v>195</v>
      </c>
      <c r="F127" t="s">
        <v>383</v>
      </c>
      <c r="G127" t="s">
        <v>384</v>
      </c>
      <c r="H127" t="s">
        <v>385</v>
      </c>
      <c r="I127" t="s">
        <v>386</v>
      </c>
      <c r="J127" t="s">
        <v>387</v>
      </c>
      <c r="K127" t="s">
        <v>242</v>
      </c>
      <c r="L127" t="s">
        <v>388</v>
      </c>
      <c r="M127" t="s">
        <v>35</v>
      </c>
      <c r="N127">
        <v>1980629343</v>
      </c>
      <c r="O127" t="s">
        <v>389</v>
      </c>
      <c r="P127" t="s">
        <v>2850</v>
      </c>
      <c r="R127" t="s">
        <v>394</v>
      </c>
      <c r="S127" t="s">
        <v>395</v>
      </c>
      <c r="T127" t="s">
        <v>58</v>
      </c>
      <c r="U127" t="s">
        <v>82</v>
      </c>
      <c r="V127" s="1">
        <v>43339</v>
      </c>
      <c r="W127">
        <v>0</v>
      </c>
      <c r="X127">
        <v>6</v>
      </c>
      <c r="Y127" t="s">
        <v>83</v>
      </c>
      <c r="Z127" t="s">
        <v>392</v>
      </c>
      <c r="AA127" t="s">
        <v>42</v>
      </c>
      <c r="AB127" t="s">
        <v>43</v>
      </c>
      <c r="AC127" t="s">
        <v>43</v>
      </c>
      <c r="AD127" t="s">
        <v>393</v>
      </c>
    </row>
    <row r="128" spans="1:30" x14ac:dyDescent="0.4">
      <c r="A128" t="s">
        <v>27</v>
      </c>
      <c r="B128">
        <v>405</v>
      </c>
      <c r="C128" t="s">
        <v>2850</v>
      </c>
      <c r="D128">
        <v>43</v>
      </c>
      <c r="E128" t="s">
        <v>195</v>
      </c>
      <c r="F128" t="s">
        <v>383</v>
      </c>
      <c r="G128" t="s">
        <v>384</v>
      </c>
      <c r="H128" t="s">
        <v>385</v>
      </c>
      <c r="I128" t="s">
        <v>386</v>
      </c>
      <c r="J128" t="s">
        <v>387</v>
      </c>
      <c r="K128" t="s">
        <v>242</v>
      </c>
      <c r="L128" t="s">
        <v>388</v>
      </c>
      <c r="M128" t="s">
        <v>35</v>
      </c>
      <c r="N128">
        <v>1980629343</v>
      </c>
      <c r="O128" t="s">
        <v>389</v>
      </c>
      <c r="P128" t="s">
        <v>2850</v>
      </c>
      <c r="R128" t="s">
        <v>396</v>
      </c>
      <c r="S128" t="s">
        <v>397</v>
      </c>
      <c r="T128" t="s">
        <v>58</v>
      </c>
      <c r="U128" t="s">
        <v>82</v>
      </c>
      <c r="V128" s="1">
        <v>44904</v>
      </c>
      <c r="W128">
        <v>0</v>
      </c>
      <c r="X128">
        <v>13</v>
      </c>
      <c r="Z128" t="s">
        <v>392</v>
      </c>
      <c r="AA128" t="s">
        <v>42</v>
      </c>
      <c r="AB128" t="s">
        <v>43</v>
      </c>
      <c r="AC128" t="s">
        <v>43</v>
      </c>
      <c r="AD128" t="s">
        <v>393</v>
      </c>
    </row>
    <row r="129" spans="1:31" x14ac:dyDescent="0.4">
      <c r="A129" t="s">
        <v>27</v>
      </c>
      <c r="B129">
        <v>405</v>
      </c>
      <c r="C129" t="s">
        <v>2850</v>
      </c>
      <c r="D129">
        <v>42</v>
      </c>
      <c r="E129" t="s">
        <v>195</v>
      </c>
      <c r="F129" t="s">
        <v>383</v>
      </c>
      <c r="G129" t="s">
        <v>384</v>
      </c>
      <c r="H129" t="s">
        <v>385</v>
      </c>
      <c r="I129" t="s">
        <v>386</v>
      </c>
      <c r="J129" t="s">
        <v>387</v>
      </c>
      <c r="K129" t="s">
        <v>242</v>
      </c>
      <c r="L129" t="s">
        <v>388</v>
      </c>
      <c r="M129" t="s">
        <v>35</v>
      </c>
      <c r="N129">
        <v>1980629343</v>
      </c>
      <c r="O129" t="s">
        <v>389</v>
      </c>
      <c r="P129" t="s">
        <v>2850</v>
      </c>
      <c r="R129" t="s">
        <v>394</v>
      </c>
      <c r="S129" t="s">
        <v>395</v>
      </c>
      <c r="T129" t="s">
        <v>58</v>
      </c>
      <c r="U129" t="s">
        <v>82</v>
      </c>
      <c r="V129" s="1">
        <v>43339</v>
      </c>
      <c r="W129">
        <v>0</v>
      </c>
      <c r="X129">
        <v>15</v>
      </c>
      <c r="Z129" t="s">
        <v>392</v>
      </c>
      <c r="AA129" t="s">
        <v>42</v>
      </c>
      <c r="AB129" t="s">
        <v>43</v>
      </c>
      <c r="AC129" t="s">
        <v>43</v>
      </c>
      <c r="AD129" t="s">
        <v>393</v>
      </c>
    </row>
    <row r="130" spans="1:31" x14ac:dyDescent="0.4">
      <c r="A130" t="s">
        <v>27</v>
      </c>
      <c r="B130">
        <v>405</v>
      </c>
      <c r="C130" t="s">
        <v>2850</v>
      </c>
      <c r="D130">
        <v>42</v>
      </c>
      <c r="E130" t="s">
        <v>195</v>
      </c>
      <c r="F130" t="s">
        <v>383</v>
      </c>
      <c r="G130" t="s">
        <v>384</v>
      </c>
      <c r="H130" t="s">
        <v>385</v>
      </c>
      <c r="I130" t="s">
        <v>386</v>
      </c>
      <c r="J130" t="s">
        <v>387</v>
      </c>
      <c r="K130" t="s">
        <v>242</v>
      </c>
      <c r="L130" t="s">
        <v>388</v>
      </c>
      <c r="M130" t="s">
        <v>35</v>
      </c>
      <c r="N130">
        <v>1980629343</v>
      </c>
      <c r="O130" t="s">
        <v>389</v>
      </c>
      <c r="P130" t="s">
        <v>2850</v>
      </c>
      <c r="R130" t="s">
        <v>394</v>
      </c>
      <c r="S130" t="s">
        <v>395</v>
      </c>
      <c r="T130" t="s">
        <v>58</v>
      </c>
      <c r="U130" t="s">
        <v>82</v>
      </c>
      <c r="V130" s="1">
        <v>43339</v>
      </c>
      <c r="W130">
        <v>0</v>
      </c>
      <c r="X130">
        <v>17</v>
      </c>
      <c r="Z130" t="s">
        <v>392</v>
      </c>
      <c r="AA130" t="s">
        <v>42</v>
      </c>
      <c r="AB130" t="s">
        <v>43</v>
      </c>
      <c r="AC130" t="s">
        <v>43</v>
      </c>
      <c r="AD130" t="s">
        <v>393</v>
      </c>
    </row>
    <row r="131" spans="1:31" x14ac:dyDescent="0.4">
      <c r="A131" t="s">
        <v>27</v>
      </c>
      <c r="B131">
        <v>195</v>
      </c>
      <c r="C131" t="s">
        <v>95</v>
      </c>
      <c r="E131" t="s">
        <v>195</v>
      </c>
      <c r="F131" t="s">
        <v>398</v>
      </c>
      <c r="G131" t="s">
        <v>399</v>
      </c>
      <c r="H131" t="s">
        <v>400</v>
      </c>
      <c r="I131" t="s">
        <v>401</v>
      </c>
      <c r="J131" t="s">
        <v>402</v>
      </c>
      <c r="K131" t="s">
        <v>73</v>
      </c>
      <c r="L131" t="s">
        <v>403</v>
      </c>
      <c r="M131" t="s">
        <v>35</v>
      </c>
      <c r="N131">
        <v>7799071166</v>
      </c>
      <c r="O131" t="s">
        <v>404</v>
      </c>
      <c r="P131" t="s">
        <v>95</v>
      </c>
      <c r="R131" t="s">
        <v>405</v>
      </c>
      <c r="S131" t="s">
        <v>406</v>
      </c>
      <c r="T131" t="s">
        <v>94</v>
      </c>
      <c r="U131" t="s">
        <v>40</v>
      </c>
      <c r="V131" s="1">
        <v>41884</v>
      </c>
      <c r="W131">
        <v>0</v>
      </c>
      <c r="X131">
        <v>0</v>
      </c>
      <c r="Y131" t="s">
        <v>59</v>
      </c>
      <c r="Z131" t="s">
        <v>407</v>
      </c>
      <c r="AA131" t="s">
        <v>42</v>
      </c>
      <c r="AB131" t="s">
        <v>43</v>
      </c>
      <c r="AC131" t="s">
        <v>42</v>
      </c>
      <c r="AD131" t="s">
        <v>408</v>
      </c>
    </row>
    <row r="132" spans="1:31" x14ac:dyDescent="0.4">
      <c r="A132" t="s">
        <v>27</v>
      </c>
      <c r="B132">
        <v>195</v>
      </c>
      <c r="C132" t="s">
        <v>95</v>
      </c>
      <c r="E132" t="s">
        <v>195</v>
      </c>
      <c r="F132" t="s">
        <v>398</v>
      </c>
      <c r="G132" t="s">
        <v>399</v>
      </c>
      <c r="H132" t="s">
        <v>400</v>
      </c>
      <c r="I132" t="s">
        <v>401</v>
      </c>
      <c r="J132" t="s">
        <v>402</v>
      </c>
      <c r="K132" t="s">
        <v>73</v>
      </c>
      <c r="L132" t="s">
        <v>403</v>
      </c>
      <c r="M132" t="s">
        <v>35</v>
      </c>
      <c r="N132">
        <v>7799071166</v>
      </c>
      <c r="O132" t="s">
        <v>404</v>
      </c>
      <c r="P132" t="s">
        <v>95</v>
      </c>
      <c r="R132" t="s">
        <v>409</v>
      </c>
      <c r="S132" t="s">
        <v>410</v>
      </c>
      <c r="T132" t="s">
        <v>3062</v>
      </c>
      <c r="U132" t="s">
        <v>40</v>
      </c>
      <c r="V132" s="1">
        <v>41340</v>
      </c>
      <c r="W132">
        <v>0</v>
      </c>
      <c r="X132">
        <v>0</v>
      </c>
      <c r="Y132" t="s">
        <v>59</v>
      </c>
      <c r="Z132" t="s">
        <v>407</v>
      </c>
      <c r="AA132" t="s">
        <v>42</v>
      </c>
      <c r="AB132" t="s">
        <v>43</v>
      </c>
      <c r="AC132" t="s">
        <v>42</v>
      </c>
      <c r="AD132" t="s">
        <v>408</v>
      </c>
    </row>
    <row r="133" spans="1:31" x14ac:dyDescent="0.4">
      <c r="A133" t="s">
        <v>27</v>
      </c>
      <c r="B133">
        <v>195</v>
      </c>
      <c r="C133" t="s">
        <v>95</v>
      </c>
      <c r="E133" t="s">
        <v>195</v>
      </c>
      <c r="F133" t="s">
        <v>398</v>
      </c>
      <c r="G133" t="s">
        <v>399</v>
      </c>
      <c r="H133" t="s">
        <v>400</v>
      </c>
      <c r="I133" t="s">
        <v>401</v>
      </c>
      <c r="J133" t="s">
        <v>402</v>
      </c>
      <c r="K133" t="s">
        <v>73</v>
      </c>
      <c r="L133" t="s">
        <v>403</v>
      </c>
      <c r="M133" t="s">
        <v>35</v>
      </c>
      <c r="N133">
        <v>7799071166</v>
      </c>
      <c r="O133" t="s">
        <v>404</v>
      </c>
      <c r="P133" t="s">
        <v>95</v>
      </c>
      <c r="R133" t="s">
        <v>411</v>
      </c>
      <c r="S133" t="s">
        <v>412</v>
      </c>
      <c r="T133" t="s">
        <v>376</v>
      </c>
      <c r="U133" t="s">
        <v>82</v>
      </c>
      <c r="V133" s="1">
        <v>44603</v>
      </c>
      <c r="W133">
        <v>0</v>
      </c>
      <c r="X133">
        <v>0</v>
      </c>
      <c r="Y133" t="s">
        <v>59</v>
      </c>
      <c r="Z133" t="s">
        <v>407</v>
      </c>
      <c r="AA133" t="s">
        <v>42</v>
      </c>
      <c r="AB133" t="s">
        <v>43</v>
      </c>
      <c r="AC133" t="s">
        <v>42</v>
      </c>
      <c r="AD133" t="s">
        <v>408</v>
      </c>
    </row>
    <row r="134" spans="1:31" x14ac:dyDescent="0.4">
      <c r="A134" t="s">
        <v>27</v>
      </c>
      <c r="B134">
        <v>195</v>
      </c>
      <c r="C134" t="s">
        <v>95</v>
      </c>
      <c r="E134" t="s">
        <v>195</v>
      </c>
      <c r="F134" t="s">
        <v>398</v>
      </c>
      <c r="G134" t="s">
        <v>399</v>
      </c>
      <c r="H134" t="s">
        <v>400</v>
      </c>
      <c r="I134" t="s">
        <v>401</v>
      </c>
      <c r="J134" t="s">
        <v>402</v>
      </c>
      <c r="K134" t="s">
        <v>73</v>
      </c>
      <c r="L134" t="s">
        <v>403</v>
      </c>
      <c r="M134" t="s">
        <v>35</v>
      </c>
      <c r="N134">
        <v>7799071166</v>
      </c>
      <c r="O134" t="s">
        <v>404</v>
      </c>
      <c r="P134" t="s">
        <v>95</v>
      </c>
      <c r="R134" t="s">
        <v>414</v>
      </c>
      <c r="S134" t="s">
        <v>415</v>
      </c>
      <c r="T134" t="s">
        <v>416</v>
      </c>
      <c r="U134" t="s">
        <v>82</v>
      </c>
      <c r="V134" s="1">
        <v>42809</v>
      </c>
      <c r="W134">
        <v>0</v>
      </c>
      <c r="X134">
        <v>0</v>
      </c>
      <c r="Y134" t="s">
        <v>59</v>
      </c>
      <c r="Z134" t="s">
        <v>407</v>
      </c>
      <c r="AA134" t="s">
        <v>42</v>
      </c>
      <c r="AB134" t="s">
        <v>43</v>
      </c>
      <c r="AC134" t="s">
        <v>42</v>
      </c>
      <c r="AD134" t="s">
        <v>408</v>
      </c>
    </row>
    <row r="135" spans="1:31" x14ac:dyDescent="0.4">
      <c r="A135" t="s">
        <v>27</v>
      </c>
      <c r="B135">
        <v>195</v>
      </c>
      <c r="C135" t="s">
        <v>95</v>
      </c>
      <c r="D135">
        <v>44</v>
      </c>
      <c r="E135" t="s">
        <v>195</v>
      </c>
      <c r="F135" t="s">
        <v>398</v>
      </c>
      <c r="G135" t="s">
        <v>399</v>
      </c>
      <c r="H135" t="s">
        <v>400</v>
      </c>
      <c r="I135" t="s">
        <v>401</v>
      </c>
      <c r="J135" t="s">
        <v>402</v>
      </c>
      <c r="K135" t="s">
        <v>73</v>
      </c>
      <c r="L135" t="s">
        <v>403</v>
      </c>
      <c r="M135" t="s">
        <v>35</v>
      </c>
      <c r="N135">
        <v>7799071166</v>
      </c>
      <c r="O135" t="s">
        <v>404</v>
      </c>
      <c r="P135" t="s">
        <v>95</v>
      </c>
      <c r="R135" t="s">
        <v>417</v>
      </c>
      <c r="S135" t="s">
        <v>418</v>
      </c>
      <c r="T135" t="s">
        <v>58</v>
      </c>
      <c r="U135" t="s">
        <v>40</v>
      </c>
      <c r="V135" s="1">
        <v>45015</v>
      </c>
      <c r="W135">
        <v>0</v>
      </c>
      <c r="X135">
        <v>4</v>
      </c>
      <c r="Y135" t="s">
        <v>65</v>
      </c>
      <c r="Z135" t="s">
        <v>407</v>
      </c>
      <c r="AA135" t="s">
        <v>42</v>
      </c>
      <c r="AB135" t="s">
        <v>43</v>
      </c>
      <c r="AC135" t="s">
        <v>42</v>
      </c>
      <c r="AE135" t="s">
        <v>408</v>
      </c>
    </row>
    <row r="136" spans="1:31" x14ac:dyDescent="0.4">
      <c r="A136" t="s">
        <v>27</v>
      </c>
      <c r="B136">
        <v>195</v>
      </c>
      <c r="C136" t="s">
        <v>95</v>
      </c>
      <c r="D136">
        <v>45</v>
      </c>
      <c r="E136" t="s">
        <v>195</v>
      </c>
      <c r="F136" t="s">
        <v>398</v>
      </c>
      <c r="G136" t="s">
        <v>399</v>
      </c>
      <c r="H136" t="s">
        <v>400</v>
      </c>
      <c r="I136" t="s">
        <v>401</v>
      </c>
      <c r="J136" t="s">
        <v>402</v>
      </c>
      <c r="K136" t="s">
        <v>73</v>
      </c>
      <c r="L136" t="s">
        <v>403</v>
      </c>
      <c r="M136" t="s">
        <v>35</v>
      </c>
      <c r="N136">
        <v>7799071166</v>
      </c>
      <c r="O136" t="s">
        <v>404</v>
      </c>
      <c r="P136" t="s">
        <v>95</v>
      </c>
      <c r="R136" t="s">
        <v>419</v>
      </c>
      <c r="S136" t="s">
        <v>420</v>
      </c>
      <c r="T136" t="s">
        <v>232</v>
      </c>
      <c r="U136" t="s">
        <v>40</v>
      </c>
      <c r="V136" s="1">
        <v>43063</v>
      </c>
      <c r="W136">
        <v>0</v>
      </c>
      <c r="X136">
        <v>6</v>
      </c>
      <c r="Y136" t="s">
        <v>83</v>
      </c>
      <c r="Z136" t="s">
        <v>407</v>
      </c>
      <c r="AA136" t="s">
        <v>42</v>
      </c>
      <c r="AB136" t="s">
        <v>43</v>
      </c>
      <c r="AC136" t="s">
        <v>42</v>
      </c>
      <c r="AE136" t="s">
        <v>408</v>
      </c>
    </row>
    <row r="137" spans="1:31" x14ac:dyDescent="0.4">
      <c r="A137" t="s">
        <v>27</v>
      </c>
      <c r="B137">
        <v>195</v>
      </c>
      <c r="C137" t="s">
        <v>95</v>
      </c>
      <c r="E137" t="s">
        <v>195</v>
      </c>
      <c r="F137" t="s">
        <v>398</v>
      </c>
      <c r="G137" t="s">
        <v>399</v>
      </c>
      <c r="H137" t="s">
        <v>400</v>
      </c>
      <c r="I137" t="s">
        <v>401</v>
      </c>
      <c r="J137" t="s">
        <v>402</v>
      </c>
      <c r="K137" t="s">
        <v>73</v>
      </c>
      <c r="L137" t="s">
        <v>403</v>
      </c>
      <c r="M137" t="s">
        <v>35</v>
      </c>
      <c r="N137">
        <v>7799071166</v>
      </c>
      <c r="O137" t="s">
        <v>404</v>
      </c>
      <c r="P137" t="s">
        <v>95</v>
      </c>
      <c r="R137" t="s">
        <v>417</v>
      </c>
      <c r="S137" t="s">
        <v>418</v>
      </c>
      <c r="T137" t="s">
        <v>58</v>
      </c>
      <c r="U137" t="s">
        <v>40</v>
      </c>
      <c r="V137" s="1">
        <v>45015</v>
      </c>
      <c r="W137">
        <v>0</v>
      </c>
      <c r="X137">
        <v>0</v>
      </c>
      <c r="Y137" t="s">
        <v>59</v>
      </c>
      <c r="Z137" t="s">
        <v>407</v>
      </c>
      <c r="AA137" t="s">
        <v>42</v>
      </c>
      <c r="AB137" t="s">
        <v>43</v>
      </c>
      <c r="AC137" t="s">
        <v>42</v>
      </c>
      <c r="AD137" t="s">
        <v>408</v>
      </c>
    </row>
    <row r="138" spans="1:31" x14ac:dyDescent="0.4">
      <c r="A138" t="s">
        <v>27</v>
      </c>
      <c r="B138">
        <v>195</v>
      </c>
      <c r="C138" t="s">
        <v>95</v>
      </c>
      <c r="E138" t="s">
        <v>195</v>
      </c>
      <c r="F138" t="s">
        <v>398</v>
      </c>
      <c r="G138" t="s">
        <v>399</v>
      </c>
      <c r="H138" t="s">
        <v>400</v>
      </c>
      <c r="I138" t="s">
        <v>401</v>
      </c>
      <c r="J138" t="s">
        <v>402</v>
      </c>
      <c r="K138" t="s">
        <v>73</v>
      </c>
      <c r="L138" t="s">
        <v>403</v>
      </c>
      <c r="M138" t="s">
        <v>35</v>
      </c>
      <c r="N138">
        <v>7799071166</v>
      </c>
      <c r="O138" t="s">
        <v>404</v>
      </c>
      <c r="P138" t="s">
        <v>95</v>
      </c>
      <c r="R138" t="s">
        <v>419</v>
      </c>
      <c r="S138" t="s">
        <v>420</v>
      </c>
      <c r="T138" t="s">
        <v>232</v>
      </c>
      <c r="U138" t="s">
        <v>40</v>
      </c>
      <c r="V138" s="1">
        <v>43063</v>
      </c>
      <c r="W138">
        <v>0</v>
      </c>
      <c r="X138">
        <v>0</v>
      </c>
      <c r="Y138" t="s">
        <v>59</v>
      </c>
      <c r="Z138" t="s">
        <v>407</v>
      </c>
      <c r="AA138" t="s">
        <v>42</v>
      </c>
      <c r="AB138" t="s">
        <v>43</v>
      </c>
      <c r="AC138" t="s">
        <v>42</v>
      </c>
      <c r="AD138" t="s">
        <v>408</v>
      </c>
    </row>
    <row r="139" spans="1:31" x14ac:dyDescent="0.4">
      <c r="A139" t="s">
        <v>27</v>
      </c>
      <c r="B139">
        <v>195</v>
      </c>
      <c r="C139" t="s">
        <v>95</v>
      </c>
      <c r="E139" t="s">
        <v>195</v>
      </c>
      <c r="F139" t="s">
        <v>398</v>
      </c>
      <c r="G139" t="s">
        <v>399</v>
      </c>
      <c r="H139" t="s">
        <v>400</v>
      </c>
      <c r="I139" t="s">
        <v>401</v>
      </c>
      <c r="J139" t="s">
        <v>402</v>
      </c>
      <c r="K139" t="s">
        <v>73</v>
      </c>
      <c r="L139" t="s">
        <v>403</v>
      </c>
      <c r="M139" t="s">
        <v>35</v>
      </c>
      <c r="N139">
        <v>7799071166</v>
      </c>
      <c r="O139" t="s">
        <v>404</v>
      </c>
      <c r="P139" t="s">
        <v>95</v>
      </c>
      <c r="R139" t="s">
        <v>409</v>
      </c>
      <c r="S139" t="s">
        <v>410</v>
      </c>
      <c r="T139" t="s">
        <v>3062</v>
      </c>
      <c r="U139" t="s">
        <v>40</v>
      </c>
      <c r="V139" s="1">
        <v>41340</v>
      </c>
      <c r="W139">
        <v>0</v>
      </c>
      <c r="X139">
        <v>0</v>
      </c>
      <c r="Y139" t="s">
        <v>59</v>
      </c>
      <c r="Z139" t="s">
        <v>407</v>
      </c>
      <c r="AA139" t="s">
        <v>42</v>
      </c>
      <c r="AB139" t="s">
        <v>43</v>
      </c>
      <c r="AC139" t="s">
        <v>42</v>
      </c>
      <c r="AD139" t="s">
        <v>408</v>
      </c>
    </row>
    <row r="140" spans="1:31" x14ac:dyDescent="0.4">
      <c r="A140" t="s">
        <v>27</v>
      </c>
      <c r="B140">
        <v>195</v>
      </c>
      <c r="C140" t="s">
        <v>95</v>
      </c>
      <c r="E140" t="s">
        <v>195</v>
      </c>
      <c r="F140" t="s">
        <v>398</v>
      </c>
      <c r="G140" t="s">
        <v>399</v>
      </c>
      <c r="H140" t="s">
        <v>400</v>
      </c>
      <c r="I140" t="s">
        <v>401</v>
      </c>
      <c r="J140" t="s">
        <v>402</v>
      </c>
      <c r="K140" t="s">
        <v>73</v>
      </c>
      <c r="L140" t="s">
        <v>403</v>
      </c>
      <c r="M140" t="s">
        <v>35</v>
      </c>
      <c r="N140">
        <v>7799071166</v>
      </c>
      <c r="O140" t="s">
        <v>404</v>
      </c>
      <c r="P140" t="s">
        <v>95</v>
      </c>
      <c r="R140" t="s">
        <v>411</v>
      </c>
      <c r="S140" t="s">
        <v>412</v>
      </c>
      <c r="T140" t="s">
        <v>376</v>
      </c>
      <c r="U140" t="s">
        <v>82</v>
      </c>
      <c r="V140" s="1">
        <v>44603</v>
      </c>
      <c r="W140">
        <v>0</v>
      </c>
      <c r="X140">
        <v>0</v>
      </c>
      <c r="Y140" t="s">
        <v>59</v>
      </c>
      <c r="Z140" t="s">
        <v>407</v>
      </c>
      <c r="AA140" t="s">
        <v>42</v>
      </c>
      <c r="AB140" t="s">
        <v>43</v>
      </c>
      <c r="AC140" t="s">
        <v>42</v>
      </c>
      <c r="AD140" t="s">
        <v>408</v>
      </c>
    </row>
    <row r="141" spans="1:31" x14ac:dyDescent="0.4">
      <c r="A141" t="s">
        <v>27</v>
      </c>
      <c r="B141">
        <v>195</v>
      </c>
      <c r="C141" t="s">
        <v>95</v>
      </c>
      <c r="E141" t="s">
        <v>195</v>
      </c>
      <c r="F141" t="s">
        <v>398</v>
      </c>
      <c r="G141" t="s">
        <v>399</v>
      </c>
      <c r="H141" t="s">
        <v>400</v>
      </c>
      <c r="I141" t="s">
        <v>401</v>
      </c>
      <c r="J141" t="s">
        <v>402</v>
      </c>
      <c r="K141" t="s">
        <v>73</v>
      </c>
      <c r="L141" t="s">
        <v>403</v>
      </c>
      <c r="M141" t="s">
        <v>35</v>
      </c>
      <c r="N141">
        <v>7799071166</v>
      </c>
      <c r="O141" t="s">
        <v>404</v>
      </c>
      <c r="P141" t="s">
        <v>95</v>
      </c>
      <c r="R141" t="s">
        <v>414</v>
      </c>
      <c r="S141" t="s">
        <v>415</v>
      </c>
      <c r="T141" t="s">
        <v>416</v>
      </c>
      <c r="U141" t="s">
        <v>82</v>
      </c>
      <c r="V141" s="1">
        <v>42809</v>
      </c>
      <c r="W141">
        <v>0</v>
      </c>
      <c r="X141">
        <v>0</v>
      </c>
      <c r="Y141" t="s">
        <v>59</v>
      </c>
      <c r="Z141" t="s">
        <v>407</v>
      </c>
      <c r="AA141" t="s">
        <v>42</v>
      </c>
      <c r="AB141" t="s">
        <v>43</v>
      </c>
      <c r="AC141" t="s">
        <v>42</v>
      </c>
      <c r="AD141" t="s">
        <v>408</v>
      </c>
    </row>
    <row r="142" spans="1:31" x14ac:dyDescent="0.4">
      <c r="A142" t="s">
        <v>27</v>
      </c>
      <c r="B142">
        <v>195</v>
      </c>
      <c r="C142" t="s">
        <v>95</v>
      </c>
      <c r="E142" t="s">
        <v>195</v>
      </c>
      <c r="F142" t="s">
        <v>398</v>
      </c>
      <c r="G142" t="s">
        <v>399</v>
      </c>
      <c r="H142" t="s">
        <v>400</v>
      </c>
      <c r="I142" t="s">
        <v>401</v>
      </c>
      <c r="J142" t="s">
        <v>402</v>
      </c>
      <c r="K142" t="s">
        <v>73</v>
      </c>
      <c r="L142" t="s">
        <v>403</v>
      </c>
      <c r="M142" t="s">
        <v>35</v>
      </c>
      <c r="N142">
        <v>7799071166</v>
      </c>
      <c r="O142" t="s">
        <v>404</v>
      </c>
      <c r="P142" t="s">
        <v>95</v>
      </c>
      <c r="R142" t="s">
        <v>405</v>
      </c>
      <c r="S142" t="s">
        <v>406</v>
      </c>
      <c r="T142" t="s">
        <v>94</v>
      </c>
      <c r="U142" t="s">
        <v>40</v>
      </c>
      <c r="V142" s="1">
        <v>41884</v>
      </c>
      <c r="W142">
        <v>0</v>
      </c>
      <c r="X142">
        <v>0</v>
      </c>
      <c r="Y142" t="s">
        <v>59</v>
      </c>
      <c r="Z142" t="s">
        <v>407</v>
      </c>
      <c r="AA142" t="s">
        <v>42</v>
      </c>
      <c r="AB142" t="s">
        <v>43</v>
      </c>
      <c r="AC142" t="s">
        <v>42</v>
      </c>
      <c r="AD142" t="s">
        <v>408</v>
      </c>
    </row>
    <row r="143" spans="1:31" x14ac:dyDescent="0.4">
      <c r="A143" t="s">
        <v>27</v>
      </c>
      <c r="B143">
        <v>4494</v>
      </c>
      <c r="C143" t="s">
        <v>2918</v>
      </c>
      <c r="D143">
        <v>46</v>
      </c>
      <c r="E143" t="s">
        <v>195</v>
      </c>
      <c r="F143" t="s">
        <v>421</v>
      </c>
      <c r="G143" t="s">
        <v>422</v>
      </c>
      <c r="H143" t="s">
        <v>423</v>
      </c>
      <c r="I143" t="s">
        <v>424</v>
      </c>
      <c r="J143" t="s">
        <v>425</v>
      </c>
      <c r="K143" t="s">
        <v>426</v>
      </c>
      <c r="L143" t="s">
        <v>427</v>
      </c>
      <c r="M143" t="s">
        <v>35</v>
      </c>
      <c r="N143" t="s">
        <v>428</v>
      </c>
      <c r="O143" t="s">
        <v>429</v>
      </c>
      <c r="P143" t="s">
        <v>3071</v>
      </c>
      <c r="R143" t="s">
        <v>431</v>
      </c>
      <c r="S143" t="s">
        <v>432</v>
      </c>
      <c r="T143" t="s">
        <v>58</v>
      </c>
      <c r="U143" t="s">
        <v>40</v>
      </c>
      <c r="V143" s="1">
        <v>43668</v>
      </c>
      <c r="W143">
        <v>0</v>
      </c>
      <c r="X143">
        <v>7</v>
      </c>
      <c r="AA143" t="s">
        <v>42</v>
      </c>
      <c r="AB143" t="s">
        <v>43</v>
      </c>
      <c r="AC143" t="s">
        <v>43</v>
      </c>
    </row>
    <row r="144" spans="1:31" x14ac:dyDescent="0.4">
      <c r="A144" t="s">
        <v>27</v>
      </c>
      <c r="B144">
        <v>4494</v>
      </c>
      <c r="C144" t="s">
        <v>2918</v>
      </c>
      <c r="E144" t="s">
        <v>195</v>
      </c>
      <c r="F144" t="s">
        <v>421</v>
      </c>
      <c r="G144" t="s">
        <v>422</v>
      </c>
      <c r="H144" t="s">
        <v>423</v>
      </c>
      <c r="I144" t="s">
        <v>424</v>
      </c>
      <c r="J144" t="s">
        <v>425</v>
      </c>
      <c r="K144" t="s">
        <v>426</v>
      </c>
      <c r="L144" t="s">
        <v>427</v>
      </c>
      <c r="M144" t="s">
        <v>35</v>
      </c>
      <c r="N144" t="s">
        <v>428</v>
      </c>
      <c r="O144" t="s">
        <v>429</v>
      </c>
      <c r="P144" t="s">
        <v>430</v>
      </c>
      <c r="R144" t="s">
        <v>433</v>
      </c>
      <c r="S144" t="s">
        <v>434</v>
      </c>
      <c r="T144" t="s">
        <v>58</v>
      </c>
      <c r="U144" t="s">
        <v>40</v>
      </c>
      <c r="V144" s="1">
        <v>42210</v>
      </c>
      <c r="W144">
        <v>0</v>
      </c>
      <c r="X144">
        <v>0</v>
      </c>
      <c r="Y144" t="s">
        <v>59</v>
      </c>
      <c r="AA144" t="s">
        <v>42</v>
      </c>
      <c r="AB144" t="s">
        <v>43</v>
      </c>
      <c r="AC144" t="s">
        <v>43</v>
      </c>
    </row>
    <row r="145" spans="1:29" x14ac:dyDescent="0.4">
      <c r="A145" t="s">
        <v>27</v>
      </c>
      <c r="B145">
        <v>4494</v>
      </c>
      <c r="C145" t="s">
        <v>2918</v>
      </c>
      <c r="D145">
        <v>46</v>
      </c>
      <c r="E145" t="s">
        <v>195</v>
      </c>
      <c r="F145" t="s">
        <v>421</v>
      </c>
      <c r="G145" t="s">
        <v>422</v>
      </c>
      <c r="H145" t="s">
        <v>423</v>
      </c>
      <c r="I145" t="s">
        <v>424</v>
      </c>
      <c r="J145" t="s">
        <v>425</v>
      </c>
      <c r="K145" t="s">
        <v>426</v>
      </c>
      <c r="L145" t="s">
        <v>427</v>
      </c>
      <c r="M145" t="s">
        <v>35</v>
      </c>
      <c r="N145" t="s">
        <v>428</v>
      </c>
      <c r="O145" t="s">
        <v>429</v>
      </c>
      <c r="P145" t="s">
        <v>3071</v>
      </c>
      <c r="R145" t="s">
        <v>431</v>
      </c>
      <c r="S145" t="s">
        <v>432</v>
      </c>
      <c r="T145" t="s">
        <v>58</v>
      </c>
      <c r="U145" t="s">
        <v>40</v>
      </c>
      <c r="V145" s="1">
        <v>43668</v>
      </c>
      <c r="W145">
        <v>0</v>
      </c>
      <c r="X145">
        <v>20</v>
      </c>
      <c r="AA145" t="s">
        <v>42</v>
      </c>
      <c r="AB145" t="s">
        <v>43</v>
      </c>
      <c r="AC145" t="s">
        <v>43</v>
      </c>
    </row>
    <row r="146" spans="1:29" x14ac:dyDescent="0.4">
      <c r="A146" t="s">
        <v>27</v>
      </c>
      <c r="B146">
        <v>2410</v>
      </c>
      <c r="C146" t="s">
        <v>2919</v>
      </c>
      <c r="D146">
        <v>47</v>
      </c>
      <c r="E146" t="s">
        <v>68</v>
      </c>
      <c r="F146" t="s">
        <v>435</v>
      </c>
      <c r="G146" t="s">
        <v>436</v>
      </c>
      <c r="H146" t="s">
        <v>437</v>
      </c>
      <c r="I146" t="s">
        <v>438</v>
      </c>
      <c r="J146" t="s">
        <v>439</v>
      </c>
      <c r="K146" t="s">
        <v>215</v>
      </c>
      <c r="L146" t="s">
        <v>440</v>
      </c>
      <c r="M146" t="s">
        <v>35</v>
      </c>
      <c r="N146" t="s">
        <v>441</v>
      </c>
      <c r="O146" t="s">
        <v>442</v>
      </c>
      <c r="P146" t="s">
        <v>2919</v>
      </c>
      <c r="R146" t="s">
        <v>443</v>
      </c>
      <c r="S146" t="s">
        <v>444</v>
      </c>
      <c r="T146" t="s">
        <v>284</v>
      </c>
      <c r="U146" t="s">
        <v>40</v>
      </c>
      <c r="V146" s="1">
        <v>43532</v>
      </c>
      <c r="W146">
        <v>0</v>
      </c>
      <c r="X146">
        <v>18</v>
      </c>
      <c r="AA146" t="s">
        <v>42</v>
      </c>
      <c r="AB146" t="s">
        <v>43</v>
      </c>
      <c r="AC146" t="s">
        <v>42</v>
      </c>
    </row>
    <row r="147" spans="1:29" x14ac:dyDescent="0.4">
      <c r="A147" t="s">
        <v>27</v>
      </c>
      <c r="B147">
        <v>2941</v>
      </c>
      <c r="C147" t="s">
        <v>2920</v>
      </c>
      <c r="D147">
        <v>48</v>
      </c>
      <c r="E147" t="s">
        <v>68</v>
      </c>
      <c r="F147" t="s">
        <v>445</v>
      </c>
      <c r="G147" t="s">
        <v>446</v>
      </c>
      <c r="H147" t="s">
        <v>447</v>
      </c>
      <c r="I147" t="s">
        <v>448</v>
      </c>
      <c r="J147" t="s">
        <v>449</v>
      </c>
      <c r="K147" t="s">
        <v>226</v>
      </c>
      <c r="L147" t="s">
        <v>450</v>
      </c>
      <c r="M147" t="s">
        <v>35</v>
      </c>
      <c r="N147">
        <v>2083644140</v>
      </c>
      <c r="O147" t="s">
        <v>451</v>
      </c>
      <c r="P147" t="s">
        <v>3072</v>
      </c>
      <c r="R147" t="s">
        <v>453</v>
      </c>
      <c r="S147" t="s">
        <v>454</v>
      </c>
      <c r="T147" t="s">
        <v>169</v>
      </c>
      <c r="U147" t="s">
        <v>40</v>
      </c>
      <c r="V147" s="1">
        <v>43277</v>
      </c>
      <c r="W147">
        <v>0</v>
      </c>
      <c r="X147">
        <v>6</v>
      </c>
      <c r="Y147" t="s">
        <v>83</v>
      </c>
      <c r="AA147" t="s">
        <v>42</v>
      </c>
      <c r="AB147" t="s">
        <v>43</v>
      </c>
      <c r="AC147" t="s">
        <v>43</v>
      </c>
    </row>
    <row r="148" spans="1:29" x14ac:dyDescent="0.4">
      <c r="A148" t="s">
        <v>27</v>
      </c>
      <c r="B148">
        <v>2941</v>
      </c>
      <c r="C148" t="s">
        <v>2920</v>
      </c>
      <c r="E148" t="s">
        <v>68</v>
      </c>
      <c r="F148" t="s">
        <v>445</v>
      </c>
      <c r="G148" t="s">
        <v>446</v>
      </c>
      <c r="H148" t="s">
        <v>447</v>
      </c>
      <c r="I148" t="s">
        <v>448</v>
      </c>
      <c r="J148" t="s">
        <v>449</v>
      </c>
      <c r="K148" t="s">
        <v>226</v>
      </c>
      <c r="L148" t="s">
        <v>450</v>
      </c>
      <c r="M148" t="s">
        <v>35</v>
      </c>
      <c r="N148">
        <v>2083644140</v>
      </c>
      <c r="O148" t="s">
        <v>451</v>
      </c>
      <c r="P148" t="s">
        <v>452</v>
      </c>
      <c r="R148" t="s">
        <v>453</v>
      </c>
      <c r="S148" t="s">
        <v>454</v>
      </c>
      <c r="T148" t="s">
        <v>169</v>
      </c>
      <c r="U148" t="s">
        <v>40</v>
      </c>
      <c r="V148" s="1">
        <v>43277</v>
      </c>
      <c r="W148">
        <v>0</v>
      </c>
      <c r="X148">
        <v>0</v>
      </c>
      <c r="Y148" t="s">
        <v>59</v>
      </c>
      <c r="AA148" t="s">
        <v>42</v>
      </c>
      <c r="AB148" t="s">
        <v>43</v>
      </c>
      <c r="AC148" t="s">
        <v>43</v>
      </c>
    </row>
    <row r="149" spans="1:29" x14ac:dyDescent="0.4">
      <c r="A149" t="s">
        <v>27</v>
      </c>
      <c r="B149">
        <v>2952</v>
      </c>
      <c r="C149" t="s">
        <v>461</v>
      </c>
      <c r="D149">
        <v>49</v>
      </c>
      <c r="E149" t="s">
        <v>68</v>
      </c>
      <c r="F149" t="s">
        <v>211</v>
      </c>
      <c r="G149" t="s">
        <v>455</v>
      </c>
      <c r="H149" t="s">
        <v>456</v>
      </c>
      <c r="I149" t="s">
        <v>457</v>
      </c>
      <c r="J149" t="s">
        <v>458</v>
      </c>
      <c r="K149" t="s">
        <v>73</v>
      </c>
      <c r="L149" t="s">
        <v>459</v>
      </c>
      <c r="M149" t="s">
        <v>35</v>
      </c>
      <c r="N149">
        <v>1737765745</v>
      </c>
      <c r="O149" t="s">
        <v>460</v>
      </c>
      <c r="P149" t="s">
        <v>461</v>
      </c>
      <c r="R149" t="s">
        <v>462</v>
      </c>
      <c r="S149" t="s">
        <v>463</v>
      </c>
      <c r="T149" t="s">
        <v>58</v>
      </c>
      <c r="U149" t="s">
        <v>40</v>
      </c>
      <c r="V149" s="1">
        <v>43843</v>
      </c>
      <c r="W149">
        <v>0</v>
      </c>
      <c r="X149">
        <v>6</v>
      </c>
      <c r="Y149" t="s">
        <v>83</v>
      </c>
      <c r="Z149" t="s">
        <v>464</v>
      </c>
      <c r="AA149" t="s">
        <v>42</v>
      </c>
      <c r="AB149" t="s">
        <v>43</v>
      </c>
      <c r="AC149" t="s">
        <v>42</v>
      </c>
    </row>
    <row r="150" spans="1:29" x14ac:dyDescent="0.4">
      <c r="A150" t="s">
        <v>27</v>
      </c>
      <c r="B150">
        <v>2952</v>
      </c>
      <c r="C150" t="s">
        <v>461</v>
      </c>
      <c r="D150">
        <v>49</v>
      </c>
      <c r="E150" t="s">
        <v>68</v>
      </c>
      <c r="F150" t="s">
        <v>211</v>
      </c>
      <c r="G150" t="s">
        <v>455</v>
      </c>
      <c r="H150" t="s">
        <v>456</v>
      </c>
      <c r="I150" t="s">
        <v>457</v>
      </c>
      <c r="J150" t="s">
        <v>458</v>
      </c>
      <c r="K150" t="s">
        <v>73</v>
      </c>
      <c r="L150" t="s">
        <v>459</v>
      </c>
      <c r="M150" t="s">
        <v>35</v>
      </c>
      <c r="N150">
        <v>1737765745</v>
      </c>
      <c r="O150" t="s">
        <v>460</v>
      </c>
      <c r="P150" t="s">
        <v>461</v>
      </c>
      <c r="R150" t="s">
        <v>462</v>
      </c>
      <c r="S150" t="s">
        <v>463</v>
      </c>
      <c r="T150" t="s">
        <v>58</v>
      </c>
      <c r="U150" t="s">
        <v>40</v>
      </c>
      <c r="V150" s="1">
        <v>43843</v>
      </c>
      <c r="W150">
        <v>0</v>
      </c>
      <c r="X150">
        <v>7</v>
      </c>
      <c r="Z150" t="s">
        <v>464</v>
      </c>
      <c r="AA150" t="s">
        <v>42</v>
      </c>
      <c r="AB150" t="s">
        <v>43</v>
      </c>
      <c r="AC150" t="s">
        <v>42</v>
      </c>
    </row>
    <row r="151" spans="1:29" x14ac:dyDescent="0.4">
      <c r="A151" t="s">
        <v>27</v>
      </c>
      <c r="B151">
        <v>2952</v>
      </c>
      <c r="C151" t="s">
        <v>461</v>
      </c>
      <c r="D151">
        <v>49</v>
      </c>
      <c r="E151" t="s">
        <v>68</v>
      </c>
      <c r="F151" t="s">
        <v>211</v>
      </c>
      <c r="G151" t="s">
        <v>455</v>
      </c>
      <c r="H151" t="s">
        <v>456</v>
      </c>
      <c r="I151" t="s">
        <v>457</v>
      </c>
      <c r="J151" t="s">
        <v>458</v>
      </c>
      <c r="K151" t="s">
        <v>73</v>
      </c>
      <c r="L151" t="s">
        <v>459</v>
      </c>
      <c r="M151" t="s">
        <v>35</v>
      </c>
      <c r="N151">
        <v>1737765745</v>
      </c>
      <c r="O151" t="s">
        <v>460</v>
      </c>
      <c r="P151" t="s">
        <v>461</v>
      </c>
      <c r="R151" t="s">
        <v>462</v>
      </c>
      <c r="S151" t="s">
        <v>463</v>
      </c>
      <c r="T151" t="s">
        <v>58</v>
      </c>
      <c r="U151" t="s">
        <v>40</v>
      </c>
      <c r="V151" s="1">
        <v>43843</v>
      </c>
      <c r="W151">
        <v>0</v>
      </c>
      <c r="X151">
        <v>16</v>
      </c>
      <c r="Z151" t="s">
        <v>464</v>
      </c>
      <c r="AA151" t="s">
        <v>42</v>
      </c>
      <c r="AB151" t="s">
        <v>43</v>
      </c>
      <c r="AC151" t="s">
        <v>42</v>
      </c>
    </row>
    <row r="152" spans="1:29" x14ac:dyDescent="0.4">
      <c r="A152" t="s">
        <v>27</v>
      </c>
      <c r="B152">
        <v>2952</v>
      </c>
      <c r="C152" t="s">
        <v>461</v>
      </c>
      <c r="D152">
        <v>49</v>
      </c>
      <c r="E152" t="s">
        <v>68</v>
      </c>
      <c r="F152" t="s">
        <v>211</v>
      </c>
      <c r="G152" t="s">
        <v>455</v>
      </c>
      <c r="H152" t="s">
        <v>456</v>
      </c>
      <c r="I152" t="s">
        <v>457</v>
      </c>
      <c r="J152" t="s">
        <v>458</v>
      </c>
      <c r="K152" t="s">
        <v>73</v>
      </c>
      <c r="L152" t="s">
        <v>459</v>
      </c>
      <c r="M152" t="s">
        <v>35</v>
      </c>
      <c r="N152">
        <v>1737765745</v>
      </c>
      <c r="O152" t="s">
        <v>460</v>
      </c>
      <c r="P152" t="s">
        <v>461</v>
      </c>
      <c r="R152" t="s">
        <v>462</v>
      </c>
      <c r="S152" t="s">
        <v>463</v>
      </c>
      <c r="T152" t="s">
        <v>58</v>
      </c>
      <c r="U152" t="s">
        <v>40</v>
      </c>
      <c r="V152" s="1">
        <v>43843</v>
      </c>
      <c r="W152">
        <v>0</v>
      </c>
      <c r="X152">
        <v>18</v>
      </c>
      <c r="Z152" t="s">
        <v>464</v>
      </c>
      <c r="AA152" t="s">
        <v>42</v>
      </c>
      <c r="AB152" t="s">
        <v>43</v>
      </c>
      <c r="AC152" t="s">
        <v>42</v>
      </c>
    </row>
    <row r="153" spans="1:29" x14ac:dyDescent="0.4">
      <c r="A153" t="s">
        <v>27</v>
      </c>
      <c r="B153">
        <v>5543</v>
      </c>
      <c r="C153" t="s">
        <v>2921</v>
      </c>
      <c r="D153">
        <v>50</v>
      </c>
      <c r="E153" t="s">
        <v>68</v>
      </c>
      <c r="F153" t="s">
        <v>465</v>
      </c>
      <c r="G153" t="s">
        <v>466</v>
      </c>
      <c r="H153" t="s">
        <v>467</v>
      </c>
      <c r="I153" t="s">
        <v>468</v>
      </c>
      <c r="J153" t="s">
        <v>50</v>
      </c>
      <c r="K153" t="s">
        <v>51</v>
      </c>
      <c r="L153" t="s">
        <v>469</v>
      </c>
      <c r="M153" t="s">
        <v>35</v>
      </c>
      <c r="N153">
        <v>7989308731</v>
      </c>
      <c r="O153" t="s">
        <v>470</v>
      </c>
      <c r="P153" t="s">
        <v>2921</v>
      </c>
      <c r="R153" t="s">
        <v>472</v>
      </c>
      <c r="S153" t="s">
        <v>473</v>
      </c>
      <c r="T153" t="s">
        <v>474</v>
      </c>
      <c r="U153" t="s">
        <v>82</v>
      </c>
      <c r="V153" s="1">
        <v>43792</v>
      </c>
      <c r="W153">
        <v>0</v>
      </c>
      <c r="X153">
        <v>3</v>
      </c>
      <c r="AA153" t="s">
        <v>42</v>
      </c>
      <c r="AB153" t="s">
        <v>43</v>
      </c>
      <c r="AC153" t="s">
        <v>43</v>
      </c>
    </row>
    <row r="154" spans="1:29" x14ac:dyDescent="0.4">
      <c r="A154" t="s">
        <v>27</v>
      </c>
      <c r="B154">
        <v>5543</v>
      </c>
      <c r="C154" t="s">
        <v>2921</v>
      </c>
      <c r="D154">
        <v>50</v>
      </c>
      <c r="E154" t="s">
        <v>68</v>
      </c>
      <c r="F154" t="s">
        <v>465</v>
      </c>
      <c r="G154" t="s">
        <v>466</v>
      </c>
      <c r="H154" t="s">
        <v>467</v>
      </c>
      <c r="I154" t="s">
        <v>468</v>
      </c>
      <c r="J154" t="s">
        <v>50</v>
      </c>
      <c r="K154" t="s">
        <v>51</v>
      </c>
      <c r="L154" t="s">
        <v>469</v>
      </c>
      <c r="M154" t="s">
        <v>35</v>
      </c>
      <c r="N154">
        <v>7989308731</v>
      </c>
      <c r="O154" t="s">
        <v>470</v>
      </c>
      <c r="P154" t="s">
        <v>2921</v>
      </c>
      <c r="R154" t="s">
        <v>472</v>
      </c>
      <c r="S154" t="s">
        <v>473</v>
      </c>
      <c r="T154" t="s">
        <v>474</v>
      </c>
      <c r="U154" t="s">
        <v>82</v>
      </c>
      <c r="V154" s="1">
        <v>43792</v>
      </c>
      <c r="W154">
        <v>0</v>
      </c>
      <c r="X154">
        <v>11</v>
      </c>
      <c r="AA154" t="s">
        <v>42</v>
      </c>
      <c r="AB154" t="s">
        <v>43</v>
      </c>
      <c r="AC154" t="s">
        <v>43</v>
      </c>
    </row>
    <row r="155" spans="1:29" x14ac:dyDescent="0.4">
      <c r="A155" t="s">
        <v>27</v>
      </c>
      <c r="B155">
        <v>5543</v>
      </c>
      <c r="C155" t="s">
        <v>2921</v>
      </c>
      <c r="D155">
        <v>51</v>
      </c>
      <c r="E155" t="s">
        <v>68</v>
      </c>
      <c r="F155" t="s">
        <v>465</v>
      </c>
      <c r="G155" t="s">
        <v>466</v>
      </c>
      <c r="H155" t="s">
        <v>467</v>
      </c>
      <c r="I155" t="s">
        <v>468</v>
      </c>
      <c r="J155" t="s">
        <v>50</v>
      </c>
      <c r="K155" t="s">
        <v>51</v>
      </c>
      <c r="L155" t="s">
        <v>469</v>
      </c>
      <c r="M155" t="s">
        <v>35</v>
      </c>
      <c r="N155">
        <v>7989308731</v>
      </c>
      <c r="O155" t="s">
        <v>470</v>
      </c>
      <c r="P155" t="s">
        <v>2921</v>
      </c>
      <c r="R155" t="s">
        <v>475</v>
      </c>
      <c r="S155" t="s">
        <v>476</v>
      </c>
      <c r="T155" t="s">
        <v>474</v>
      </c>
      <c r="U155" t="s">
        <v>40</v>
      </c>
      <c r="V155" s="1">
        <v>42893</v>
      </c>
      <c r="W155">
        <v>0</v>
      </c>
      <c r="X155">
        <v>3</v>
      </c>
      <c r="AA155" t="s">
        <v>42</v>
      </c>
      <c r="AB155" t="s">
        <v>43</v>
      </c>
      <c r="AC155" t="s">
        <v>43</v>
      </c>
    </row>
    <row r="156" spans="1:29" x14ac:dyDescent="0.4">
      <c r="A156" t="s">
        <v>27</v>
      </c>
      <c r="B156">
        <v>5543</v>
      </c>
      <c r="C156" t="s">
        <v>2921</v>
      </c>
      <c r="D156">
        <v>51</v>
      </c>
      <c r="E156" t="s">
        <v>68</v>
      </c>
      <c r="F156" t="s">
        <v>465</v>
      </c>
      <c r="G156" t="s">
        <v>466</v>
      </c>
      <c r="H156" t="s">
        <v>467</v>
      </c>
      <c r="I156" t="s">
        <v>468</v>
      </c>
      <c r="J156" t="s">
        <v>50</v>
      </c>
      <c r="K156" t="s">
        <v>51</v>
      </c>
      <c r="L156" t="s">
        <v>469</v>
      </c>
      <c r="M156" t="s">
        <v>35</v>
      </c>
      <c r="N156">
        <v>7989308731</v>
      </c>
      <c r="O156" t="s">
        <v>470</v>
      </c>
      <c r="P156" t="s">
        <v>2921</v>
      </c>
      <c r="R156" t="s">
        <v>475</v>
      </c>
      <c r="S156" t="s">
        <v>476</v>
      </c>
      <c r="T156" t="s">
        <v>474</v>
      </c>
      <c r="U156" t="s">
        <v>40</v>
      </c>
      <c r="V156" s="1">
        <v>42893</v>
      </c>
      <c r="W156">
        <v>0</v>
      </c>
      <c r="X156">
        <v>11</v>
      </c>
      <c r="AA156" t="s">
        <v>42</v>
      </c>
      <c r="AB156" t="s">
        <v>43</v>
      </c>
      <c r="AC156" t="s">
        <v>43</v>
      </c>
    </row>
    <row r="157" spans="1:29" x14ac:dyDescent="0.4">
      <c r="A157" t="s">
        <v>27</v>
      </c>
      <c r="B157">
        <v>5543</v>
      </c>
      <c r="C157" t="s">
        <v>2921</v>
      </c>
      <c r="E157" t="s">
        <v>68</v>
      </c>
      <c r="F157" t="s">
        <v>465</v>
      </c>
      <c r="G157" t="s">
        <v>466</v>
      </c>
      <c r="H157" t="s">
        <v>467</v>
      </c>
      <c r="I157" t="s">
        <v>468</v>
      </c>
      <c r="J157" t="s">
        <v>50</v>
      </c>
      <c r="K157" t="s">
        <v>51</v>
      </c>
      <c r="L157" t="s">
        <v>469</v>
      </c>
      <c r="M157" t="s">
        <v>35</v>
      </c>
      <c r="N157">
        <v>7989308731</v>
      </c>
      <c r="O157" t="s">
        <v>470</v>
      </c>
      <c r="P157" t="s">
        <v>471</v>
      </c>
      <c r="R157" t="s">
        <v>477</v>
      </c>
      <c r="S157" t="s">
        <v>478</v>
      </c>
      <c r="T157" t="s">
        <v>474</v>
      </c>
      <c r="U157" t="s">
        <v>40</v>
      </c>
      <c r="V157" s="1">
        <v>43792</v>
      </c>
      <c r="W157">
        <v>0</v>
      </c>
      <c r="X157">
        <v>0</v>
      </c>
      <c r="Y157" t="s">
        <v>59</v>
      </c>
      <c r="AA157" t="s">
        <v>42</v>
      </c>
      <c r="AB157" t="s">
        <v>43</v>
      </c>
      <c r="AC157" t="s">
        <v>43</v>
      </c>
    </row>
    <row r="158" spans="1:29" x14ac:dyDescent="0.4">
      <c r="A158" t="s">
        <v>27</v>
      </c>
      <c r="B158">
        <v>5543</v>
      </c>
      <c r="C158" t="s">
        <v>2921</v>
      </c>
      <c r="E158" t="s">
        <v>68</v>
      </c>
      <c r="F158" t="s">
        <v>465</v>
      </c>
      <c r="G158" t="s">
        <v>466</v>
      </c>
      <c r="H158" t="s">
        <v>467</v>
      </c>
      <c r="I158" t="s">
        <v>468</v>
      </c>
      <c r="J158" t="s">
        <v>50</v>
      </c>
      <c r="K158" t="s">
        <v>51</v>
      </c>
      <c r="L158" t="s">
        <v>469</v>
      </c>
      <c r="M158" t="s">
        <v>35</v>
      </c>
      <c r="N158">
        <v>7989308731</v>
      </c>
      <c r="O158" t="s">
        <v>470</v>
      </c>
      <c r="P158" t="s">
        <v>471</v>
      </c>
      <c r="R158" t="s">
        <v>479</v>
      </c>
      <c r="S158" t="s">
        <v>480</v>
      </c>
      <c r="T158" t="s">
        <v>474</v>
      </c>
      <c r="U158" t="s">
        <v>82</v>
      </c>
      <c r="V158" s="1">
        <v>41510</v>
      </c>
      <c r="W158">
        <v>0</v>
      </c>
      <c r="X158">
        <v>0</v>
      </c>
      <c r="Y158" t="s">
        <v>59</v>
      </c>
      <c r="AA158" t="s">
        <v>42</v>
      </c>
      <c r="AB158" t="s">
        <v>43</v>
      </c>
      <c r="AC158" t="s">
        <v>43</v>
      </c>
    </row>
    <row r="159" spans="1:29" x14ac:dyDescent="0.4">
      <c r="A159" t="s">
        <v>27</v>
      </c>
      <c r="B159">
        <v>5543</v>
      </c>
      <c r="C159" t="s">
        <v>2921</v>
      </c>
      <c r="E159" t="s">
        <v>68</v>
      </c>
      <c r="F159" t="s">
        <v>465</v>
      </c>
      <c r="G159" t="s">
        <v>466</v>
      </c>
      <c r="H159" t="s">
        <v>467</v>
      </c>
      <c r="I159" t="s">
        <v>468</v>
      </c>
      <c r="J159" t="s">
        <v>50</v>
      </c>
      <c r="K159" t="s">
        <v>51</v>
      </c>
      <c r="L159" t="s">
        <v>469</v>
      </c>
      <c r="M159" t="s">
        <v>35</v>
      </c>
      <c r="N159">
        <v>7989308731</v>
      </c>
      <c r="O159" t="s">
        <v>470</v>
      </c>
      <c r="P159" t="s">
        <v>471</v>
      </c>
      <c r="R159" t="s">
        <v>477</v>
      </c>
      <c r="S159" t="s">
        <v>478</v>
      </c>
      <c r="T159" t="s">
        <v>474</v>
      </c>
      <c r="U159" t="s">
        <v>40</v>
      </c>
      <c r="V159" s="1">
        <v>43792</v>
      </c>
      <c r="W159">
        <v>0</v>
      </c>
      <c r="X159">
        <v>0</v>
      </c>
      <c r="Y159" t="s">
        <v>59</v>
      </c>
      <c r="AA159" t="s">
        <v>42</v>
      </c>
      <c r="AB159" t="s">
        <v>43</v>
      </c>
      <c r="AC159" t="s">
        <v>43</v>
      </c>
    </row>
    <row r="160" spans="1:29" x14ac:dyDescent="0.4">
      <c r="A160" t="s">
        <v>27</v>
      </c>
      <c r="B160">
        <v>5543</v>
      </c>
      <c r="C160" t="s">
        <v>2921</v>
      </c>
      <c r="E160" t="s">
        <v>68</v>
      </c>
      <c r="F160" t="s">
        <v>465</v>
      </c>
      <c r="G160" t="s">
        <v>466</v>
      </c>
      <c r="H160" t="s">
        <v>467</v>
      </c>
      <c r="I160" t="s">
        <v>468</v>
      </c>
      <c r="J160" t="s">
        <v>50</v>
      </c>
      <c r="K160" t="s">
        <v>51</v>
      </c>
      <c r="L160" t="s">
        <v>469</v>
      </c>
      <c r="M160" t="s">
        <v>35</v>
      </c>
      <c r="N160">
        <v>7989308731</v>
      </c>
      <c r="O160" t="s">
        <v>470</v>
      </c>
      <c r="P160" t="s">
        <v>471</v>
      </c>
      <c r="R160" t="s">
        <v>479</v>
      </c>
      <c r="S160" t="s">
        <v>480</v>
      </c>
      <c r="T160" t="s">
        <v>474</v>
      </c>
      <c r="U160" t="s">
        <v>82</v>
      </c>
      <c r="V160" s="1">
        <v>41510</v>
      </c>
      <c r="W160">
        <v>0</v>
      </c>
      <c r="X160">
        <v>0</v>
      </c>
      <c r="Y160" t="s">
        <v>59</v>
      </c>
      <c r="AA160" t="s">
        <v>42</v>
      </c>
      <c r="AB160" t="s">
        <v>43</v>
      </c>
      <c r="AC160" t="s">
        <v>43</v>
      </c>
    </row>
    <row r="161" spans="1:30" x14ac:dyDescent="0.4">
      <c r="A161" t="s">
        <v>27</v>
      </c>
      <c r="B161">
        <v>5147</v>
      </c>
      <c r="C161" t="s">
        <v>2851</v>
      </c>
      <c r="D161">
        <v>52</v>
      </c>
      <c r="E161" t="s">
        <v>257</v>
      </c>
      <c r="F161" t="s">
        <v>481</v>
      </c>
      <c r="G161" t="s">
        <v>482</v>
      </c>
      <c r="H161" t="s">
        <v>483</v>
      </c>
      <c r="J161" t="s">
        <v>484</v>
      </c>
      <c r="K161" t="s">
        <v>242</v>
      </c>
      <c r="L161" t="s">
        <v>485</v>
      </c>
      <c r="M161" t="s">
        <v>35</v>
      </c>
      <c r="N161">
        <v>7527058454</v>
      </c>
      <c r="O161" t="s">
        <v>486</v>
      </c>
      <c r="P161" t="s">
        <v>2851</v>
      </c>
      <c r="R161" t="s">
        <v>487</v>
      </c>
      <c r="S161" t="s">
        <v>488</v>
      </c>
      <c r="T161" t="s">
        <v>1305</v>
      </c>
      <c r="U161" t="s">
        <v>82</v>
      </c>
      <c r="V161" s="1">
        <v>44597</v>
      </c>
      <c r="W161">
        <v>0</v>
      </c>
      <c r="X161">
        <v>3</v>
      </c>
      <c r="Z161" t="s">
        <v>407</v>
      </c>
      <c r="AA161" t="s">
        <v>42</v>
      </c>
      <c r="AB161" t="s">
        <v>43</v>
      </c>
      <c r="AC161" t="s">
        <v>42</v>
      </c>
    </row>
    <row r="162" spans="1:30" x14ac:dyDescent="0.4">
      <c r="A162" t="s">
        <v>27</v>
      </c>
      <c r="B162">
        <v>5147</v>
      </c>
      <c r="C162" t="s">
        <v>2851</v>
      </c>
      <c r="D162">
        <v>53</v>
      </c>
      <c r="E162" t="s">
        <v>257</v>
      </c>
      <c r="F162" t="s">
        <v>481</v>
      </c>
      <c r="G162" t="s">
        <v>482</v>
      </c>
      <c r="H162" t="s">
        <v>483</v>
      </c>
      <c r="J162" t="s">
        <v>484</v>
      </c>
      <c r="K162" t="s">
        <v>242</v>
      </c>
      <c r="L162" t="s">
        <v>485</v>
      </c>
      <c r="M162" t="s">
        <v>35</v>
      </c>
      <c r="N162">
        <v>7527058454</v>
      </c>
      <c r="O162" t="s">
        <v>486</v>
      </c>
      <c r="P162" t="s">
        <v>2851</v>
      </c>
      <c r="R162" t="s">
        <v>489</v>
      </c>
      <c r="S162" t="s">
        <v>490</v>
      </c>
      <c r="T162" t="s">
        <v>1498</v>
      </c>
      <c r="U162" t="s">
        <v>82</v>
      </c>
      <c r="V162" s="1">
        <v>43832</v>
      </c>
      <c r="W162">
        <v>0</v>
      </c>
      <c r="X162">
        <v>3</v>
      </c>
      <c r="Z162" t="s">
        <v>407</v>
      </c>
      <c r="AA162" t="s">
        <v>42</v>
      </c>
      <c r="AB162" t="s">
        <v>43</v>
      </c>
      <c r="AC162" t="s">
        <v>42</v>
      </c>
    </row>
    <row r="163" spans="1:30" x14ac:dyDescent="0.4">
      <c r="A163" t="s">
        <v>27</v>
      </c>
      <c r="B163">
        <v>5147</v>
      </c>
      <c r="C163" t="s">
        <v>2851</v>
      </c>
      <c r="D163">
        <v>53</v>
      </c>
      <c r="E163" t="s">
        <v>257</v>
      </c>
      <c r="F163" t="s">
        <v>481</v>
      </c>
      <c r="G163" t="s">
        <v>482</v>
      </c>
      <c r="H163" t="s">
        <v>483</v>
      </c>
      <c r="J163" t="s">
        <v>484</v>
      </c>
      <c r="K163" t="s">
        <v>242</v>
      </c>
      <c r="L163" t="s">
        <v>485</v>
      </c>
      <c r="M163" t="s">
        <v>35</v>
      </c>
      <c r="N163">
        <v>7527058454</v>
      </c>
      <c r="O163" t="s">
        <v>486</v>
      </c>
      <c r="P163" t="s">
        <v>2851</v>
      </c>
      <c r="R163" t="s">
        <v>489</v>
      </c>
      <c r="S163" t="s">
        <v>490</v>
      </c>
      <c r="T163" t="s">
        <v>1498</v>
      </c>
      <c r="U163" t="s">
        <v>82</v>
      </c>
      <c r="V163" s="1">
        <v>43832</v>
      </c>
      <c r="W163">
        <v>0</v>
      </c>
      <c r="X163">
        <v>4</v>
      </c>
      <c r="Y163" t="s">
        <v>65</v>
      </c>
      <c r="Z163" t="s">
        <v>407</v>
      </c>
      <c r="AA163" t="s">
        <v>42</v>
      </c>
      <c r="AB163" t="s">
        <v>43</v>
      </c>
      <c r="AC163" t="s">
        <v>42</v>
      </c>
    </row>
    <row r="164" spans="1:30" x14ac:dyDescent="0.4">
      <c r="A164" t="s">
        <v>27</v>
      </c>
      <c r="B164">
        <v>5147</v>
      </c>
      <c r="C164" t="s">
        <v>2851</v>
      </c>
      <c r="D164">
        <v>52</v>
      </c>
      <c r="E164" t="s">
        <v>257</v>
      </c>
      <c r="F164" t="s">
        <v>481</v>
      </c>
      <c r="G164" t="s">
        <v>482</v>
      </c>
      <c r="H164" t="s">
        <v>483</v>
      </c>
      <c r="J164" t="s">
        <v>484</v>
      </c>
      <c r="K164" t="s">
        <v>242</v>
      </c>
      <c r="L164" t="s">
        <v>485</v>
      </c>
      <c r="M164" t="s">
        <v>35</v>
      </c>
      <c r="N164">
        <v>7527058454</v>
      </c>
      <c r="O164" t="s">
        <v>486</v>
      </c>
      <c r="P164" t="s">
        <v>2851</v>
      </c>
      <c r="R164" t="s">
        <v>487</v>
      </c>
      <c r="S164" t="s">
        <v>488</v>
      </c>
      <c r="T164" t="s">
        <v>1305</v>
      </c>
      <c r="U164" t="s">
        <v>82</v>
      </c>
      <c r="V164" s="1">
        <v>44597</v>
      </c>
      <c r="W164">
        <v>0</v>
      </c>
      <c r="X164">
        <v>11</v>
      </c>
      <c r="Z164" t="s">
        <v>407</v>
      </c>
      <c r="AA164" t="s">
        <v>42</v>
      </c>
      <c r="AB164" t="s">
        <v>43</v>
      </c>
      <c r="AC164" t="s">
        <v>42</v>
      </c>
    </row>
    <row r="165" spans="1:30" x14ac:dyDescent="0.4">
      <c r="A165" t="s">
        <v>27</v>
      </c>
      <c r="B165">
        <v>5147</v>
      </c>
      <c r="C165" t="s">
        <v>2851</v>
      </c>
      <c r="D165">
        <v>53</v>
      </c>
      <c r="E165" t="s">
        <v>257</v>
      </c>
      <c r="F165" t="s">
        <v>481</v>
      </c>
      <c r="G165" t="s">
        <v>482</v>
      </c>
      <c r="H165" t="s">
        <v>483</v>
      </c>
      <c r="J165" t="s">
        <v>484</v>
      </c>
      <c r="K165" t="s">
        <v>242</v>
      </c>
      <c r="L165" t="s">
        <v>485</v>
      </c>
      <c r="M165" t="s">
        <v>35</v>
      </c>
      <c r="N165">
        <v>7527058454</v>
      </c>
      <c r="O165" t="s">
        <v>486</v>
      </c>
      <c r="P165" t="s">
        <v>2851</v>
      </c>
      <c r="R165" t="s">
        <v>489</v>
      </c>
      <c r="S165" t="s">
        <v>490</v>
      </c>
      <c r="T165" t="s">
        <v>1498</v>
      </c>
      <c r="U165" t="s">
        <v>82</v>
      </c>
      <c r="V165" s="1">
        <v>43832</v>
      </c>
      <c r="W165">
        <v>0</v>
      </c>
      <c r="X165">
        <v>11</v>
      </c>
      <c r="Z165" t="s">
        <v>407</v>
      </c>
      <c r="AA165" t="s">
        <v>42</v>
      </c>
      <c r="AB165" t="s">
        <v>43</v>
      </c>
      <c r="AC165" t="s">
        <v>42</v>
      </c>
    </row>
    <row r="166" spans="1:30" x14ac:dyDescent="0.4">
      <c r="A166" t="s">
        <v>27</v>
      </c>
      <c r="B166">
        <v>5147</v>
      </c>
      <c r="C166" t="s">
        <v>2851</v>
      </c>
      <c r="D166">
        <v>52</v>
      </c>
      <c r="E166" t="s">
        <v>257</v>
      </c>
      <c r="F166" t="s">
        <v>481</v>
      </c>
      <c r="G166" t="s">
        <v>482</v>
      </c>
      <c r="H166" t="s">
        <v>483</v>
      </c>
      <c r="J166" t="s">
        <v>484</v>
      </c>
      <c r="K166" t="s">
        <v>242</v>
      </c>
      <c r="L166" t="s">
        <v>485</v>
      </c>
      <c r="M166" t="s">
        <v>35</v>
      </c>
      <c r="N166">
        <v>7527058454</v>
      </c>
      <c r="O166" t="s">
        <v>486</v>
      </c>
      <c r="P166" t="s">
        <v>2851</v>
      </c>
      <c r="R166" t="s">
        <v>487</v>
      </c>
      <c r="S166" t="s">
        <v>488</v>
      </c>
      <c r="T166" t="s">
        <v>1305</v>
      </c>
      <c r="U166" t="s">
        <v>82</v>
      </c>
      <c r="V166" s="1">
        <v>44597</v>
      </c>
      <c r="W166">
        <v>0</v>
      </c>
      <c r="X166">
        <v>13</v>
      </c>
      <c r="Z166" t="s">
        <v>407</v>
      </c>
      <c r="AA166" t="s">
        <v>42</v>
      </c>
      <c r="AB166" t="s">
        <v>43</v>
      </c>
      <c r="AC166" t="s">
        <v>42</v>
      </c>
    </row>
    <row r="167" spans="1:30" x14ac:dyDescent="0.4">
      <c r="A167" t="s">
        <v>27</v>
      </c>
      <c r="B167">
        <v>5147</v>
      </c>
      <c r="C167" t="s">
        <v>2851</v>
      </c>
      <c r="D167">
        <v>52</v>
      </c>
      <c r="E167" t="s">
        <v>257</v>
      </c>
      <c r="F167" t="s">
        <v>481</v>
      </c>
      <c r="G167" t="s">
        <v>482</v>
      </c>
      <c r="H167" t="s">
        <v>483</v>
      </c>
      <c r="J167" t="s">
        <v>484</v>
      </c>
      <c r="K167" t="s">
        <v>242</v>
      </c>
      <c r="L167" t="s">
        <v>485</v>
      </c>
      <c r="M167" t="s">
        <v>35</v>
      </c>
      <c r="N167">
        <v>7527058454</v>
      </c>
      <c r="O167" t="s">
        <v>486</v>
      </c>
      <c r="P167" t="s">
        <v>2851</v>
      </c>
      <c r="R167" t="s">
        <v>487</v>
      </c>
      <c r="S167" t="s">
        <v>488</v>
      </c>
      <c r="T167" t="s">
        <v>1305</v>
      </c>
      <c r="U167" t="s">
        <v>82</v>
      </c>
      <c r="V167" s="1">
        <v>44597</v>
      </c>
      <c r="W167">
        <v>0</v>
      </c>
      <c r="X167">
        <v>4</v>
      </c>
      <c r="Y167" t="s">
        <v>65</v>
      </c>
      <c r="Z167" t="s">
        <v>407</v>
      </c>
      <c r="AA167" t="s">
        <v>42</v>
      </c>
      <c r="AB167" t="s">
        <v>43</v>
      </c>
      <c r="AC167" t="s">
        <v>42</v>
      </c>
    </row>
    <row r="168" spans="1:30" x14ac:dyDescent="0.4">
      <c r="A168" t="s">
        <v>27</v>
      </c>
      <c r="B168">
        <v>5147</v>
      </c>
      <c r="C168" t="s">
        <v>2851</v>
      </c>
      <c r="D168">
        <v>53</v>
      </c>
      <c r="E168" t="s">
        <v>257</v>
      </c>
      <c r="F168" t="s">
        <v>481</v>
      </c>
      <c r="G168" t="s">
        <v>482</v>
      </c>
      <c r="H168" t="s">
        <v>483</v>
      </c>
      <c r="J168" t="s">
        <v>484</v>
      </c>
      <c r="K168" t="s">
        <v>242</v>
      </c>
      <c r="L168" t="s">
        <v>485</v>
      </c>
      <c r="M168" t="s">
        <v>35</v>
      </c>
      <c r="N168">
        <v>7527058454</v>
      </c>
      <c r="O168" t="s">
        <v>486</v>
      </c>
      <c r="P168" t="s">
        <v>2851</v>
      </c>
      <c r="R168" t="s">
        <v>489</v>
      </c>
      <c r="S168" t="s">
        <v>490</v>
      </c>
      <c r="T168" t="s">
        <v>1498</v>
      </c>
      <c r="U168" t="s">
        <v>82</v>
      </c>
      <c r="V168" s="1">
        <v>43832</v>
      </c>
      <c r="W168">
        <v>0</v>
      </c>
      <c r="X168">
        <v>13</v>
      </c>
      <c r="Z168" t="s">
        <v>407</v>
      </c>
      <c r="AA168" t="s">
        <v>42</v>
      </c>
      <c r="AB168" t="s">
        <v>43</v>
      </c>
      <c r="AC168" t="s">
        <v>42</v>
      </c>
    </row>
    <row r="169" spans="1:30" x14ac:dyDescent="0.4">
      <c r="A169" t="s">
        <v>27</v>
      </c>
      <c r="B169">
        <v>213</v>
      </c>
      <c r="C169" t="s">
        <v>2852</v>
      </c>
      <c r="D169">
        <v>55</v>
      </c>
      <c r="E169" t="s">
        <v>68</v>
      </c>
      <c r="F169" t="s">
        <v>491</v>
      </c>
      <c r="G169" t="s">
        <v>492</v>
      </c>
      <c r="H169" t="s">
        <v>493</v>
      </c>
      <c r="J169" t="s">
        <v>494</v>
      </c>
      <c r="K169" t="s">
        <v>495</v>
      </c>
      <c r="L169" t="s">
        <v>496</v>
      </c>
      <c r="M169" t="s">
        <v>35</v>
      </c>
      <c r="N169">
        <v>1273696474</v>
      </c>
      <c r="O169" t="s">
        <v>497</v>
      </c>
      <c r="P169" t="s">
        <v>2852</v>
      </c>
      <c r="R169" t="s">
        <v>498</v>
      </c>
      <c r="S169" t="s">
        <v>499</v>
      </c>
      <c r="T169" t="s">
        <v>58</v>
      </c>
      <c r="U169" t="s">
        <v>40</v>
      </c>
      <c r="V169" s="1">
        <v>44951</v>
      </c>
      <c r="W169">
        <v>0</v>
      </c>
      <c r="X169">
        <v>3</v>
      </c>
      <c r="Z169" t="s">
        <v>135</v>
      </c>
      <c r="AA169" t="s">
        <v>42</v>
      </c>
      <c r="AB169" t="s">
        <v>43</v>
      </c>
      <c r="AC169" t="s">
        <v>43</v>
      </c>
    </row>
    <row r="170" spans="1:30" x14ac:dyDescent="0.4">
      <c r="A170" t="s">
        <v>27</v>
      </c>
      <c r="B170">
        <v>213</v>
      </c>
      <c r="C170" t="s">
        <v>2852</v>
      </c>
      <c r="D170">
        <v>55</v>
      </c>
      <c r="E170" t="s">
        <v>68</v>
      </c>
      <c r="F170" t="s">
        <v>491</v>
      </c>
      <c r="G170" t="s">
        <v>492</v>
      </c>
      <c r="H170" t="s">
        <v>493</v>
      </c>
      <c r="J170" t="s">
        <v>494</v>
      </c>
      <c r="K170" t="s">
        <v>495</v>
      </c>
      <c r="L170" t="s">
        <v>496</v>
      </c>
      <c r="M170" t="s">
        <v>35</v>
      </c>
      <c r="N170">
        <v>1273696474</v>
      </c>
      <c r="O170" t="s">
        <v>497</v>
      </c>
      <c r="P170" t="s">
        <v>2852</v>
      </c>
      <c r="R170" t="s">
        <v>498</v>
      </c>
      <c r="S170" t="s">
        <v>499</v>
      </c>
      <c r="T170" t="s">
        <v>58</v>
      </c>
      <c r="U170" t="s">
        <v>40</v>
      </c>
      <c r="V170" s="1">
        <v>44951</v>
      </c>
      <c r="W170">
        <v>0</v>
      </c>
      <c r="X170">
        <v>4</v>
      </c>
      <c r="Y170" t="s">
        <v>65</v>
      </c>
      <c r="Z170" t="s">
        <v>135</v>
      </c>
      <c r="AA170" t="s">
        <v>42</v>
      </c>
      <c r="AB170" t="s">
        <v>43</v>
      </c>
      <c r="AC170" t="s">
        <v>43</v>
      </c>
    </row>
    <row r="171" spans="1:30" x14ac:dyDescent="0.4">
      <c r="A171" t="s">
        <v>27</v>
      </c>
      <c r="B171">
        <v>213</v>
      </c>
      <c r="C171" t="s">
        <v>2852</v>
      </c>
      <c r="D171">
        <v>55</v>
      </c>
      <c r="E171" t="s">
        <v>68</v>
      </c>
      <c r="F171" t="s">
        <v>491</v>
      </c>
      <c r="G171" t="s">
        <v>492</v>
      </c>
      <c r="H171" t="s">
        <v>493</v>
      </c>
      <c r="J171" t="s">
        <v>494</v>
      </c>
      <c r="K171" t="s">
        <v>495</v>
      </c>
      <c r="L171" t="s">
        <v>496</v>
      </c>
      <c r="M171" t="s">
        <v>35</v>
      </c>
      <c r="N171">
        <v>1273696474</v>
      </c>
      <c r="O171" t="s">
        <v>497</v>
      </c>
      <c r="P171" t="s">
        <v>2852</v>
      </c>
      <c r="R171" t="s">
        <v>498</v>
      </c>
      <c r="S171" t="s">
        <v>499</v>
      </c>
      <c r="T171" t="s">
        <v>58</v>
      </c>
      <c r="U171" t="s">
        <v>40</v>
      </c>
      <c r="V171" s="1">
        <v>44951</v>
      </c>
      <c r="W171">
        <v>0</v>
      </c>
      <c r="X171">
        <v>11</v>
      </c>
      <c r="Z171" t="s">
        <v>135</v>
      </c>
      <c r="AA171" t="s">
        <v>42</v>
      </c>
      <c r="AB171" t="s">
        <v>43</v>
      </c>
      <c r="AC171" t="s">
        <v>43</v>
      </c>
    </row>
    <row r="172" spans="1:30" x14ac:dyDescent="0.4">
      <c r="A172" t="s">
        <v>27</v>
      </c>
      <c r="B172">
        <v>213</v>
      </c>
      <c r="C172" t="s">
        <v>2852</v>
      </c>
      <c r="D172">
        <v>55</v>
      </c>
      <c r="E172" t="s">
        <v>68</v>
      </c>
      <c r="F172" t="s">
        <v>491</v>
      </c>
      <c r="G172" t="s">
        <v>492</v>
      </c>
      <c r="H172" t="s">
        <v>493</v>
      </c>
      <c r="J172" t="s">
        <v>494</v>
      </c>
      <c r="K172" t="s">
        <v>495</v>
      </c>
      <c r="L172" t="s">
        <v>496</v>
      </c>
      <c r="M172" t="s">
        <v>35</v>
      </c>
      <c r="N172">
        <v>1273696474</v>
      </c>
      <c r="O172" t="s">
        <v>497</v>
      </c>
      <c r="P172" t="s">
        <v>2852</v>
      </c>
      <c r="R172" t="s">
        <v>498</v>
      </c>
      <c r="S172" t="s">
        <v>499</v>
      </c>
      <c r="T172" t="s">
        <v>58</v>
      </c>
      <c r="U172" t="s">
        <v>40</v>
      </c>
      <c r="V172" s="1">
        <v>44951</v>
      </c>
      <c r="W172">
        <v>0</v>
      </c>
      <c r="X172">
        <v>12</v>
      </c>
      <c r="Z172" t="s">
        <v>135</v>
      </c>
      <c r="AA172" t="s">
        <v>42</v>
      </c>
      <c r="AB172" t="s">
        <v>43</v>
      </c>
      <c r="AC172" t="s">
        <v>43</v>
      </c>
    </row>
    <row r="173" spans="1:30" ht="64" x14ac:dyDescent="0.4">
      <c r="A173" t="s">
        <v>27</v>
      </c>
      <c r="B173">
        <v>402</v>
      </c>
      <c r="C173" t="s">
        <v>2922</v>
      </c>
      <c r="E173" t="s">
        <v>68</v>
      </c>
      <c r="F173" t="s">
        <v>501</v>
      </c>
      <c r="G173" t="s">
        <v>502</v>
      </c>
      <c r="H173" t="s">
        <v>503</v>
      </c>
      <c r="I173" t="s">
        <v>504</v>
      </c>
      <c r="J173" t="s">
        <v>50</v>
      </c>
      <c r="K173" t="s">
        <v>51</v>
      </c>
      <c r="L173" t="s">
        <v>505</v>
      </c>
      <c r="M173" t="s">
        <v>35</v>
      </c>
      <c r="N173">
        <v>2380471430</v>
      </c>
      <c r="O173" t="s">
        <v>506</v>
      </c>
      <c r="P173" t="s">
        <v>66</v>
      </c>
      <c r="R173" t="s">
        <v>507</v>
      </c>
      <c r="S173" t="s">
        <v>508</v>
      </c>
      <c r="T173" t="s">
        <v>3061</v>
      </c>
      <c r="U173" t="s">
        <v>82</v>
      </c>
      <c r="V173" s="1">
        <v>44112</v>
      </c>
      <c r="W173">
        <v>0</v>
      </c>
      <c r="X173">
        <v>0</v>
      </c>
      <c r="Y173" t="s">
        <v>59</v>
      </c>
      <c r="AA173" t="s">
        <v>42</v>
      </c>
      <c r="AB173" t="s">
        <v>43</v>
      </c>
      <c r="AC173" t="s">
        <v>43</v>
      </c>
      <c r="AD173" s="2" t="s">
        <v>509</v>
      </c>
    </row>
    <row r="174" spans="1:30" ht="64" x14ac:dyDescent="0.4">
      <c r="A174" t="s">
        <v>27</v>
      </c>
      <c r="B174">
        <v>402</v>
      </c>
      <c r="C174" t="s">
        <v>2922</v>
      </c>
      <c r="E174" t="s">
        <v>68</v>
      </c>
      <c r="F174" t="s">
        <v>501</v>
      </c>
      <c r="G174" t="s">
        <v>502</v>
      </c>
      <c r="H174" t="s">
        <v>503</v>
      </c>
      <c r="I174" t="s">
        <v>504</v>
      </c>
      <c r="J174" t="s">
        <v>50</v>
      </c>
      <c r="K174" t="s">
        <v>51</v>
      </c>
      <c r="L174" t="s">
        <v>505</v>
      </c>
      <c r="M174" t="s">
        <v>35</v>
      </c>
      <c r="N174">
        <v>2380471430</v>
      </c>
      <c r="O174" t="s">
        <v>506</v>
      </c>
      <c r="P174" t="s">
        <v>66</v>
      </c>
      <c r="R174" t="s">
        <v>510</v>
      </c>
      <c r="S174" t="s">
        <v>511</v>
      </c>
      <c r="T174" t="s">
        <v>376</v>
      </c>
      <c r="U174" t="s">
        <v>40</v>
      </c>
      <c r="V174" s="1">
        <v>43797</v>
      </c>
      <c r="W174">
        <v>0</v>
      </c>
      <c r="X174">
        <v>0</v>
      </c>
      <c r="Y174" t="s">
        <v>59</v>
      </c>
      <c r="AA174" t="s">
        <v>42</v>
      </c>
      <c r="AB174" t="s">
        <v>43</v>
      </c>
      <c r="AC174" t="s">
        <v>43</v>
      </c>
      <c r="AD174" s="2" t="s">
        <v>509</v>
      </c>
    </row>
    <row r="175" spans="1:30" ht="64" x14ac:dyDescent="0.4">
      <c r="A175" t="s">
        <v>27</v>
      </c>
      <c r="B175">
        <v>402</v>
      </c>
      <c r="C175" t="s">
        <v>2922</v>
      </c>
      <c r="E175" t="s">
        <v>68</v>
      </c>
      <c r="F175" t="s">
        <v>501</v>
      </c>
      <c r="G175" t="s">
        <v>502</v>
      </c>
      <c r="H175" t="s">
        <v>503</v>
      </c>
      <c r="I175" t="s">
        <v>504</v>
      </c>
      <c r="J175" t="s">
        <v>50</v>
      </c>
      <c r="K175" t="s">
        <v>51</v>
      </c>
      <c r="L175" t="s">
        <v>505</v>
      </c>
      <c r="M175" t="s">
        <v>35</v>
      </c>
      <c r="N175">
        <v>2380471430</v>
      </c>
      <c r="O175" t="s">
        <v>506</v>
      </c>
      <c r="P175" t="s">
        <v>66</v>
      </c>
      <c r="R175" t="s">
        <v>512</v>
      </c>
      <c r="S175" t="s">
        <v>513</v>
      </c>
      <c r="T175" t="s">
        <v>376</v>
      </c>
      <c r="U175" t="s">
        <v>82</v>
      </c>
      <c r="V175" s="1">
        <v>42067</v>
      </c>
      <c r="W175">
        <v>0</v>
      </c>
      <c r="X175">
        <v>0</v>
      </c>
      <c r="Y175" t="s">
        <v>59</v>
      </c>
      <c r="AA175" t="s">
        <v>42</v>
      </c>
      <c r="AB175" t="s">
        <v>43</v>
      </c>
      <c r="AC175" t="s">
        <v>43</v>
      </c>
      <c r="AD175" s="2" t="s">
        <v>509</v>
      </c>
    </row>
    <row r="176" spans="1:30" ht="64" x14ac:dyDescent="0.4">
      <c r="A176" t="s">
        <v>27</v>
      </c>
      <c r="B176">
        <v>402</v>
      </c>
      <c r="C176" t="s">
        <v>2922</v>
      </c>
      <c r="E176" t="s">
        <v>68</v>
      </c>
      <c r="F176" t="s">
        <v>501</v>
      </c>
      <c r="G176" t="s">
        <v>502</v>
      </c>
      <c r="H176" t="s">
        <v>503</v>
      </c>
      <c r="I176" t="s">
        <v>504</v>
      </c>
      <c r="J176" t="s">
        <v>50</v>
      </c>
      <c r="K176" t="s">
        <v>51</v>
      </c>
      <c r="L176" t="s">
        <v>505</v>
      </c>
      <c r="M176" t="s">
        <v>35</v>
      </c>
      <c r="N176">
        <v>2380471430</v>
      </c>
      <c r="O176" t="s">
        <v>506</v>
      </c>
      <c r="P176" t="s">
        <v>66</v>
      </c>
      <c r="R176" t="s">
        <v>512</v>
      </c>
      <c r="S176" t="s">
        <v>513</v>
      </c>
      <c r="T176" t="s">
        <v>376</v>
      </c>
      <c r="U176" t="s">
        <v>82</v>
      </c>
      <c r="V176" s="1">
        <v>42067</v>
      </c>
      <c r="W176">
        <v>0</v>
      </c>
      <c r="X176">
        <v>0</v>
      </c>
      <c r="Y176" t="s">
        <v>59</v>
      </c>
      <c r="AA176" t="s">
        <v>42</v>
      </c>
      <c r="AB176" t="s">
        <v>43</v>
      </c>
      <c r="AC176" t="s">
        <v>43</v>
      </c>
      <c r="AD176" s="2" t="s">
        <v>509</v>
      </c>
    </row>
    <row r="177" spans="1:31" ht="192" x14ac:dyDescent="0.4">
      <c r="A177" t="s">
        <v>27</v>
      </c>
      <c r="B177">
        <v>402</v>
      </c>
      <c r="C177" t="s">
        <v>2922</v>
      </c>
      <c r="D177">
        <v>56</v>
      </c>
      <c r="E177" t="s">
        <v>68</v>
      </c>
      <c r="F177" t="s">
        <v>501</v>
      </c>
      <c r="G177" t="s">
        <v>502</v>
      </c>
      <c r="H177" t="s">
        <v>503</v>
      </c>
      <c r="I177" t="s">
        <v>504</v>
      </c>
      <c r="J177" t="s">
        <v>50</v>
      </c>
      <c r="K177" t="s">
        <v>51</v>
      </c>
      <c r="L177" t="s">
        <v>505</v>
      </c>
      <c r="M177" t="s">
        <v>35</v>
      </c>
      <c r="N177">
        <v>2380471430</v>
      </c>
      <c r="O177" t="s">
        <v>506</v>
      </c>
      <c r="P177" t="s">
        <v>66</v>
      </c>
      <c r="R177" t="s">
        <v>3094</v>
      </c>
      <c r="S177" t="s">
        <v>508</v>
      </c>
      <c r="T177" t="s">
        <v>3061</v>
      </c>
      <c r="U177" t="s">
        <v>82</v>
      </c>
      <c r="V177" s="1">
        <v>44112</v>
      </c>
      <c r="W177">
        <v>0</v>
      </c>
      <c r="X177">
        <v>13</v>
      </c>
      <c r="AA177" t="s">
        <v>42</v>
      </c>
      <c r="AB177" t="s">
        <v>43</v>
      </c>
      <c r="AC177" t="s">
        <v>43</v>
      </c>
      <c r="AE177" s="2" t="s">
        <v>509</v>
      </c>
    </row>
    <row r="178" spans="1:31" ht="192" x14ac:dyDescent="0.4">
      <c r="A178" t="s">
        <v>27</v>
      </c>
      <c r="B178">
        <v>402</v>
      </c>
      <c r="C178" t="s">
        <v>2922</v>
      </c>
      <c r="D178">
        <v>57</v>
      </c>
      <c r="E178" t="s">
        <v>68</v>
      </c>
      <c r="F178" t="s">
        <v>501</v>
      </c>
      <c r="G178" t="s">
        <v>502</v>
      </c>
      <c r="H178" t="s">
        <v>503</v>
      </c>
      <c r="I178" t="s">
        <v>504</v>
      </c>
      <c r="J178" t="s">
        <v>50</v>
      </c>
      <c r="K178" t="s">
        <v>51</v>
      </c>
      <c r="L178" t="s">
        <v>505</v>
      </c>
      <c r="M178" t="s">
        <v>35</v>
      </c>
      <c r="N178">
        <v>2380471430</v>
      </c>
      <c r="O178" t="s">
        <v>506</v>
      </c>
      <c r="P178" t="s">
        <v>66</v>
      </c>
      <c r="R178" t="s">
        <v>3095</v>
      </c>
      <c r="S178" t="s">
        <v>511</v>
      </c>
      <c r="T178" t="s">
        <v>376</v>
      </c>
      <c r="U178" t="s">
        <v>40</v>
      </c>
      <c r="V178" s="1">
        <v>43797</v>
      </c>
      <c r="W178">
        <v>0</v>
      </c>
      <c r="X178">
        <v>12</v>
      </c>
      <c r="AA178" t="s">
        <v>42</v>
      </c>
      <c r="AB178" t="s">
        <v>43</v>
      </c>
      <c r="AC178" t="s">
        <v>43</v>
      </c>
      <c r="AE178" s="2" t="s">
        <v>509</v>
      </c>
    </row>
    <row r="179" spans="1:31" ht="96" x14ac:dyDescent="0.4">
      <c r="A179" t="s">
        <v>27</v>
      </c>
      <c r="B179">
        <v>2646</v>
      </c>
      <c r="C179" t="s">
        <v>2923</v>
      </c>
      <c r="E179" t="s">
        <v>257</v>
      </c>
      <c r="F179" t="s">
        <v>514</v>
      </c>
      <c r="G179" t="s">
        <v>502</v>
      </c>
      <c r="H179" t="s">
        <v>503</v>
      </c>
      <c r="I179" t="s">
        <v>504</v>
      </c>
      <c r="J179" t="s">
        <v>50</v>
      </c>
      <c r="K179" t="s">
        <v>51</v>
      </c>
      <c r="L179" t="s">
        <v>505</v>
      </c>
      <c r="M179" t="s">
        <v>35</v>
      </c>
      <c r="N179" t="s">
        <v>515</v>
      </c>
      <c r="O179" t="s">
        <v>506</v>
      </c>
      <c r="P179" t="s">
        <v>516</v>
      </c>
      <c r="R179" t="s">
        <v>517</v>
      </c>
      <c r="S179" t="s">
        <v>518</v>
      </c>
      <c r="T179" t="s">
        <v>376</v>
      </c>
      <c r="U179" t="s">
        <v>40</v>
      </c>
      <c r="V179" s="1">
        <v>44499</v>
      </c>
      <c r="W179">
        <v>0</v>
      </c>
      <c r="X179">
        <v>0</v>
      </c>
      <c r="Y179" t="s">
        <v>59</v>
      </c>
      <c r="AA179" t="s">
        <v>42</v>
      </c>
      <c r="AB179" t="s">
        <v>43</v>
      </c>
      <c r="AC179" t="s">
        <v>43</v>
      </c>
      <c r="AD179" s="2" t="s">
        <v>519</v>
      </c>
    </row>
    <row r="180" spans="1:31" ht="96" x14ac:dyDescent="0.4">
      <c r="A180" t="s">
        <v>27</v>
      </c>
      <c r="B180">
        <v>2646</v>
      </c>
      <c r="C180" t="s">
        <v>2923</v>
      </c>
      <c r="E180" t="s">
        <v>257</v>
      </c>
      <c r="F180" t="s">
        <v>514</v>
      </c>
      <c r="G180" t="s">
        <v>502</v>
      </c>
      <c r="H180" t="s">
        <v>503</v>
      </c>
      <c r="I180" t="s">
        <v>504</v>
      </c>
      <c r="J180" t="s">
        <v>50</v>
      </c>
      <c r="K180" t="s">
        <v>51</v>
      </c>
      <c r="L180" t="s">
        <v>505</v>
      </c>
      <c r="M180" t="s">
        <v>35</v>
      </c>
      <c r="N180" t="s">
        <v>515</v>
      </c>
      <c r="O180" t="s">
        <v>506</v>
      </c>
      <c r="P180" t="s">
        <v>516</v>
      </c>
      <c r="R180" t="s">
        <v>517</v>
      </c>
      <c r="S180" t="s">
        <v>518</v>
      </c>
      <c r="T180" t="s">
        <v>376</v>
      </c>
      <c r="U180" t="s">
        <v>40</v>
      </c>
      <c r="V180" s="1">
        <v>44499</v>
      </c>
      <c r="W180">
        <v>0</v>
      </c>
      <c r="X180">
        <v>0</v>
      </c>
      <c r="Y180" t="s">
        <v>59</v>
      </c>
      <c r="AA180" t="s">
        <v>42</v>
      </c>
      <c r="AB180" t="s">
        <v>43</v>
      </c>
      <c r="AC180" t="s">
        <v>43</v>
      </c>
      <c r="AD180" s="2" t="s">
        <v>519</v>
      </c>
    </row>
    <row r="181" spans="1:31" ht="96" x14ac:dyDescent="0.4">
      <c r="A181" t="s">
        <v>27</v>
      </c>
      <c r="B181">
        <v>2646</v>
      </c>
      <c r="C181" t="s">
        <v>2923</v>
      </c>
      <c r="E181" t="s">
        <v>257</v>
      </c>
      <c r="F181" t="s">
        <v>514</v>
      </c>
      <c r="G181" t="s">
        <v>502</v>
      </c>
      <c r="H181" t="s">
        <v>503</v>
      </c>
      <c r="I181" t="s">
        <v>504</v>
      </c>
      <c r="J181" t="s">
        <v>50</v>
      </c>
      <c r="K181" t="s">
        <v>51</v>
      </c>
      <c r="L181" t="s">
        <v>505</v>
      </c>
      <c r="M181" t="s">
        <v>35</v>
      </c>
      <c r="N181" t="s">
        <v>515</v>
      </c>
      <c r="O181" t="s">
        <v>506</v>
      </c>
      <c r="P181" t="s">
        <v>516</v>
      </c>
      <c r="R181" t="s">
        <v>520</v>
      </c>
      <c r="S181" t="s">
        <v>521</v>
      </c>
      <c r="T181" t="s">
        <v>376</v>
      </c>
      <c r="U181" t="s">
        <v>40</v>
      </c>
      <c r="V181" s="1">
        <v>45536</v>
      </c>
      <c r="W181">
        <v>0</v>
      </c>
      <c r="X181">
        <v>0</v>
      </c>
      <c r="Y181" t="s">
        <v>59</v>
      </c>
      <c r="AA181" t="s">
        <v>42</v>
      </c>
      <c r="AB181" t="s">
        <v>43</v>
      </c>
      <c r="AC181" t="s">
        <v>43</v>
      </c>
      <c r="AD181" s="2" t="s">
        <v>519</v>
      </c>
    </row>
    <row r="182" spans="1:31" ht="96" x14ac:dyDescent="0.4">
      <c r="A182" t="s">
        <v>27</v>
      </c>
      <c r="B182">
        <v>2646</v>
      </c>
      <c r="C182" t="s">
        <v>2923</v>
      </c>
      <c r="E182" t="s">
        <v>257</v>
      </c>
      <c r="F182" t="s">
        <v>514</v>
      </c>
      <c r="G182" t="s">
        <v>502</v>
      </c>
      <c r="H182" t="s">
        <v>503</v>
      </c>
      <c r="I182" t="s">
        <v>504</v>
      </c>
      <c r="J182" t="s">
        <v>50</v>
      </c>
      <c r="K182" t="s">
        <v>51</v>
      </c>
      <c r="L182" t="s">
        <v>505</v>
      </c>
      <c r="M182" t="s">
        <v>35</v>
      </c>
      <c r="N182" t="s">
        <v>515</v>
      </c>
      <c r="O182" t="s">
        <v>506</v>
      </c>
      <c r="P182" t="s">
        <v>516</v>
      </c>
      <c r="R182" t="s">
        <v>520</v>
      </c>
      <c r="S182" t="s">
        <v>521</v>
      </c>
      <c r="T182" t="s">
        <v>376</v>
      </c>
      <c r="U182" t="s">
        <v>40</v>
      </c>
      <c r="V182" s="1">
        <v>45536</v>
      </c>
      <c r="W182">
        <v>0</v>
      </c>
      <c r="X182">
        <v>0</v>
      </c>
      <c r="Y182" t="s">
        <v>59</v>
      </c>
      <c r="AA182" t="s">
        <v>42</v>
      </c>
      <c r="AB182" t="s">
        <v>43</v>
      </c>
      <c r="AC182" t="s">
        <v>43</v>
      </c>
      <c r="AD182" s="2" t="s">
        <v>519</v>
      </c>
    </row>
    <row r="183" spans="1:31" ht="96" x14ac:dyDescent="0.4">
      <c r="A183" t="s">
        <v>27</v>
      </c>
      <c r="B183">
        <v>2646</v>
      </c>
      <c r="C183" t="s">
        <v>2923</v>
      </c>
      <c r="D183">
        <v>58</v>
      </c>
      <c r="E183" t="s">
        <v>257</v>
      </c>
      <c r="F183" t="s">
        <v>514</v>
      </c>
      <c r="G183" t="s">
        <v>502</v>
      </c>
      <c r="H183" t="s">
        <v>503</v>
      </c>
      <c r="I183" t="s">
        <v>504</v>
      </c>
      <c r="J183" t="s">
        <v>50</v>
      </c>
      <c r="K183" t="s">
        <v>51</v>
      </c>
      <c r="L183" t="s">
        <v>505</v>
      </c>
      <c r="M183" t="s">
        <v>35</v>
      </c>
      <c r="N183" t="s">
        <v>515</v>
      </c>
      <c r="O183" t="s">
        <v>506</v>
      </c>
      <c r="P183" t="s">
        <v>3064</v>
      </c>
      <c r="R183" t="s">
        <v>3096</v>
      </c>
      <c r="S183" t="s">
        <v>523</v>
      </c>
      <c r="T183" t="s">
        <v>376</v>
      </c>
      <c r="U183" t="s">
        <v>40</v>
      </c>
      <c r="V183" s="1">
        <v>42503</v>
      </c>
      <c r="W183">
        <v>0</v>
      </c>
      <c r="X183">
        <v>5</v>
      </c>
      <c r="Y183" t="s">
        <v>66</v>
      </c>
      <c r="AA183" t="s">
        <v>42</v>
      </c>
      <c r="AB183" t="s">
        <v>43</v>
      </c>
      <c r="AC183" t="s">
        <v>43</v>
      </c>
      <c r="AD183" s="2" t="s">
        <v>519</v>
      </c>
    </row>
    <row r="184" spans="1:31" ht="96" x14ac:dyDescent="0.4">
      <c r="A184" t="s">
        <v>27</v>
      </c>
      <c r="B184">
        <v>2646</v>
      </c>
      <c r="C184" t="s">
        <v>2923</v>
      </c>
      <c r="D184">
        <v>58</v>
      </c>
      <c r="E184" t="s">
        <v>257</v>
      </c>
      <c r="F184" t="s">
        <v>514</v>
      </c>
      <c r="G184" t="s">
        <v>502</v>
      </c>
      <c r="H184" t="s">
        <v>503</v>
      </c>
      <c r="I184" t="s">
        <v>504</v>
      </c>
      <c r="J184" t="s">
        <v>50</v>
      </c>
      <c r="K184" t="s">
        <v>51</v>
      </c>
      <c r="L184" t="s">
        <v>505</v>
      </c>
      <c r="M184" t="s">
        <v>35</v>
      </c>
      <c r="N184" t="s">
        <v>515</v>
      </c>
      <c r="O184" t="s">
        <v>506</v>
      </c>
      <c r="P184" t="s">
        <v>3064</v>
      </c>
      <c r="R184" t="s">
        <v>3096</v>
      </c>
      <c r="S184" t="s">
        <v>523</v>
      </c>
      <c r="T184" t="s">
        <v>376</v>
      </c>
      <c r="U184" t="s">
        <v>40</v>
      </c>
      <c r="V184" s="1">
        <v>42503</v>
      </c>
      <c r="W184">
        <v>0</v>
      </c>
      <c r="X184">
        <v>6</v>
      </c>
      <c r="Y184" t="s">
        <v>83</v>
      </c>
      <c r="AA184" t="s">
        <v>42</v>
      </c>
      <c r="AB184" t="s">
        <v>43</v>
      </c>
      <c r="AC184" t="s">
        <v>43</v>
      </c>
      <c r="AD184" s="2" t="s">
        <v>519</v>
      </c>
    </row>
    <row r="185" spans="1:31" ht="96" x14ac:dyDescent="0.4">
      <c r="A185" t="s">
        <v>27</v>
      </c>
      <c r="B185">
        <v>2646</v>
      </c>
      <c r="C185" t="s">
        <v>2923</v>
      </c>
      <c r="D185">
        <v>58</v>
      </c>
      <c r="E185" t="s">
        <v>257</v>
      </c>
      <c r="F185" t="s">
        <v>514</v>
      </c>
      <c r="G185" t="s">
        <v>502</v>
      </c>
      <c r="H185" t="s">
        <v>503</v>
      </c>
      <c r="I185" t="s">
        <v>504</v>
      </c>
      <c r="J185" t="s">
        <v>50</v>
      </c>
      <c r="K185" t="s">
        <v>51</v>
      </c>
      <c r="L185" t="s">
        <v>505</v>
      </c>
      <c r="M185" t="s">
        <v>35</v>
      </c>
      <c r="N185" t="s">
        <v>515</v>
      </c>
      <c r="O185" t="s">
        <v>506</v>
      </c>
      <c r="P185" t="s">
        <v>3064</v>
      </c>
      <c r="R185" t="s">
        <v>3096</v>
      </c>
      <c r="S185" t="s">
        <v>523</v>
      </c>
      <c r="T185" t="s">
        <v>376</v>
      </c>
      <c r="U185" t="s">
        <v>40</v>
      </c>
      <c r="V185" s="1">
        <v>42503</v>
      </c>
      <c r="W185">
        <v>0</v>
      </c>
      <c r="X185">
        <v>14</v>
      </c>
      <c r="AA185" t="s">
        <v>42</v>
      </c>
      <c r="AB185" t="s">
        <v>43</v>
      </c>
      <c r="AC185" t="s">
        <v>43</v>
      </c>
      <c r="AD185" s="2" t="s">
        <v>519</v>
      </c>
    </row>
    <row r="186" spans="1:31" ht="96" x14ac:dyDescent="0.4">
      <c r="A186" t="s">
        <v>27</v>
      </c>
      <c r="B186">
        <v>2646</v>
      </c>
      <c r="C186" t="s">
        <v>2923</v>
      </c>
      <c r="D186">
        <v>58</v>
      </c>
      <c r="E186" t="s">
        <v>257</v>
      </c>
      <c r="F186" t="s">
        <v>514</v>
      </c>
      <c r="G186" t="s">
        <v>502</v>
      </c>
      <c r="H186" t="s">
        <v>503</v>
      </c>
      <c r="I186" t="s">
        <v>504</v>
      </c>
      <c r="J186" t="s">
        <v>50</v>
      </c>
      <c r="K186" t="s">
        <v>51</v>
      </c>
      <c r="L186" t="s">
        <v>505</v>
      </c>
      <c r="M186" t="s">
        <v>35</v>
      </c>
      <c r="N186" t="s">
        <v>515</v>
      </c>
      <c r="O186" t="s">
        <v>506</v>
      </c>
      <c r="P186" t="s">
        <v>3064</v>
      </c>
      <c r="R186" t="s">
        <v>3096</v>
      </c>
      <c r="S186" t="s">
        <v>523</v>
      </c>
      <c r="T186" t="s">
        <v>376</v>
      </c>
      <c r="U186" t="s">
        <v>40</v>
      </c>
      <c r="V186" s="1">
        <v>42503</v>
      </c>
      <c r="W186">
        <v>0</v>
      </c>
      <c r="X186">
        <v>16</v>
      </c>
      <c r="AA186" t="s">
        <v>42</v>
      </c>
      <c r="AB186" t="s">
        <v>43</v>
      </c>
      <c r="AC186" t="s">
        <v>43</v>
      </c>
      <c r="AD186" s="2" t="s">
        <v>519</v>
      </c>
    </row>
    <row r="187" spans="1:31" x14ac:dyDescent="0.4">
      <c r="A187" t="s">
        <v>27</v>
      </c>
      <c r="B187">
        <v>5161</v>
      </c>
      <c r="C187" t="s">
        <v>2924</v>
      </c>
      <c r="D187">
        <v>59</v>
      </c>
      <c r="E187" t="s">
        <v>28</v>
      </c>
      <c r="F187" t="s">
        <v>524</v>
      </c>
      <c r="G187" t="s">
        <v>525</v>
      </c>
      <c r="H187" t="s">
        <v>526</v>
      </c>
      <c r="J187" t="s">
        <v>527</v>
      </c>
      <c r="K187" t="s">
        <v>528</v>
      </c>
      <c r="L187" t="s">
        <v>529</v>
      </c>
      <c r="M187" t="s">
        <v>35</v>
      </c>
      <c r="N187">
        <v>7857544054</v>
      </c>
      <c r="O187" t="s">
        <v>530</v>
      </c>
      <c r="P187" t="s">
        <v>531</v>
      </c>
      <c r="R187" t="s">
        <v>532</v>
      </c>
      <c r="S187" t="s">
        <v>533</v>
      </c>
      <c r="T187" t="s">
        <v>534</v>
      </c>
      <c r="U187" t="s">
        <v>82</v>
      </c>
      <c r="V187" s="1">
        <v>43194</v>
      </c>
      <c r="W187">
        <v>0</v>
      </c>
      <c r="X187">
        <v>10</v>
      </c>
      <c r="AA187" t="s">
        <v>42</v>
      </c>
      <c r="AB187" t="s">
        <v>43</v>
      </c>
      <c r="AC187" t="s">
        <v>43</v>
      </c>
    </row>
    <row r="188" spans="1:31" x14ac:dyDescent="0.4">
      <c r="A188" t="s">
        <v>27</v>
      </c>
      <c r="B188">
        <v>5161</v>
      </c>
      <c r="C188" t="s">
        <v>2924</v>
      </c>
      <c r="D188">
        <v>59</v>
      </c>
      <c r="E188" t="s">
        <v>28</v>
      </c>
      <c r="F188" t="s">
        <v>524</v>
      </c>
      <c r="G188" t="s">
        <v>525</v>
      </c>
      <c r="H188" t="s">
        <v>526</v>
      </c>
      <c r="J188" t="s">
        <v>527</v>
      </c>
      <c r="K188" t="s">
        <v>528</v>
      </c>
      <c r="L188" t="s">
        <v>529</v>
      </c>
      <c r="M188" t="s">
        <v>35</v>
      </c>
      <c r="N188">
        <v>7857544054</v>
      </c>
      <c r="O188" t="s">
        <v>530</v>
      </c>
      <c r="P188" t="s">
        <v>531</v>
      </c>
      <c r="R188" t="s">
        <v>532</v>
      </c>
      <c r="S188" t="s">
        <v>533</v>
      </c>
      <c r="T188" t="s">
        <v>534</v>
      </c>
      <c r="U188" t="s">
        <v>82</v>
      </c>
      <c r="V188" s="1">
        <v>43194</v>
      </c>
      <c r="W188">
        <v>0</v>
      </c>
      <c r="X188">
        <v>11</v>
      </c>
      <c r="AA188" t="s">
        <v>42</v>
      </c>
      <c r="AB188" t="s">
        <v>43</v>
      </c>
      <c r="AC188" t="s">
        <v>43</v>
      </c>
    </row>
    <row r="189" spans="1:31" x14ac:dyDescent="0.4">
      <c r="A189" t="s">
        <v>27</v>
      </c>
      <c r="B189">
        <v>323</v>
      </c>
      <c r="C189" t="s">
        <v>2925</v>
      </c>
      <c r="D189">
        <v>60</v>
      </c>
      <c r="E189" t="s">
        <v>68</v>
      </c>
      <c r="F189" t="s">
        <v>535</v>
      </c>
      <c r="G189" t="s">
        <v>536</v>
      </c>
      <c r="H189">
        <v>22</v>
      </c>
      <c r="I189" t="s">
        <v>537</v>
      </c>
      <c r="J189" t="s">
        <v>538</v>
      </c>
      <c r="K189" t="s">
        <v>73</v>
      </c>
      <c r="L189" t="s">
        <v>539</v>
      </c>
      <c r="M189" t="s">
        <v>35</v>
      </c>
      <c r="N189">
        <v>127664196</v>
      </c>
      <c r="O189" t="s">
        <v>540</v>
      </c>
      <c r="P189" t="s">
        <v>2925</v>
      </c>
      <c r="R189" t="s">
        <v>541</v>
      </c>
      <c r="S189" t="s">
        <v>542</v>
      </c>
      <c r="T189" t="s">
        <v>58</v>
      </c>
      <c r="U189" t="s">
        <v>40</v>
      </c>
      <c r="V189" s="1">
        <v>43790</v>
      </c>
      <c r="W189">
        <v>0</v>
      </c>
      <c r="X189">
        <v>4</v>
      </c>
      <c r="Y189" t="s">
        <v>65</v>
      </c>
      <c r="AA189" t="s">
        <v>42</v>
      </c>
      <c r="AB189" t="s">
        <v>43</v>
      </c>
      <c r="AC189" t="s">
        <v>43</v>
      </c>
    </row>
    <row r="190" spans="1:31" x14ac:dyDescent="0.4">
      <c r="A190" t="s">
        <v>27</v>
      </c>
      <c r="B190">
        <v>323</v>
      </c>
      <c r="C190" t="s">
        <v>2925</v>
      </c>
      <c r="D190">
        <v>61</v>
      </c>
      <c r="E190" t="s">
        <v>68</v>
      </c>
      <c r="F190" t="s">
        <v>535</v>
      </c>
      <c r="G190" t="s">
        <v>536</v>
      </c>
      <c r="H190">
        <v>22</v>
      </c>
      <c r="I190" t="s">
        <v>537</v>
      </c>
      <c r="J190" t="s">
        <v>538</v>
      </c>
      <c r="K190" t="s">
        <v>73</v>
      </c>
      <c r="L190" t="s">
        <v>539</v>
      </c>
      <c r="M190" t="s">
        <v>35</v>
      </c>
      <c r="N190">
        <v>127664196</v>
      </c>
      <c r="O190" t="s">
        <v>540</v>
      </c>
      <c r="P190" t="s">
        <v>2925</v>
      </c>
      <c r="R190" t="s">
        <v>3097</v>
      </c>
      <c r="S190" t="s">
        <v>544</v>
      </c>
      <c r="T190" t="s">
        <v>58</v>
      </c>
      <c r="U190" t="s">
        <v>40</v>
      </c>
      <c r="V190" s="1">
        <v>44951</v>
      </c>
      <c r="W190">
        <v>0</v>
      </c>
      <c r="X190">
        <v>4</v>
      </c>
      <c r="Y190" t="s">
        <v>65</v>
      </c>
      <c r="AA190" t="s">
        <v>42</v>
      </c>
      <c r="AB190" t="s">
        <v>43</v>
      </c>
      <c r="AC190" t="s">
        <v>43</v>
      </c>
    </row>
    <row r="191" spans="1:31" x14ac:dyDescent="0.4">
      <c r="A191" t="s">
        <v>27</v>
      </c>
      <c r="B191">
        <v>323</v>
      </c>
      <c r="C191" t="s">
        <v>2925</v>
      </c>
      <c r="D191">
        <v>61</v>
      </c>
      <c r="E191" t="s">
        <v>68</v>
      </c>
      <c r="F191" t="s">
        <v>535</v>
      </c>
      <c r="G191" t="s">
        <v>536</v>
      </c>
      <c r="H191">
        <v>22</v>
      </c>
      <c r="I191" t="s">
        <v>537</v>
      </c>
      <c r="J191" t="s">
        <v>538</v>
      </c>
      <c r="K191" t="s">
        <v>73</v>
      </c>
      <c r="L191" t="s">
        <v>539</v>
      </c>
      <c r="M191" t="s">
        <v>35</v>
      </c>
      <c r="N191">
        <v>127664196</v>
      </c>
      <c r="O191" t="s">
        <v>540</v>
      </c>
      <c r="P191" t="s">
        <v>2925</v>
      </c>
      <c r="R191" t="s">
        <v>3097</v>
      </c>
      <c r="S191" t="s">
        <v>544</v>
      </c>
      <c r="T191" t="s">
        <v>58</v>
      </c>
      <c r="U191" t="s">
        <v>40</v>
      </c>
      <c r="V191" s="1">
        <v>44951</v>
      </c>
      <c r="W191">
        <v>0</v>
      </c>
      <c r="X191">
        <v>5</v>
      </c>
      <c r="Y191" t="s">
        <v>66</v>
      </c>
      <c r="AA191" t="s">
        <v>42</v>
      </c>
      <c r="AB191" t="s">
        <v>43</v>
      </c>
      <c r="AC191" t="s">
        <v>43</v>
      </c>
    </row>
    <row r="192" spans="1:31" x14ac:dyDescent="0.4">
      <c r="A192" t="s">
        <v>27</v>
      </c>
      <c r="B192">
        <v>323</v>
      </c>
      <c r="C192" t="s">
        <v>2925</v>
      </c>
      <c r="D192">
        <v>60</v>
      </c>
      <c r="E192" t="s">
        <v>68</v>
      </c>
      <c r="F192" t="s">
        <v>535</v>
      </c>
      <c r="G192" t="s">
        <v>536</v>
      </c>
      <c r="H192">
        <v>22</v>
      </c>
      <c r="I192" t="s">
        <v>537</v>
      </c>
      <c r="J192" t="s">
        <v>538</v>
      </c>
      <c r="K192" t="s">
        <v>73</v>
      </c>
      <c r="L192" t="s">
        <v>539</v>
      </c>
      <c r="M192" t="s">
        <v>35</v>
      </c>
      <c r="N192">
        <v>127664196</v>
      </c>
      <c r="O192" t="s">
        <v>540</v>
      </c>
      <c r="P192" t="s">
        <v>2925</v>
      </c>
      <c r="R192" t="s">
        <v>541</v>
      </c>
      <c r="S192" t="s">
        <v>542</v>
      </c>
      <c r="T192" t="s">
        <v>58</v>
      </c>
      <c r="U192" t="s">
        <v>40</v>
      </c>
      <c r="V192" s="1">
        <v>43790</v>
      </c>
      <c r="W192">
        <v>0</v>
      </c>
      <c r="X192">
        <v>6</v>
      </c>
      <c r="Y192" t="s">
        <v>83</v>
      </c>
      <c r="AA192" t="s">
        <v>42</v>
      </c>
      <c r="AB192" t="s">
        <v>43</v>
      </c>
      <c r="AC192" t="s">
        <v>43</v>
      </c>
    </row>
    <row r="193" spans="1:31" x14ac:dyDescent="0.4">
      <c r="A193" t="s">
        <v>27</v>
      </c>
      <c r="B193">
        <v>323</v>
      </c>
      <c r="C193" t="s">
        <v>2925</v>
      </c>
      <c r="D193">
        <v>60</v>
      </c>
      <c r="E193" t="s">
        <v>68</v>
      </c>
      <c r="F193" t="s">
        <v>535</v>
      </c>
      <c r="G193" t="s">
        <v>536</v>
      </c>
      <c r="H193">
        <v>22</v>
      </c>
      <c r="I193" t="s">
        <v>537</v>
      </c>
      <c r="J193" t="s">
        <v>538</v>
      </c>
      <c r="K193" t="s">
        <v>73</v>
      </c>
      <c r="L193" t="s">
        <v>539</v>
      </c>
      <c r="M193" t="s">
        <v>35</v>
      </c>
      <c r="N193">
        <v>127664196</v>
      </c>
      <c r="O193" t="s">
        <v>540</v>
      </c>
      <c r="P193" t="s">
        <v>2925</v>
      </c>
      <c r="R193" t="s">
        <v>541</v>
      </c>
      <c r="S193" t="s">
        <v>542</v>
      </c>
      <c r="T193" t="s">
        <v>58</v>
      </c>
      <c r="U193" t="s">
        <v>40</v>
      </c>
      <c r="V193" s="1">
        <v>43790</v>
      </c>
      <c r="W193">
        <v>0</v>
      </c>
      <c r="X193">
        <v>12</v>
      </c>
      <c r="AA193" t="s">
        <v>42</v>
      </c>
      <c r="AB193" t="s">
        <v>43</v>
      </c>
      <c r="AC193" t="s">
        <v>43</v>
      </c>
    </row>
    <row r="194" spans="1:31" x14ac:dyDescent="0.4">
      <c r="A194" t="s">
        <v>27</v>
      </c>
      <c r="B194">
        <v>323</v>
      </c>
      <c r="C194" t="s">
        <v>2925</v>
      </c>
      <c r="D194">
        <v>60</v>
      </c>
      <c r="E194" t="s">
        <v>68</v>
      </c>
      <c r="F194" t="s">
        <v>535</v>
      </c>
      <c r="G194" t="s">
        <v>536</v>
      </c>
      <c r="H194">
        <v>22</v>
      </c>
      <c r="I194" t="s">
        <v>537</v>
      </c>
      <c r="J194" t="s">
        <v>538</v>
      </c>
      <c r="K194" t="s">
        <v>73</v>
      </c>
      <c r="L194" t="s">
        <v>539</v>
      </c>
      <c r="M194" t="s">
        <v>35</v>
      </c>
      <c r="N194">
        <v>127664196</v>
      </c>
      <c r="O194" t="s">
        <v>540</v>
      </c>
      <c r="P194" t="s">
        <v>2925</v>
      </c>
      <c r="R194" t="s">
        <v>541</v>
      </c>
      <c r="S194" t="s">
        <v>542</v>
      </c>
      <c r="T194" t="s">
        <v>58</v>
      </c>
      <c r="U194" t="s">
        <v>40</v>
      </c>
      <c r="V194" s="1">
        <v>43790</v>
      </c>
      <c r="W194">
        <v>0</v>
      </c>
      <c r="X194">
        <v>16</v>
      </c>
      <c r="AA194" t="s">
        <v>42</v>
      </c>
      <c r="AB194" t="s">
        <v>43</v>
      </c>
      <c r="AC194" t="s">
        <v>43</v>
      </c>
    </row>
    <row r="195" spans="1:31" x14ac:dyDescent="0.4">
      <c r="A195" t="s">
        <v>27</v>
      </c>
      <c r="B195">
        <v>5415</v>
      </c>
      <c r="C195" t="s">
        <v>552</v>
      </c>
      <c r="D195">
        <v>63</v>
      </c>
      <c r="E195" t="s">
        <v>68</v>
      </c>
      <c r="F195" t="s">
        <v>545</v>
      </c>
      <c r="G195" t="s">
        <v>546</v>
      </c>
      <c r="H195" t="s">
        <v>547</v>
      </c>
      <c r="I195" t="s">
        <v>548</v>
      </c>
      <c r="J195" t="s">
        <v>549</v>
      </c>
      <c r="K195" t="s">
        <v>528</v>
      </c>
      <c r="L195" t="s">
        <v>550</v>
      </c>
      <c r="M195" t="s">
        <v>35</v>
      </c>
      <c r="N195">
        <v>1243266606</v>
      </c>
      <c r="O195" t="s">
        <v>551</v>
      </c>
      <c r="P195" t="s">
        <v>552</v>
      </c>
      <c r="R195" t="s">
        <v>553</v>
      </c>
      <c r="S195" t="s">
        <v>554</v>
      </c>
      <c r="T195" t="s">
        <v>555</v>
      </c>
      <c r="U195" t="s">
        <v>82</v>
      </c>
      <c r="V195" s="1">
        <v>43774</v>
      </c>
      <c r="W195">
        <v>0</v>
      </c>
      <c r="X195">
        <v>11</v>
      </c>
      <c r="AA195" t="s">
        <v>42</v>
      </c>
      <c r="AB195" t="s">
        <v>43</v>
      </c>
      <c r="AC195" t="s">
        <v>43</v>
      </c>
      <c r="AE195" t="s">
        <v>556</v>
      </c>
    </row>
    <row r="196" spans="1:31" x14ac:dyDescent="0.4">
      <c r="A196" t="s">
        <v>27</v>
      </c>
      <c r="B196">
        <v>5415</v>
      </c>
      <c r="C196" t="s">
        <v>552</v>
      </c>
      <c r="D196">
        <v>63</v>
      </c>
      <c r="E196" t="s">
        <v>68</v>
      </c>
      <c r="F196" t="s">
        <v>545</v>
      </c>
      <c r="G196" t="s">
        <v>546</v>
      </c>
      <c r="H196" t="s">
        <v>547</v>
      </c>
      <c r="I196" t="s">
        <v>548</v>
      </c>
      <c r="J196" t="s">
        <v>549</v>
      </c>
      <c r="K196" t="s">
        <v>528</v>
      </c>
      <c r="L196" t="s">
        <v>550</v>
      </c>
      <c r="M196" t="s">
        <v>35</v>
      </c>
      <c r="N196">
        <v>1243266606</v>
      </c>
      <c r="O196" t="s">
        <v>551</v>
      </c>
      <c r="P196" t="s">
        <v>552</v>
      </c>
      <c r="R196" t="s">
        <v>553</v>
      </c>
      <c r="S196" t="s">
        <v>554</v>
      </c>
      <c r="T196" t="s">
        <v>555</v>
      </c>
      <c r="U196" t="s">
        <v>82</v>
      </c>
      <c r="V196" s="1">
        <v>43774</v>
      </c>
      <c r="W196">
        <v>0</v>
      </c>
      <c r="X196">
        <v>13</v>
      </c>
      <c r="AA196" t="s">
        <v>42</v>
      </c>
      <c r="AB196" t="s">
        <v>43</v>
      </c>
      <c r="AC196" t="s">
        <v>43</v>
      </c>
      <c r="AE196" t="s">
        <v>556</v>
      </c>
    </row>
    <row r="197" spans="1:31" x14ac:dyDescent="0.4">
      <c r="A197" t="s">
        <v>27</v>
      </c>
      <c r="B197">
        <v>5415</v>
      </c>
      <c r="C197" t="s">
        <v>552</v>
      </c>
      <c r="D197">
        <v>63</v>
      </c>
      <c r="E197" t="s">
        <v>68</v>
      </c>
      <c r="F197" t="s">
        <v>545</v>
      </c>
      <c r="G197" t="s">
        <v>546</v>
      </c>
      <c r="H197" t="s">
        <v>547</v>
      </c>
      <c r="I197" t="s">
        <v>548</v>
      </c>
      <c r="J197" t="s">
        <v>549</v>
      </c>
      <c r="K197" t="s">
        <v>528</v>
      </c>
      <c r="L197" t="s">
        <v>550</v>
      </c>
      <c r="M197" t="s">
        <v>35</v>
      </c>
      <c r="N197">
        <v>1243266606</v>
      </c>
      <c r="O197" t="s">
        <v>551</v>
      </c>
      <c r="P197" t="s">
        <v>552</v>
      </c>
      <c r="R197" t="s">
        <v>553</v>
      </c>
      <c r="S197" t="s">
        <v>554</v>
      </c>
      <c r="T197" t="s">
        <v>555</v>
      </c>
      <c r="U197" t="s">
        <v>82</v>
      </c>
      <c r="V197" s="1">
        <v>43774</v>
      </c>
      <c r="W197">
        <v>0</v>
      </c>
      <c r="X197">
        <v>15</v>
      </c>
      <c r="AA197" t="s">
        <v>42</v>
      </c>
      <c r="AB197" t="s">
        <v>43</v>
      </c>
      <c r="AC197" t="s">
        <v>43</v>
      </c>
      <c r="AE197" t="s">
        <v>556</v>
      </c>
    </row>
    <row r="198" spans="1:31" x14ac:dyDescent="0.4">
      <c r="A198" t="s">
        <v>27</v>
      </c>
      <c r="B198">
        <v>5103</v>
      </c>
      <c r="C198" t="s">
        <v>562</v>
      </c>
      <c r="D198">
        <v>62</v>
      </c>
      <c r="E198" t="s">
        <v>257</v>
      </c>
      <c r="F198" t="s">
        <v>557</v>
      </c>
      <c r="G198" t="s">
        <v>546</v>
      </c>
      <c r="H198" t="s">
        <v>558</v>
      </c>
      <c r="J198" t="s">
        <v>559</v>
      </c>
      <c r="K198" t="s">
        <v>51</v>
      </c>
      <c r="L198" t="s">
        <v>560</v>
      </c>
      <c r="M198" t="s">
        <v>35</v>
      </c>
      <c r="N198">
        <v>7542127442</v>
      </c>
      <c r="O198" t="s">
        <v>561</v>
      </c>
      <c r="P198" t="s">
        <v>562</v>
      </c>
      <c r="R198" t="s">
        <v>563</v>
      </c>
      <c r="S198" t="s">
        <v>564</v>
      </c>
      <c r="T198" t="s">
        <v>284</v>
      </c>
      <c r="U198" t="s">
        <v>82</v>
      </c>
      <c r="V198" s="1">
        <v>44386</v>
      </c>
      <c r="W198">
        <v>0</v>
      </c>
      <c r="X198">
        <v>2</v>
      </c>
      <c r="AA198" t="s">
        <v>42</v>
      </c>
      <c r="AB198" t="s">
        <v>43</v>
      </c>
      <c r="AC198" t="s">
        <v>43</v>
      </c>
    </row>
    <row r="199" spans="1:31" x14ac:dyDescent="0.4">
      <c r="A199" t="s">
        <v>27</v>
      </c>
      <c r="B199">
        <v>5103</v>
      </c>
      <c r="C199" t="s">
        <v>562</v>
      </c>
      <c r="D199">
        <v>62</v>
      </c>
      <c r="E199" t="s">
        <v>257</v>
      </c>
      <c r="F199" t="s">
        <v>557</v>
      </c>
      <c r="G199" t="s">
        <v>546</v>
      </c>
      <c r="H199" t="s">
        <v>558</v>
      </c>
      <c r="J199" t="s">
        <v>559</v>
      </c>
      <c r="K199" t="s">
        <v>51</v>
      </c>
      <c r="L199" t="s">
        <v>560</v>
      </c>
      <c r="M199" t="s">
        <v>35</v>
      </c>
      <c r="N199">
        <v>7542127442</v>
      </c>
      <c r="O199" t="s">
        <v>561</v>
      </c>
      <c r="P199" t="s">
        <v>562</v>
      </c>
      <c r="R199" t="s">
        <v>563</v>
      </c>
      <c r="S199" t="s">
        <v>564</v>
      </c>
      <c r="T199" t="s">
        <v>284</v>
      </c>
      <c r="U199" t="s">
        <v>82</v>
      </c>
      <c r="V199" s="1">
        <v>44386</v>
      </c>
      <c r="W199">
        <v>0</v>
      </c>
      <c r="X199">
        <v>10</v>
      </c>
      <c r="AA199" t="s">
        <v>42</v>
      </c>
      <c r="AB199" t="s">
        <v>43</v>
      </c>
      <c r="AC199" t="s">
        <v>43</v>
      </c>
    </row>
    <row r="200" spans="1:31" x14ac:dyDescent="0.4">
      <c r="A200" t="s">
        <v>27</v>
      </c>
      <c r="B200">
        <v>5103</v>
      </c>
      <c r="C200" t="s">
        <v>562</v>
      </c>
      <c r="E200" t="s">
        <v>257</v>
      </c>
      <c r="F200" t="s">
        <v>557</v>
      </c>
      <c r="G200" t="s">
        <v>546</v>
      </c>
      <c r="H200" t="s">
        <v>558</v>
      </c>
      <c r="J200" t="s">
        <v>559</v>
      </c>
      <c r="K200" t="s">
        <v>51</v>
      </c>
      <c r="L200" t="s">
        <v>560</v>
      </c>
      <c r="M200" t="s">
        <v>35</v>
      </c>
      <c r="N200">
        <v>7542127442</v>
      </c>
      <c r="O200" t="s">
        <v>561</v>
      </c>
      <c r="P200" t="s">
        <v>562</v>
      </c>
      <c r="R200" t="s">
        <v>565</v>
      </c>
      <c r="S200" t="s">
        <v>566</v>
      </c>
      <c r="T200" t="s">
        <v>567</v>
      </c>
      <c r="U200" t="s">
        <v>40</v>
      </c>
      <c r="V200" s="1">
        <v>42134</v>
      </c>
      <c r="W200">
        <v>0</v>
      </c>
      <c r="X200">
        <v>0</v>
      </c>
      <c r="Y200" t="s">
        <v>59</v>
      </c>
      <c r="AA200" t="s">
        <v>42</v>
      </c>
      <c r="AB200" t="s">
        <v>43</v>
      </c>
      <c r="AC200" t="s">
        <v>43</v>
      </c>
    </row>
    <row r="201" spans="1:31" x14ac:dyDescent="0.4">
      <c r="A201" t="s">
        <v>27</v>
      </c>
      <c r="B201">
        <v>5768</v>
      </c>
      <c r="C201" t="s">
        <v>2926</v>
      </c>
      <c r="E201" t="s">
        <v>68</v>
      </c>
      <c r="F201" t="s">
        <v>568</v>
      </c>
      <c r="G201" t="s">
        <v>546</v>
      </c>
      <c r="H201" t="s">
        <v>558</v>
      </c>
      <c r="J201" t="s">
        <v>559</v>
      </c>
      <c r="K201" t="s">
        <v>51</v>
      </c>
      <c r="L201" t="s">
        <v>560</v>
      </c>
      <c r="M201" t="s">
        <v>35</v>
      </c>
      <c r="N201">
        <v>7867672902</v>
      </c>
      <c r="O201" t="s">
        <v>569</v>
      </c>
      <c r="P201" t="s">
        <v>565</v>
      </c>
      <c r="R201" t="s">
        <v>565</v>
      </c>
      <c r="S201" t="s">
        <v>566</v>
      </c>
      <c r="T201" t="s">
        <v>567</v>
      </c>
      <c r="U201" t="s">
        <v>40</v>
      </c>
      <c r="V201" s="1">
        <v>42134</v>
      </c>
      <c r="W201">
        <v>0</v>
      </c>
      <c r="X201">
        <v>0</v>
      </c>
      <c r="Y201" t="s">
        <v>59</v>
      </c>
      <c r="AA201" t="s">
        <v>42</v>
      </c>
      <c r="AB201" t="s">
        <v>43</v>
      </c>
      <c r="AC201" t="s">
        <v>43</v>
      </c>
    </row>
    <row r="202" spans="1:31" x14ac:dyDescent="0.4">
      <c r="A202" t="s">
        <v>27</v>
      </c>
      <c r="B202">
        <v>1457</v>
      </c>
      <c r="C202" t="s">
        <v>577</v>
      </c>
      <c r="D202">
        <v>64</v>
      </c>
      <c r="E202" t="s">
        <v>68</v>
      </c>
      <c r="F202" t="s">
        <v>570</v>
      </c>
      <c r="G202" t="s">
        <v>571</v>
      </c>
      <c r="H202" t="s">
        <v>572</v>
      </c>
      <c r="I202" t="s">
        <v>573</v>
      </c>
      <c r="J202" t="s">
        <v>574</v>
      </c>
      <c r="K202" t="s">
        <v>73</v>
      </c>
      <c r="L202" t="s">
        <v>575</v>
      </c>
      <c r="M202" t="s">
        <v>35</v>
      </c>
      <c r="N202">
        <v>1293771809</v>
      </c>
      <c r="O202" t="s">
        <v>576</v>
      </c>
      <c r="P202" t="s">
        <v>577</v>
      </c>
      <c r="R202" t="s">
        <v>3098</v>
      </c>
      <c r="S202" t="s">
        <v>579</v>
      </c>
      <c r="T202" t="s">
        <v>284</v>
      </c>
      <c r="U202" t="s">
        <v>82</v>
      </c>
      <c r="V202" s="1">
        <v>43734</v>
      </c>
      <c r="W202">
        <v>0</v>
      </c>
      <c r="X202">
        <v>7</v>
      </c>
      <c r="AA202" t="s">
        <v>42</v>
      </c>
      <c r="AB202" t="s">
        <v>43</v>
      </c>
      <c r="AC202" t="s">
        <v>43</v>
      </c>
    </row>
    <row r="203" spans="1:31" x14ac:dyDescent="0.4">
      <c r="A203" t="s">
        <v>27</v>
      </c>
      <c r="B203">
        <v>1457</v>
      </c>
      <c r="C203" t="s">
        <v>577</v>
      </c>
      <c r="D203">
        <v>64</v>
      </c>
      <c r="E203" t="s">
        <v>68</v>
      </c>
      <c r="F203" t="s">
        <v>570</v>
      </c>
      <c r="G203" t="s">
        <v>571</v>
      </c>
      <c r="H203" t="s">
        <v>572</v>
      </c>
      <c r="I203" t="s">
        <v>573</v>
      </c>
      <c r="J203" t="s">
        <v>574</v>
      </c>
      <c r="K203" t="s">
        <v>73</v>
      </c>
      <c r="L203" t="s">
        <v>575</v>
      </c>
      <c r="M203" t="s">
        <v>35</v>
      </c>
      <c r="N203">
        <v>1293771809</v>
      </c>
      <c r="O203" t="s">
        <v>576</v>
      </c>
      <c r="P203" t="s">
        <v>577</v>
      </c>
      <c r="R203" t="s">
        <v>3098</v>
      </c>
      <c r="S203" t="s">
        <v>579</v>
      </c>
      <c r="T203" t="s">
        <v>284</v>
      </c>
      <c r="U203" t="s">
        <v>82</v>
      </c>
      <c r="V203" s="1">
        <v>43734</v>
      </c>
      <c r="W203">
        <v>0</v>
      </c>
      <c r="X203">
        <v>19</v>
      </c>
      <c r="AA203" t="s">
        <v>42</v>
      </c>
      <c r="AB203" t="s">
        <v>43</v>
      </c>
      <c r="AC203" t="s">
        <v>43</v>
      </c>
    </row>
    <row r="204" spans="1:31" x14ac:dyDescent="0.4">
      <c r="A204" t="s">
        <v>27</v>
      </c>
      <c r="B204">
        <v>288</v>
      </c>
      <c r="C204" t="s">
        <v>587</v>
      </c>
      <c r="D204">
        <v>66</v>
      </c>
      <c r="E204" t="s">
        <v>257</v>
      </c>
      <c r="F204" t="s">
        <v>581</v>
      </c>
      <c r="G204" t="s">
        <v>582</v>
      </c>
      <c r="H204" t="s">
        <v>583</v>
      </c>
      <c r="J204" t="s">
        <v>584</v>
      </c>
      <c r="K204" t="s">
        <v>242</v>
      </c>
      <c r="L204" t="s">
        <v>585</v>
      </c>
      <c r="M204" t="s">
        <v>35</v>
      </c>
      <c r="N204">
        <v>7808949599</v>
      </c>
      <c r="O204" t="s">
        <v>586</v>
      </c>
      <c r="P204" t="s">
        <v>587</v>
      </c>
      <c r="R204" t="s">
        <v>3047</v>
      </c>
      <c r="S204" t="s">
        <v>589</v>
      </c>
      <c r="T204" t="s">
        <v>590</v>
      </c>
      <c r="U204" t="s">
        <v>82</v>
      </c>
      <c r="V204" s="1">
        <v>43768</v>
      </c>
      <c r="W204">
        <v>0</v>
      </c>
      <c r="X204">
        <v>4</v>
      </c>
      <c r="Y204" t="s">
        <v>65</v>
      </c>
      <c r="AA204" t="s">
        <v>42</v>
      </c>
      <c r="AB204" t="s">
        <v>43</v>
      </c>
      <c r="AC204" t="s">
        <v>43</v>
      </c>
      <c r="AD204" t="s">
        <v>591</v>
      </c>
    </row>
    <row r="205" spans="1:31" x14ac:dyDescent="0.4">
      <c r="A205" t="s">
        <v>27</v>
      </c>
      <c r="B205">
        <v>288</v>
      </c>
      <c r="C205" t="s">
        <v>587</v>
      </c>
      <c r="D205">
        <v>65</v>
      </c>
      <c r="E205" t="s">
        <v>257</v>
      </c>
      <c r="F205" t="s">
        <v>581</v>
      </c>
      <c r="G205" t="s">
        <v>582</v>
      </c>
      <c r="H205" t="s">
        <v>583</v>
      </c>
      <c r="J205" t="s">
        <v>584</v>
      </c>
      <c r="K205" t="s">
        <v>242</v>
      </c>
      <c r="L205" t="s">
        <v>585</v>
      </c>
      <c r="M205" t="s">
        <v>35</v>
      </c>
      <c r="N205">
        <v>7808949599</v>
      </c>
      <c r="O205" t="s">
        <v>586</v>
      </c>
      <c r="P205" t="s">
        <v>587</v>
      </c>
      <c r="R205" t="s">
        <v>592</v>
      </c>
      <c r="S205" t="s">
        <v>593</v>
      </c>
      <c r="T205" t="s">
        <v>232</v>
      </c>
      <c r="U205" t="s">
        <v>40</v>
      </c>
      <c r="V205" s="1">
        <v>45191</v>
      </c>
      <c r="W205">
        <v>0</v>
      </c>
      <c r="X205">
        <v>4</v>
      </c>
      <c r="Y205" t="s">
        <v>65</v>
      </c>
      <c r="AA205" t="s">
        <v>42</v>
      </c>
      <c r="AB205" t="s">
        <v>43</v>
      </c>
      <c r="AC205" t="s">
        <v>43</v>
      </c>
      <c r="AD205" t="s">
        <v>591</v>
      </c>
    </row>
    <row r="206" spans="1:31" x14ac:dyDescent="0.4">
      <c r="A206" t="s">
        <v>27</v>
      </c>
      <c r="B206">
        <v>288</v>
      </c>
      <c r="C206" t="s">
        <v>587</v>
      </c>
      <c r="D206">
        <v>66</v>
      </c>
      <c r="E206" t="s">
        <v>257</v>
      </c>
      <c r="F206" t="s">
        <v>581</v>
      </c>
      <c r="G206" t="s">
        <v>582</v>
      </c>
      <c r="H206" t="s">
        <v>583</v>
      </c>
      <c r="J206" t="s">
        <v>584</v>
      </c>
      <c r="K206" t="s">
        <v>242</v>
      </c>
      <c r="L206" t="s">
        <v>585</v>
      </c>
      <c r="M206" t="s">
        <v>35</v>
      </c>
      <c r="N206">
        <v>7808949599</v>
      </c>
      <c r="O206" t="s">
        <v>586</v>
      </c>
      <c r="P206" t="s">
        <v>587</v>
      </c>
      <c r="R206" t="s">
        <v>3047</v>
      </c>
      <c r="S206" t="s">
        <v>589</v>
      </c>
      <c r="T206" t="s">
        <v>590</v>
      </c>
      <c r="U206" t="s">
        <v>82</v>
      </c>
      <c r="V206" s="1">
        <v>43768</v>
      </c>
      <c r="W206">
        <v>0</v>
      </c>
      <c r="X206">
        <v>5</v>
      </c>
      <c r="Y206" t="s">
        <v>66</v>
      </c>
      <c r="AA206" t="s">
        <v>42</v>
      </c>
      <c r="AB206" t="s">
        <v>43</v>
      </c>
      <c r="AC206" t="s">
        <v>43</v>
      </c>
      <c r="AD206" t="s">
        <v>591</v>
      </c>
    </row>
    <row r="207" spans="1:31" x14ac:dyDescent="0.4">
      <c r="A207" t="s">
        <v>27</v>
      </c>
      <c r="B207">
        <v>288</v>
      </c>
      <c r="C207" t="s">
        <v>587</v>
      </c>
      <c r="D207">
        <v>66</v>
      </c>
      <c r="E207" t="s">
        <v>257</v>
      </c>
      <c r="F207" t="s">
        <v>581</v>
      </c>
      <c r="G207" t="s">
        <v>582</v>
      </c>
      <c r="H207" t="s">
        <v>583</v>
      </c>
      <c r="J207" t="s">
        <v>584</v>
      </c>
      <c r="K207" t="s">
        <v>242</v>
      </c>
      <c r="L207" t="s">
        <v>585</v>
      </c>
      <c r="M207" t="s">
        <v>35</v>
      </c>
      <c r="N207">
        <v>7808949599</v>
      </c>
      <c r="O207" t="s">
        <v>586</v>
      </c>
      <c r="P207" t="s">
        <v>587</v>
      </c>
      <c r="R207" t="s">
        <v>3047</v>
      </c>
      <c r="S207" t="s">
        <v>589</v>
      </c>
      <c r="T207" t="s">
        <v>590</v>
      </c>
      <c r="U207" t="s">
        <v>82</v>
      </c>
      <c r="V207" s="1">
        <v>43768</v>
      </c>
      <c r="W207">
        <v>0</v>
      </c>
      <c r="X207">
        <v>13</v>
      </c>
      <c r="AA207" t="s">
        <v>42</v>
      </c>
      <c r="AB207" t="s">
        <v>43</v>
      </c>
      <c r="AC207" t="s">
        <v>43</v>
      </c>
      <c r="AD207" t="s">
        <v>591</v>
      </c>
    </row>
    <row r="208" spans="1:31" x14ac:dyDescent="0.4">
      <c r="A208" t="s">
        <v>27</v>
      </c>
      <c r="B208">
        <v>288</v>
      </c>
      <c r="C208" t="s">
        <v>587</v>
      </c>
      <c r="D208">
        <v>65</v>
      </c>
      <c r="E208" t="s">
        <v>257</v>
      </c>
      <c r="F208" t="s">
        <v>581</v>
      </c>
      <c r="G208" t="s">
        <v>582</v>
      </c>
      <c r="H208" t="s">
        <v>583</v>
      </c>
      <c r="J208" t="s">
        <v>584</v>
      </c>
      <c r="K208" t="s">
        <v>242</v>
      </c>
      <c r="L208" t="s">
        <v>585</v>
      </c>
      <c r="M208" t="s">
        <v>35</v>
      </c>
      <c r="N208">
        <v>7808949599</v>
      </c>
      <c r="O208" t="s">
        <v>586</v>
      </c>
      <c r="P208" t="s">
        <v>587</v>
      </c>
      <c r="R208" t="s">
        <v>592</v>
      </c>
      <c r="S208" t="s">
        <v>593</v>
      </c>
      <c r="T208" t="s">
        <v>232</v>
      </c>
      <c r="U208" t="s">
        <v>40</v>
      </c>
      <c r="V208" s="1">
        <v>45191</v>
      </c>
      <c r="W208">
        <v>0</v>
      </c>
      <c r="X208">
        <v>12</v>
      </c>
      <c r="AA208" t="s">
        <v>42</v>
      </c>
      <c r="AB208" t="s">
        <v>43</v>
      </c>
      <c r="AC208" t="s">
        <v>43</v>
      </c>
      <c r="AD208" t="s">
        <v>591</v>
      </c>
    </row>
    <row r="209" spans="1:30" x14ac:dyDescent="0.4">
      <c r="A209" t="s">
        <v>27</v>
      </c>
      <c r="B209">
        <v>288</v>
      </c>
      <c r="C209" t="s">
        <v>587</v>
      </c>
      <c r="D209">
        <v>66</v>
      </c>
      <c r="E209" t="s">
        <v>257</v>
      </c>
      <c r="F209" t="s">
        <v>581</v>
      </c>
      <c r="G209" t="s">
        <v>582</v>
      </c>
      <c r="H209" t="s">
        <v>583</v>
      </c>
      <c r="J209" t="s">
        <v>584</v>
      </c>
      <c r="K209" t="s">
        <v>242</v>
      </c>
      <c r="L209" t="s">
        <v>585</v>
      </c>
      <c r="M209" t="s">
        <v>35</v>
      </c>
      <c r="N209">
        <v>7808949599</v>
      </c>
      <c r="O209" t="s">
        <v>586</v>
      </c>
      <c r="P209" t="s">
        <v>587</v>
      </c>
      <c r="R209" t="s">
        <v>3047</v>
      </c>
      <c r="S209" t="s">
        <v>589</v>
      </c>
      <c r="T209" t="s">
        <v>590</v>
      </c>
      <c r="U209" t="s">
        <v>82</v>
      </c>
      <c r="V209" s="1">
        <v>43768</v>
      </c>
      <c r="W209">
        <v>0</v>
      </c>
      <c r="X209">
        <v>15</v>
      </c>
      <c r="AA209" t="s">
        <v>42</v>
      </c>
      <c r="AB209" t="s">
        <v>43</v>
      </c>
      <c r="AC209" t="s">
        <v>43</v>
      </c>
      <c r="AD209" t="s">
        <v>591</v>
      </c>
    </row>
    <row r="210" spans="1:30" x14ac:dyDescent="0.4">
      <c r="A210" t="s">
        <v>27</v>
      </c>
      <c r="B210">
        <v>406</v>
      </c>
      <c r="C210" t="s">
        <v>2853</v>
      </c>
      <c r="D210">
        <v>67</v>
      </c>
      <c r="E210" t="s">
        <v>68</v>
      </c>
      <c r="F210" t="s">
        <v>594</v>
      </c>
      <c r="G210" t="s">
        <v>595</v>
      </c>
      <c r="H210" t="s">
        <v>596</v>
      </c>
      <c r="J210" t="s">
        <v>597</v>
      </c>
      <c r="K210" t="s">
        <v>598</v>
      </c>
      <c r="L210" t="s">
        <v>599</v>
      </c>
      <c r="M210" t="s">
        <v>35</v>
      </c>
      <c r="N210">
        <v>1993844805</v>
      </c>
      <c r="O210" t="s">
        <v>600</v>
      </c>
      <c r="P210" t="s">
        <v>2853</v>
      </c>
      <c r="R210" t="s">
        <v>601</v>
      </c>
      <c r="S210" t="s">
        <v>602</v>
      </c>
      <c r="T210" t="s">
        <v>376</v>
      </c>
      <c r="U210" t="s">
        <v>40</v>
      </c>
      <c r="V210" s="1">
        <v>43203</v>
      </c>
      <c r="W210">
        <v>0</v>
      </c>
      <c r="X210">
        <v>7</v>
      </c>
      <c r="Z210" t="s">
        <v>392</v>
      </c>
      <c r="AA210" t="s">
        <v>42</v>
      </c>
      <c r="AB210" t="s">
        <v>43</v>
      </c>
      <c r="AC210" t="s">
        <v>42</v>
      </c>
    </row>
    <row r="211" spans="1:30" x14ac:dyDescent="0.4">
      <c r="A211" t="s">
        <v>27</v>
      </c>
      <c r="B211">
        <v>6278</v>
      </c>
      <c r="C211" t="s">
        <v>2927</v>
      </c>
      <c r="D211">
        <v>68</v>
      </c>
      <c r="E211" t="s">
        <v>68</v>
      </c>
      <c r="F211" t="s">
        <v>603</v>
      </c>
      <c r="G211" t="s">
        <v>604</v>
      </c>
      <c r="H211" t="s">
        <v>605</v>
      </c>
      <c r="J211" t="s">
        <v>606</v>
      </c>
      <c r="K211" t="s">
        <v>33</v>
      </c>
      <c r="L211" t="s">
        <v>607</v>
      </c>
      <c r="M211" t="s">
        <v>35</v>
      </c>
      <c r="N211">
        <v>7780861098</v>
      </c>
      <c r="O211" t="s">
        <v>608</v>
      </c>
      <c r="P211" t="s">
        <v>2927</v>
      </c>
      <c r="R211" t="s">
        <v>609</v>
      </c>
      <c r="S211" t="s">
        <v>610</v>
      </c>
      <c r="T211" t="s">
        <v>534</v>
      </c>
      <c r="U211" t="s">
        <v>82</v>
      </c>
      <c r="V211" s="1">
        <v>43631</v>
      </c>
      <c r="W211">
        <v>0</v>
      </c>
      <c r="X211">
        <v>9</v>
      </c>
      <c r="AA211" t="s">
        <v>42</v>
      </c>
      <c r="AB211" t="s">
        <v>43</v>
      </c>
      <c r="AC211" t="s">
        <v>43</v>
      </c>
    </row>
    <row r="212" spans="1:30" x14ac:dyDescent="0.4">
      <c r="A212" t="s">
        <v>27</v>
      </c>
      <c r="B212">
        <v>6278</v>
      </c>
      <c r="C212" t="s">
        <v>2927</v>
      </c>
      <c r="D212">
        <v>68</v>
      </c>
      <c r="E212" t="s">
        <v>68</v>
      </c>
      <c r="F212" t="s">
        <v>603</v>
      </c>
      <c r="G212" t="s">
        <v>604</v>
      </c>
      <c r="H212" t="s">
        <v>605</v>
      </c>
      <c r="J212" t="s">
        <v>606</v>
      </c>
      <c r="K212" t="s">
        <v>33</v>
      </c>
      <c r="L212" t="s">
        <v>607</v>
      </c>
      <c r="M212" t="s">
        <v>35</v>
      </c>
      <c r="N212">
        <v>7780861098</v>
      </c>
      <c r="O212" t="s">
        <v>608</v>
      </c>
      <c r="P212" t="s">
        <v>2927</v>
      </c>
      <c r="R212" t="s">
        <v>609</v>
      </c>
      <c r="S212" t="s">
        <v>610</v>
      </c>
      <c r="T212" t="s">
        <v>534</v>
      </c>
      <c r="U212" t="s">
        <v>82</v>
      </c>
      <c r="V212" s="1">
        <v>43631</v>
      </c>
      <c r="W212">
        <v>0</v>
      </c>
      <c r="X212">
        <v>10</v>
      </c>
      <c r="AA212" t="s">
        <v>42</v>
      </c>
      <c r="AB212" t="s">
        <v>43</v>
      </c>
      <c r="AC212" t="s">
        <v>43</v>
      </c>
    </row>
    <row r="213" spans="1:30" x14ac:dyDescent="0.4">
      <c r="A213" t="s">
        <v>27</v>
      </c>
      <c r="B213">
        <v>705</v>
      </c>
      <c r="C213" t="s">
        <v>2928</v>
      </c>
      <c r="D213">
        <v>69</v>
      </c>
      <c r="E213" t="s">
        <v>68</v>
      </c>
      <c r="F213" t="s">
        <v>611</v>
      </c>
      <c r="G213" t="s">
        <v>612</v>
      </c>
      <c r="H213" t="s">
        <v>613</v>
      </c>
      <c r="J213" t="s">
        <v>614</v>
      </c>
      <c r="K213" t="s">
        <v>426</v>
      </c>
      <c r="L213" t="s">
        <v>615</v>
      </c>
      <c r="M213" t="s">
        <v>35</v>
      </c>
      <c r="N213" t="s">
        <v>616</v>
      </c>
      <c r="O213" t="s">
        <v>617</v>
      </c>
      <c r="P213" t="s">
        <v>2928</v>
      </c>
      <c r="R213" t="s">
        <v>618</v>
      </c>
      <c r="S213" t="s">
        <v>619</v>
      </c>
      <c r="T213" t="s">
        <v>376</v>
      </c>
      <c r="U213" t="s">
        <v>82</v>
      </c>
      <c r="V213" s="1">
        <v>45220</v>
      </c>
      <c r="W213">
        <v>0</v>
      </c>
      <c r="X213">
        <v>4</v>
      </c>
      <c r="Y213" t="s">
        <v>65</v>
      </c>
      <c r="AA213" t="s">
        <v>42</v>
      </c>
      <c r="AB213" t="s">
        <v>43</v>
      </c>
      <c r="AC213" t="s">
        <v>42</v>
      </c>
    </row>
    <row r="214" spans="1:30" x14ac:dyDescent="0.4">
      <c r="A214" t="s">
        <v>27</v>
      </c>
      <c r="B214">
        <v>705</v>
      </c>
      <c r="C214" t="s">
        <v>2928</v>
      </c>
      <c r="D214">
        <v>69</v>
      </c>
      <c r="E214" t="s">
        <v>68</v>
      </c>
      <c r="F214" t="s">
        <v>611</v>
      </c>
      <c r="G214" t="s">
        <v>612</v>
      </c>
      <c r="H214" t="s">
        <v>613</v>
      </c>
      <c r="J214" t="s">
        <v>614</v>
      </c>
      <c r="K214" t="s">
        <v>426</v>
      </c>
      <c r="L214" t="s">
        <v>615</v>
      </c>
      <c r="M214" t="s">
        <v>35</v>
      </c>
      <c r="N214" t="s">
        <v>616</v>
      </c>
      <c r="O214" t="s">
        <v>617</v>
      </c>
      <c r="P214" t="s">
        <v>2928</v>
      </c>
      <c r="R214" t="s">
        <v>618</v>
      </c>
      <c r="S214" t="s">
        <v>619</v>
      </c>
      <c r="T214" t="s">
        <v>376</v>
      </c>
      <c r="U214" t="s">
        <v>82</v>
      </c>
      <c r="V214" s="1">
        <v>45220</v>
      </c>
      <c r="W214">
        <v>0</v>
      </c>
      <c r="X214">
        <v>5</v>
      </c>
      <c r="Y214" t="s">
        <v>66</v>
      </c>
      <c r="AA214" t="s">
        <v>42</v>
      </c>
      <c r="AB214" t="s">
        <v>43</v>
      </c>
      <c r="AC214" t="s">
        <v>42</v>
      </c>
    </row>
    <row r="215" spans="1:30" x14ac:dyDescent="0.4">
      <c r="A215" t="s">
        <v>27</v>
      </c>
      <c r="B215">
        <v>705</v>
      </c>
      <c r="C215" t="s">
        <v>2928</v>
      </c>
      <c r="D215">
        <v>69</v>
      </c>
      <c r="E215" t="s">
        <v>68</v>
      </c>
      <c r="F215" t="s">
        <v>611</v>
      </c>
      <c r="G215" t="s">
        <v>612</v>
      </c>
      <c r="H215" t="s">
        <v>613</v>
      </c>
      <c r="J215" t="s">
        <v>614</v>
      </c>
      <c r="K215" t="s">
        <v>426</v>
      </c>
      <c r="L215" t="s">
        <v>615</v>
      </c>
      <c r="M215" t="s">
        <v>35</v>
      </c>
      <c r="N215" t="s">
        <v>616</v>
      </c>
      <c r="O215" t="s">
        <v>617</v>
      </c>
      <c r="P215" t="s">
        <v>2928</v>
      </c>
      <c r="R215" t="s">
        <v>618</v>
      </c>
      <c r="S215" t="s">
        <v>619</v>
      </c>
      <c r="T215" t="s">
        <v>376</v>
      </c>
      <c r="U215" t="s">
        <v>82</v>
      </c>
      <c r="V215" s="1">
        <v>45220</v>
      </c>
      <c r="W215">
        <v>0</v>
      </c>
      <c r="X215">
        <v>13</v>
      </c>
      <c r="AA215" t="s">
        <v>42</v>
      </c>
      <c r="AB215" t="s">
        <v>43</v>
      </c>
      <c r="AC215" t="s">
        <v>42</v>
      </c>
    </row>
    <row r="216" spans="1:30" x14ac:dyDescent="0.4">
      <c r="A216" t="s">
        <v>27</v>
      </c>
      <c r="B216">
        <v>705</v>
      </c>
      <c r="C216" t="s">
        <v>2928</v>
      </c>
      <c r="D216">
        <v>69</v>
      </c>
      <c r="E216" t="s">
        <v>68</v>
      </c>
      <c r="F216" t="s">
        <v>611</v>
      </c>
      <c r="G216" t="s">
        <v>612</v>
      </c>
      <c r="H216" t="s">
        <v>613</v>
      </c>
      <c r="J216" t="s">
        <v>614</v>
      </c>
      <c r="K216" t="s">
        <v>426</v>
      </c>
      <c r="L216" t="s">
        <v>615</v>
      </c>
      <c r="M216" t="s">
        <v>35</v>
      </c>
      <c r="N216" t="s">
        <v>616</v>
      </c>
      <c r="O216" t="s">
        <v>617</v>
      </c>
      <c r="P216" t="s">
        <v>2928</v>
      </c>
      <c r="R216" t="s">
        <v>618</v>
      </c>
      <c r="S216" t="s">
        <v>619</v>
      </c>
      <c r="T216" t="s">
        <v>376</v>
      </c>
      <c r="U216" t="s">
        <v>82</v>
      </c>
      <c r="V216" s="1">
        <v>45220</v>
      </c>
      <c r="W216">
        <v>0</v>
      </c>
      <c r="X216">
        <v>15</v>
      </c>
      <c r="AA216" t="s">
        <v>42</v>
      </c>
      <c r="AB216" t="s">
        <v>43</v>
      </c>
      <c r="AC216" t="s">
        <v>42</v>
      </c>
    </row>
    <row r="217" spans="1:30" x14ac:dyDescent="0.4">
      <c r="A217" t="s">
        <v>27</v>
      </c>
      <c r="B217">
        <v>6428</v>
      </c>
      <c r="C217" t="s">
        <v>626</v>
      </c>
      <c r="E217" t="s">
        <v>28</v>
      </c>
      <c r="F217" t="s">
        <v>620</v>
      </c>
      <c r="G217" t="s">
        <v>621</v>
      </c>
      <c r="H217" t="s">
        <v>622</v>
      </c>
      <c r="J217" t="s">
        <v>623</v>
      </c>
      <c r="K217" t="s">
        <v>33</v>
      </c>
      <c r="L217" t="s">
        <v>624</v>
      </c>
      <c r="M217" t="s">
        <v>35</v>
      </c>
      <c r="N217">
        <v>7763625614</v>
      </c>
      <c r="O217" t="s">
        <v>625</v>
      </c>
      <c r="P217" t="s">
        <v>626</v>
      </c>
      <c r="R217" t="s">
        <v>627</v>
      </c>
      <c r="S217" t="s">
        <v>628</v>
      </c>
      <c r="T217" t="s">
        <v>58</v>
      </c>
      <c r="U217" t="s">
        <v>40</v>
      </c>
      <c r="V217" s="1">
        <v>45422</v>
      </c>
      <c r="W217">
        <v>0</v>
      </c>
      <c r="X217">
        <v>0</v>
      </c>
      <c r="Y217" t="s">
        <v>59</v>
      </c>
      <c r="AA217" t="s">
        <v>42</v>
      </c>
      <c r="AB217" t="s">
        <v>43</v>
      </c>
      <c r="AC217" t="s">
        <v>43</v>
      </c>
    </row>
    <row r="218" spans="1:30" x14ac:dyDescent="0.4">
      <c r="A218" t="s">
        <v>27</v>
      </c>
      <c r="B218">
        <v>24</v>
      </c>
      <c r="C218" t="s">
        <v>638</v>
      </c>
      <c r="D218">
        <v>70</v>
      </c>
      <c r="E218" t="s">
        <v>28</v>
      </c>
      <c r="F218" t="s">
        <v>629</v>
      </c>
      <c r="G218" t="s">
        <v>630</v>
      </c>
      <c r="H218" t="s">
        <v>631</v>
      </c>
      <c r="I218" t="s">
        <v>632</v>
      </c>
      <c r="J218" t="s">
        <v>633</v>
      </c>
      <c r="K218" t="s">
        <v>634</v>
      </c>
      <c r="L218" t="s">
        <v>635</v>
      </c>
      <c r="M218" t="s">
        <v>35</v>
      </c>
      <c r="N218" t="s">
        <v>636</v>
      </c>
      <c r="O218" t="s">
        <v>637</v>
      </c>
      <c r="P218" t="s">
        <v>638</v>
      </c>
      <c r="R218" t="s">
        <v>639</v>
      </c>
      <c r="S218" t="s">
        <v>640</v>
      </c>
      <c r="T218" t="s">
        <v>376</v>
      </c>
      <c r="U218" t="s">
        <v>82</v>
      </c>
      <c r="V218" s="1">
        <v>43271</v>
      </c>
      <c r="W218">
        <v>0</v>
      </c>
      <c r="X218">
        <v>7</v>
      </c>
      <c r="Z218" t="s">
        <v>392</v>
      </c>
      <c r="AA218" t="s">
        <v>42</v>
      </c>
      <c r="AB218" t="s">
        <v>43</v>
      </c>
      <c r="AC218" t="s">
        <v>43</v>
      </c>
    </row>
    <row r="219" spans="1:30" x14ac:dyDescent="0.4">
      <c r="A219" t="s">
        <v>27</v>
      </c>
      <c r="B219">
        <v>24</v>
      </c>
      <c r="C219" t="s">
        <v>638</v>
      </c>
      <c r="D219">
        <v>70</v>
      </c>
      <c r="E219" t="s">
        <v>28</v>
      </c>
      <c r="F219" t="s">
        <v>629</v>
      </c>
      <c r="G219" t="s">
        <v>630</v>
      </c>
      <c r="H219" t="s">
        <v>631</v>
      </c>
      <c r="I219" t="s">
        <v>632</v>
      </c>
      <c r="J219" t="s">
        <v>633</v>
      </c>
      <c r="K219" t="s">
        <v>634</v>
      </c>
      <c r="L219" t="s">
        <v>635</v>
      </c>
      <c r="M219" t="s">
        <v>35</v>
      </c>
      <c r="N219" t="s">
        <v>636</v>
      </c>
      <c r="O219" t="s">
        <v>637</v>
      </c>
      <c r="P219" t="s">
        <v>638</v>
      </c>
      <c r="R219" t="s">
        <v>639</v>
      </c>
      <c r="S219" t="s">
        <v>640</v>
      </c>
      <c r="T219" t="s">
        <v>376</v>
      </c>
      <c r="U219" t="s">
        <v>82</v>
      </c>
      <c r="V219" s="1">
        <v>43271</v>
      </c>
      <c r="W219">
        <v>0</v>
      </c>
      <c r="X219">
        <v>19</v>
      </c>
      <c r="Z219" t="s">
        <v>392</v>
      </c>
      <c r="AA219" t="s">
        <v>42</v>
      </c>
      <c r="AB219" t="s">
        <v>43</v>
      </c>
      <c r="AC219" t="s">
        <v>43</v>
      </c>
    </row>
    <row r="220" spans="1:30" x14ac:dyDescent="0.4">
      <c r="A220" t="s">
        <v>27</v>
      </c>
      <c r="B220">
        <v>24</v>
      </c>
      <c r="C220" t="s">
        <v>638</v>
      </c>
      <c r="E220" t="s">
        <v>28</v>
      </c>
      <c r="F220" t="s">
        <v>629</v>
      </c>
      <c r="G220" t="s">
        <v>630</v>
      </c>
      <c r="H220" t="s">
        <v>631</v>
      </c>
      <c r="I220" t="s">
        <v>632</v>
      </c>
      <c r="J220" t="s">
        <v>633</v>
      </c>
      <c r="K220" t="s">
        <v>634</v>
      </c>
      <c r="L220" t="s">
        <v>635</v>
      </c>
      <c r="M220" t="s">
        <v>35</v>
      </c>
      <c r="N220" t="s">
        <v>636</v>
      </c>
      <c r="O220" t="s">
        <v>637</v>
      </c>
      <c r="P220" t="s">
        <v>638</v>
      </c>
      <c r="R220" t="s">
        <v>641</v>
      </c>
      <c r="S220" t="s">
        <v>642</v>
      </c>
      <c r="T220" t="s">
        <v>359</v>
      </c>
      <c r="U220" t="s">
        <v>82</v>
      </c>
      <c r="V220" s="1">
        <v>41160</v>
      </c>
      <c r="W220">
        <v>0</v>
      </c>
      <c r="X220">
        <v>0</v>
      </c>
      <c r="Y220" t="s">
        <v>59</v>
      </c>
      <c r="Z220" t="s">
        <v>392</v>
      </c>
      <c r="AA220" t="s">
        <v>42</v>
      </c>
      <c r="AB220" t="s">
        <v>43</v>
      </c>
      <c r="AC220" t="s">
        <v>43</v>
      </c>
    </row>
    <row r="221" spans="1:30" x14ac:dyDescent="0.4">
      <c r="A221" t="s">
        <v>27</v>
      </c>
      <c r="B221">
        <v>24</v>
      </c>
      <c r="C221" t="s">
        <v>638</v>
      </c>
      <c r="E221" t="s">
        <v>28</v>
      </c>
      <c r="F221" t="s">
        <v>629</v>
      </c>
      <c r="G221" t="s">
        <v>630</v>
      </c>
      <c r="H221" t="s">
        <v>631</v>
      </c>
      <c r="I221" t="s">
        <v>632</v>
      </c>
      <c r="J221" t="s">
        <v>633</v>
      </c>
      <c r="K221" t="s">
        <v>634</v>
      </c>
      <c r="L221" t="s">
        <v>635</v>
      </c>
      <c r="M221" t="s">
        <v>35</v>
      </c>
      <c r="N221" t="s">
        <v>636</v>
      </c>
      <c r="O221" t="s">
        <v>637</v>
      </c>
      <c r="P221" t="s">
        <v>638</v>
      </c>
      <c r="R221" t="s">
        <v>641</v>
      </c>
      <c r="S221" t="s">
        <v>642</v>
      </c>
      <c r="T221" t="s">
        <v>359</v>
      </c>
      <c r="U221" t="s">
        <v>82</v>
      </c>
      <c r="V221" s="1">
        <v>41160</v>
      </c>
      <c r="W221">
        <v>0</v>
      </c>
      <c r="X221">
        <v>0</v>
      </c>
      <c r="Y221" t="s">
        <v>59</v>
      </c>
      <c r="Z221" t="s">
        <v>392</v>
      </c>
      <c r="AA221" t="s">
        <v>42</v>
      </c>
      <c r="AB221" t="s">
        <v>43</v>
      </c>
      <c r="AC221" t="s">
        <v>43</v>
      </c>
    </row>
    <row r="222" spans="1:30" x14ac:dyDescent="0.4">
      <c r="A222" t="s">
        <v>27</v>
      </c>
      <c r="B222">
        <v>1609</v>
      </c>
      <c r="C222" t="s">
        <v>2929</v>
      </c>
      <c r="E222" t="s">
        <v>68</v>
      </c>
      <c r="F222" t="s">
        <v>643</v>
      </c>
      <c r="G222" t="s">
        <v>644</v>
      </c>
      <c r="H222" t="s">
        <v>645</v>
      </c>
      <c r="J222" t="s">
        <v>559</v>
      </c>
      <c r="K222" t="s">
        <v>51</v>
      </c>
      <c r="L222" t="s">
        <v>646</v>
      </c>
      <c r="M222" t="s">
        <v>35</v>
      </c>
      <c r="N222" t="s">
        <v>647</v>
      </c>
      <c r="O222" t="s">
        <v>648</v>
      </c>
      <c r="P222" t="s">
        <v>649</v>
      </c>
      <c r="R222" t="s">
        <v>650</v>
      </c>
      <c r="S222" t="s">
        <v>651</v>
      </c>
      <c r="T222" t="s">
        <v>58</v>
      </c>
      <c r="U222" t="s">
        <v>82</v>
      </c>
      <c r="V222" s="1">
        <v>45630</v>
      </c>
      <c r="W222">
        <v>0</v>
      </c>
      <c r="X222">
        <v>0</v>
      </c>
      <c r="Y222" t="s">
        <v>59</v>
      </c>
      <c r="AA222" t="s">
        <v>42</v>
      </c>
      <c r="AB222" t="s">
        <v>43</v>
      </c>
      <c r="AC222" t="s">
        <v>43</v>
      </c>
    </row>
    <row r="223" spans="1:30" x14ac:dyDescent="0.4">
      <c r="A223" t="s">
        <v>27</v>
      </c>
      <c r="B223">
        <v>1609</v>
      </c>
      <c r="C223" t="s">
        <v>2929</v>
      </c>
      <c r="E223" t="s">
        <v>68</v>
      </c>
      <c r="F223" t="s">
        <v>643</v>
      </c>
      <c r="G223" t="s">
        <v>644</v>
      </c>
      <c r="H223" t="s">
        <v>645</v>
      </c>
      <c r="J223" t="s">
        <v>559</v>
      </c>
      <c r="K223" t="s">
        <v>51</v>
      </c>
      <c r="L223" t="s">
        <v>646</v>
      </c>
      <c r="M223" t="s">
        <v>35</v>
      </c>
      <c r="N223" t="s">
        <v>647</v>
      </c>
      <c r="O223" t="s">
        <v>648</v>
      </c>
      <c r="P223" t="s">
        <v>649</v>
      </c>
      <c r="R223" t="s">
        <v>650</v>
      </c>
      <c r="S223" t="s">
        <v>651</v>
      </c>
      <c r="T223" t="s">
        <v>58</v>
      </c>
      <c r="U223" t="s">
        <v>82</v>
      </c>
      <c r="V223" s="1">
        <v>45630</v>
      </c>
      <c r="W223">
        <v>0</v>
      </c>
      <c r="X223">
        <v>0</v>
      </c>
      <c r="Y223" t="s">
        <v>59</v>
      </c>
      <c r="AA223" t="s">
        <v>42</v>
      </c>
      <c r="AB223" t="s">
        <v>43</v>
      </c>
      <c r="AC223" t="s">
        <v>43</v>
      </c>
    </row>
    <row r="224" spans="1:30" x14ac:dyDescent="0.4">
      <c r="A224" t="s">
        <v>27</v>
      </c>
      <c r="B224">
        <v>1609</v>
      </c>
      <c r="C224" t="s">
        <v>2929</v>
      </c>
      <c r="D224">
        <v>71</v>
      </c>
      <c r="E224" t="s">
        <v>68</v>
      </c>
      <c r="F224" t="s">
        <v>643</v>
      </c>
      <c r="G224" t="s">
        <v>644</v>
      </c>
      <c r="H224" t="s">
        <v>645</v>
      </c>
      <c r="J224" t="s">
        <v>559</v>
      </c>
      <c r="K224" t="s">
        <v>51</v>
      </c>
      <c r="L224" t="s">
        <v>646</v>
      </c>
      <c r="M224" t="s">
        <v>35</v>
      </c>
      <c r="N224" t="s">
        <v>647</v>
      </c>
      <c r="O224" t="s">
        <v>648</v>
      </c>
      <c r="P224" t="s">
        <v>2929</v>
      </c>
      <c r="R224" t="s">
        <v>652</v>
      </c>
      <c r="S224" t="s">
        <v>653</v>
      </c>
      <c r="T224" t="s">
        <v>58</v>
      </c>
      <c r="U224" t="s">
        <v>82</v>
      </c>
      <c r="V224" s="1">
        <v>42805</v>
      </c>
      <c r="W224">
        <v>0</v>
      </c>
      <c r="X224">
        <v>7</v>
      </c>
      <c r="AA224" t="s">
        <v>42</v>
      </c>
      <c r="AB224" t="s">
        <v>43</v>
      </c>
      <c r="AC224" t="s">
        <v>43</v>
      </c>
    </row>
    <row r="225" spans="1:30" x14ac:dyDescent="0.4">
      <c r="A225" t="s">
        <v>27</v>
      </c>
      <c r="B225">
        <v>1609</v>
      </c>
      <c r="C225" t="s">
        <v>2929</v>
      </c>
      <c r="D225">
        <v>72</v>
      </c>
      <c r="E225" t="s">
        <v>68</v>
      </c>
      <c r="F225" t="s">
        <v>643</v>
      </c>
      <c r="G225" t="s">
        <v>644</v>
      </c>
      <c r="H225" t="s">
        <v>645</v>
      </c>
      <c r="J225" t="s">
        <v>559</v>
      </c>
      <c r="K225" t="s">
        <v>51</v>
      </c>
      <c r="L225" t="s">
        <v>646</v>
      </c>
      <c r="M225" t="s">
        <v>35</v>
      </c>
      <c r="N225" t="s">
        <v>647</v>
      </c>
      <c r="O225" t="s">
        <v>648</v>
      </c>
      <c r="P225" t="s">
        <v>2929</v>
      </c>
      <c r="R225" t="s">
        <v>654</v>
      </c>
      <c r="S225" t="s">
        <v>655</v>
      </c>
      <c r="T225" t="s">
        <v>58</v>
      </c>
      <c r="U225" t="s">
        <v>40</v>
      </c>
      <c r="V225" s="1">
        <v>43954</v>
      </c>
      <c r="W225">
        <v>0</v>
      </c>
      <c r="X225">
        <v>7</v>
      </c>
      <c r="AA225" t="s">
        <v>42</v>
      </c>
      <c r="AB225" t="s">
        <v>43</v>
      </c>
      <c r="AC225" t="s">
        <v>43</v>
      </c>
    </row>
    <row r="226" spans="1:30" x14ac:dyDescent="0.4">
      <c r="A226" t="s">
        <v>27</v>
      </c>
      <c r="B226">
        <v>1609</v>
      </c>
      <c r="C226" t="s">
        <v>2929</v>
      </c>
      <c r="D226">
        <v>72</v>
      </c>
      <c r="E226" t="s">
        <v>68</v>
      </c>
      <c r="F226" t="s">
        <v>643</v>
      </c>
      <c r="G226" t="s">
        <v>644</v>
      </c>
      <c r="H226" t="s">
        <v>645</v>
      </c>
      <c r="J226" t="s">
        <v>559</v>
      </c>
      <c r="K226" t="s">
        <v>51</v>
      </c>
      <c r="L226" t="s">
        <v>646</v>
      </c>
      <c r="M226" t="s">
        <v>35</v>
      </c>
      <c r="N226" t="s">
        <v>647</v>
      </c>
      <c r="O226" t="s">
        <v>648</v>
      </c>
      <c r="P226" t="s">
        <v>2929</v>
      </c>
      <c r="R226" t="s">
        <v>654</v>
      </c>
      <c r="S226" t="s">
        <v>655</v>
      </c>
      <c r="T226" t="s">
        <v>58</v>
      </c>
      <c r="U226" t="s">
        <v>40</v>
      </c>
      <c r="V226" s="1">
        <v>43954</v>
      </c>
      <c r="W226">
        <v>0</v>
      </c>
      <c r="X226">
        <v>18</v>
      </c>
      <c r="AA226" t="s">
        <v>42</v>
      </c>
      <c r="AB226" t="s">
        <v>43</v>
      </c>
      <c r="AC226" t="s">
        <v>43</v>
      </c>
    </row>
    <row r="227" spans="1:30" x14ac:dyDescent="0.4">
      <c r="A227" t="s">
        <v>27</v>
      </c>
      <c r="B227">
        <v>1609</v>
      </c>
      <c r="C227" t="s">
        <v>2929</v>
      </c>
      <c r="D227">
        <v>71</v>
      </c>
      <c r="E227" t="s">
        <v>68</v>
      </c>
      <c r="F227" t="s">
        <v>643</v>
      </c>
      <c r="G227" t="s">
        <v>644</v>
      </c>
      <c r="H227" t="s">
        <v>645</v>
      </c>
      <c r="J227" t="s">
        <v>559</v>
      </c>
      <c r="K227" t="s">
        <v>51</v>
      </c>
      <c r="L227" t="s">
        <v>646</v>
      </c>
      <c r="M227" t="s">
        <v>35</v>
      </c>
      <c r="N227" t="s">
        <v>647</v>
      </c>
      <c r="O227" t="s">
        <v>648</v>
      </c>
      <c r="P227" t="s">
        <v>2929</v>
      </c>
      <c r="R227" t="s">
        <v>652</v>
      </c>
      <c r="S227" t="s">
        <v>653</v>
      </c>
      <c r="T227" t="s">
        <v>58</v>
      </c>
      <c r="U227" t="s">
        <v>82</v>
      </c>
      <c r="V227" s="1">
        <v>42805</v>
      </c>
      <c r="W227">
        <v>0</v>
      </c>
      <c r="X227">
        <v>19</v>
      </c>
      <c r="AA227" t="s">
        <v>42</v>
      </c>
      <c r="AB227" t="s">
        <v>43</v>
      </c>
      <c r="AC227" t="s">
        <v>43</v>
      </c>
    </row>
    <row r="228" spans="1:30" x14ac:dyDescent="0.4">
      <c r="A228" t="s">
        <v>27</v>
      </c>
      <c r="B228">
        <v>1609</v>
      </c>
      <c r="C228" t="s">
        <v>2929</v>
      </c>
      <c r="D228">
        <v>71</v>
      </c>
      <c r="E228" t="s">
        <v>68</v>
      </c>
      <c r="F228" t="s">
        <v>643</v>
      </c>
      <c r="G228" t="s">
        <v>644</v>
      </c>
      <c r="H228" t="s">
        <v>645</v>
      </c>
      <c r="J228" t="s">
        <v>559</v>
      </c>
      <c r="K228" t="s">
        <v>51</v>
      </c>
      <c r="L228" t="s">
        <v>646</v>
      </c>
      <c r="M228" t="s">
        <v>35</v>
      </c>
      <c r="N228" t="s">
        <v>647</v>
      </c>
      <c r="O228" t="s">
        <v>648</v>
      </c>
      <c r="P228" t="s">
        <v>2929</v>
      </c>
      <c r="R228" t="s">
        <v>652</v>
      </c>
      <c r="S228" t="s">
        <v>653</v>
      </c>
      <c r="T228" t="s">
        <v>58</v>
      </c>
      <c r="U228" t="s">
        <v>82</v>
      </c>
      <c r="V228" s="1">
        <v>42805</v>
      </c>
      <c r="W228">
        <v>0</v>
      </c>
      <c r="X228">
        <v>21</v>
      </c>
      <c r="AA228" t="s">
        <v>42</v>
      </c>
      <c r="AB228" t="s">
        <v>43</v>
      </c>
      <c r="AC228" t="s">
        <v>43</v>
      </c>
    </row>
    <row r="229" spans="1:30" x14ac:dyDescent="0.4">
      <c r="A229" t="s">
        <v>27</v>
      </c>
      <c r="B229">
        <v>773</v>
      </c>
      <c r="C229" t="s">
        <v>2854</v>
      </c>
      <c r="D229">
        <v>73</v>
      </c>
      <c r="E229" t="s">
        <v>68</v>
      </c>
      <c r="F229" t="s">
        <v>656</v>
      </c>
      <c r="G229" t="s">
        <v>657</v>
      </c>
      <c r="H229" t="s">
        <v>658</v>
      </c>
      <c r="I229" t="s">
        <v>659</v>
      </c>
      <c r="J229" t="s">
        <v>660</v>
      </c>
      <c r="K229" t="s">
        <v>33</v>
      </c>
      <c r="L229" t="s">
        <v>661</v>
      </c>
      <c r="M229" t="s">
        <v>35</v>
      </c>
      <c r="N229" t="s">
        <v>662</v>
      </c>
      <c r="O229" t="s">
        <v>663</v>
      </c>
      <c r="P229" t="s">
        <v>2854</v>
      </c>
      <c r="R229" t="s">
        <v>664</v>
      </c>
      <c r="S229" t="s">
        <v>665</v>
      </c>
      <c r="T229" t="s">
        <v>58</v>
      </c>
      <c r="U229" t="s">
        <v>40</v>
      </c>
      <c r="V229" s="1">
        <v>42420</v>
      </c>
      <c r="W229">
        <v>0</v>
      </c>
      <c r="X229">
        <v>7</v>
      </c>
      <c r="Z229" t="s">
        <v>392</v>
      </c>
      <c r="AA229" t="s">
        <v>42</v>
      </c>
      <c r="AB229" t="s">
        <v>43</v>
      </c>
      <c r="AC229" t="s">
        <v>43</v>
      </c>
    </row>
    <row r="230" spans="1:30" x14ac:dyDescent="0.4">
      <c r="A230" t="s">
        <v>27</v>
      </c>
      <c r="B230">
        <v>773</v>
      </c>
      <c r="C230" t="s">
        <v>2854</v>
      </c>
      <c r="D230">
        <v>74</v>
      </c>
      <c r="E230" t="s">
        <v>68</v>
      </c>
      <c r="F230" t="s">
        <v>656</v>
      </c>
      <c r="G230" t="s">
        <v>657</v>
      </c>
      <c r="H230" t="s">
        <v>658</v>
      </c>
      <c r="I230" t="s">
        <v>659</v>
      </c>
      <c r="J230" t="s">
        <v>660</v>
      </c>
      <c r="K230" t="s">
        <v>33</v>
      </c>
      <c r="L230" t="s">
        <v>661</v>
      </c>
      <c r="M230" t="s">
        <v>35</v>
      </c>
      <c r="N230" t="s">
        <v>662</v>
      </c>
      <c r="O230" t="s">
        <v>663</v>
      </c>
      <c r="P230" t="s">
        <v>2854</v>
      </c>
      <c r="R230" t="s">
        <v>666</v>
      </c>
      <c r="S230" t="s">
        <v>667</v>
      </c>
      <c r="T230" t="s">
        <v>232</v>
      </c>
      <c r="U230" t="s">
        <v>82</v>
      </c>
      <c r="V230" s="1">
        <v>44570</v>
      </c>
      <c r="W230">
        <v>0</v>
      </c>
      <c r="X230">
        <v>6</v>
      </c>
      <c r="Y230" t="s">
        <v>83</v>
      </c>
      <c r="Z230" t="s">
        <v>392</v>
      </c>
      <c r="AA230" t="s">
        <v>42</v>
      </c>
      <c r="AB230" t="s">
        <v>43</v>
      </c>
      <c r="AC230" t="s">
        <v>43</v>
      </c>
    </row>
    <row r="231" spans="1:30" x14ac:dyDescent="0.4">
      <c r="A231" t="s">
        <v>27</v>
      </c>
      <c r="B231">
        <v>773</v>
      </c>
      <c r="C231" t="s">
        <v>2854</v>
      </c>
      <c r="D231">
        <v>74</v>
      </c>
      <c r="E231" t="s">
        <v>68</v>
      </c>
      <c r="F231" t="s">
        <v>656</v>
      </c>
      <c r="G231" t="s">
        <v>657</v>
      </c>
      <c r="H231" t="s">
        <v>658</v>
      </c>
      <c r="I231" t="s">
        <v>659</v>
      </c>
      <c r="J231" t="s">
        <v>660</v>
      </c>
      <c r="K231" t="s">
        <v>33</v>
      </c>
      <c r="L231" t="s">
        <v>661</v>
      </c>
      <c r="M231" t="s">
        <v>35</v>
      </c>
      <c r="N231" t="s">
        <v>662</v>
      </c>
      <c r="O231" t="s">
        <v>663</v>
      </c>
      <c r="P231" t="s">
        <v>2854</v>
      </c>
      <c r="R231" t="s">
        <v>666</v>
      </c>
      <c r="S231" t="s">
        <v>667</v>
      </c>
      <c r="T231" t="s">
        <v>232</v>
      </c>
      <c r="U231" t="s">
        <v>82</v>
      </c>
      <c r="V231" s="1">
        <v>44570</v>
      </c>
      <c r="W231">
        <v>0</v>
      </c>
      <c r="X231">
        <v>17</v>
      </c>
      <c r="Z231" t="s">
        <v>392</v>
      </c>
      <c r="AA231" t="s">
        <v>42</v>
      </c>
      <c r="AB231" t="s">
        <v>43</v>
      </c>
      <c r="AC231" t="s">
        <v>43</v>
      </c>
    </row>
    <row r="232" spans="1:30" x14ac:dyDescent="0.4">
      <c r="A232" t="s">
        <v>27</v>
      </c>
      <c r="B232">
        <v>773</v>
      </c>
      <c r="C232" t="s">
        <v>2854</v>
      </c>
      <c r="D232">
        <v>73</v>
      </c>
      <c r="E232" t="s">
        <v>68</v>
      </c>
      <c r="F232" t="s">
        <v>656</v>
      </c>
      <c r="G232" t="s">
        <v>657</v>
      </c>
      <c r="H232" t="s">
        <v>658</v>
      </c>
      <c r="I232" t="s">
        <v>659</v>
      </c>
      <c r="J232" t="s">
        <v>660</v>
      </c>
      <c r="K232" t="s">
        <v>33</v>
      </c>
      <c r="L232" t="s">
        <v>661</v>
      </c>
      <c r="M232" t="s">
        <v>35</v>
      </c>
      <c r="N232" t="s">
        <v>662</v>
      </c>
      <c r="O232" t="s">
        <v>663</v>
      </c>
      <c r="P232" t="s">
        <v>2854</v>
      </c>
      <c r="R232" t="s">
        <v>664</v>
      </c>
      <c r="S232" t="s">
        <v>665</v>
      </c>
      <c r="T232" t="s">
        <v>58</v>
      </c>
      <c r="U232" t="s">
        <v>40</v>
      </c>
      <c r="V232" s="1">
        <v>42420</v>
      </c>
      <c r="W232">
        <v>0</v>
      </c>
      <c r="X232">
        <v>18</v>
      </c>
      <c r="Z232" t="s">
        <v>392</v>
      </c>
      <c r="AA232" t="s">
        <v>42</v>
      </c>
      <c r="AB232" t="s">
        <v>43</v>
      </c>
      <c r="AC232" t="s">
        <v>43</v>
      </c>
    </row>
    <row r="233" spans="1:30" x14ac:dyDescent="0.4">
      <c r="A233" t="s">
        <v>27</v>
      </c>
      <c r="B233">
        <v>2633</v>
      </c>
      <c r="C233" t="s">
        <v>674</v>
      </c>
      <c r="D233">
        <v>77</v>
      </c>
      <c r="E233" t="s">
        <v>68</v>
      </c>
      <c r="F233" t="s">
        <v>668</v>
      </c>
      <c r="G233" t="s">
        <v>669</v>
      </c>
      <c r="H233" t="s">
        <v>670</v>
      </c>
      <c r="J233" t="s">
        <v>671</v>
      </c>
      <c r="K233" t="s">
        <v>189</v>
      </c>
      <c r="L233" t="s">
        <v>672</v>
      </c>
      <c r="M233" t="s">
        <v>35</v>
      </c>
      <c r="N233">
        <v>7972401245</v>
      </c>
      <c r="O233" t="s">
        <v>673</v>
      </c>
      <c r="P233" t="s">
        <v>674</v>
      </c>
      <c r="R233" t="s">
        <v>675</v>
      </c>
      <c r="S233" t="s">
        <v>676</v>
      </c>
      <c r="T233" t="s">
        <v>94</v>
      </c>
      <c r="U233" t="s">
        <v>82</v>
      </c>
      <c r="V233" s="1">
        <v>44164</v>
      </c>
      <c r="W233">
        <v>0</v>
      </c>
      <c r="X233">
        <v>19</v>
      </c>
      <c r="AA233" t="s">
        <v>42</v>
      </c>
      <c r="AB233" t="s">
        <v>43</v>
      </c>
      <c r="AC233" t="s">
        <v>43</v>
      </c>
    </row>
    <row r="234" spans="1:30" x14ac:dyDescent="0.4">
      <c r="A234" t="s">
        <v>27</v>
      </c>
      <c r="B234">
        <v>2633</v>
      </c>
      <c r="C234" t="s">
        <v>674</v>
      </c>
      <c r="D234">
        <v>77</v>
      </c>
      <c r="E234" t="s">
        <v>68</v>
      </c>
      <c r="F234" t="s">
        <v>668</v>
      </c>
      <c r="G234" t="s">
        <v>669</v>
      </c>
      <c r="H234" t="s">
        <v>670</v>
      </c>
      <c r="J234" t="s">
        <v>671</v>
      </c>
      <c r="K234" t="s">
        <v>189</v>
      </c>
      <c r="L234" t="s">
        <v>672</v>
      </c>
      <c r="M234" t="s">
        <v>35</v>
      </c>
      <c r="N234">
        <v>7972401245</v>
      </c>
      <c r="O234" t="s">
        <v>673</v>
      </c>
      <c r="P234" t="s">
        <v>674</v>
      </c>
      <c r="R234" t="s">
        <v>675</v>
      </c>
      <c r="S234" t="s">
        <v>676</v>
      </c>
      <c r="T234" t="s">
        <v>94</v>
      </c>
      <c r="U234" t="s">
        <v>82</v>
      </c>
      <c r="V234" s="1">
        <v>44164</v>
      </c>
      <c r="W234">
        <v>0</v>
      </c>
      <c r="X234">
        <v>21</v>
      </c>
      <c r="AA234" t="s">
        <v>42</v>
      </c>
      <c r="AB234" t="s">
        <v>43</v>
      </c>
      <c r="AC234" t="s">
        <v>43</v>
      </c>
    </row>
    <row r="235" spans="1:30" x14ac:dyDescent="0.4">
      <c r="A235" t="s">
        <v>27</v>
      </c>
      <c r="B235">
        <v>5301</v>
      </c>
      <c r="C235" t="s">
        <v>682</v>
      </c>
      <c r="D235">
        <v>75</v>
      </c>
      <c r="E235" t="s">
        <v>257</v>
      </c>
      <c r="F235" t="s">
        <v>677</v>
      </c>
      <c r="G235" t="s">
        <v>669</v>
      </c>
      <c r="H235" t="s">
        <v>678</v>
      </c>
      <c r="J235" t="s">
        <v>679</v>
      </c>
      <c r="K235" t="s">
        <v>201</v>
      </c>
      <c r="L235" t="s">
        <v>680</v>
      </c>
      <c r="M235" t="s">
        <v>35</v>
      </c>
      <c r="N235">
        <v>447805958571</v>
      </c>
      <c r="O235" t="s">
        <v>681</v>
      </c>
      <c r="P235" t="s">
        <v>682</v>
      </c>
      <c r="R235" t="s">
        <v>3035</v>
      </c>
      <c r="S235" t="s">
        <v>684</v>
      </c>
      <c r="T235" t="s">
        <v>376</v>
      </c>
      <c r="U235" t="s">
        <v>40</v>
      </c>
      <c r="V235" s="1">
        <v>44355</v>
      </c>
      <c r="W235">
        <v>0</v>
      </c>
      <c r="X235">
        <v>3</v>
      </c>
      <c r="AA235" t="s">
        <v>42</v>
      </c>
      <c r="AB235" t="s">
        <v>43</v>
      </c>
      <c r="AC235" t="s">
        <v>43</v>
      </c>
    </row>
    <row r="236" spans="1:30" x14ac:dyDescent="0.4">
      <c r="A236" t="s">
        <v>27</v>
      </c>
      <c r="B236">
        <v>5301</v>
      </c>
      <c r="C236" t="s">
        <v>682</v>
      </c>
      <c r="D236">
        <v>75</v>
      </c>
      <c r="E236" t="s">
        <v>257</v>
      </c>
      <c r="F236" t="s">
        <v>677</v>
      </c>
      <c r="G236" t="s">
        <v>669</v>
      </c>
      <c r="H236" t="s">
        <v>678</v>
      </c>
      <c r="J236" t="s">
        <v>679</v>
      </c>
      <c r="K236" t="s">
        <v>201</v>
      </c>
      <c r="L236" t="s">
        <v>680</v>
      </c>
      <c r="M236" t="s">
        <v>35</v>
      </c>
      <c r="N236">
        <v>447805958571</v>
      </c>
      <c r="O236" t="s">
        <v>681</v>
      </c>
      <c r="P236" t="s">
        <v>682</v>
      </c>
      <c r="R236" t="s">
        <v>3035</v>
      </c>
      <c r="S236" t="s">
        <v>684</v>
      </c>
      <c r="T236" t="s">
        <v>376</v>
      </c>
      <c r="U236" t="s">
        <v>40</v>
      </c>
      <c r="V236" s="1">
        <v>44355</v>
      </c>
      <c r="W236">
        <v>0</v>
      </c>
      <c r="X236">
        <v>4</v>
      </c>
      <c r="Y236" t="s">
        <v>65</v>
      </c>
      <c r="AA236" t="s">
        <v>42</v>
      </c>
      <c r="AB236" t="s">
        <v>43</v>
      </c>
      <c r="AC236" t="s">
        <v>43</v>
      </c>
    </row>
    <row r="237" spans="1:30" x14ac:dyDescent="0.4">
      <c r="A237" t="s">
        <v>27</v>
      </c>
      <c r="B237">
        <v>5301</v>
      </c>
      <c r="C237" t="s">
        <v>682</v>
      </c>
      <c r="D237">
        <v>76</v>
      </c>
      <c r="E237" t="s">
        <v>257</v>
      </c>
      <c r="F237" t="s">
        <v>677</v>
      </c>
      <c r="G237" t="s">
        <v>669</v>
      </c>
      <c r="H237" t="s">
        <v>678</v>
      </c>
      <c r="J237" t="s">
        <v>679</v>
      </c>
      <c r="K237" t="s">
        <v>201</v>
      </c>
      <c r="L237" t="s">
        <v>680</v>
      </c>
      <c r="M237" t="s">
        <v>35</v>
      </c>
      <c r="N237">
        <v>447805958571</v>
      </c>
      <c r="O237" t="s">
        <v>681</v>
      </c>
      <c r="P237" t="s">
        <v>682</v>
      </c>
      <c r="R237" t="s">
        <v>3048</v>
      </c>
      <c r="S237" t="s">
        <v>686</v>
      </c>
      <c r="T237" t="s">
        <v>94</v>
      </c>
      <c r="U237" t="s">
        <v>40</v>
      </c>
      <c r="V237" s="1">
        <v>44220</v>
      </c>
      <c r="W237">
        <v>0</v>
      </c>
      <c r="X237">
        <v>4</v>
      </c>
      <c r="Y237" t="s">
        <v>65</v>
      </c>
      <c r="AA237" t="s">
        <v>42</v>
      </c>
      <c r="AB237" t="s">
        <v>43</v>
      </c>
      <c r="AC237" t="s">
        <v>43</v>
      </c>
    </row>
    <row r="238" spans="1:30" x14ac:dyDescent="0.4">
      <c r="A238" t="s">
        <v>27</v>
      </c>
      <c r="B238">
        <v>5301</v>
      </c>
      <c r="C238" t="s">
        <v>682</v>
      </c>
      <c r="D238">
        <v>76</v>
      </c>
      <c r="E238" t="s">
        <v>257</v>
      </c>
      <c r="F238" t="s">
        <v>677</v>
      </c>
      <c r="G238" t="s">
        <v>669</v>
      </c>
      <c r="H238" t="s">
        <v>678</v>
      </c>
      <c r="J238" t="s">
        <v>679</v>
      </c>
      <c r="K238" t="s">
        <v>201</v>
      </c>
      <c r="L238" t="s">
        <v>680</v>
      </c>
      <c r="M238" t="s">
        <v>35</v>
      </c>
      <c r="N238">
        <v>447805958571</v>
      </c>
      <c r="O238" t="s">
        <v>681</v>
      </c>
      <c r="P238" t="s">
        <v>682</v>
      </c>
      <c r="R238" t="s">
        <v>3048</v>
      </c>
      <c r="S238" t="s">
        <v>686</v>
      </c>
      <c r="T238" t="s">
        <v>94</v>
      </c>
      <c r="U238" t="s">
        <v>40</v>
      </c>
      <c r="V238" s="1">
        <v>44220</v>
      </c>
      <c r="W238">
        <v>0</v>
      </c>
      <c r="X238">
        <v>5</v>
      </c>
      <c r="Y238" t="s">
        <v>66</v>
      </c>
      <c r="AA238" t="s">
        <v>42</v>
      </c>
      <c r="AB238" t="s">
        <v>43</v>
      </c>
      <c r="AC238" t="s">
        <v>43</v>
      </c>
    </row>
    <row r="239" spans="1:30" x14ac:dyDescent="0.4">
      <c r="A239" t="s">
        <v>27</v>
      </c>
      <c r="B239">
        <v>224</v>
      </c>
      <c r="C239" t="s">
        <v>2930</v>
      </c>
      <c r="D239">
        <v>79</v>
      </c>
      <c r="E239" t="s">
        <v>68</v>
      </c>
      <c r="F239" t="s">
        <v>687</v>
      </c>
      <c r="G239" t="s">
        <v>688</v>
      </c>
      <c r="H239" t="s">
        <v>689</v>
      </c>
      <c r="I239" t="s">
        <v>690</v>
      </c>
      <c r="J239" t="s">
        <v>691</v>
      </c>
      <c r="K239" t="s">
        <v>242</v>
      </c>
      <c r="L239" t="s">
        <v>692</v>
      </c>
      <c r="M239" t="s">
        <v>35</v>
      </c>
      <c r="N239">
        <v>1264782070</v>
      </c>
      <c r="O239" t="s">
        <v>693</v>
      </c>
      <c r="P239" t="s">
        <v>2930</v>
      </c>
      <c r="R239" t="s">
        <v>694</v>
      </c>
      <c r="S239" t="s">
        <v>695</v>
      </c>
      <c r="T239" t="s">
        <v>58</v>
      </c>
      <c r="U239" t="s">
        <v>40</v>
      </c>
      <c r="V239" s="1">
        <v>43194</v>
      </c>
      <c r="W239">
        <v>0</v>
      </c>
      <c r="X239">
        <v>4</v>
      </c>
      <c r="Y239" t="s">
        <v>65</v>
      </c>
      <c r="AA239" t="s">
        <v>42</v>
      </c>
      <c r="AB239" t="s">
        <v>43</v>
      </c>
      <c r="AC239" t="s">
        <v>43</v>
      </c>
      <c r="AD239" t="s">
        <v>696</v>
      </c>
    </row>
    <row r="240" spans="1:30" x14ac:dyDescent="0.4">
      <c r="A240" t="s">
        <v>27</v>
      </c>
      <c r="B240">
        <v>224</v>
      </c>
      <c r="C240" t="s">
        <v>2930</v>
      </c>
      <c r="D240">
        <v>78</v>
      </c>
      <c r="E240" t="s">
        <v>68</v>
      </c>
      <c r="F240" t="s">
        <v>687</v>
      </c>
      <c r="G240" t="s">
        <v>688</v>
      </c>
      <c r="H240" t="s">
        <v>689</v>
      </c>
      <c r="I240" t="s">
        <v>690</v>
      </c>
      <c r="J240" t="s">
        <v>691</v>
      </c>
      <c r="K240" t="s">
        <v>242</v>
      </c>
      <c r="L240" t="s">
        <v>692</v>
      </c>
      <c r="M240" t="s">
        <v>35</v>
      </c>
      <c r="N240">
        <v>1264782070</v>
      </c>
      <c r="O240" t="s">
        <v>693</v>
      </c>
      <c r="P240" t="s">
        <v>2930</v>
      </c>
      <c r="R240" t="s">
        <v>697</v>
      </c>
      <c r="S240" t="s">
        <v>698</v>
      </c>
      <c r="T240" t="s">
        <v>58</v>
      </c>
      <c r="U240" t="s">
        <v>40</v>
      </c>
      <c r="V240" s="1">
        <v>44434</v>
      </c>
      <c r="W240">
        <v>0</v>
      </c>
      <c r="X240">
        <v>5</v>
      </c>
      <c r="Y240" t="s">
        <v>66</v>
      </c>
      <c r="AA240" t="s">
        <v>42</v>
      </c>
      <c r="AB240" t="s">
        <v>43</v>
      </c>
      <c r="AC240" t="s">
        <v>43</v>
      </c>
      <c r="AD240" t="s">
        <v>696</v>
      </c>
    </row>
    <row r="241" spans="1:31" x14ac:dyDescent="0.4">
      <c r="A241" t="s">
        <v>27</v>
      </c>
      <c r="B241">
        <v>224</v>
      </c>
      <c r="C241" t="s">
        <v>2930</v>
      </c>
      <c r="D241">
        <v>79</v>
      </c>
      <c r="E241" t="s">
        <v>68</v>
      </c>
      <c r="F241" t="s">
        <v>687</v>
      </c>
      <c r="G241" t="s">
        <v>688</v>
      </c>
      <c r="H241" t="s">
        <v>689</v>
      </c>
      <c r="I241" t="s">
        <v>690</v>
      </c>
      <c r="J241" t="s">
        <v>691</v>
      </c>
      <c r="K241" t="s">
        <v>242</v>
      </c>
      <c r="L241" t="s">
        <v>692</v>
      </c>
      <c r="M241" t="s">
        <v>35</v>
      </c>
      <c r="N241">
        <v>1264782070</v>
      </c>
      <c r="O241" t="s">
        <v>693</v>
      </c>
      <c r="P241" t="s">
        <v>2930</v>
      </c>
      <c r="R241" t="s">
        <v>694</v>
      </c>
      <c r="S241" t="s">
        <v>695</v>
      </c>
      <c r="T241" t="s">
        <v>58</v>
      </c>
      <c r="U241" t="s">
        <v>40</v>
      </c>
      <c r="V241" s="1">
        <v>43194</v>
      </c>
      <c r="W241">
        <v>0</v>
      </c>
      <c r="X241">
        <v>5</v>
      </c>
      <c r="Y241" t="s">
        <v>66</v>
      </c>
      <c r="AA241" t="s">
        <v>42</v>
      </c>
      <c r="AB241" t="s">
        <v>43</v>
      </c>
      <c r="AC241" t="s">
        <v>43</v>
      </c>
      <c r="AD241" t="s">
        <v>696</v>
      </c>
    </row>
    <row r="242" spans="1:31" x14ac:dyDescent="0.4">
      <c r="A242" t="s">
        <v>27</v>
      </c>
      <c r="B242">
        <v>224</v>
      </c>
      <c r="C242" t="s">
        <v>2930</v>
      </c>
      <c r="D242">
        <v>78</v>
      </c>
      <c r="E242" t="s">
        <v>68</v>
      </c>
      <c r="F242" t="s">
        <v>687</v>
      </c>
      <c r="G242" t="s">
        <v>688</v>
      </c>
      <c r="H242" t="s">
        <v>689</v>
      </c>
      <c r="I242" t="s">
        <v>690</v>
      </c>
      <c r="J242" t="s">
        <v>691</v>
      </c>
      <c r="K242" t="s">
        <v>242</v>
      </c>
      <c r="L242" t="s">
        <v>692</v>
      </c>
      <c r="M242" t="s">
        <v>35</v>
      </c>
      <c r="N242">
        <v>1264782070</v>
      </c>
      <c r="O242" t="s">
        <v>693</v>
      </c>
      <c r="P242" t="s">
        <v>2930</v>
      </c>
      <c r="R242" t="s">
        <v>697</v>
      </c>
      <c r="S242" t="s">
        <v>698</v>
      </c>
      <c r="T242" t="s">
        <v>58</v>
      </c>
      <c r="U242" t="s">
        <v>40</v>
      </c>
      <c r="V242" s="1">
        <v>44434</v>
      </c>
      <c r="W242">
        <v>0</v>
      </c>
      <c r="X242">
        <v>6</v>
      </c>
      <c r="Y242" t="s">
        <v>83</v>
      </c>
      <c r="AA242" t="s">
        <v>42</v>
      </c>
      <c r="AB242" t="s">
        <v>43</v>
      </c>
      <c r="AC242" t="s">
        <v>43</v>
      </c>
      <c r="AD242" t="s">
        <v>696</v>
      </c>
    </row>
    <row r="243" spans="1:31" x14ac:dyDescent="0.4">
      <c r="A243" t="s">
        <v>27</v>
      </c>
      <c r="B243">
        <v>224</v>
      </c>
      <c r="C243" t="s">
        <v>2930</v>
      </c>
      <c r="D243">
        <v>79</v>
      </c>
      <c r="E243" t="s">
        <v>68</v>
      </c>
      <c r="F243" t="s">
        <v>687</v>
      </c>
      <c r="G243" t="s">
        <v>688</v>
      </c>
      <c r="H243" t="s">
        <v>689</v>
      </c>
      <c r="I243" t="s">
        <v>690</v>
      </c>
      <c r="J243" t="s">
        <v>691</v>
      </c>
      <c r="K243" t="s">
        <v>242</v>
      </c>
      <c r="L243" t="s">
        <v>692</v>
      </c>
      <c r="M243" t="s">
        <v>35</v>
      </c>
      <c r="N243">
        <v>1264782070</v>
      </c>
      <c r="O243" t="s">
        <v>693</v>
      </c>
      <c r="P243" t="s">
        <v>2930</v>
      </c>
      <c r="R243" t="s">
        <v>694</v>
      </c>
      <c r="S243" t="s">
        <v>695</v>
      </c>
      <c r="T243" t="s">
        <v>58</v>
      </c>
      <c r="U243" t="s">
        <v>40</v>
      </c>
      <c r="V243" s="1">
        <v>43194</v>
      </c>
      <c r="W243">
        <v>0</v>
      </c>
      <c r="X243">
        <v>12</v>
      </c>
      <c r="AA243" t="s">
        <v>42</v>
      </c>
      <c r="AB243" t="s">
        <v>43</v>
      </c>
      <c r="AC243" t="s">
        <v>43</v>
      </c>
      <c r="AD243" t="s">
        <v>696</v>
      </c>
    </row>
    <row r="244" spans="1:31" x14ac:dyDescent="0.4">
      <c r="A244" t="s">
        <v>27</v>
      </c>
      <c r="B244">
        <v>224</v>
      </c>
      <c r="C244" t="s">
        <v>2930</v>
      </c>
      <c r="D244">
        <v>78</v>
      </c>
      <c r="E244" t="s">
        <v>68</v>
      </c>
      <c r="F244" t="s">
        <v>687</v>
      </c>
      <c r="G244" t="s">
        <v>688</v>
      </c>
      <c r="H244" t="s">
        <v>689</v>
      </c>
      <c r="I244" t="s">
        <v>690</v>
      </c>
      <c r="J244" t="s">
        <v>691</v>
      </c>
      <c r="K244" t="s">
        <v>242</v>
      </c>
      <c r="L244" t="s">
        <v>692</v>
      </c>
      <c r="M244" t="s">
        <v>35</v>
      </c>
      <c r="N244">
        <v>1264782070</v>
      </c>
      <c r="O244" t="s">
        <v>693</v>
      </c>
      <c r="P244" t="s">
        <v>2930</v>
      </c>
      <c r="R244" t="s">
        <v>697</v>
      </c>
      <c r="S244" t="s">
        <v>698</v>
      </c>
      <c r="T244" t="s">
        <v>58</v>
      </c>
      <c r="U244" t="s">
        <v>40</v>
      </c>
      <c r="V244" s="1">
        <v>44434</v>
      </c>
      <c r="W244">
        <v>0</v>
      </c>
      <c r="X244">
        <v>14</v>
      </c>
      <c r="AA244" t="s">
        <v>42</v>
      </c>
      <c r="AB244" t="s">
        <v>43</v>
      </c>
      <c r="AC244" t="s">
        <v>43</v>
      </c>
      <c r="AD244" t="s">
        <v>696</v>
      </c>
    </row>
    <row r="245" spans="1:31" x14ac:dyDescent="0.4">
      <c r="A245" t="s">
        <v>27</v>
      </c>
      <c r="B245">
        <v>224</v>
      </c>
      <c r="C245" t="s">
        <v>2930</v>
      </c>
      <c r="D245">
        <v>79</v>
      </c>
      <c r="E245" t="s">
        <v>68</v>
      </c>
      <c r="F245" t="s">
        <v>687</v>
      </c>
      <c r="G245" t="s">
        <v>688</v>
      </c>
      <c r="H245" t="s">
        <v>689</v>
      </c>
      <c r="I245" t="s">
        <v>690</v>
      </c>
      <c r="J245" t="s">
        <v>691</v>
      </c>
      <c r="K245" t="s">
        <v>242</v>
      </c>
      <c r="L245" t="s">
        <v>692</v>
      </c>
      <c r="M245" t="s">
        <v>35</v>
      </c>
      <c r="N245">
        <v>1264782070</v>
      </c>
      <c r="O245" t="s">
        <v>693</v>
      </c>
      <c r="P245" t="s">
        <v>2930</v>
      </c>
      <c r="R245" t="s">
        <v>694</v>
      </c>
      <c r="S245" t="s">
        <v>695</v>
      </c>
      <c r="T245" t="s">
        <v>58</v>
      </c>
      <c r="U245" t="s">
        <v>40</v>
      </c>
      <c r="V245" s="1">
        <v>43194</v>
      </c>
      <c r="W245">
        <v>0</v>
      </c>
      <c r="X245">
        <v>14</v>
      </c>
      <c r="AA245" t="s">
        <v>42</v>
      </c>
      <c r="AB245" t="s">
        <v>43</v>
      </c>
      <c r="AC245" t="s">
        <v>43</v>
      </c>
      <c r="AD245" t="s">
        <v>696</v>
      </c>
    </row>
    <row r="246" spans="1:31" x14ac:dyDescent="0.4">
      <c r="A246" t="s">
        <v>27</v>
      </c>
      <c r="B246">
        <v>224</v>
      </c>
      <c r="C246" t="s">
        <v>2930</v>
      </c>
      <c r="D246">
        <v>78</v>
      </c>
      <c r="E246" t="s">
        <v>68</v>
      </c>
      <c r="F246" t="s">
        <v>687</v>
      </c>
      <c r="G246" t="s">
        <v>688</v>
      </c>
      <c r="H246" t="s">
        <v>689</v>
      </c>
      <c r="I246" t="s">
        <v>690</v>
      </c>
      <c r="J246" t="s">
        <v>691</v>
      </c>
      <c r="K246" t="s">
        <v>242</v>
      </c>
      <c r="L246" t="s">
        <v>692</v>
      </c>
      <c r="M246" t="s">
        <v>35</v>
      </c>
      <c r="N246">
        <v>1264782070</v>
      </c>
      <c r="O246" t="s">
        <v>693</v>
      </c>
      <c r="P246" t="s">
        <v>2930</v>
      </c>
      <c r="R246" t="s">
        <v>697</v>
      </c>
      <c r="S246" t="s">
        <v>698</v>
      </c>
      <c r="T246" t="s">
        <v>58</v>
      </c>
      <c r="U246" t="s">
        <v>40</v>
      </c>
      <c r="V246" s="1">
        <v>44434</v>
      </c>
      <c r="W246">
        <v>0</v>
      </c>
      <c r="X246">
        <v>16</v>
      </c>
      <c r="AA246" t="s">
        <v>42</v>
      </c>
      <c r="AB246" t="s">
        <v>43</v>
      </c>
      <c r="AC246" t="s">
        <v>43</v>
      </c>
      <c r="AD246" t="s">
        <v>696</v>
      </c>
    </row>
    <row r="247" spans="1:31" x14ac:dyDescent="0.4">
      <c r="A247" t="s">
        <v>27</v>
      </c>
      <c r="B247">
        <v>3589</v>
      </c>
      <c r="C247" t="s">
        <v>2931</v>
      </c>
      <c r="D247">
        <v>81</v>
      </c>
      <c r="E247" t="s">
        <v>68</v>
      </c>
      <c r="F247" t="s">
        <v>699</v>
      </c>
      <c r="G247" t="s">
        <v>700</v>
      </c>
      <c r="H247" t="s">
        <v>701</v>
      </c>
      <c r="J247" t="s">
        <v>702</v>
      </c>
      <c r="K247" t="s">
        <v>495</v>
      </c>
      <c r="L247" t="s">
        <v>703</v>
      </c>
      <c r="M247" t="s">
        <v>35</v>
      </c>
      <c r="N247" t="s">
        <v>704</v>
      </c>
      <c r="O247" t="s">
        <v>705</v>
      </c>
      <c r="P247" t="s">
        <v>3034</v>
      </c>
      <c r="R247" t="s">
        <v>707</v>
      </c>
      <c r="S247" t="s">
        <v>708</v>
      </c>
      <c r="T247" t="s">
        <v>376</v>
      </c>
      <c r="U247" t="s">
        <v>82</v>
      </c>
      <c r="V247" s="1">
        <v>42512</v>
      </c>
      <c r="W247">
        <v>0</v>
      </c>
      <c r="X247">
        <v>2</v>
      </c>
      <c r="AA247" t="s">
        <v>42</v>
      </c>
      <c r="AB247" t="s">
        <v>43</v>
      </c>
      <c r="AC247" t="s">
        <v>43</v>
      </c>
      <c r="AE247" t="s">
        <v>709</v>
      </c>
    </row>
    <row r="248" spans="1:31" x14ac:dyDescent="0.4">
      <c r="A248" t="s">
        <v>27</v>
      </c>
      <c r="B248">
        <v>3589</v>
      </c>
      <c r="C248" t="s">
        <v>2931</v>
      </c>
      <c r="D248">
        <v>81</v>
      </c>
      <c r="E248" t="s">
        <v>68</v>
      </c>
      <c r="F248" t="s">
        <v>699</v>
      </c>
      <c r="G248" t="s">
        <v>700</v>
      </c>
      <c r="H248" t="s">
        <v>701</v>
      </c>
      <c r="J248" t="s">
        <v>702</v>
      </c>
      <c r="K248" t="s">
        <v>495</v>
      </c>
      <c r="L248" t="s">
        <v>703</v>
      </c>
      <c r="M248" t="s">
        <v>35</v>
      </c>
      <c r="N248" t="s">
        <v>704</v>
      </c>
      <c r="O248" t="s">
        <v>705</v>
      </c>
      <c r="P248" t="s">
        <v>3034</v>
      </c>
      <c r="R248" t="s">
        <v>707</v>
      </c>
      <c r="S248" t="s">
        <v>708</v>
      </c>
      <c r="T248" t="s">
        <v>376</v>
      </c>
      <c r="U248" t="s">
        <v>82</v>
      </c>
      <c r="V248" s="1">
        <v>42512</v>
      </c>
      <c r="W248">
        <v>0</v>
      </c>
      <c r="X248">
        <v>3</v>
      </c>
      <c r="AA248" t="s">
        <v>42</v>
      </c>
      <c r="AB248" t="s">
        <v>43</v>
      </c>
      <c r="AC248" t="s">
        <v>43</v>
      </c>
      <c r="AE248" t="s">
        <v>709</v>
      </c>
    </row>
    <row r="249" spans="1:31" x14ac:dyDescent="0.4">
      <c r="A249" t="s">
        <v>27</v>
      </c>
      <c r="B249">
        <v>3589</v>
      </c>
      <c r="C249" t="s">
        <v>2931</v>
      </c>
      <c r="D249">
        <v>80</v>
      </c>
      <c r="E249" t="s">
        <v>68</v>
      </c>
      <c r="F249" t="s">
        <v>699</v>
      </c>
      <c r="G249" t="s">
        <v>700</v>
      </c>
      <c r="H249" t="s">
        <v>701</v>
      </c>
      <c r="J249" t="s">
        <v>702</v>
      </c>
      <c r="K249" t="s">
        <v>495</v>
      </c>
      <c r="L249" t="s">
        <v>703</v>
      </c>
      <c r="M249" t="s">
        <v>35</v>
      </c>
      <c r="N249" t="s">
        <v>704</v>
      </c>
      <c r="O249" t="s">
        <v>705</v>
      </c>
      <c r="P249" t="s">
        <v>2931</v>
      </c>
      <c r="R249" t="s">
        <v>710</v>
      </c>
      <c r="S249" t="s">
        <v>711</v>
      </c>
      <c r="T249" t="s">
        <v>376</v>
      </c>
      <c r="U249" t="s">
        <v>40</v>
      </c>
      <c r="V249" s="1">
        <v>44318</v>
      </c>
      <c r="W249">
        <v>0</v>
      </c>
      <c r="X249">
        <v>4</v>
      </c>
      <c r="Y249" t="s">
        <v>65</v>
      </c>
      <c r="AA249" t="s">
        <v>42</v>
      </c>
      <c r="AB249" t="s">
        <v>43</v>
      </c>
      <c r="AC249" t="s">
        <v>43</v>
      </c>
      <c r="AE249" t="s">
        <v>709</v>
      </c>
    </row>
    <row r="250" spans="1:31" x14ac:dyDescent="0.4">
      <c r="A250" t="s">
        <v>27</v>
      </c>
      <c r="B250">
        <v>3589</v>
      </c>
      <c r="C250" t="s">
        <v>2931</v>
      </c>
      <c r="D250">
        <v>80</v>
      </c>
      <c r="E250" t="s">
        <v>68</v>
      </c>
      <c r="F250" t="s">
        <v>699</v>
      </c>
      <c r="G250" t="s">
        <v>700</v>
      </c>
      <c r="H250" t="s">
        <v>701</v>
      </c>
      <c r="J250" t="s">
        <v>702</v>
      </c>
      <c r="K250" t="s">
        <v>495</v>
      </c>
      <c r="L250" t="s">
        <v>703</v>
      </c>
      <c r="M250" t="s">
        <v>35</v>
      </c>
      <c r="N250" t="s">
        <v>704</v>
      </c>
      <c r="O250" t="s">
        <v>705</v>
      </c>
      <c r="P250" t="s">
        <v>2931</v>
      </c>
      <c r="R250" t="s">
        <v>710</v>
      </c>
      <c r="S250" t="s">
        <v>711</v>
      </c>
      <c r="T250" t="s">
        <v>376</v>
      </c>
      <c r="U250" t="s">
        <v>40</v>
      </c>
      <c r="V250" s="1">
        <v>44318</v>
      </c>
      <c r="W250">
        <v>0</v>
      </c>
      <c r="X250">
        <v>5</v>
      </c>
      <c r="Y250" t="s">
        <v>66</v>
      </c>
      <c r="AA250" t="s">
        <v>42</v>
      </c>
      <c r="AB250" t="s">
        <v>43</v>
      </c>
      <c r="AC250" t="s">
        <v>43</v>
      </c>
      <c r="AE250" t="s">
        <v>709</v>
      </c>
    </row>
    <row r="251" spans="1:31" x14ac:dyDescent="0.4">
      <c r="A251" t="s">
        <v>27</v>
      </c>
      <c r="B251">
        <v>3589</v>
      </c>
      <c r="C251" t="s">
        <v>2931</v>
      </c>
      <c r="E251" t="s">
        <v>68</v>
      </c>
      <c r="F251" t="s">
        <v>699</v>
      </c>
      <c r="G251" t="s">
        <v>700</v>
      </c>
      <c r="H251" t="s">
        <v>701</v>
      </c>
      <c r="J251" t="s">
        <v>702</v>
      </c>
      <c r="K251" t="s">
        <v>495</v>
      </c>
      <c r="L251" t="s">
        <v>703</v>
      </c>
      <c r="M251" t="s">
        <v>35</v>
      </c>
      <c r="N251" t="s">
        <v>704</v>
      </c>
      <c r="O251" t="s">
        <v>705</v>
      </c>
      <c r="P251" t="s">
        <v>706</v>
      </c>
      <c r="R251" t="s">
        <v>712</v>
      </c>
      <c r="S251" t="s">
        <v>713</v>
      </c>
      <c r="T251" t="s">
        <v>58</v>
      </c>
      <c r="U251" t="s">
        <v>82</v>
      </c>
      <c r="V251" s="1">
        <v>45630</v>
      </c>
      <c r="W251">
        <v>0</v>
      </c>
      <c r="X251">
        <v>0</v>
      </c>
      <c r="Y251" t="s">
        <v>59</v>
      </c>
      <c r="AA251" t="s">
        <v>42</v>
      </c>
      <c r="AB251" t="s">
        <v>43</v>
      </c>
      <c r="AC251" t="s">
        <v>43</v>
      </c>
      <c r="AD251" t="s">
        <v>709</v>
      </c>
    </row>
    <row r="252" spans="1:31" x14ac:dyDescent="0.4">
      <c r="A252" t="s">
        <v>27</v>
      </c>
      <c r="B252">
        <v>429</v>
      </c>
      <c r="C252" t="s">
        <v>2855</v>
      </c>
      <c r="E252" t="s">
        <v>28</v>
      </c>
      <c r="F252" t="s">
        <v>714</v>
      </c>
      <c r="G252" t="s">
        <v>715</v>
      </c>
      <c r="H252">
        <v>17</v>
      </c>
      <c r="I252" t="s">
        <v>716</v>
      </c>
      <c r="J252" t="s">
        <v>50</v>
      </c>
      <c r="K252" t="s">
        <v>51</v>
      </c>
      <c r="L252" t="s">
        <v>717</v>
      </c>
      <c r="M252" t="s">
        <v>35</v>
      </c>
      <c r="N252" t="s">
        <v>718</v>
      </c>
      <c r="O252" t="s">
        <v>719</v>
      </c>
      <c r="P252" t="s">
        <v>720</v>
      </c>
      <c r="R252" t="s">
        <v>721</v>
      </c>
      <c r="S252" t="s">
        <v>722</v>
      </c>
      <c r="T252" t="s">
        <v>94</v>
      </c>
      <c r="U252" t="s">
        <v>82</v>
      </c>
      <c r="V252" s="1">
        <v>42721</v>
      </c>
      <c r="W252">
        <v>0</v>
      </c>
      <c r="X252">
        <v>0</v>
      </c>
      <c r="Y252" t="s">
        <v>59</v>
      </c>
      <c r="Z252" t="s">
        <v>135</v>
      </c>
      <c r="AA252" t="s">
        <v>42</v>
      </c>
      <c r="AB252" t="s">
        <v>43</v>
      </c>
      <c r="AC252" t="s">
        <v>43</v>
      </c>
      <c r="AD252" t="s">
        <v>723</v>
      </c>
    </row>
    <row r="253" spans="1:31" x14ac:dyDescent="0.4">
      <c r="A253" t="s">
        <v>27</v>
      </c>
      <c r="B253">
        <v>429</v>
      </c>
      <c r="C253" t="s">
        <v>2855</v>
      </c>
      <c r="D253">
        <v>82</v>
      </c>
      <c r="E253" t="s">
        <v>28</v>
      </c>
      <c r="F253" t="s">
        <v>714</v>
      </c>
      <c r="G253" t="s">
        <v>715</v>
      </c>
      <c r="H253">
        <v>17</v>
      </c>
      <c r="I253" t="s">
        <v>716</v>
      </c>
      <c r="J253" t="s">
        <v>50</v>
      </c>
      <c r="K253" t="s">
        <v>51</v>
      </c>
      <c r="L253" t="s">
        <v>717</v>
      </c>
      <c r="M253" t="s">
        <v>35</v>
      </c>
      <c r="N253" t="s">
        <v>718</v>
      </c>
      <c r="O253" t="s">
        <v>719</v>
      </c>
      <c r="P253" t="s">
        <v>2855</v>
      </c>
      <c r="R253" t="s">
        <v>724</v>
      </c>
      <c r="S253" t="s">
        <v>725</v>
      </c>
      <c r="T253" t="s">
        <v>94</v>
      </c>
      <c r="U253" t="s">
        <v>82</v>
      </c>
      <c r="V253" s="1">
        <v>44250</v>
      </c>
      <c r="W253">
        <v>0</v>
      </c>
      <c r="X253">
        <v>5</v>
      </c>
      <c r="Y253" t="s">
        <v>66</v>
      </c>
      <c r="Z253" t="s">
        <v>135</v>
      </c>
      <c r="AA253" t="s">
        <v>42</v>
      </c>
      <c r="AB253" t="s">
        <v>43</v>
      </c>
      <c r="AC253" t="s">
        <v>43</v>
      </c>
      <c r="AD253" t="s">
        <v>723</v>
      </c>
    </row>
    <row r="254" spans="1:31" x14ac:dyDescent="0.4">
      <c r="A254" t="s">
        <v>27</v>
      </c>
      <c r="B254">
        <v>429</v>
      </c>
      <c r="C254" t="s">
        <v>2855</v>
      </c>
      <c r="D254">
        <v>82</v>
      </c>
      <c r="E254" t="s">
        <v>28</v>
      </c>
      <c r="F254" t="s">
        <v>714</v>
      </c>
      <c r="G254" t="s">
        <v>715</v>
      </c>
      <c r="H254">
        <v>17</v>
      </c>
      <c r="I254" t="s">
        <v>716</v>
      </c>
      <c r="J254" t="s">
        <v>50</v>
      </c>
      <c r="K254" t="s">
        <v>51</v>
      </c>
      <c r="L254" t="s">
        <v>717</v>
      </c>
      <c r="M254" t="s">
        <v>35</v>
      </c>
      <c r="N254" t="s">
        <v>718</v>
      </c>
      <c r="O254" t="s">
        <v>719</v>
      </c>
      <c r="P254" t="s">
        <v>2855</v>
      </c>
      <c r="R254" t="s">
        <v>724</v>
      </c>
      <c r="S254" t="s">
        <v>725</v>
      </c>
      <c r="T254" t="s">
        <v>94</v>
      </c>
      <c r="U254" t="s">
        <v>82</v>
      </c>
      <c r="V254" s="1">
        <v>44250</v>
      </c>
      <c r="W254">
        <v>0</v>
      </c>
      <c r="X254">
        <v>6</v>
      </c>
      <c r="Y254" t="s">
        <v>83</v>
      </c>
      <c r="Z254" t="s">
        <v>135</v>
      </c>
      <c r="AA254" t="s">
        <v>42</v>
      </c>
      <c r="AB254" t="s">
        <v>43</v>
      </c>
      <c r="AC254" t="s">
        <v>43</v>
      </c>
      <c r="AD254" t="s">
        <v>723</v>
      </c>
    </row>
    <row r="255" spans="1:31" x14ac:dyDescent="0.4">
      <c r="A255" t="s">
        <v>27</v>
      </c>
      <c r="B255">
        <v>429</v>
      </c>
      <c r="C255" t="s">
        <v>2855</v>
      </c>
      <c r="E255" t="s">
        <v>28</v>
      </c>
      <c r="F255" t="s">
        <v>714</v>
      </c>
      <c r="G255" t="s">
        <v>715</v>
      </c>
      <c r="H255">
        <v>17</v>
      </c>
      <c r="I255" t="s">
        <v>716</v>
      </c>
      <c r="J255" t="s">
        <v>50</v>
      </c>
      <c r="K255" t="s">
        <v>51</v>
      </c>
      <c r="L255" t="s">
        <v>717</v>
      </c>
      <c r="M255" t="s">
        <v>35</v>
      </c>
      <c r="N255" t="s">
        <v>718</v>
      </c>
      <c r="O255" t="s">
        <v>719</v>
      </c>
      <c r="P255" t="s">
        <v>720</v>
      </c>
      <c r="R255" t="s">
        <v>721</v>
      </c>
      <c r="S255" t="s">
        <v>722</v>
      </c>
      <c r="T255" t="s">
        <v>94</v>
      </c>
      <c r="U255" t="s">
        <v>82</v>
      </c>
      <c r="V255" s="1">
        <v>42721</v>
      </c>
      <c r="W255">
        <v>0</v>
      </c>
      <c r="X255">
        <v>0</v>
      </c>
      <c r="Y255" t="s">
        <v>59</v>
      </c>
      <c r="Z255" t="s">
        <v>135</v>
      </c>
      <c r="AA255" t="s">
        <v>42</v>
      </c>
      <c r="AB255" t="s">
        <v>43</v>
      </c>
      <c r="AC255" t="s">
        <v>43</v>
      </c>
      <c r="AD255" t="s">
        <v>723</v>
      </c>
    </row>
    <row r="256" spans="1:31" x14ac:dyDescent="0.4">
      <c r="A256" t="s">
        <v>27</v>
      </c>
      <c r="B256">
        <v>429</v>
      </c>
      <c r="C256" t="s">
        <v>2855</v>
      </c>
      <c r="D256">
        <v>82</v>
      </c>
      <c r="E256" t="s">
        <v>28</v>
      </c>
      <c r="F256" t="s">
        <v>714</v>
      </c>
      <c r="G256" t="s">
        <v>715</v>
      </c>
      <c r="H256">
        <v>17</v>
      </c>
      <c r="I256" t="s">
        <v>716</v>
      </c>
      <c r="J256" t="s">
        <v>50</v>
      </c>
      <c r="K256" t="s">
        <v>51</v>
      </c>
      <c r="L256" t="s">
        <v>717</v>
      </c>
      <c r="M256" t="s">
        <v>35</v>
      </c>
      <c r="N256" t="s">
        <v>718</v>
      </c>
      <c r="O256" t="s">
        <v>719</v>
      </c>
      <c r="P256" t="s">
        <v>2855</v>
      </c>
      <c r="R256" t="s">
        <v>724</v>
      </c>
      <c r="S256" t="s">
        <v>725</v>
      </c>
      <c r="T256" t="s">
        <v>94</v>
      </c>
      <c r="U256" t="s">
        <v>82</v>
      </c>
      <c r="V256" s="1">
        <v>44250</v>
      </c>
      <c r="W256">
        <v>0</v>
      </c>
      <c r="X256">
        <v>15</v>
      </c>
      <c r="Z256" t="s">
        <v>135</v>
      </c>
      <c r="AA256" t="s">
        <v>42</v>
      </c>
      <c r="AB256" t="s">
        <v>43</v>
      </c>
      <c r="AC256" t="s">
        <v>43</v>
      </c>
      <c r="AD256" t="s">
        <v>723</v>
      </c>
    </row>
    <row r="257" spans="1:30" x14ac:dyDescent="0.4">
      <c r="A257" t="s">
        <v>27</v>
      </c>
      <c r="B257">
        <v>429</v>
      </c>
      <c r="C257" t="s">
        <v>2855</v>
      </c>
      <c r="D257">
        <v>82</v>
      </c>
      <c r="E257" t="s">
        <v>28</v>
      </c>
      <c r="F257" t="s">
        <v>714</v>
      </c>
      <c r="G257" t="s">
        <v>715</v>
      </c>
      <c r="H257">
        <v>17</v>
      </c>
      <c r="I257" t="s">
        <v>716</v>
      </c>
      <c r="J257" t="s">
        <v>50</v>
      </c>
      <c r="K257" t="s">
        <v>51</v>
      </c>
      <c r="L257" t="s">
        <v>717</v>
      </c>
      <c r="M257" t="s">
        <v>35</v>
      </c>
      <c r="N257" t="s">
        <v>718</v>
      </c>
      <c r="O257" t="s">
        <v>719</v>
      </c>
      <c r="P257" t="s">
        <v>2855</v>
      </c>
      <c r="R257" t="s">
        <v>724</v>
      </c>
      <c r="S257" t="s">
        <v>725</v>
      </c>
      <c r="T257" t="s">
        <v>94</v>
      </c>
      <c r="U257" t="s">
        <v>82</v>
      </c>
      <c r="V257" s="1">
        <v>44250</v>
      </c>
      <c r="W257">
        <v>0</v>
      </c>
      <c r="X257">
        <v>17</v>
      </c>
      <c r="Z257" t="s">
        <v>135</v>
      </c>
      <c r="AA257" t="s">
        <v>42</v>
      </c>
      <c r="AB257" t="s">
        <v>43</v>
      </c>
      <c r="AC257" t="s">
        <v>43</v>
      </c>
      <c r="AD257" t="s">
        <v>723</v>
      </c>
    </row>
    <row r="258" spans="1:30" x14ac:dyDescent="0.4">
      <c r="A258" t="s">
        <v>27</v>
      </c>
      <c r="B258">
        <v>2572</v>
      </c>
      <c r="C258" t="s">
        <v>734</v>
      </c>
      <c r="D258">
        <v>84</v>
      </c>
      <c r="E258" t="s">
        <v>68</v>
      </c>
      <c r="F258" t="s">
        <v>726</v>
      </c>
      <c r="G258" t="s">
        <v>727</v>
      </c>
      <c r="H258" t="s">
        <v>728</v>
      </c>
      <c r="I258" t="s">
        <v>729</v>
      </c>
      <c r="J258" t="s">
        <v>730</v>
      </c>
      <c r="K258" t="s">
        <v>731</v>
      </c>
      <c r="L258" t="s">
        <v>732</v>
      </c>
      <c r="M258" t="s">
        <v>35</v>
      </c>
      <c r="N258">
        <v>7979120188</v>
      </c>
      <c r="O258" t="s">
        <v>733</v>
      </c>
      <c r="P258" t="s">
        <v>734</v>
      </c>
      <c r="R258" t="s">
        <v>3099</v>
      </c>
      <c r="S258" t="s">
        <v>736</v>
      </c>
      <c r="T258" t="s">
        <v>737</v>
      </c>
      <c r="U258" t="s">
        <v>82</v>
      </c>
      <c r="V258" s="1">
        <v>43759</v>
      </c>
      <c r="W258">
        <v>0</v>
      </c>
      <c r="X258">
        <v>4</v>
      </c>
      <c r="Y258" t="s">
        <v>65</v>
      </c>
      <c r="Z258" t="s">
        <v>135</v>
      </c>
      <c r="AA258" t="s">
        <v>42</v>
      </c>
      <c r="AB258" t="s">
        <v>43</v>
      </c>
      <c r="AC258" t="s">
        <v>43</v>
      </c>
    </row>
    <row r="259" spans="1:30" x14ac:dyDescent="0.4">
      <c r="A259" t="s">
        <v>27</v>
      </c>
      <c r="B259">
        <v>2572</v>
      </c>
      <c r="C259" t="s">
        <v>734</v>
      </c>
      <c r="D259">
        <v>84</v>
      </c>
      <c r="E259" t="s">
        <v>68</v>
      </c>
      <c r="F259" t="s">
        <v>726</v>
      </c>
      <c r="G259" t="s">
        <v>727</v>
      </c>
      <c r="H259" t="s">
        <v>728</v>
      </c>
      <c r="I259" t="s">
        <v>729</v>
      </c>
      <c r="J259" t="s">
        <v>730</v>
      </c>
      <c r="K259" t="s">
        <v>731</v>
      </c>
      <c r="L259" t="s">
        <v>732</v>
      </c>
      <c r="M259" t="s">
        <v>35</v>
      </c>
      <c r="N259">
        <v>7979120188</v>
      </c>
      <c r="O259" t="s">
        <v>733</v>
      </c>
      <c r="P259" t="s">
        <v>734</v>
      </c>
      <c r="R259" t="s">
        <v>3099</v>
      </c>
      <c r="S259" t="s">
        <v>736</v>
      </c>
      <c r="T259" t="s">
        <v>737</v>
      </c>
      <c r="U259" t="s">
        <v>82</v>
      </c>
      <c r="V259" s="1">
        <v>43759</v>
      </c>
      <c r="W259">
        <v>0</v>
      </c>
      <c r="X259">
        <v>6</v>
      </c>
      <c r="Y259" t="s">
        <v>83</v>
      </c>
      <c r="Z259" t="s">
        <v>135</v>
      </c>
      <c r="AA259" t="s">
        <v>42</v>
      </c>
      <c r="AB259" t="s">
        <v>43</v>
      </c>
      <c r="AC259" t="s">
        <v>43</v>
      </c>
    </row>
    <row r="260" spans="1:30" x14ac:dyDescent="0.4">
      <c r="A260" t="s">
        <v>27</v>
      </c>
      <c r="B260">
        <v>2572</v>
      </c>
      <c r="C260" t="s">
        <v>734</v>
      </c>
      <c r="D260">
        <v>84</v>
      </c>
      <c r="E260" t="s">
        <v>68</v>
      </c>
      <c r="F260" t="s">
        <v>726</v>
      </c>
      <c r="G260" t="s">
        <v>727</v>
      </c>
      <c r="H260" t="s">
        <v>728</v>
      </c>
      <c r="I260" t="s">
        <v>729</v>
      </c>
      <c r="J260" t="s">
        <v>730</v>
      </c>
      <c r="K260" t="s">
        <v>731</v>
      </c>
      <c r="L260" t="s">
        <v>732</v>
      </c>
      <c r="M260" t="s">
        <v>35</v>
      </c>
      <c r="N260">
        <v>7979120188</v>
      </c>
      <c r="O260" t="s">
        <v>733</v>
      </c>
      <c r="P260" t="s">
        <v>734</v>
      </c>
      <c r="R260" t="s">
        <v>3099</v>
      </c>
      <c r="S260" t="s">
        <v>736</v>
      </c>
      <c r="T260" t="s">
        <v>737</v>
      </c>
      <c r="U260" t="s">
        <v>82</v>
      </c>
      <c r="V260" s="1">
        <v>43759</v>
      </c>
      <c r="W260">
        <v>0</v>
      </c>
      <c r="X260">
        <v>13</v>
      </c>
      <c r="Z260" t="s">
        <v>135</v>
      </c>
      <c r="AA260" t="s">
        <v>42</v>
      </c>
      <c r="AB260" t="s">
        <v>43</v>
      </c>
      <c r="AC260" t="s">
        <v>43</v>
      </c>
    </row>
    <row r="261" spans="1:30" x14ac:dyDescent="0.4">
      <c r="A261" t="s">
        <v>27</v>
      </c>
      <c r="B261">
        <v>2572</v>
      </c>
      <c r="C261" t="s">
        <v>734</v>
      </c>
      <c r="D261">
        <v>83</v>
      </c>
      <c r="E261" t="s">
        <v>68</v>
      </c>
      <c r="F261" t="s">
        <v>726</v>
      </c>
      <c r="G261" t="s">
        <v>727</v>
      </c>
      <c r="H261" t="s">
        <v>728</v>
      </c>
      <c r="I261" t="s">
        <v>729</v>
      </c>
      <c r="J261" t="s">
        <v>730</v>
      </c>
      <c r="K261" t="s">
        <v>731</v>
      </c>
      <c r="L261" t="s">
        <v>732</v>
      </c>
      <c r="M261" t="s">
        <v>35</v>
      </c>
      <c r="N261">
        <v>7979120188</v>
      </c>
      <c r="O261" t="s">
        <v>733</v>
      </c>
      <c r="P261" t="s">
        <v>734</v>
      </c>
      <c r="R261" t="s">
        <v>738</v>
      </c>
      <c r="S261" t="s">
        <v>739</v>
      </c>
      <c r="T261" t="s">
        <v>737</v>
      </c>
      <c r="U261" t="s">
        <v>82</v>
      </c>
      <c r="V261" s="1">
        <v>45192</v>
      </c>
      <c r="W261">
        <v>0</v>
      </c>
      <c r="X261">
        <v>4</v>
      </c>
      <c r="Y261" t="s">
        <v>65</v>
      </c>
      <c r="Z261" t="s">
        <v>135</v>
      </c>
      <c r="AA261" t="s">
        <v>42</v>
      </c>
      <c r="AB261" t="s">
        <v>43</v>
      </c>
      <c r="AC261" t="s">
        <v>43</v>
      </c>
    </row>
    <row r="262" spans="1:30" x14ac:dyDescent="0.4">
      <c r="A262" t="s">
        <v>27</v>
      </c>
      <c r="B262">
        <v>4328</v>
      </c>
      <c r="C262" t="s">
        <v>746</v>
      </c>
      <c r="D262">
        <v>85</v>
      </c>
      <c r="E262" t="s">
        <v>195</v>
      </c>
      <c r="F262" t="s">
        <v>740</v>
      </c>
      <c r="G262" t="s">
        <v>741</v>
      </c>
      <c r="H262" t="s">
        <v>742</v>
      </c>
      <c r="I262" t="s">
        <v>504</v>
      </c>
      <c r="J262" t="s">
        <v>743</v>
      </c>
      <c r="K262" t="s">
        <v>73</v>
      </c>
      <c r="L262" t="s">
        <v>744</v>
      </c>
      <c r="M262" t="s">
        <v>35</v>
      </c>
      <c r="N262">
        <v>7794601661</v>
      </c>
      <c r="O262" t="s">
        <v>745</v>
      </c>
      <c r="P262" t="s">
        <v>746</v>
      </c>
      <c r="R262" t="s">
        <v>747</v>
      </c>
      <c r="S262" t="s">
        <v>748</v>
      </c>
      <c r="T262" t="s">
        <v>58</v>
      </c>
      <c r="U262" t="s">
        <v>82</v>
      </c>
      <c r="V262" s="1">
        <v>43474</v>
      </c>
      <c r="W262">
        <v>0</v>
      </c>
      <c r="X262">
        <v>5</v>
      </c>
      <c r="Y262" t="s">
        <v>66</v>
      </c>
      <c r="AA262" t="s">
        <v>42</v>
      </c>
      <c r="AB262" t="s">
        <v>43</v>
      </c>
      <c r="AC262" t="s">
        <v>43</v>
      </c>
    </row>
    <row r="263" spans="1:30" x14ac:dyDescent="0.4">
      <c r="A263" t="s">
        <v>27</v>
      </c>
      <c r="B263">
        <v>4328</v>
      </c>
      <c r="C263" t="s">
        <v>746</v>
      </c>
      <c r="D263">
        <v>85</v>
      </c>
      <c r="E263" t="s">
        <v>195</v>
      </c>
      <c r="F263" t="s">
        <v>740</v>
      </c>
      <c r="G263" t="s">
        <v>741</v>
      </c>
      <c r="H263" t="s">
        <v>742</v>
      </c>
      <c r="I263" t="s">
        <v>504</v>
      </c>
      <c r="J263" t="s">
        <v>743</v>
      </c>
      <c r="K263" t="s">
        <v>73</v>
      </c>
      <c r="L263" t="s">
        <v>744</v>
      </c>
      <c r="M263" t="s">
        <v>35</v>
      </c>
      <c r="N263">
        <v>7794601661</v>
      </c>
      <c r="O263" t="s">
        <v>745</v>
      </c>
      <c r="P263" t="s">
        <v>746</v>
      </c>
      <c r="R263" t="s">
        <v>747</v>
      </c>
      <c r="S263" t="s">
        <v>748</v>
      </c>
      <c r="T263" t="s">
        <v>58</v>
      </c>
      <c r="U263" t="s">
        <v>82</v>
      </c>
      <c r="V263" s="1">
        <v>43474</v>
      </c>
      <c r="W263">
        <v>0</v>
      </c>
      <c r="X263">
        <v>6</v>
      </c>
      <c r="Y263" t="s">
        <v>83</v>
      </c>
      <c r="AA263" t="s">
        <v>42</v>
      </c>
      <c r="AB263" t="s">
        <v>43</v>
      </c>
      <c r="AC263" t="s">
        <v>43</v>
      </c>
    </row>
    <row r="264" spans="1:30" x14ac:dyDescent="0.4">
      <c r="A264" t="s">
        <v>27</v>
      </c>
      <c r="B264">
        <v>4328</v>
      </c>
      <c r="C264" t="s">
        <v>746</v>
      </c>
      <c r="D264">
        <v>85</v>
      </c>
      <c r="E264" t="s">
        <v>195</v>
      </c>
      <c r="F264" t="s">
        <v>740</v>
      </c>
      <c r="G264" t="s">
        <v>741</v>
      </c>
      <c r="H264" t="s">
        <v>742</v>
      </c>
      <c r="I264" t="s">
        <v>504</v>
      </c>
      <c r="J264" t="s">
        <v>743</v>
      </c>
      <c r="K264" t="s">
        <v>73</v>
      </c>
      <c r="L264" t="s">
        <v>744</v>
      </c>
      <c r="M264" t="s">
        <v>35</v>
      </c>
      <c r="N264">
        <v>7794601661</v>
      </c>
      <c r="O264" t="s">
        <v>745</v>
      </c>
      <c r="P264" t="s">
        <v>746</v>
      </c>
      <c r="R264" t="s">
        <v>747</v>
      </c>
      <c r="S264" t="s">
        <v>748</v>
      </c>
      <c r="T264" t="s">
        <v>58</v>
      </c>
      <c r="U264" t="s">
        <v>82</v>
      </c>
      <c r="V264" s="1">
        <v>43474</v>
      </c>
      <c r="W264">
        <v>0</v>
      </c>
      <c r="X264">
        <v>15</v>
      </c>
      <c r="AA264" t="s">
        <v>42</v>
      </c>
      <c r="AB264" t="s">
        <v>43</v>
      </c>
      <c r="AC264" t="s">
        <v>43</v>
      </c>
    </row>
    <row r="265" spans="1:30" x14ac:dyDescent="0.4">
      <c r="A265" t="s">
        <v>27</v>
      </c>
      <c r="B265">
        <v>4328</v>
      </c>
      <c r="C265" t="s">
        <v>746</v>
      </c>
      <c r="D265">
        <v>85</v>
      </c>
      <c r="E265" t="s">
        <v>195</v>
      </c>
      <c r="F265" t="s">
        <v>740</v>
      </c>
      <c r="G265" t="s">
        <v>741</v>
      </c>
      <c r="H265" t="s">
        <v>742</v>
      </c>
      <c r="I265" t="s">
        <v>504</v>
      </c>
      <c r="J265" t="s">
        <v>743</v>
      </c>
      <c r="K265" t="s">
        <v>73</v>
      </c>
      <c r="L265" t="s">
        <v>744</v>
      </c>
      <c r="M265" t="s">
        <v>35</v>
      </c>
      <c r="N265">
        <v>7794601661</v>
      </c>
      <c r="O265" t="s">
        <v>745</v>
      </c>
      <c r="P265" t="s">
        <v>746</v>
      </c>
      <c r="R265" t="s">
        <v>747</v>
      </c>
      <c r="S265" t="s">
        <v>748</v>
      </c>
      <c r="T265" t="s">
        <v>58</v>
      </c>
      <c r="U265" t="s">
        <v>82</v>
      </c>
      <c r="V265" s="1">
        <v>43474</v>
      </c>
      <c r="W265">
        <v>0</v>
      </c>
      <c r="X265">
        <v>17</v>
      </c>
      <c r="AA265" t="s">
        <v>42</v>
      </c>
      <c r="AB265" t="s">
        <v>43</v>
      </c>
      <c r="AC265" t="s">
        <v>43</v>
      </c>
    </row>
    <row r="266" spans="1:30" x14ac:dyDescent="0.4">
      <c r="A266" t="s">
        <v>27</v>
      </c>
      <c r="B266">
        <v>373</v>
      </c>
      <c r="C266" t="s">
        <v>2856</v>
      </c>
      <c r="D266">
        <v>86</v>
      </c>
      <c r="E266" t="s">
        <v>195</v>
      </c>
      <c r="F266" t="s">
        <v>69</v>
      </c>
      <c r="G266" t="s">
        <v>749</v>
      </c>
      <c r="H266" t="s">
        <v>750</v>
      </c>
      <c r="I266" t="s">
        <v>751</v>
      </c>
      <c r="J266" t="s">
        <v>752</v>
      </c>
      <c r="K266" t="s">
        <v>634</v>
      </c>
      <c r="L266" t="s">
        <v>753</v>
      </c>
      <c r="M266" t="s">
        <v>35</v>
      </c>
      <c r="N266">
        <v>1628664403</v>
      </c>
      <c r="O266" t="s">
        <v>754</v>
      </c>
      <c r="P266" t="s">
        <v>2856</v>
      </c>
      <c r="R266" t="s">
        <v>755</v>
      </c>
      <c r="S266" t="s">
        <v>756</v>
      </c>
      <c r="T266" t="s">
        <v>94</v>
      </c>
      <c r="U266" t="s">
        <v>40</v>
      </c>
      <c r="V266" s="1">
        <v>44224</v>
      </c>
      <c r="W266">
        <v>0</v>
      </c>
      <c r="X266">
        <v>5</v>
      </c>
      <c r="Y266" t="s">
        <v>66</v>
      </c>
      <c r="Z266" t="s">
        <v>392</v>
      </c>
      <c r="AA266" t="s">
        <v>42</v>
      </c>
      <c r="AB266" t="s">
        <v>43</v>
      </c>
      <c r="AC266" t="s">
        <v>43</v>
      </c>
    </row>
    <row r="267" spans="1:30" x14ac:dyDescent="0.4">
      <c r="A267" t="s">
        <v>27</v>
      </c>
      <c r="B267">
        <v>373</v>
      </c>
      <c r="C267" t="s">
        <v>2856</v>
      </c>
      <c r="D267">
        <v>86</v>
      </c>
      <c r="E267" t="s">
        <v>195</v>
      </c>
      <c r="F267" t="s">
        <v>69</v>
      </c>
      <c r="G267" t="s">
        <v>749</v>
      </c>
      <c r="H267" t="s">
        <v>750</v>
      </c>
      <c r="I267" t="s">
        <v>751</v>
      </c>
      <c r="J267" t="s">
        <v>752</v>
      </c>
      <c r="K267" t="s">
        <v>634</v>
      </c>
      <c r="L267" t="s">
        <v>753</v>
      </c>
      <c r="M267" t="s">
        <v>35</v>
      </c>
      <c r="N267">
        <v>1628664403</v>
      </c>
      <c r="O267" t="s">
        <v>754</v>
      </c>
      <c r="P267" t="s">
        <v>2856</v>
      </c>
      <c r="R267" t="s">
        <v>755</v>
      </c>
      <c r="S267" t="s">
        <v>756</v>
      </c>
      <c r="T267" t="s">
        <v>94</v>
      </c>
      <c r="U267" t="s">
        <v>40</v>
      </c>
      <c r="V267" s="1">
        <v>44224</v>
      </c>
      <c r="W267">
        <v>0</v>
      </c>
      <c r="X267">
        <v>6</v>
      </c>
      <c r="Y267" t="s">
        <v>83</v>
      </c>
      <c r="Z267" t="s">
        <v>392</v>
      </c>
      <c r="AA267" t="s">
        <v>42</v>
      </c>
      <c r="AB267" t="s">
        <v>43</v>
      </c>
      <c r="AC267" t="s">
        <v>43</v>
      </c>
    </row>
    <row r="268" spans="1:30" x14ac:dyDescent="0.4">
      <c r="A268" t="s">
        <v>27</v>
      </c>
      <c r="B268">
        <v>373</v>
      </c>
      <c r="C268" t="s">
        <v>2856</v>
      </c>
      <c r="D268">
        <v>86</v>
      </c>
      <c r="E268" t="s">
        <v>195</v>
      </c>
      <c r="F268" t="s">
        <v>69</v>
      </c>
      <c r="G268" t="s">
        <v>749</v>
      </c>
      <c r="H268" t="s">
        <v>750</v>
      </c>
      <c r="I268" t="s">
        <v>751</v>
      </c>
      <c r="J268" t="s">
        <v>752</v>
      </c>
      <c r="K268" t="s">
        <v>634</v>
      </c>
      <c r="L268" t="s">
        <v>753</v>
      </c>
      <c r="M268" t="s">
        <v>35</v>
      </c>
      <c r="N268">
        <v>1628664403</v>
      </c>
      <c r="O268" t="s">
        <v>754</v>
      </c>
      <c r="P268" t="s">
        <v>2856</v>
      </c>
      <c r="R268" t="s">
        <v>755</v>
      </c>
      <c r="S268" t="s">
        <v>756</v>
      </c>
      <c r="T268" t="s">
        <v>94</v>
      </c>
      <c r="U268" t="s">
        <v>40</v>
      </c>
      <c r="V268" s="1">
        <v>44224</v>
      </c>
      <c r="W268">
        <v>0</v>
      </c>
      <c r="X268">
        <v>14</v>
      </c>
      <c r="Z268" t="s">
        <v>392</v>
      </c>
      <c r="AA268" t="s">
        <v>42</v>
      </c>
      <c r="AB268" t="s">
        <v>43</v>
      </c>
      <c r="AC268" t="s">
        <v>43</v>
      </c>
    </row>
    <row r="269" spans="1:30" x14ac:dyDescent="0.4">
      <c r="A269" t="s">
        <v>27</v>
      </c>
      <c r="B269">
        <v>373</v>
      </c>
      <c r="C269" t="s">
        <v>2856</v>
      </c>
      <c r="D269">
        <v>86</v>
      </c>
      <c r="E269" t="s">
        <v>195</v>
      </c>
      <c r="F269" t="s">
        <v>69</v>
      </c>
      <c r="G269" t="s">
        <v>749</v>
      </c>
      <c r="H269" t="s">
        <v>750</v>
      </c>
      <c r="I269" t="s">
        <v>751</v>
      </c>
      <c r="J269" t="s">
        <v>752</v>
      </c>
      <c r="K269" t="s">
        <v>634</v>
      </c>
      <c r="L269" t="s">
        <v>753</v>
      </c>
      <c r="M269" t="s">
        <v>35</v>
      </c>
      <c r="N269">
        <v>1628664403</v>
      </c>
      <c r="O269" t="s">
        <v>754</v>
      </c>
      <c r="P269" t="s">
        <v>2856</v>
      </c>
      <c r="R269" t="s">
        <v>755</v>
      </c>
      <c r="S269" t="s">
        <v>756</v>
      </c>
      <c r="T269" t="s">
        <v>94</v>
      </c>
      <c r="U269" t="s">
        <v>40</v>
      </c>
      <c r="V269" s="1">
        <v>44224</v>
      </c>
      <c r="W269">
        <v>0</v>
      </c>
      <c r="X269">
        <v>16</v>
      </c>
      <c r="Z269" t="s">
        <v>392</v>
      </c>
      <c r="AA269" t="s">
        <v>42</v>
      </c>
      <c r="AB269" t="s">
        <v>43</v>
      </c>
      <c r="AC269" t="s">
        <v>43</v>
      </c>
    </row>
    <row r="270" spans="1:30" x14ac:dyDescent="0.4">
      <c r="A270" t="s">
        <v>27</v>
      </c>
      <c r="B270">
        <v>10</v>
      </c>
      <c r="C270" t="s">
        <v>2932</v>
      </c>
      <c r="E270" t="s">
        <v>68</v>
      </c>
      <c r="F270" t="s">
        <v>757</v>
      </c>
      <c r="G270" t="s">
        <v>758</v>
      </c>
      <c r="H270" t="s">
        <v>759</v>
      </c>
      <c r="I270" t="s">
        <v>760</v>
      </c>
      <c r="J270" t="s">
        <v>761</v>
      </c>
      <c r="K270" t="s">
        <v>215</v>
      </c>
      <c r="L270" t="s">
        <v>762</v>
      </c>
      <c r="M270" t="s">
        <v>35</v>
      </c>
      <c r="N270" t="s">
        <v>763</v>
      </c>
      <c r="O270" t="s">
        <v>764</v>
      </c>
      <c r="P270" t="s">
        <v>765</v>
      </c>
      <c r="R270" t="s">
        <v>766</v>
      </c>
      <c r="S270" t="s">
        <v>767</v>
      </c>
      <c r="T270" t="s">
        <v>58</v>
      </c>
      <c r="U270" t="s">
        <v>40</v>
      </c>
      <c r="V270" s="1">
        <v>41059</v>
      </c>
      <c r="W270">
        <v>0</v>
      </c>
      <c r="X270">
        <v>0</v>
      </c>
      <c r="Y270" t="s">
        <v>59</v>
      </c>
      <c r="AA270" t="s">
        <v>42</v>
      </c>
      <c r="AB270" t="s">
        <v>43</v>
      </c>
      <c r="AC270" t="s">
        <v>43</v>
      </c>
    </row>
    <row r="271" spans="1:30" x14ac:dyDescent="0.4">
      <c r="A271" t="s">
        <v>27</v>
      </c>
      <c r="B271">
        <v>10</v>
      </c>
      <c r="C271" t="s">
        <v>2932</v>
      </c>
      <c r="E271" t="s">
        <v>68</v>
      </c>
      <c r="F271" t="s">
        <v>757</v>
      </c>
      <c r="G271" t="s">
        <v>758</v>
      </c>
      <c r="H271" t="s">
        <v>759</v>
      </c>
      <c r="I271" t="s">
        <v>760</v>
      </c>
      <c r="J271" t="s">
        <v>761</v>
      </c>
      <c r="K271" t="s">
        <v>215</v>
      </c>
      <c r="L271" t="s">
        <v>762</v>
      </c>
      <c r="M271" t="s">
        <v>35</v>
      </c>
      <c r="N271" t="s">
        <v>763</v>
      </c>
      <c r="O271" t="s">
        <v>764</v>
      </c>
      <c r="P271" t="s">
        <v>765</v>
      </c>
      <c r="R271" t="s">
        <v>768</v>
      </c>
      <c r="S271" t="s">
        <v>769</v>
      </c>
      <c r="T271" t="s">
        <v>94</v>
      </c>
      <c r="U271" t="s">
        <v>40</v>
      </c>
      <c r="V271" s="1">
        <v>45163</v>
      </c>
      <c r="W271">
        <v>0</v>
      </c>
      <c r="X271">
        <v>0</v>
      </c>
      <c r="Y271" t="s">
        <v>59</v>
      </c>
      <c r="AA271" t="s">
        <v>42</v>
      </c>
      <c r="AB271" t="s">
        <v>43</v>
      </c>
      <c r="AC271" t="s">
        <v>43</v>
      </c>
    </row>
    <row r="272" spans="1:30" x14ac:dyDescent="0.4">
      <c r="A272" t="s">
        <v>27</v>
      </c>
      <c r="B272">
        <v>10</v>
      </c>
      <c r="C272" t="s">
        <v>2932</v>
      </c>
      <c r="D272">
        <v>87</v>
      </c>
      <c r="E272" t="s">
        <v>68</v>
      </c>
      <c r="F272" t="s">
        <v>757</v>
      </c>
      <c r="G272" t="s">
        <v>758</v>
      </c>
      <c r="H272" t="s">
        <v>759</v>
      </c>
      <c r="I272" t="s">
        <v>760</v>
      </c>
      <c r="J272" t="s">
        <v>761</v>
      </c>
      <c r="K272" t="s">
        <v>215</v>
      </c>
      <c r="L272" t="s">
        <v>762</v>
      </c>
      <c r="M272" t="s">
        <v>35</v>
      </c>
      <c r="N272" t="s">
        <v>763</v>
      </c>
      <c r="O272" t="s">
        <v>764</v>
      </c>
      <c r="P272" t="s">
        <v>2932</v>
      </c>
      <c r="R272" t="s">
        <v>770</v>
      </c>
      <c r="S272" t="s">
        <v>771</v>
      </c>
      <c r="T272" t="s">
        <v>58</v>
      </c>
      <c r="U272" t="s">
        <v>40</v>
      </c>
      <c r="V272" s="1">
        <v>43302</v>
      </c>
      <c r="W272">
        <v>0</v>
      </c>
      <c r="X272">
        <v>14</v>
      </c>
      <c r="AA272" t="s">
        <v>42</v>
      </c>
      <c r="AB272" t="s">
        <v>43</v>
      </c>
      <c r="AC272" t="s">
        <v>43</v>
      </c>
    </row>
    <row r="273" spans="1:30" x14ac:dyDescent="0.4">
      <c r="A273" t="s">
        <v>27</v>
      </c>
      <c r="B273">
        <v>1797</v>
      </c>
      <c r="C273" t="s">
        <v>2933</v>
      </c>
      <c r="E273" t="s">
        <v>195</v>
      </c>
      <c r="F273" t="s">
        <v>772</v>
      </c>
      <c r="G273" t="s">
        <v>773</v>
      </c>
      <c r="H273" t="s">
        <v>774</v>
      </c>
      <c r="J273" t="s">
        <v>775</v>
      </c>
      <c r="K273" t="s">
        <v>51</v>
      </c>
      <c r="L273" t="s">
        <v>776</v>
      </c>
      <c r="M273" t="s">
        <v>35</v>
      </c>
      <c r="N273" t="s">
        <v>777</v>
      </c>
      <c r="O273" t="s">
        <v>778</v>
      </c>
      <c r="P273" t="s">
        <v>779</v>
      </c>
      <c r="R273" t="s">
        <v>780</v>
      </c>
      <c r="S273" t="s">
        <v>781</v>
      </c>
      <c r="T273" t="s">
        <v>782</v>
      </c>
      <c r="U273" t="s">
        <v>40</v>
      </c>
      <c r="V273" s="1">
        <v>43691</v>
      </c>
      <c r="W273">
        <v>0</v>
      </c>
      <c r="X273">
        <v>0</v>
      </c>
      <c r="Y273" t="s">
        <v>59</v>
      </c>
      <c r="AA273" t="s">
        <v>42</v>
      </c>
      <c r="AB273" t="s">
        <v>43</v>
      </c>
      <c r="AC273" t="s">
        <v>43</v>
      </c>
    </row>
    <row r="274" spans="1:30" x14ac:dyDescent="0.4">
      <c r="A274" t="s">
        <v>27</v>
      </c>
      <c r="B274">
        <v>1797</v>
      </c>
      <c r="C274" t="s">
        <v>2933</v>
      </c>
      <c r="E274" t="s">
        <v>195</v>
      </c>
      <c r="F274" t="s">
        <v>772</v>
      </c>
      <c r="G274" t="s">
        <v>773</v>
      </c>
      <c r="H274" t="s">
        <v>774</v>
      </c>
      <c r="J274" t="s">
        <v>775</v>
      </c>
      <c r="K274" t="s">
        <v>51</v>
      </c>
      <c r="L274" t="s">
        <v>776</v>
      </c>
      <c r="M274" t="s">
        <v>35</v>
      </c>
      <c r="N274" t="s">
        <v>777</v>
      </c>
      <c r="O274" t="s">
        <v>778</v>
      </c>
      <c r="P274" t="s">
        <v>779</v>
      </c>
      <c r="R274" t="s">
        <v>783</v>
      </c>
      <c r="S274" t="s">
        <v>784</v>
      </c>
      <c r="T274" t="s">
        <v>58</v>
      </c>
      <c r="U274" t="s">
        <v>40</v>
      </c>
      <c r="V274" s="1">
        <v>41132</v>
      </c>
      <c r="W274">
        <v>0</v>
      </c>
      <c r="X274">
        <v>0</v>
      </c>
      <c r="Y274" t="s">
        <v>59</v>
      </c>
      <c r="AA274" t="s">
        <v>42</v>
      </c>
      <c r="AB274" t="s">
        <v>43</v>
      </c>
      <c r="AC274" t="s">
        <v>43</v>
      </c>
    </row>
    <row r="275" spans="1:30" x14ac:dyDescent="0.4">
      <c r="A275" t="s">
        <v>27</v>
      </c>
      <c r="B275">
        <v>1797</v>
      </c>
      <c r="C275" t="s">
        <v>2933</v>
      </c>
      <c r="E275" t="s">
        <v>195</v>
      </c>
      <c r="F275" t="s">
        <v>772</v>
      </c>
      <c r="G275" t="s">
        <v>773</v>
      </c>
      <c r="H275" t="s">
        <v>774</v>
      </c>
      <c r="J275" t="s">
        <v>775</v>
      </c>
      <c r="K275" t="s">
        <v>51</v>
      </c>
      <c r="L275" t="s">
        <v>776</v>
      </c>
      <c r="M275" t="s">
        <v>35</v>
      </c>
      <c r="N275" t="s">
        <v>777</v>
      </c>
      <c r="O275" t="s">
        <v>778</v>
      </c>
      <c r="P275" t="s">
        <v>779</v>
      </c>
      <c r="R275" t="s">
        <v>780</v>
      </c>
      <c r="S275" t="s">
        <v>781</v>
      </c>
      <c r="T275" t="s">
        <v>782</v>
      </c>
      <c r="U275" t="s">
        <v>40</v>
      </c>
      <c r="V275" s="1">
        <v>43691</v>
      </c>
      <c r="W275">
        <v>0</v>
      </c>
      <c r="X275">
        <v>0</v>
      </c>
      <c r="Y275" t="s">
        <v>59</v>
      </c>
      <c r="AA275" t="s">
        <v>42</v>
      </c>
      <c r="AB275" t="s">
        <v>43</v>
      </c>
      <c r="AC275" t="s">
        <v>43</v>
      </c>
    </row>
    <row r="276" spans="1:30" x14ac:dyDescent="0.4">
      <c r="A276" t="s">
        <v>27</v>
      </c>
      <c r="B276">
        <v>1797</v>
      </c>
      <c r="C276" t="s">
        <v>2933</v>
      </c>
      <c r="E276" t="s">
        <v>195</v>
      </c>
      <c r="F276" t="s">
        <v>772</v>
      </c>
      <c r="G276" t="s">
        <v>773</v>
      </c>
      <c r="H276" t="s">
        <v>774</v>
      </c>
      <c r="J276" t="s">
        <v>775</v>
      </c>
      <c r="K276" t="s">
        <v>51</v>
      </c>
      <c r="L276" t="s">
        <v>776</v>
      </c>
      <c r="M276" t="s">
        <v>35</v>
      </c>
      <c r="N276" t="s">
        <v>777</v>
      </c>
      <c r="O276" t="s">
        <v>778</v>
      </c>
      <c r="P276" t="s">
        <v>779</v>
      </c>
      <c r="R276" t="s">
        <v>783</v>
      </c>
      <c r="S276" t="s">
        <v>784</v>
      </c>
      <c r="T276" t="s">
        <v>58</v>
      </c>
      <c r="U276" t="s">
        <v>40</v>
      </c>
      <c r="V276" s="1">
        <v>41132</v>
      </c>
      <c r="W276">
        <v>0</v>
      </c>
      <c r="X276">
        <v>0</v>
      </c>
      <c r="Y276" t="s">
        <v>59</v>
      </c>
      <c r="AA276" t="s">
        <v>42</v>
      </c>
      <c r="AB276" t="s">
        <v>43</v>
      </c>
      <c r="AC276" t="s">
        <v>43</v>
      </c>
    </row>
    <row r="277" spans="1:30" x14ac:dyDescent="0.4">
      <c r="A277" t="s">
        <v>27</v>
      </c>
      <c r="B277">
        <v>1797</v>
      </c>
      <c r="C277" t="s">
        <v>2933</v>
      </c>
      <c r="D277">
        <v>88</v>
      </c>
      <c r="E277" t="s">
        <v>195</v>
      </c>
      <c r="F277" t="s">
        <v>772</v>
      </c>
      <c r="G277" t="s">
        <v>773</v>
      </c>
      <c r="H277" t="s">
        <v>774</v>
      </c>
      <c r="J277" t="s">
        <v>775</v>
      </c>
      <c r="K277" t="s">
        <v>51</v>
      </c>
      <c r="L277" t="s">
        <v>776</v>
      </c>
      <c r="M277" t="s">
        <v>35</v>
      </c>
      <c r="N277" t="s">
        <v>777</v>
      </c>
      <c r="O277" t="s">
        <v>778</v>
      </c>
      <c r="P277" t="s">
        <v>2933</v>
      </c>
      <c r="R277" t="s">
        <v>3100</v>
      </c>
      <c r="S277" t="s">
        <v>786</v>
      </c>
      <c r="T277" t="s">
        <v>58</v>
      </c>
      <c r="U277" t="s">
        <v>40</v>
      </c>
      <c r="V277" s="1">
        <v>44485</v>
      </c>
      <c r="W277">
        <v>0</v>
      </c>
      <c r="X277">
        <v>5</v>
      </c>
      <c r="Y277" t="s">
        <v>66</v>
      </c>
      <c r="AA277" t="s">
        <v>42</v>
      </c>
      <c r="AB277" t="s">
        <v>43</v>
      </c>
      <c r="AC277" t="s">
        <v>43</v>
      </c>
    </row>
    <row r="278" spans="1:30" x14ac:dyDescent="0.4">
      <c r="A278" t="s">
        <v>27</v>
      </c>
      <c r="B278">
        <v>1797</v>
      </c>
      <c r="C278" t="s">
        <v>2933</v>
      </c>
      <c r="D278">
        <v>88</v>
      </c>
      <c r="E278" t="s">
        <v>195</v>
      </c>
      <c r="F278" t="s">
        <v>772</v>
      </c>
      <c r="G278" t="s">
        <v>773</v>
      </c>
      <c r="H278" t="s">
        <v>774</v>
      </c>
      <c r="J278" t="s">
        <v>775</v>
      </c>
      <c r="K278" t="s">
        <v>51</v>
      </c>
      <c r="L278" t="s">
        <v>776</v>
      </c>
      <c r="M278" t="s">
        <v>35</v>
      </c>
      <c r="N278" t="s">
        <v>777</v>
      </c>
      <c r="O278" t="s">
        <v>778</v>
      </c>
      <c r="P278" t="s">
        <v>2933</v>
      </c>
      <c r="R278" t="s">
        <v>3100</v>
      </c>
      <c r="S278" t="s">
        <v>786</v>
      </c>
      <c r="T278" t="s">
        <v>58</v>
      </c>
      <c r="U278" t="s">
        <v>40</v>
      </c>
      <c r="V278" s="1">
        <v>44485</v>
      </c>
      <c r="W278">
        <v>0</v>
      </c>
      <c r="X278">
        <v>6</v>
      </c>
      <c r="Y278" t="s">
        <v>83</v>
      </c>
      <c r="AA278" t="s">
        <v>42</v>
      </c>
      <c r="AB278" t="s">
        <v>43</v>
      </c>
      <c r="AC278" t="s">
        <v>43</v>
      </c>
    </row>
    <row r="279" spans="1:30" x14ac:dyDescent="0.4">
      <c r="A279" t="s">
        <v>27</v>
      </c>
      <c r="B279">
        <v>1797</v>
      </c>
      <c r="C279" t="s">
        <v>2933</v>
      </c>
      <c r="D279">
        <v>88</v>
      </c>
      <c r="E279" t="s">
        <v>195</v>
      </c>
      <c r="F279" t="s">
        <v>772</v>
      </c>
      <c r="G279" t="s">
        <v>773</v>
      </c>
      <c r="H279" t="s">
        <v>774</v>
      </c>
      <c r="J279" t="s">
        <v>775</v>
      </c>
      <c r="K279" t="s">
        <v>51</v>
      </c>
      <c r="L279" t="s">
        <v>776</v>
      </c>
      <c r="M279" t="s">
        <v>35</v>
      </c>
      <c r="N279" t="s">
        <v>777</v>
      </c>
      <c r="O279" t="s">
        <v>778</v>
      </c>
      <c r="P279" t="s">
        <v>2933</v>
      </c>
      <c r="R279" t="s">
        <v>3100</v>
      </c>
      <c r="S279" t="s">
        <v>786</v>
      </c>
      <c r="T279" t="s">
        <v>58</v>
      </c>
      <c r="U279" t="s">
        <v>40</v>
      </c>
      <c r="V279" s="1">
        <v>44485</v>
      </c>
      <c r="W279">
        <v>0</v>
      </c>
      <c r="X279">
        <v>14</v>
      </c>
      <c r="AA279" t="s">
        <v>42</v>
      </c>
      <c r="AB279" t="s">
        <v>43</v>
      </c>
      <c r="AC279" t="s">
        <v>43</v>
      </c>
    </row>
    <row r="280" spans="1:30" x14ac:dyDescent="0.4">
      <c r="A280" t="s">
        <v>27</v>
      </c>
      <c r="B280">
        <v>1797</v>
      </c>
      <c r="C280" t="s">
        <v>2933</v>
      </c>
      <c r="D280">
        <v>88</v>
      </c>
      <c r="E280" t="s">
        <v>195</v>
      </c>
      <c r="F280" t="s">
        <v>772</v>
      </c>
      <c r="G280" t="s">
        <v>773</v>
      </c>
      <c r="H280" t="s">
        <v>774</v>
      </c>
      <c r="J280" t="s">
        <v>775</v>
      </c>
      <c r="K280" t="s">
        <v>51</v>
      </c>
      <c r="L280" t="s">
        <v>776</v>
      </c>
      <c r="M280" t="s">
        <v>35</v>
      </c>
      <c r="N280" t="s">
        <v>777</v>
      </c>
      <c r="O280" t="s">
        <v>778</v>
      </c>
      <c r="P280" t="s">
        <v>2933</v>
      </c>
      <c r="R280" t="s">
        <v>3100</v>
      </c>
      <c r="S280" t="s">
        <v>786</v>
      </c>
      <c r="T280" t="s">
        <v>58</v>
      </c>
      <c r="U280" t="s">
        <v>40</v>
      </c>
      <c r="V280" s="1">
        <v>44485</v>
      </c>
      <c r="W280">
        <v>0</v>
      </c>
      <c r="X280">
        <v>16</v>
      </c>
      <c r="AA280" t="s">
        <v>42</v>
      </c>
      <c r="AB280" t="s">
        <v>43</v>
      </c>
      <c r="AC280" t="s">
        <v>43</v>
      </c>
    </row>
    <row r="281" spans="1:30" x14ac:dyDescent="0.4">
      <c r="A281" t="s">
        <v>27</v>
      </c>
      <c r="B281">
        <v>253</v>
      </c>
      <c r="C281" t="s">
        <v>2934</v>
      </c>
      <c r="D281">
        <v>89</v>
      </c>
      <c r="E281" t="s">
        <v>28</v>
      </c>
      <c r="F281" t="s">
        <v>787</v>
      </c>
      <c r="G281" t="s">
        <v>788</v>
      </c>
      <c r="H281" t="s">
        <v>789</v>
      </c>
      <c r="I281" t="s">
        <v>790</v>
      </c>
      <c r="J281" t="s">
        <v>791</v>
      </c>
      <c r="K281" t="s">
        <v>370</v>
      </c>
      <c r="L281" t="s">
        <v>792</v>
      </c>
      <c r="M281" t="s">
        <v>35</v>
      </c>
      <c r="N281" t="s">
        <v>793</v>
      </c>
      <c r="O281" t="s">
        <v>794</v>
      </c>
      <c r="P281" t="s">
        <v>2934</v>
      </c>
      <c r="R281" t="s">
        <v>795</v>
      </c>
      <c r="S281" t="s">
        <v>796</v>
      </c>
      <c r="T281" t="s">
        <v>94</v>
      </c>
      <c r="U281" t="s">
        <v>40</v>
      </c>
      <c r="V281" s="1">
        <v>43477</v>
      </c>
      <c r="W281">
        <v>0</v>
      </c>
      <c r="X281">
        <v>12</v>
      </c>
      <c r="AA281" t="s">
        <v>42</v>
      </c>
      <c r="AB281" t="s">
        <v>43</v>
      </c>
      <c r="AC281" t="s">
        <v>43</v>
      </c>
    </row>
    <row r="282" spans="1:30" x14ac:dyDescent="0.4">
      <c r="A282" t="s">
        <v>27</v>
      </c>
      <c r="B282">
        <v>253</v>
      </c>
      <c r="C282" t="s">
        <v>2934</v>
      </c>
      <c r="D282">
        <v>90</v>
      </c>
      <c r="E282" t="s">
        <v>28</v>
      </c>
      <c r="F282" t="s">
        <v>787</v>
      </c>
      <c r="G282" t="s">
        <v>788</v>
      </c>
      <c r="H282" t="s">
        <v>789</v>
      </c>
      <c r="I282" t="s">
        <v>790</v>
      </c>
      <c r="J282" t="s">
        <v>791</v>
      </c>
      <c r="K282" t="s">
        <v>370</v>
      </c>
      <c r="L282" t="s">
        <v>792</v>
      </c>
      <c r="M282" t="s">
        <v>35</v>
      </c>
      <c r="N282" t="s">
        <v>793</v>
      </c>
      <c r="O282" t="s">
        <v>794</v>
      </c>
      <c r="P282" t="s">
        <v>2934</v>
      </c>
      <c r="R282" t="s">
        <v>797</v>
      </c>
      <c r="S282" t="s">
        <v>798</v>
      </c>
      <c r="T282" t="s">
        <v>58</v>
      </c>
      <c r="U282" t="s">
        <v>82</v>
      </c>
      <c r="V282" s="1">
        <v>44577</v>
      </c>
      <c r="W282">
        <v>0</v>
      </c>
      <c r="X282">
        <v>13</v>
      </c>
      <c r="AA282" t="s">
        <v>42</v>
      </c>
      <c r="AB282" t="s">
        <v>43</v>
      </c>
      <c r="AC282" t="s">
        <v>43</v>
      </c>
    </row>
    <row r="283" spans="1:30" x14ac:dyDescent="0.4">
      <c r="A283" t="s">
        <v>27</v>
      </c>
      <c r="B283">
        <v>253</v>
      </c>
      <c r="C283" t="s">
        <v>2934</v>
      </c>
      <c r="D283">
        <v>90</v>
      </c>
      <c r="E283" t="s">
        <v>28</v>
      </c>
      <c r="F283" t="s">
        <v>787</v>
      </c>
      <c r="G283" t="s">
        <v>788</v>
      </c>
      <c r="H283" t="s">
        <v>789</v>
      </c>
      <c r="I283" t="s">
        <v>790</v>
      </c>
      <c r="J283" t="s">
        <v>791</v>
      </c>
      <c r="K283" t="s">
        <v>370</v>
      </c>
      <c r="L283" t="s">
        <v>792</v>
      </c>
      <c r="M283" t="s">
        <v>35</v>
      </c>
      <c r="N283" t="s">
        <v>793</v>
      </c>
      <c r="O283" t="s">
        <v>794</v>
      </c>
      <c r="P283" t="s">
        <v>2934</v>
      </c>
      <c r="R283" t="s">
        <v>797</v>
      </c>
      <c r="S283" t="s">
        <v>798</v>
      </c>
      <c r="T283" t="s">
        <v>58</v>
      </c>
      <c r="U283" t="s">
        <v>82</v>
      </c>
      <c r="V283" s="1">
        <v>44577</v>
      </c>
      <c r="W283">
        <v>0</v>
      </c>
      <c r="X283">
        <v>17</v>
      </c>
      <c r="AA283" t="s">
        <v>42</v>
      </c>
      <c r="AB283" t="s">
        <v>43</v>
      </c>
      <c r="AC283" t="s">
        <v>43</v>
      </c>
    </row>
    <row r="284" spans="1:30" x14ac:dyDescent="0.4">
      <c r="A284" t="s">
        <v>27</v>
      </c>
      <c r="B284">
        <v>6044</v>
      </c>
      <c r="C284" t="s">
        <v>2935</v>
      </c>
      <c r="D284">
        <v>91</v>
      </c>
      <c r="E284" t="s">
        <v>68</v>
      </c>
      <c r="F284" t="s">
        <v>699</v>
      </c>
      <c r="G284" t="s">
        <v>799</v>
      </c>
      <c r="H284" t="s">
        <v>800</v>
      </c>
      <c r="I284" t="s">
        <v>801</v>
      </c>
      <c r="J284" t="s">
        <v>802</v>
      </c>
      <c r="K284" t="s">
        <v>691</v>
      </c>
      <c r="L284" t="s">
        <v>803</v>
      </c>
      <c r="M284" t="s">
        <v>35</v>
      </c>
      <c r="N284">
        <v>1725513560</v>
      </c>
      <c r="O284" t="s">
        <v>804</v>
      </c>
      <c r="P284" t="s">
        <v>2935</v>
      </c>
      <c r="R284" t="s">
        <v>3101</v>
      </c>
      <c r="S284" t="s">
        <v>806</v>
      </c>
      <c r="T284" t="s">
        <v>376</v>
      </c>
      <c r="U284" t="s">
        <v>82</v>
      </c>
      <c r="V284" s="1">
        <v>44058</v>
      </c>
      <c r="W284">
        <v>0</v>
      </c>
      <c r="X284">
        <v>8</v>
      </c>
      <c r="AA284" t="s">
        <v>42</v>
      </c>
      <c r="AB284" t="s">
        <v>43</v>
      </c>
      <c r="AC284" t="s">
        <v>43</v>
      </c>
      <c r="AD284" t="s">
        <v>807</v>
      </c>
    </row>
    <row r="285" spans="1:30" x14ac:dyDescent="0.4">
      <c r="A285" t="s">
        <v>27</v>
      </c>
      <c r="B285">
        <v>6044</v>
      </c>
      <c r="C285" t="s">
        <v>2935</v>
      </c>
      <c r="D285">
        <v>91</v>
      </c>
      <c r="E285" t="s">
        <v>68</v>
      </c>
      <c r="F285" t="s">
        <v>699</v>
      </c>
      <c r="G285" t="s">
        <v>799</v>
      </c>
      <c r="H285" t="s">
        <v>800</v>
      </c>
      <c r="I285" t="s">
        <v>801</v>
      </c>
      <c r="J285" t="s">
        <v>802</v>
      </c>
      <c r="K285" t="s">
        <v>691</v>
      </c>
      <c r="L285" t="s">
        <v>803</v>
      </c>
      <c r="M285" t="s">
        <v>35</v>
      </c>
      <c r="N285">
        <v>1725513560</v>
      </c>
      <c r="O285" t="s">
        <v>804</v>
      </c>
      <c r="P285" t="s">
        <v>2935</v>
      </c>
      <c r="R285" t="s">
        <v>3101</v>
      </c>
      <c r="S285" t="s">
        <v>806</v>
      </c>
      <c r="T285" t="s">
        <v>376</v>
      </c>
      <c r="U285" t="s">
        <v>82</v>
      </c>
      <c r="V285" s="1">
        <v>44058</v>
      </c>
      <c r="W285">
        <v>0</v>
      </c>
      <c r="X285">
        <v>10</v>
      </c>
      <c r="AA285" t="s">
        <v>42</v>
      </c>
      <c r="AB285" t="s">
        <v>43</v>
      </c>
      <c r="AC285" t="s">
        <v>43</v>
      </c>
      <c r="AD285" t="s">
        <v>807</v>
      </c>
    </row>
    <row r="286" spans="1:30" x14ac:dyDescent="0.4">
      <c r="A286" t="s">
        <v>27</v>
      </c>
      <c r="B286">
        <v>991</v>
      </c>
      <c r="C286" t="s">
        <v>2857</v>
      </c>
      <c r="D286">
        <v>92</v>
      </c>
      <c r="E286" t="s">
        <v>68</v>
      </c>
      <c r="F286" t="s">
        <v>808</v>
      </c>
      <c r="G286" t="s">
        <v>809</v>
      </c>
      <c r="H286" t="s">
        <v>810</v>
      </c>
      <c r="I286" t="s">
        <v>811</v>
      </c>
      <c r="J286" t="s">
        <v>812</v>
      </c>
      <c r="K286" t="s">
        <v>813</v>
      </c>
      <c r="L286" t="s">
        <v>814</v>
      </c>
      <c r="M286" t="s">
        <v>35</v>
      </c>
      <c r="N286" t="s">
        <v>815</v>
      </c>
      <c r="O286" t="s">
        <v>816</v>
      </c>
      <c r="P286" t="s">
        <v>2857</v>
      </c>
      <c r="R286" t="s">
        <v>817</v>
      </c>
      <c r="S286" t="s">
        <v>818</v>
      </c>
      <c r="T286" t="s">
        <v>737</v>
      </c>
      <c r="U286" t="s">
        <v>40</v>
      </c>
      <c r="V286" s="1">
        <v>43773</v>
      </c>
      <c r="W286">
        <v>0</v>
      </c>
      <c r="X286">
        <v>5</v>
      </c>
      <c r="Y286" t="s">
        <v>66</v>
      </c>
      <c r="Z286" t="s">
        <v>135</v>
      </c>
      <c r="AA286" t="s">
        <v>42</v>
      </c>
      <c r="AB286" t="s">
        <v>43</v>
      </c>
      <c r="AC286" t="s">
        <v>42</v>
      </c>
    </row>
    <row r="287" spans="1:30" x14ac:dyDescent="0.4">
      <c r="A287" t="s">
        <v>27</v>
      </c>
      <c r="B287">
        <v>991</v>
      </c>
      <c r="C287" t="s">
        <v>2857</v>
      </c>
      <c r="D287">
        <v>92</v>
      </c>
      <c r="E287" t="s">
        <v>68</v>
      </c>
      <c r="F287" t="s">
        <v>808</v>
      </c>
      <c r="G287" t="s">
        <v>809</v>
      </c>
      <c r="H287" t="s">
        <v>810</v>
      </c>
      <c r="I287" t="s">
        <v>811</v>
      </c>
      <c r="J287" t="s">
        <v>812</v>
      </c>
      <c r="K287" t="s">
        <v>813</v>
      </c>
      <c r="L287" t="s">
        <v>814</v>
      </c>
      <c r="M287" t="s">
        <v>35</v>
      </c>
      <c r="N287" t="s">
        <v>815</v>
      </c>
      <c r="O287" t="s">
        <v>816</v>
      </c>
      <c r="P287" t="s">
        <v>2857</v>
      </c>
      <c r="R287" t="s">
        <v>817</v>
      </c>
      <c r="S287" t="s">
        <v>818</v>
      </c>
      <c r="T287" t="s">
        <v>737</v>
      </c>
      <c r="U287" t="s">
        <v>40</v>
      </c>
      <c r="V287" s="1">
        <v>43773</v>
      </c>
      <c r="W287">
        <v>0</v>
      </c>
      <c r="X287">
        <v>6</v>
      </c>
      <c r="Y287" t="s">
        <v>83</v>
      </c>
      <c r="Z287" t="s">
        <v>135</v>
      </c>
      <c r="AA287" t="s">
        <v>42</v>
      </c>
      <c r="AB287" t="s">
        <v>43</v>
      </c>
      <c r="AC287" t="s">
        <v>42</v>
      </c>
    </row>
    <row r="288" spans="1:30" x14ac:dyDescent="0.4">
      <c r="A288" t="s">
        <v>27</v>
      </c>
      <c r="B288">
        <v>991</v>
      </c>
      <c r="C288" t="s">
        <v>2857</v>
      </c>
      <c r="D288">
        <v>92</v>
      </c>
      <c r="E288" t="s">
        <v>68</v>
      </c>
      <c r="F288" t="s">
        <v>808</v>
      </c>
      <c r="G288" t="s">
        <v>809</v>
      </c>
      <c r="H288" t="s">
        <v>810</v>
      </c>
      <c r="I288" t="s">
        <v>811</v>
      </c>
      <c r="J288" t="s">
        <v>812</v>
      </c>
      <c r="K288" t="s">
        <v>813</v>
      </c>
      <c r="L288" t="s">
        <v>814</v>
      </c>
      <c r="M288" t="s">
        <v>35</v>
      </c>
      <c r="N288" t="s">
        <v>815</v>
      </c>
      <c r="O288" t="s">
        <v>816</v>
      </c>
      <c r="P288" t="s">
        <v>2857</v>
      </c>
      <c r="R288" t="s">
        <v>817</v>
      </c>
      <c r="S288" t="s">
        <v>818</v>
      </c>
      <c r="T288" t="s">
        <v>737</v>
      </c>
      <c r="U288" t="s">
        <v>40</v>
      </c>
      <c r="V288" s="1">
        <v>43773</v>
      </c>
      <c r="W288">
        <v>0</v>
      </c>
      <c r="X288">
        <v>14</v>
      </c>
      <c r="Z288" t="s">
        <v>135</v>
      </c>
      <c r="AA288" t="s">
        <v>42</v>
      </c>
      <c r="AB288" t="s">
        <v>43</v>
      </c>
      <c r="AC288" t="s">
        <v>42</v>
      </c>
    </row>
    <row r="289" spans="1:31" x14ac:dyDescent="0.4">
      <c r="A289" t="s">
        <v>27</v>
      </c>
      <c r="B289">
        <v>6162</v>
      </c>
      <c r="C289" t="s">
        <v>825</v>
      </c>
      <c r="D289">
        <v>93</v>
      </c>
      <c r="E289" t="s">
        <v>28</v>
      </c>
      <c r="F289" t="s">
        <v>160</v>
      </c>
      <c r="G289" t="s">
        <v>819</v>
      </c>
      <c r="H289" t="s">
        <v>820</v>
      </c>
      <c r="J289" t="s">
        <v>821</v>
      </c>
      <c r="K289" t="s">
        <v>822</v>
      </c>
      <c r="L289" t="s">
        <v>823</v>
      </c>
      <c r="M289" t="s">
        <v>35</v>
      </c>
      <c r="N289">
        <v>1403257942</v>
      </c>
      <c r="O289" t="s">
        <v>824</v>
      </c>
      <c r="P289" t="s">
        <v>825</v>
      </c>
      <c r="R289" t="s">
        <v>826</v>
      </c>
      <c r="S289" t="s">
        <v>827</v>
      </c>
      <c r="T289" t="s">
        <v>474</v>
      </c>
      <c r="U289" t="s">
        <v>82</v>
      </c>
      <c r="V289" s="1">
        <v>45002</v>
      </c>
      <c r="W289">
        <v>0</v>
      </c>
      <c r="X289">
        <v>8</v>
      </c>
      <c r="AA289" t="s">
        <v>42</v>
      </c>
      <c r="AB289" t="s">
        <v>43</v>
      </c>
      <c r="AC289" t="s">
        <v>43</v>
      </c>
    </row>
    <row r="290" spans="1:31" x14ac:dyDescent="0.4">
      <c r="A290" t="s">
        <v>27</v>
      </c>
      <c r="B290">
        <v>6162</v>
      </c>
      <c r="C290" t="s">
        <v>825</v>
      </c>
      <c r="D290">
        <v>93</v>
      </c>
      <c r="E290" t="s">
        <v>28</v>
      </c>
      <c r="F290" t="s">
        <v>160</v>
      </c>
      <c r="G290" t="s">
        <v>819</v>
      </c>
      <c r="H290" t="s">
        <v>820</v>
      </c>
      <c r="J290" t="s">
        <v>821</v>
      </c>
      <c r="K290" t="s">
        <v>822</v>
      </c>
      <c r="L290" t="s">
        <v>823</v>
      </c>
      <c r="M290" t="s">
        <v>35</v>
      </c>
      <c r="N290">
        <v>1403257942</v>
      </c>
      <c r="O290" t="s">
        <v>824</v>
      </c>
      <c r="P290" t="s">
        <v>825</v>
      </c>
      <c r="R290" t="s">
        <v>826</v>
      </c>
      <c r="S290" t="s">
        <v>827</v>
      </c>
      <c r="T290" t="s">
        <v>474</v>
      </c>
      <c r="U290" t="s">
        <v>82</v>
      </c>
      <c r="V290" s="1">
        <v>45002</v>
      </c>
      <c r="W290">
        <v>0</v>
      </c>
      <c r="X290">
        <v>9</v>
      </c>
      <c r="AA290" t="s">
        <v>42</v>
      </c>
      <c r="AB290" t="s">
        <v>43</v>
      </c>
      <c r="AC290" t="s">
        <v>43</v>
      </c>
    </row>
    <row r="291" spans="1:31" x14ac:dyDescent="0.4">
      <c r="A291" t="s">
        <v>27</v>
      </c>
      <c r="B291">
        <v>6162</v>
      </c>
      <c r="C291" t="s">
        <v>825</v>
      </c>
      <c r="E291" t="s">
        <v>28</v>
      </c>
      <c r="F291" t="s">
        <v>160</v>
      </c>
      <c r="G291" t="s">
        <v>819</v>
      </c>
      <c r="H291" t="s">
        <v>820</v>
      </c>
      <c r="J291" t="s">
        <v>821</v>
      </c>
      <c r="K291" t="s">
        <v>822</v>
      </c>
      <c r="L291" t="s">
        <v>823</v>
      </c>
      <c r="M291" t="s">
        <v>35</v>
      </c>
      <c r="N291">
        <v>1403257942</v>
      </c>
      <c r="O291" t="s">
        <v>824</v>
      </c>
      <c r="P291" t="s">
        <v>825</v>
      </c>
      <c r="R291" t="s">
        <v>828</v>
      </c>
      <c r="S291" t="s">
        <v>829</v>
      </c>
      <c r="T291" t="s">
        <v>474</v>
      </c>
      <c r="U291" t="s">
        <v>82</v>
      </c>
      <c r="V291" s="1">
        <v>43198</v>
      </c>
      <c r="W291">
        <v>0</v>
      </c>
      <c r="X291">
        <v>0</v>
      </c>
      <c r="Y291" t="s">
        <v>59</v>
      </c>
      <c r="AA291" t="s">
        <v>42</v>
      </c>
      <c r="AB291" t="s">
        <v>43</v>
      </c>
      <c r="AC291" t="s">
        <v>43</v>
      </c>
    </row>
    <row r="292" spans="1:31" x14ac:dyDescent="0.4">
      <c r="A292" t="s">
        <v>27</v>
      </c>
      <c r="B292">
        <v>6162</v>
      </c>
      <c r="C292" t="s">
        <v>825</v>
      </c>
      <c r="E292" t="s">
        <v>28</v>
      </c>
      <c r="F292" t="s">
        <v>160</v>
      </c>
      <c r="G292" t="s">
        <v>819</v>
      </c>
      <c r="H292" t="s">
        <v>820</v>
      </c>
      <c r="J292" t="s">
        <v>821</v>
      </c>
      <c r="K292" t="s">
        <v>822</v>
      </c>
      <c r="L292" t="s">
        <v>823</v>
      </c>
      <c r="M292" t="s">
        <v>35</v>
      </c>
      <c r="N292">
        <v>1403257942</v>
      </c>
      <c r="O292" t="s">
        <v>824</v>
      </c>
      <c r="P292" t="s">
        <v>825</v>
      </c>
      <c r="R292" t="s">
        <v>830</v>
      </c>
      <c r="S292" t="s">
        <v>831</v>
      </c>
      <c r="T292" t="s">
        <v>832</v>
      </c>
      <c r="U292" t="s">
        <v>82</v>
      </c>
      <c r="V292" s="1">
        <v>41208</v>
      </c>
      <c r="W292">
        <v>0</v>
      </c>
      <c r="X292">
        <v>0</v>
      </c>
      <c r="Y292" t="s">
        <v>59</v>
      </c>
      <c r="AA292" t="s">
        <v>42</v>
      </c>
      <c r="AB292" t="s">
        <v>43</v>
      </c>
      <c r="AC292" t="s">
        <v>43</v>
      </c>
    </row>
    <row r="293" spans="1:31" x14ac:dyDescent="0.4">
      <c r="A293" t="s">
        <v>27</v>
      </c>
      <c r="B293">
        <v>6162</v>
      </c>
      <c r="C293" t="s">
        <v>825</v>
      </c>
      <c r="E293" t="s">
        <v>28</v>
      </c>
      <c r="F293" t="s">
        <v>160</v>
      </c>
      <c r="G293" t="s">
        <v>819</v>
      </c>
      <c r="H293" t="s">
        <v>820</v>
      </c>
      <c r="J293" t="s">
        <v>821</v>
      </c>
      <c r="K293" t="s">
        <v>822</v>
      </c>
      <c r="L293" t="s">
        <v>823</v>
      </c>
      <c r="M293" t="s">
        <v>35</v>
      </c>
      <c r="N293">
        <v>1403257942</v>
      </c>
      <c r="O293" t="s">
        <v>824</v>
      </c>
      <c r="P293" t="s">
        <v>825</v>
      </c>
      <c r="R293" t="s">
        <v>833</v>
      </c>
      <c r="S293" t="s">
        <v>834</v>
      </c>
      <c r="T293" t="s">
        <v>835</v>
      </c>
      <c r="U293" t="s">
        <v>82</v>
      </c>
      <c r="V293" s="1">
        <v>39880</v>
      </c>
      <c r="W293">
        <v>0</v>
      </c>
      <c r="X293">
        <v>0</v>
      </c>
      <c r="Y293" t="s">
        <v>59</v>
      </c>
      <c r="AA293" t="s">
        <v>42</v>
      </c>
      <c r="AB293" t="s">
        <v>43</v>
      </c>
      <c r="AC293" t="s">
        <v>43</v>
      </c>
    </row>
    <row r="294" spans="1:31" x14ac:dyDescent="0.4">
      <c r="A294" t="s">
        <v>27</v>
      </c>
      <c r="B294">
        <v>82</v>
      </c>
      <c r="C294" t="s">
        <v>2858</v>
      </c>
      <c r="E294" t="s">
        <v>28</v>
      </c>
      <c r="F294" t="s">
        <v>836</v>
      </c>
      <c r="G294" t="s">
        <v>837</v>
      </c>
      <c r="H294" t="s">
        <v>838</v>
      </c>
      <c r="J294" t="s">
        <v>839</v>
      </c>
      <c r="K294" t="s">
        <v>73</v>
      </c>
      <c r="L294" t="s">
        <v>840</v>
      </c>
      <c r="M294" t="s">
        <v>35</v>
      </c>
      <c r="N294">
        <v>1483824780</v>
      </c>
      <c r="O294" t="s">
        <v>841</v>
      </c>
      <c r="P294" t="s">
        <v>842</v>
      </c>
      <c r="R294" t="s">
        <v>843</v>
      </c>
      <c r="S294" t="s">
        <v>844</v>
      </c>
      <c r="T294" t="s">
        <v>58</v>
      </c>
      <c r="U294" t="s">
        <v>40</v>
      </c>
      <c r="V294" s="1">
        <v>45030</v>
      </c>
      <c r="W294">
        <v>0</v>
      </c>
      <c r="X294">
        <v>0</v>
      </c>
      <c r="Y294" t="s">
        <v>59</v>
      </c>
      <c r="Z294" t="s">
        <v>407</v>
      </c>
      <c r="AA294" t="s">
        <v>42</v>
      </c>
      <c r="AB294" t="s">
        <v>43</v>
      </c>
      <c r="AC294" t="s">
        <v>43</v>
      </c>
      <c r="AD294" t="s">
        <v>845</v>
      </c>
    </row>
    <row r="295" spans="1:31" x14ac:dyDescent="0.4">
      <c r="A295" t="s">
        <v>27</v>
      </c>
      <c r="B295">
        <v>82</v>
      </c>
      <c r="C295" t="s">
        <v>2858</v>
      </c>
      <c r="E295" t="s">
        <v>28</v>
      </c>
      <c r="F295" t="s">
        <v>836</v>
      </c>
      <c r="G295" t="s">
        <v>837</v>
      </c>
      <c r="H295" t="s">
        <v>838</v>
      </c>
      <c r="J295" t="s">
        <v>839</v>
      </c>
      <c r="K295" t="s">
        <v>73</v>
      </c>
      <c r="L295" t="s">
        <v>840</v>
      </c>
      <c r="M295" t="s">
        <v>35</v>
      </c>
      <c r="N295">
        <v>1483824780</v>
      </c>
      <c r="O295" t="s">
        <v>841</v>
      </c>
      <c r="P295" t="s">
        <v>842</v>
      </c>
      <c r="R295" t="s">
        <v>843</v>
      </c>
      <c r="S295" t="s">
        <v>844</v>
      </c>
      <c r="T295" t="s">
        <v>58</v>
      </c>
      <c r="U295" t="s">
        <v>40</v>
      </c>
      <c r="V295" s="1">
        <v>45030</v>
      </c>
      <c r="W295">
        <v>0</v>
      </c>
      <c r="X295">
        <v>0</v>
      </c>
      <c r="Y295" t="s">
        <v>59</v>
      </c>
      <c r="Z295" t="s">
        <v>407</v>
      </c>
      <c r="AA295" t="s">
        <v>42</v>
      </c>
      <c r="AB295" t="s">
        <v>43</v>
      </c>
      <c r="AC295" t="s">
        <v>43</v>
      </c>
      <c r="AD295" t="s">
        <v>845</v>
      </c>
    </row>
    <row r="296" spans="1:31" x14ac:dyDescent="0.4">
      <c r="A296" t="s">
        <v>27</v>
      </c>
      <c r="B296">
        <v>82</v>
      </c>
      <c r="C296" t="s">
        <v>2858</v>
      </c>
      <c r="E296" t="s">
        <v>28</v>
      </c>
      <c r="F296" t="s">
        <v>836</v>
      </c>
      <c r="G296" t="s">
        <v>837</v>
      </c>
      <c r="H296" t="s">
        <v>838</v>
      </c>
      <c r="J296" t="s">
        <v>839</v>
      </c>
      <c r="K296" t="s">
        <v>73</v>
      </c>
      <c r="L296" t="s">
        <v>840</v>
      </c>
      <c r="M296" t="s">
        <v>35</v>
      </c>
      <c r="N296">
        <v>1483824780</v>
      </c>
      <c r="O296" t="s">
        <v>841</v>
      </c>
      <c r="P296" t="s">
        <v>842</v>
      </c>
      <c r="R296" t="s">
        <v>846</v>
      </c>
      <c r="S296" t="s">
        <v>847</v>
      </c>
      <c r="T296" t="s">
        <v>94</v>
      </c>
      <c r="U296" t="s">
        <v>40</v>
      </c>
      <c r="V296" s="1">
        <v>44472</v>
      </c>
      <c r="W296">
        <v>0</v>
      </c>
      <c r="X296">
        <v>0</v>
      </c>
      <c r="Y296" t="s">
        <v>59</v>
      </c>
      <c r="Z296" t="s">
        <v>407</v>
      </c>
      <c r="AA296" t="s">
        <v>42</v>
      </c>
      <c r="AB296" t="s">
        <v>43</v>
      </c>
      <c r="AC296" t="s">
        <v>43</v>
      </c>
      <c r="AD296" t="s">
        <v>845</v>
      </c>
    </row>
    <row r="297" spans="1:31" x14ac:dyDescent="0.4">
      <c r="A297" t="s">
        <v>27</v>
      </c>
      <c r="B297">
        <v>82</v>
      </c>
      <c r="C297" t="s">
        <v>2858</v>
      </c>
      <c r="D297">
        <v>94</v>
      </c>
      <c r="E297" t="s">
        <v>28</v>
      </c>
      <c r="F297" t="s">
        <v>836</v>
      </c>
      <c r="G297" t="s">
        <v>837</v>
      </c>
      <c r="H297" t="s">
        <v>838</v>
      </c>
      <c r="J297" t="s">
        <v>839</v>
      </c>
      <c r="K297" t="s">
        <v>73</v>
      </c>
      <c r="L297" t="s">
        <v>840</v>
      </c>
      <c r="M297" t="s">
        <v>35</v>
      </c>
      <c r="N297">
        <v>1483824780</v>
      </c>
      <c r="O297" t="s">
        <v>841</v>
      </c>
      <c r="P297" t="s">
        <v>2858</v>
      </c>
      <c r="R297" t="s">
        <v>846</v>
      </c>
      <c r="S297" t="s">
        <v>847</v>
      </c>
      <c r="T297" t="s">
        <v>94</v>
      </c>
      <c r="U297" t="s">
        <v>40</v>
      </c>
      <c r="V297" s="1">
        <v>44472</v>
      </c>
      <c r="W297">
        <v>0</v>
      </c>
      <c r="X297">
        <v>3</v>
      </c>
      <c r="Z297" t="s">
        <v>407</v>
      </c>
      <c r="AA297" t="s">
        <v>42</v>
      </c>
      <c r="AB297" t="s">
        <v>43</v>
      </c>
      <c r="AC297" t="s">
        <v>43</v>
      </c>
      <c r="AE297" t="s">
        <v>845</v>
      </c>
    </row>
    <row r="298" spans="1:31" x14ac:dyDescent="0.4">
      <c r="A298" t="s">
        <v>27</v>
      </c>
      <c r="B298">
        <v>82</v>
      </c>
      <c r="C298" t="s">
        <v>2858</v>
      </c>
      <c r="D298">
        <v>94</v>
      </c>
      <c r="E298" t="s">
        <v>28</v>
      </c>
      <c r="F298" t="s">
        <v>836</v>
      </c>
      <c r="G298" t="s">
        <v>837</v>
      </c>
      <c r="H298" t="s">
        <v>838</v>
      </c>
      <c r="J298" t="s">
        <v>839</v>
      </c>
      <c r="K298" t="s">
        <v>73</v>
      </c>
      <c r="L298" t="s">
        <v>840</v>
      </c>
      <c r="M298" t="s">
        <v>35</v>
      </c>
      <c r="N298">
        <v>1483824780</v>
      </c>
      <c r="O298" t="s">
        <v>841</v>
      </c>
      <c r="P298" t="s">
        <v>2858</v>
      </c>
      <c r="R298" t="s">
        <v>846</v>
      </c>
      <c r="S298" t="s">
        <v>847</v>
      </c>
      <c r="T298" t="s">
        <v>94</v>
      </c>
      <c r="U298" t="s">
        <v>40</v>
      </c>
      <c r="V298" s="1">
        <v>44472</v>
      </c>
      <c r="W298">
        <v>0</v>
      </c>
      <c r="X298">
        <v>4</v>
      </c>
      <c r="Y298" t="s">
        <v>65</v>
      </c>
      <c r="Z298" t="s">
        <v>407</v>
      </c>
      <c r="AA298" t="s">
        <v>42</v>
      </c>
      <c r="AB298" t="s">
        <v>43</v>
      </c>
      <c r="AC298" t="s">
        <v>43</v>
      </c>
      <c r="AE298" t="s">
        <v>845</v>
      </c>
    </row>
    <row r="299" spans="1:31" x14ac:dyDescent="0.4">
      <c r="A299" t="s">
        <v>27</v>
      </c>
      <c r="B299">
        <v>666</v>
      </c>
      <c r="C299" t="s">
        <v>2936</v>
      </c>
      <c r="D299">
        <v>95</v>
      </c>
      <c r="E299" t="s">
        <v>68</v>
      </c>
      <c r="F299" t="s">
        <v>398</v>
      </c>
      <c r="G299" t="s">
        <v>848</v>
      </c>
      <c r="H299" t="s">
        <v>849</v>
      </c>
      <c r="I299" t="s">
        <v>850</v>
      </c>
      <c r="J299" t="s">
        <v>559</v>
      </c>
      <c r="K299" t="s">
        <v>51</v>
      </c>
      <c r="L299" t="s">
        <v>851</v>
      </c>
      <c r="M299" t="s">
        <v>35</v>
      </c>
      <c r="N299" t="s">
        <v>852</v>
      </c>
      <c r="O299" t="s">
        <v>853</v>
      </c>
      <c r="P299" t="s">
        <v>2936</v>
      </c>
      <c r="R299" t="s">
        <v>854</v>
      </c>
      <c r="S299" t="s">
        <v>855</v>
      </c>
      <c r="T299" t="s">
        <v>284</v>
      </c>
      <c r="U299" t="s">
        <v>82</v>
      </c>
      <c r="V299" s="1">
        <v>45013</v>
      </c>
      <c r="W299">
        <v>0</v>
      </c>
      <c r="X299">
        <v>13</v>
      </c>
      <c r="AA299" t="s">
        <v>42</v>
      </c>
      <c r="AB299" t="s">
        <v>43</v>
      </c>
      <c r="AC299" t="s">
        <v>43</v>
      </c>
    </row>
    <row r="300" spans="1:31" x14ac:dyDescent="0.4">
      <c r="A300" t="s">
        <v>27</v>
      </c>
      <c r="B300">
        <v>666</v>
      </c>
      <c r="C300" t="s">
        <v>2936</v>
      </c>
      <c r="D300">
        <v>96</v>
      </c>
      <c r="E300" t="s">
        <v>68</v>
      </c>
      <c r="F300" t="s">
        <v>398</v>
      </c>
      <c r="G300" t="s">
        <v>848</v>
      </c>
      <c r="H300" t="s">
        <v>849</v>
      </c>
      <c r="I300" t="s">
        <v>850</v>
      </c>
      <c r="J300" t="s">
        <v>559</v>
      </c>
      <c r="K300" t="s">
        <v>51</v>
      </c>
      <c r="L300" t="s">
        <v>851</v>
      </c>
      <c r="M300" t="s">
        <v>35</v>
      </c>
      <c r="N300" t="s">
        <v>852</v>
      </c>
      <c r="O300" t="s">
        <v>853</v>
      </c>
      <c r="P300" t="s">
        <v>2936</v>
      </c>
      <c r="R300" t="s">
        <v>856</v>
      </c>
      <c r="S300" t="s">
        <v>857</v>
      </c>
      <c r="T300" t="s">
        <v>284</v>
      </c>
      <c r="U300" t="s">
        <v>40</v>
      </c>
      <c r="V300" s="1">
        <v>43532</v>
      </c>
      <c r="W300">
        <v>0</v>
      </c>
      <c r="X300">
        <v>14</v>
      </c>
      <c r="AA300" t="s">
        <v>42</v>
      </c>
      <c r="AB300" t="s">
        <v>43</v>
      </c>
      <c r="AC300" t="s">
        <v>43</v>
      </c>
    </row>
    <row r="301" spans="1:31" x14ac:dyDescent="0.4">
      <c r="A301" t="s">
        <v>27</v>
      </c>
      <c r="B301">
        <v>666</v>
      </c>
      <c r="C301" t="s">
        <v>2936</v>
      </c>
      <c r="D301">
        <v>96</v>
      </c>
      <c r="E301" t="s">
        <v>68</v>
      </c>
      <c r="F301" t="s">
        <v>398</v>
      </c>
      <c r="G301" t="s">
        <v>848</v>
      </c>
      <c r="H301" t="s">
        <v>849</v>
      </c>
      <c r="I301" t="s">
        <v>850</v>
      </c>
      <c r="J301" t="s">
        <v>559</v>
      </c>
      <c r="K301" t="s">
        <v>51</v>
      </c>
      <c r="L301" t="s">
        <v>851</v>
      </c>
      <c r="M301" t="s">
        <v>35</v>
      </c>
      <c r="N301" t="s">
        <v>852</v>
      </c>
      <c r="O301" t="s">
        <v>853</v>
      </c>
      <c r="P301" t="s">
        <v>2936</v>
      </c>
      <c r="R301" t="s">
        <v>856</v>
      </c>
      <c r="S301" t="s">
        <v>857</v>
      </c>
      <c r="T301" t="s">
        <v>284</v>
      </c>
      <c r="U301" t="s">
        <v>40</v>
      </c>
      <c r="V301" s="1">
        <v>43532</v>
      </c>
      <c r="W301">
        <v>0</v>
      </c>
      <c r="X301">
        <v>16</v>
      </c>
      <c r="AA301" t="s">
        <v>42</v>
      </c>
      <c r="AB301" t="s">
        <v>43</v>
      </c>
      <c r="AC301" t="s">
        <v>43</v>
      </c>
    </row>
    <row r="302" spans="1:31" x14ac:dyDescent="0.4">
      <c r="A302" t="s">
        <v>27</v>
      </c>
      <c r="B302">
        <v>4680</v>
      </c>
      <c r="C302" t="s">
        <v>865</v>
      </c>
      <c r="D302">
        <v>97</v>
      </c>
      <c r="E302" t="s">
        <v>68</v>
      </c>
      <c r="F302" t="s">
        <v>858</v>
      </c>
      <c r="G302" t="s">
        <v>859</v>
      </c>
      <c r="H302" t="s">
        <v>860</v>
      </c>
      <c r="J302" t="s">
        <v>861</v>
      </c>
      <c r="K302" t="s">
        <v>598</v>
      </c>
      <c r="L302" t="s">
        <v>862</v>
      </c>
      <c r="M302" t="s">
        <v>35</v>
      </c>
      <c r="N302" t="s">
        <v>863</v>
      </c>
      <c r="O302" t="s">
        <v>864</v>
      </c>
      <c r="P302" t="s">
        <v>3060</v>
      </c>
      <c r="R302" t="s">
        <v>866</v>
      </c>
      <c r="S302" t="s">
        <v>867</v>
      </c>
      <c r="T302" t="s">
        <v>3059</v>
      </c>
      <c r="U302" t="s">
        <v>82</v>
      </c>
      <c r="V302" s="1">
        <v>44185</v>
      </c>
      <c r="W302">
        <v>0</v>
      </c>
      <c r="X302">
        <v>4</v>
      </c>
      <c r="Y302" t="s">
        <v>65</v>
      </c>
      <c r="AA302" t="s">
        <v>42</v>
      </c>
      <c r="AB302" t="s">
        <v>43</v>
      </c>
      <c r="AC302" t="s">
        <v>43</v>
      </c>
      <c r="AE302" t="s">
        <v>868</v>
      </c>
    </row>
    <row r="303" spans="1:31" x14ac:dyDescent="0.4">
      <c r="A303" t="s">
        <v>27</v>
      </c>
      <c r="B303">
        <v>4680</v>
      </c>
      <c r="C303" t="s">
        <v>865</v>
      </c>
      <c r="D303">
        <v>97</v>
      </c>
      <c r="E303" t="s">
        <v>68</v>
      </c>
      <c r="F303" t="s">
        <v>858</v>
      </c>
      <c r="G303" t="s">
        <v>859</v>
      </c>
      <c r="H303" t="s">
        <v>860</v>
      </c>
      <c r="J303" t="s">
        <v>861</v>
      </c>
      <c r="K303" t="s">
        <v>598</v>
      </c>
      <c r="L303" t="s">
        <v>862</v>
      </c>
      <c r="M303" t="s">
        <v>35</v>
      </c>
      <c r="N303" t="s">
        <v>863</v>
      </c>
      <c r="O303" t="s">
        <v>864</v>
      </c>
      <c r="P303" t="s">
        <v>3060</v>
      </c>
      <c r="R303" t="s">
        <v>866</v>
      </c>
      <c r="S303" t="s">
        <v>867</v>
      </c>
      <c r="T303" t="s">
        <v>3059</v>
      </c>
      <c r="U303" t="s">
        <v>82</v>
      </c>
      <c r="V303" s="1">
        <v>44185</v>
      </c>
      <c r="W303">
        <v>0</v>
      </c>
      <c r="X303">
        <v>5</v>
      </c>
      <c r="Y303" t="s">
        <v>66</v>
      </c>
      <c r="AA303" t="s">
        <v>42</v>
      </c>
      <c r="AB303" t="s">
        <v>43</v>
      </c>
      <c r="AC303" t="s">
        <v>43</v>
      </c>
      <c r="AE303" t="s">
        <v>868</v>
      </c>
    </row>
    <row r="304" spans="1:31" x14ac:dyDescent="0.4">
      <c r="A304" t="s">
        <v>27</v>
      </c>
      <c r="B304">
        <v>4680</v>
      </c>
      <c r="C304" t="s">
        <v>865</v>
      </c>
      <c r="D304">
        <v>97</v>
      </c>
      <c r="E304" t="s">
        <v>68</v>
      </c>
      <c r="F304" t="s">
        <v>858</v>
      </c>
      <c r="G304" t="s">
        <v>859</v>
      </c>
      <c r="H304" t="s">
        <v>860</v>
      </c>
      <c r="J304" t="s">
        <v>861</v>
      </c>
      <c r="K304" t="s">
        <v>598</v>
      </c>
      <c r="L304" t="s">
        <v>862</v>
      </c>
      <c r="M304" t="s">
        <v>35</v>
      </c>
      <c r="N304" t="s">
        <v>863</v>
      </c>
      <c r="O304" t="s">
        <v>864</v>
      </c>
      <c r="P304" t="s">
        <v>3060</v>
      </c>
      <c r="R304" t="s">
        <v>866</v>
      </c>
      <c r="S304" t="s">
        <v>867</v>
      </c>
      <c r="T304" t="s">
        <v>3059</v>
      </c>
      <c r="U304" t="s">
        <v>82</v>
      </c>
      <c r="V304" s="1">
        <v>44185</v>
      </c>
      <c r="W304">
        <v>0</v>
      </c>
      <c r="X304">
        <v>13</v>
      </c>
      <c r="AA304" t="s">
        <v>42</v>
      </c>
      <c r="AB304" t="s">
        <v>43</v>
      </c>
      <c r="AC304" t="s">
        <v>43</v>
      </c>
      <c r="AE304" t="s">
        <v>869</v>
      </c>
    </row>
    <row r="305" spans="1:31" x14ac:dyDescent="0.4">
      <c r="A305" t="s">
        <v>27</v>
      </c>
      <c r="B305">
        <v>4680</v>
      </c>
      <c r="C305" t="s">
        <v>865</v>
      </c>
      <c r="D305">
        <v>97</v>
      </c>
      <c r="E305" t="s">
        <v>68</v>
      </c>
      <c r="F305" t="s">
        <v>858</v>
      </c>
      <c r="G305" t="s">
        <v>859</v>
      </c>
      <c r="H305" t="s">
        <v>860</v>
      </c>
      <c r="J305" t="s">
        <v>861</v>
      </c>
      <c r="K305" t="s">
        <v>598</v>
      </c>
      <c r="L305" t="s">
        <v>862</v>
      </c>
      <c r="M305" t="s">
        <v>35</v>
      </c>
      <c r="N305" t="s">
        <v>863</v>
      </c>
      <c r="O305" t="s">
        <v>864</v>
      </c>
      <c r="P305" t="s">
        <v>3060</v>
      </c>
      <c r="R305" t="s">
        <v>866</v>
      </c>
      <c r="S305" t="s">
        <v>867</v>
      </c>
      <c r="T305" t="s">
        <v>3059</v>
      </c>
      <c r="U305" t="s">
        <v>82</v>
      </c>
      <c r="V305" s="1">
        <v>44185</v>
      </c>
      <c r="W305">
        <v>0</v>
      </c>
      <c r="X305">
        <v>15</v>
      </c>
      <c r="AA305" t="s">
        <v>42</v>
      </c>
      <c r="AB305" t="s">
        <v>43</v>
      </c>
      <c r="AC305" t="s">
        <v>43</v>
      </c>
      <c r="AE305" t="s">
        <v>869</v>
      </c>
    </row>
    <row r="306" spans="1:31" x14ac:dyDescent="0.4">
      <c r="A306" t="s">
        <v>27</v>
      </c>
      <c r="B306">
        <v>6146</v>
      </c>
      <c r="C306" t="s">
        <v>2937</v>
      </c>
      <c r="E306" t="s">
        <v>68</v>
      </c>
      <c r="F306" t="s">
        <v>568</v>
      </c>
      <c r="G306" t="s">
        <v>870</v>
      </c>
      <c r="H306" t="s">
        <v>871</v>
      </c>
      <c r="I306" t="s">
        <v>872</v>
      </c>
      <c r="J306" t="s">
        <v>873</v>
      </c>
      <c r="K306" t="s">
        <v>330</v>
      </c>
      <c r="L306" t="s">
        <v>874</v>
      </c>
      <c r="M306" t="s">
        <v>35</v>
      </c>
      <c r="N306">
        <v>7785740539</v>
      </c>
      <c r="O306" t="s">
        <v>875</v>
      </c>
      <c r="P306" t="s">
        <v>876</v>
      </c>
      <c r="R306" t="s">
        <v>877</v>
      </c>
      <c r="S306" t="s">
        <v>878</v>
      </c>
      <c r="T306" t="s">
        <v>474</v>
      </c>
      <c r="U306" t="s">
        <v>82</v>
      </c>
      <c r="V306" s="1">
        <v>40905</v>
      </c>
      <c r="W306">
        <v>0</v>
      </c>
      <c r="X306">
        <v>0</v>
      </c>
      <c r="Y306" t="s">
        <v>59</v>
      </c>
      <c r="AA306" t="s">
        <v>42</v>
      </c>
      <c r="AB306" t="s">
        <v>43</v>
      </c>
      <c r="AC306" t="s">
        <v>43</v>
      </c>
    </row>
    <row r="307" spans="1:31" x14ac:dyDescent="0.4">
      <c r="A307" t="s">
        <v>27</v>
      </c>
      <c r="B307">
        <v>6146</v>
      </c>
      <c r="C307" t="s">
        <v>2937</v>
      </c>
      <c r="D307">
        <v>98</v>
      </c>
      <c r="E307" t="s">
        <v>68</v>
      </c>
      <c r="F307" t="s">
        <v>568</v>
      </c>
      <c r="G307" t="s">
        <v>870</v>
      </c>
      <c r="H307" t="s">
        <v>871</v>
      </c>
      <c r="I307" t="s">
        <v>872</v>
      </c>
      <c r="J307" t="s">
        <v>873</v>
      </c>
      <c r="K307" t="s">
        <v>330</v>
      </c>
      <c r="L307" t="s">
        <v>874</v>
      </c>
      <c r="M307" t="s">
        <v>35</v>
      </c>
      <c r="N307">
        <v>7785740539</v>
      </c>
      <c r="O307" t="s">
        <v>875</v>
      </c>
      <c r="P307" t="s">
        <v>2937</v>
      </c>
      <c r="R307" t="s">
        <v>879</v>
      </c>
      <c r="S307" t="s">
        <v>880</v>
      </c>
      <c r="T307" t="s">
        <v>474</v>
      </c>
      <c r="U307" t="s">
        <v>82</v>
      </c>
      <c r="V307" s="1">
        <v>44263</v>
      </c>
      <c r="W307">
        <v>0</v>
      </c>
      <c r="X307">
        <v>13</v>
      </c>
      <c r="AA307" t="s">
        <v>42</v>
      </c>
      <c r="AB307" t="s">
        <v>43</v>
      </c>
      <c r="AC307" t="s">
        <v>43</v>
      </c>
    </row>
    <row r="308" spans="1:31" x14ac:dyDescent="0.4">
      <c r="A308" t="s">
        <v>27</v>
      </c>
      <c r="B308">
        <v>6146</v>
      </c>
      <c r="C308" t="s">
        <v>2937</v>
      </c>
      <c r="D308">
        <v>99</v>
      </c>
      <c r="E308" t="s">
        <v>68</v>
      </c>
      <c r="F308" t="s">
        <v>568</v>
      </c>
      <c r="G308" t="s">
        <v>870</v>
      </c>
      <c r="H308" t="s">
        <v>871</v>
      </c>
      <c r="I308" t="s">
        <v>872</v>
      </c>
      <c r="J308" t="s">
        <v>873</v>
      </c>
      <c r="K308" t="s">
        <v>330</v>
      </c>
      <c r="L308" t="s">
        <v>874</v>
      </c>
      <c r="M308" t="s">
        <v>35</v>
      </c>
      <c r="N308">
        <v>7785740539</v>
      </c>
      <c r="O308" t="s">
        <v>875</v>
      </c>
      <c r="P308" t="s">
        <v>2937</v>
      </c>
      <c r="R308" t="s">
        <v>881</v>
      </c>
      <c r="S308" t="s">
        <v>882</v>
      </c>
      <c r="T308" t="s">
        <v>474</v>
      </c>
      <c r="U308" t="s">
        <v>82</v>
      </c>
      <c r="V308" s="1">
        <v>41981</v>
      </c>
      <c r="W308">
        <v>0</v>
      </c>
      <c r="X308">
        <v>13</v>
      </c>
      <c r="AA308" t="s">
        <v>42</v>
      </c>
      <c r="AB308" t="s">
        <v>43</v>
      </c>
      <c r="AC308" t="s">
        <v>43</v>
      </c>
    </row>
    <row r="309" spans="1:31" x14ac:dyDescent="0.4">
      <c r="A309" t="s">
        <v>27</v>
      </c>
      <c r="B309">
        <v>977</v>
      </c>
      <c r="C309" t="s">
        <v>890</v>
      </c>
      <c r="D309">
        <v>100</v>
      </c>
      <c r="E309" t="s">
        <v>195</v>
      </c>
      <c r="F309" t="s">
        <v>883</v>
      </c>
      <c r="G309" t="s">
        <v>884</v>
      </c>
      <c r="H309" t="s">
        <v>885</v>
      </c>
      <c r="J309" t="s">
        <v>886</v>
      </c>
      <c r="K309" t="s">
        <v>51</v>
      </c>
      <c r="L309" t="s">
        <v>887</v>
      </c>
      <c r="M309" t="s">
        <v>35</v>
      </c>
      <c r="N309" t="s">
        <v>888</v>
      </c>
      <c r="O309" t="s">
        <v>889</v>
      </c>
      <c r="P309" t="s">
        <v>890</v>
      </c>
      <c r="R309" t="s">
        <v>891</v>
      </c>
      <c r="S309" t="s">
        <v>892</v>
      </c>
      <c r="T309" t="s">
        <v>58</v>
      </c>
      <c r="U309" t="s">
        <v>40</v>
      </c>
      <c r="V309" s="1">
        <v>44290</v>
      </c>
      <c r="W309">
        <v>0</v>
      </c>
      <c r="X309">
        <v>16</v>
      </c>
      <c r="AA309" t="s">
        <v>42</v>
      </c>
      <c r="AB309" t="s">
        <v>43</v>
      </c>
      <c r="AC309" t="s">
        <v>43</v>
      </c>
    </row>
    <row r="310" spans="1:31" x14ac:dyDescent="0.4">
      <c r="A310" t="s">
        <v>27</v>
      </c>
      <c r="B310">
        <v>977</v>
      </c>
      <c r="C310" t="s">
        <v>890</v>
      </c>
      <c r="D310">
        <v>100</v>
      </c>
      <c r="E310" t="s">
        <v>195</v>
      </c>
      <c r="F310" t="s">
        <v>883</v>
      </c>
      <c r="G310" t="s">
        <v>884</v>
      </c>
      <c r="H310" t="s">
        <v>885</v>
      </c>
      <c r="J310" t="s">
        <v>886</v>
      </c>
      <c r="K310" t="s">
        <v>51</v>
      </c>
      <c r="L310" t="s">
        <v>887</v>
      </c>
      <c r="M310" t="s">
        <v>35</v>
      </c>
      <c r="N310" t="s">
        <v>888</v>
      </c>
      <c r="O310" t="s">
        <v>889</v>
      </c>
      <c r="P310" t="s">
        <v>890</v>
      </c>
      <c r="R310" t="s">
        <v>891</v>
      </c>
      <c r="S310" t="s">
        <v>892</v>
      </c>
      <c r="T310" t="s">
        <v>58</v>
      </c>
      <c r="U310" t="s">
        <v>40</v>
      </c>
      <c r="V310" s="1">
        <v>44290</v>
      </c>
      <c r="W310">
        <v>0</v>
      </c>
      <c r="X310">
        <v>18</v>
      </c>
      <c r="AA310" t="s">
        <v>42</v>
      </c>
      <c r="AB310" t="s">
        <v>43</v>
      </c>
      <c r="AC310" t="s">
        <v>43</v>
      </c>
    </row>
    <row r="311" spans="1:31" x14ac:dyDescent="0.4">
      <c r="A311" t="s">
        <v>27</v>
      </c>
      <c r="B311">
        <v>977</v>
      </c>
      <c r="C311" t="s">
        <v>890</v>
      </c>
      <c r="E311" t="s">
        <v>195</v>
      </c>
      <c r="F311" t="s">
        <v>883</v>
      </c>
      <c r="G311" t="s">
        <v>884</v>
      </c>
      <c r="H311" t="s">
        <v>885</v>
      </c>
      <c r="J311" t="s">
        <v>886</v>
      </c>
      <c r="K311" t="s">
        <v>51</v>
      </c>
      <c r="L311" t="s">
        <v>887</v>
      </c>
      <c r="M311" t="s">
        <v>35</v>
      </c>
      <c r="N311" t="s">
        <v>888</v>
      </c>
      <c r="O311" t="s">
        <v>889</v>
      </c>
      <c r="P311" t="s">
        <v>890</v>
      </c>
      <c r="R311" t="s">
        <v>893</v>
      </c>
      <c r="S311" t="s">
        <v>894</v>
      </c>
      <c r="T311" t="s">
        <v>895</v>
      </c>
      <c r="U311" t="s">
        <v>40</v>
      </c>
      <c r="V311" s="1">
        <v>41544</v>
      </c>
      <c r="W311">
        <v>0</v>
      </c>
      <c r="X311">
        <v>0</v>
      </c>
      <c r="Y311" t="s">
        <v>59</v>
      </c>
      <c r="AA311" t="s">
        <v>42</v>
      </c>
      <c r="AB311" t="s">
        <v>43</v>
      </c>
      <c r="AC311" t="s">
        <v>43</v>
      </c>
    </row>
    <row r="312" spans="1:31" x14ac:dyDescent="0.4">
      <c r="A312" t="s">
        <v>27</v>
      </c>
      <c r="B312">
        <v>1285</v>
      </c>
      <c r="C312" t="s">
        <v>2938</v>
      </c>
      <c r="D312">
        <v>101</v>
      </c>
      <c r="E312" t="s">
        <v>195</v>
      </c>
      <c r="F312" t="s">
        <v>896</v>
      </c>
      <c r="G312" t="s">
        <v>897</v>
      </c>
      <c r="H312" t="s">
        <v>898</v>
      </c>
      <c r="I312" t="s">
        <v>899</v>
      </c>
      <c r="J312" t="s">
        <v>900</v>
      </c>
      <c r="K312" t="s">
        <v>901</v>
      </c>
      <c r="L312" t="s">
        <v>902</v>
      </c>
      <c r="M312" t="s">
        <v>35</v>
      </c>
      <c r="N312" t="s">
        <v>903</v>
      </c>
      <c r="O312" t="s">
        <v>904</v>
      </c>
      <c r="P312" t="s">
        <v>2938</v>
      </c>
      <c r="R312" t="s">
        <v>906</v>
      </c>
      <c r="S312" t="s">
        <v>907</v>
      </c>
      <c r="T312" t="s">
        <v>58</v>
      </c>
      <c r="U312" t="s">
        <v>40</v>
      </c>
      <c r="V312" s="1">
        <v>45251</v>
      </c>
      <c r="W312">
        <v>0</v>
      </c>
      <c r="X312">
        <v>4</v>
      </c>
      <c r="Y312" t="s">
        <v>65</v>
      </c>
      <c r="AA312" t="s">
        <v>42</v>
      </c>
      <c r="AB312" t="s">
        <v>43</v>
      </c>
      <c r="AC312" t="s">
        <v>43</v>
      </c>
    </row>
    <row r="313" spans="1:31" x14ac:dyDescent="0.4">
      <c r="A313" t="s">
        <v>27</v>
      </c>
      <c r="B313">
        <v>1285</v>
      </c>
      <c r="C313" t="s">
        <v>2938</v>
      </c>
      <c r="E313" t="s">
        <v>195</v>
      </c>
      <c r="F313" t="s">
        <v>896</v>
      </c>
      <c r="G313" t="s">
        <v>897</v>
      </c>
      <c r="H313" t="s">
        <v>898</v>
      </c>
      <c r="I313" t="s">
        <v>899</v>
      </c>
      <c r="J313" t="s">
        <v>900</v>
      </c>
      <c r="K313" t="s">
        <v>901</v>
      </c>
      <c r="L313" t="s">
        <v>902</v>
      </c>
      <c r="M313" t="s">
        <v>35</v>
      </c>
      <c r="N313" t="s">
        <v>903</v>
      </c>
      <c r="O313" t="s">
        <v>904</v>
      </c>
      <c r="P313" t="s">
        <v>905</v>
      </c>
      <c r="R313" t="s">
        <v>908</v>
      </c>
      <c r="S313" t="s">
        <v>909</v>
      </c>
      <c r="T313" t="s">
        <v>58</v>
      </c>
      <c r="U313" t="s">
        <v>40</v>
      </c>
      <c r="V313" s="1">
        <v>42146</v>
      </c>
      <c r="W313">
        <v>0</v>
      </c>
      <c r="X313">
        <v>0</v>
      </c>
      <c r="Y313" t="s">
        <v>59</v>
      </c>
      <c r="AA313" t="s">
        <v>42</v>
      </c>
      <c r="AB313" t="s">
        <v>43</v>
      </c>
      <c r="AC313" t="s">
        <v>43</v>
      </c>
    </row>
    <row r="314" spans="1:31" x14ac:dyDescent="0.4">
      <c r="A314" t="s">
        <v>27</v>
      </c>
      <c r="B314">
        <v>1285</v>
      </c>
      <c r="C314" t="s">
        <v>2938</v>
      </c>
      <c r="D314">
        <v>101</v>
      </c>
      <c r="E314" t="s">
        <v>195</v>
      </c>
      <c r="F314" t="s">
        <v>896</v>
      </c>
      <c r="G314" t="s">
        <v>897</v>
      </c>
      <c r="H314" t="s">
        <v>898</v>
      </c>
      <c r="I314" t="s">
        <v>899</v>
      </c>
      <c r="J314" t="s">
        <v>900</v>
      </c>
      <c r="K314" t="s">
        <v>901</v>
      </c>
      <c r="L314" t="s">
        <v>902</v>
      </c>
      <c r="M314" t="s">
        <v>35</v>
      </c>
      <c r="N314" t="s">
        <v>903</v>
      </c>
      <c r="O314" t="s">
        <v>904</v>
      </c>
      <c r="P314" t="s">
        <v>2938</v>
      </c>
      <c r="R314" t="s">
        <v>906</v>
      </c>
      <c r="S314" t="s">
        <v>907</v>
      </c>
      <c r="T314" t="s">
        <v>58</v>
      </c>
      <c r="U314" t="s">
        <v>40</v>
      </c>
      <c r="V314" s="1">
        <v>45251</v>
      </c>
      <c r="W314">
        <v>0</v>
      </c>
      <c r="X314">
        <v>12</v>
      </c>
      <c r="AA314" t="s">
        <v>42</v>
      </c>
      <c r="AB314" t="s">
        <v>43</v>
      </c>
      <c r="AC314" t="s">
        <v>43</v>
      </c>
    </row>
    <row r="315" spans="1:31" x14ac:dyDescent="0.4">
      <c r="A315" t="s">
        <v>27</v>
      </c>
      <c r="B315">
        <v>1285</v>
      </c>
      <c r="C315" t="s">
        <v>2938</v>
      </c>
      <c r="E315" t="s">
        <v>195</v>
      </c>
      <c r="F315" t="s">
        <v>896</v>
      </c>
      <c r="G315" t="s">
        <v>897</v>
      </c>
      <c r="H315" t="s">
        <v>898</v>
      </c>
      <c r="I315" t="s">
        <v>899</v>
      </c>
      <c r="J315" t="s">
        <v>900</v>
      </c>
      <c r="K315" t="s">
        <v>901</v>
      </c>
      <c r="L315" t="s">
        <v>902</v>
      </c>
      <c r="M315" t="s">
        <v>35</v>
      </c>
      <c r="N315" t="s">
        <v>903</v>
      </c>
      <c r="O315" t="s">
        <v>904</v>
      </c>
      <c r="P315" t="s">
        <v>905</v>
      </c>
      <c r="R315" t="s">
        <v>908</v>
      </c>
      <c r="S315" t="s">
        <v>909</v>
      </c>
      <c r="T315" t="s">
        <v>58</v>
      </c>
      <c r="U315" t="s">
        <v>40</v>
      </c>
      <c r="V315" s="1">
        <v>42146</v>
      </c>
      <c r="W315">
        <v>0</v>
      </c>
      <c r="X315">
        <v>0</v>
      </c>
      <c r="Y315" t="s">
        <v>59</v>
      </c>
      <c r="AA315" t="s">
        <v>42</v>
      </c>
      <c r="AB315" t="s">
        <v>43</v>
      </c>
      <c r="AC315" t="s">
        <v>43</v>
      </c>
    </row>
    <row r="316" spans="1:31" x14ac:dyDescent="0.4">
      <c r="A316" t="s">
        <v>27</v>
      </c>
      <c r="B316">
        <v>2058</v>
      </c>
      <c r="C316" t="s">
        <v>2939</v>
      </c>
      <c r="D316">
        <v>102</v>
      </c>
      <c r="E316" t="s">
        <v>68</v>
      </c>
      <c r="F316" t="s">
        <v>910</v>
      </c>
      <c r="G316" t="s">
        <v>911</v>
      </c>
      <c r="H316" t="s">
        <v>912</v>
      </c>
      <c r="I316" t="s">
        <v>913</v>
      </c>
      <c r="J316" t="s">
        <v>914</v>
      </c>
      <c r="K316" t="s">
        <v>215</v>
      </c>
      <c r="L316" t="s">
        <v>915</v>
      </c>
      <c r="M316" t="s">
        <v>35</v>
      </c>
      <c r="N316">
        <v>1442833321</v>
      </c>
      <c r="O316" t="s">
        <v>916</v>
      </c>
      <c r="P316" t="s">
        <v>3073</v>
      </c>
      <c r="R316" t="s">
        <v>917</v>
      </c>
      <c r="S316" t="s">
        <v>918</v>
      </c>
      <c r="T316" t="s">
        <v>94</v>
      </c>
      <c r="U316" t="s">
        <v>40</v>
      </c>
      <c r="V316" s="1">
        <v>43570</v>
      </c>
      <c r="W316">
        <v>0</v>
      </c>
      <c r="X316">
        <v>14</v>
      </c>
      <c r="AA316" t="s">
        <v>42</v>
      </c>
      <c r="AB316" t="s">
        <v>43</v>
      </c>
      <c r="AC316" t="s">
        <v>43</v>
      </c>
    </row>
    <row r="317" spans="1:31" x14ac:dyDescent="0.4">
      <c r="A317" t="s">
        <v>27</v>
      </c>
      <c r="B317">
        <v>2058</v>
      </c>
      <c r="C317" t="s">
        <v>2939</v>
      </c>
      <c r="D317">
        <v>102</v>
      </c>
      <c r="E317" t="s">
        <v>68</v>
      </c>
      <c r="F317" t="s">
        <v>910</v>
      </c>
      <c r="G317" t="s">
        <v>911</v>
      </c>
      <c r="H317" t="s">
        <v>912</v>
      </c>
      <c r="I317" t="s">
        <v>913</v>
      </c>
      <c r="J317" t="s">
        <v>914</v>
      </c>
      <c r="K317" t="s">
        <v>215</v>
      </c>
      <c r="L317" t="s">
        <v>915</v>
      </c>
      <c r="M317" t="s">
        <v>35</v>
      </c>
      <c r="N317">
        <v>1442833321</v>
      </c>
      <c r="O317" t="s">
        <v>916</v>
      </c>
      <c r="P317" t="s">
        <v>3073</v>
      </c>
      <c r="R317" t="s">
        <v>917</v>
      </c>
      <c r="S317" t="s">
        <v>918</v>
      </c>
      <c r="T317" t="s">
        <v>94</v>
      </c>
      <c r="U317" t="s">
        <v>40</v>
      </c>
      <c r="V317" s="1">
        <v>43570</v>
      </c>
      <c r="W317">
        <v>0</v>
      </c>
      <c r="X317">
        <v>16</v>
      </c>
      <c r="AA317" t="s">
        <v>42</v>
      </c>
      <c r="AB317" t="s">
        <v>43</v>
      </c>
      <c r="AC317" t="s">
        <v>43</v>
      </c>
    </row>
    <row r="318" spans="1:31" x14ac:dyDescent="0.4">
      <c r="A318" t="s">
        <v>27</v>
      </c>
      <c r="B318">
        <v>737</v>
      </c>
      <c r="C318" t="s">
        <v>927</v>
      </c>
      <c r="E318" t="s">
        <v>28</v>
      </c>
      <c r="F318" t="s">
        <v>919</v>
      </c>
      <c r="G318" t="s">
        <v>920</v>
      </c>
      <c r="H318" t="s">
        <v>921</v>
      </c>
      <c r="I318" t="s">
        <v>922</v>
      </c>
      <c r="J318" t="s">
        <v>923</v>
      </c>
      <c r="K318" t="s">
        <v>924</v>
      </c>
      <c r="L318" t="s">
        <v>925</v>
      </c>
      <c r="M318" t="s">
        <v>35</v>
      </c>
      <c r="N318">
        <v>2392368482</v>
      </c>
      <c r="O318" t="s">
        <v>926</v>
      </c>
      <c r="P318" t="s">
        <v>927</v>
      </c>
      <c r="R318" t="s">
        <v>928</v>
      </c>
      <c r="S318" t="s">
        <v>929</v>
      </c>
      <c r="T318" t="s">
        <v>58</v>
      </c>
      <c r="U318" t="s">
        <v>40</v>
      </c>
      <c r="V318" s="1">
        <v>41871</v>
      </c>
      <c r="W318">
        <v>0</v>
      </c>
      <c r="X318">
        <v>0</v>
      </c>
      <c r="Y318" t="s">
        <v>59</v>
      </c>
      <c r="AA318" t="s">
        <v>42</v>
      </c>
      <c r="AB318" t="s">
        <v>43</v>
      </c>
      <c r="AC318" t="s">
        <v>43</v>
      </c>
    </row>
    <row r="319" spans="1:31" x14ac:dyDescent="0.4">
      <c r="A319" t="s">
        <v>27</v>
      </c>
      <c r="B319">
        <v>737</v>
      </c>
      <c r="C319" t="s">
        <v>927</v>
      </c>
      <c r="D319">
        <v>103</v>
      </c>
      <c r="E319" t="s">
        <v>28</v>
      </c>
      <c r="F319" t="s">
        <v>919</v>
      </c>
      <c r="G319" t="s">
        <v>920</v>
      </c>
      <c r="H319" t="s">
        <v>921</v>
      </c>
      <c r="I319" t="s">
        <v>922</v>
      </c>
      <c r="J319" t="s">
        <v>923</v>
      </c>
      <c r="K319" t="s">
        <v>924</v>
      </c>
      <c r="L319" t="s">
        <v>925</v>
      </c>
      <c r="M319" t="s">
        <v>35</v>
      </c>
      <c r="N319">
        <v>2392368482</v>
      </c>
      <c r="O319" t="s">
        <v>926</v>
      </c>
      <c r="P319" t="s">
        <v>3074</v>
      </c>
      <c r="R319" t="s">
        <v>930</v>
      </c>
      <c r="S319" t="s">
        <v>931</v>
      </c>
      <c r="T319" t="s">
        <v>94</v>
      </c>
      <c r="U319" t="s">
        <v>40</v>
      </c>
      <c r="V319" s="1">
        <v>43337</v>
      </c>
      <c r="W319">
        <v>0</v>
      </c>
      <c r="X319">
        <v>6</v>
      </c>
      <c r="Y319" t="s">
        <v>83</v>
      </c>
      <c r="AA319" t="s">
        <v>42</v>
      </c>
      <c r="AB319" t="s">
        <v>43</v>
      </c>
      <c r="AC319" t="s">
        <v>43</v>
      </c>
    </row>
    <row r="320" spans="1:31" x14ac:dyDescent="0.4">
      <c r="A320" t="s">
        <v>27</v>
      </c>
      <c r="B320">
        <v>737</v>
      </c>
      <c r="C320" t="s">
        <v>927</v>
      </c>
      <c r="D320">
        <v>103</v>
      </c>
      <c r="E320" t="s">
        <v>28</v>
      </c>
      <c r="F320" t="s">
        <v>919</v>
      </c>
      <c r="G320" t="s">
        <v>920</v>
      </c>
      <c r="H320" t="s">
        <v>921</v>
      </c>
      <c r="I320" t="s">
        <v>922</v>
      </c>
      <c r="J320" t="s">
        <v>923</v>
      </c>
      <c r="K320" t="s">
        <v>924</v>
      </c>
      <c r="L320" t="s">
        <v>925</v>
      </c>
      <c r="M320" t="s">
        <v>35</v>
      </c>
      <c r="N320">
        <v>2392368482</v>
      </c>
      <c r="O320" t="s">
        <v>926</v>
      </c>
      <c r="P320" t="s">
        <v>3074</v>
      </c>
      <c r="R320" t="s">
        <v>930</v>
      </c>
      <c r="S320" t="s">
        <v>931</v>
      </c>
      <c r="T320" t="s">
        <v>94</v>
      </c>
      <c r="U320" t="s">
        <v>40</v>
      </c>
      <c r="V320" s="1">
        <v>43337</v>
      </c>
      <c r="W320">
        <v>0</v>
      </c>
      <c r="X320">
        <v>7</v>
      </c>
      <c r="AA320" t="s">
        <v>42</v>
      </c>
      <c r="AB320" t="s">
        <v>43</v>
      </c>
      <c r="AC320" t="s">
        <v>43</v>
      </c>
    </row>
    <row r="321" spans="1:29" x14ac:dyDescent="0.4">
      <c r="A321" t="s">
        <v>27</v>
      </c>
      <c r="B321">
        <v>860</v>
      </c>
      <c r="C321" t="s">
        <v>2940</v>
      </c>
      <c r="D321">
        <v>104</v>
      </c>
      <c r="E321" t="s">
        <v>257</v>
      </c>
      <c r="F321" t="s">
        <v>932</v>
      </c>
      <c r="G321" t="s">
        <v>933</v>
      </c>
      <c r="H321" t="s">
        <v>934</v>
      </c>
      <c r="J321" t="s">
        <v>935</v>
      </c>
      <c r="K321" t="s">
        <v>426</v>
      </c>
      <c r="L321" t="s">
        <v>936</v>
      </c>
      <c r="M321" t="s">
        <v>35</v>
      </c>
      <c r="N321">
        <v>7771913768</v>
      </c>
      <c r="O321" t="s">
        <v>937</v>
      </c>
      <c r="P321" t="s">
        <v>2940</v>
      </c>
      <c r="R321" t="s">
        <v>3102</v>
      </c>
      <c r="S321" t="s">
        <v>939</v>
      </c>
      <c r="T321" t="s">
        <v>58</v>
      </c>
      <c r="U321" t="s">
        <v>40</v>
      </c>
      <c r="V321" s="1">
        <v>43402</v>
      </c>
      <c r="W321">
        <v>0</v>
      </c>
      <c r="X321">
        <v>6</v>
      </c>
      <c r="Y321" t="s">
        <v>83</v>
      </c>
      <c r="AA321" t="s">
        <v>42</v>
      </c>
      <c r="AB321" t="s">
        <v>43</v>
      </c>
      <c r="AC321" t="s">
        <v>43</v>
      </c>
    </row>
    <row r="322" spans="1:29" x14ac:dyDescent="0.4">
      <c r="A322" t="s">
        <v>27</v>
      </c>
      <c r="B322">
        <v>860</v>
      </c>
      <c r="C322" t="s">
        <v>2940</v>
      </c>
      <c r="D322">
        <v>104</v>
      </c>
      <c r="E322" t="s">
        <v>257</v>
      </c>
      <c r="F322" t="s">
        <v>932</v>
      </c>
      <c r="G322" t="s">
        <v>933</v>
      </c>
      <c r="H322" t="s">
        <v>934</v>
      </c>
      <c r="J322" t="s">
        <v>935</v>
      </c>
      <c r="K322" t="s">
        <v>426</v>
      </c>
      <c r="L322" t="s">
        <v>936</v>
      </c>
      <c r="M322" t="s">
        <v>35</v>
      </c>
      <c r="N322">
        <v>7771913768</v>
      </c>
      <c r="O322" t="s">
        <v>937</v>
      </c>
      <c r="P322" t="s">
        <v>2940</v>
      </c>
      <c r="R322" t="s">
        <v>3102</v>
      </c>
      <c r="S322" t="s">
        <v>939</v>
      </c>
      <c r="T322" t="s">
        <v>58</v>
      </c>
      <c r="U322" t="s">
        <v>40</v>
      </c>
      <c r="V322" s="1">
        <v>43402</v>
      </c>
      <c r="W322">
        <v>0</v>
      </c>
      <c r="X322">
        <v>7</v>
      </c>
      <c r="AA322" t="s">
        <v>42</v>
      </c>
      <c r="AB322" t="s">
        <v>43</v>
      </c>
      <c r="AC322" t="s">
        <v>43</v>
      </c>
    </row>
    <row r="323" spans="1:29" x14ac:dyDescent="0.4">
      <c r="A323" t="s">
        <v>27</v>
      </c>
      <c r="B323">
        <v>860</v>
      </c>
      <c r="C323" t="s">
        <v>2940</v>
      </c>
      <c r="D323">
        <v>104</v>
      </c>
      <c r="E323" t="s">
        <v>257</v>
      </c>
      <c r="F323" t="s">
        <v>932</v>
      </c>
      <c r="G323" t="s">
        <v>933</v>
      </c>
      <c r="H323" t="s">
        <v>934</v>
      </c>
      <c r="J323" t="s">
        <v>935</v>
      </c>
      <c r="K323" t="s">
        <v>426</v>
      </c>
      <c r="L323" t="s">
        <v>936</v>
      </c>
      <c r="M323" t="s">
        <v>35</v>
      </c>
      <c r="N323">
        <v>7771913768</v>
      </c>
      <c r="O323" t="s">
        <v>937</v>
      </c>
      <c r="P323" t="s">
        <v>2940</v>
      </c>
      <c r="R323" t="s">
        <v>3102</v>
      </c>
      <c r="S323" t="s">
        <v>939</v>
      </c>
      <c r="T323" t="s">
        <v>58</v>
      </c>
      <c r="U323" t="s">
        <v>40</v>
      </c>
      <c r="V323" s="1">
        <v>43402</v>
      </c>
      <c r="W323">
        <v>0</v>
      </c>
      <c r="X323">
        <v>16</v>
      </c>
      <c r="AA323" t="s">
        <v>42</v>
      </c>
      <c r="AB323" t="s">
        <v>43</v>
      </c>
      <c r="AC323" t="s">
        <v>43</v>
      </c>
    </row>
    <row r="324" spans="1:29" x14ac:dyDescent="0.4">
      <c r="A324" t="s">
        <v>27</v>
      </c>
      <c r="B324">
        <v>860</v>
      </c>
      <c r="C324" t="s">
        <v>2940</v>
      </c>
      <c r="D324">
        <v>104</v>
      </c>
      <c r="E324" t="s">
        <v>257</v>
      </c>
      <c r="F324" t="s">
        <v>932</v>
      </c>
      <c r="G324" t="s">
        <v>933</v>
      </c>
      <c r="H324" t="s">
        <v>934</v>
      </c>
      <c r="J324" t="s">
        <v>935</v>
      </c>
      <c r="K324" t="s">
        <v>426</v>
      </c>
      <c r="L324" t="s">
        <v>936</v>
      </c>
      <c r="M324" t="s">
        <v>35</v>
      </c>
      <c r="N324">
        <v>7771913768</v>
      </c>
      <c r="O324" t="s">
        <v>937</v>
      </c>
      <c r="P324" t="s">
        <v>2940</v>
      </c>
      <c r="R324" t="s">
        <v>3102</v>
      </c>
      <c r="S324" t="s">
        <v>939</v>
      </c>
      <c r="T324" t="s">
        <v>58</v>
      </c>
      <c r="U324" t="s">
        <v>40</v>
      </c>
      <c r="V324" s="1">
        <v>43402</v>
      </c>
      <c r="W324">
        <v>0</v>
      </c>
      <c r="X324">
        <v>18</v>
      </c>
      <c r="AA324" t="s">
        <v>42</v>
      </c>
      <c r="AB324" t="s">
        <v>43</v>
      </c>
      <c r="AC324" t="s">
        <v>43</v>
      </c>
    </row>
    <row r="325" spans="1:29" x14ac:dyDescent="0.4">
      <c r="A325" t="s">
        <v>27</v>
      </c>
      <c r="B325">
        <v>278</v>
      </c>
      <c r="C325" t="s">
        <v>2859</v>
      </c>
      <c r="D325">
        <v>106</v>
      </c>
      <c r="E325" t="s">
        <v>68</v>
      </c>
      <c r="F325" t="s">
        <v>940</v>
      </c>
      <c r="G325" t="s">
        <v>941</v>
      </c>
      <c r="H325" t="s">
        <v>942</v>
      </c>
      <c r="I325" t="s">
        <v>943</v>
      </c>
      <c r="J325" t="s">
        <v>900</v>
      </c>
      <c r="K325" t="s">
        <v>598</v>
      </c>
      <c r="L325" t="s">
        <v>944</v>
      </c>
      <c r="M325" t="s">
        <v>35</v>
      </c>
      <c r="N325">
        <v>1235831578</v>
      </c>
      <c r="O325" t="s">
        <v>945</v>
      </c>
      <c r="P325" t="s">
        <v>2859</v>
      </c>
      <c r="R325" t="s">
        <v>946</v>
      </c>
      <c r="S325" t="s">
        <v>947</v>
      </c>
      <c r="T325" t="s">
        <v>58</v>
      </c>
      <c r="U325" t="s">
        <v>82</v>
      </c>
      <c r="V325" s="1">
        <v>43954</v>
      </c>
      <c r="W325">
        <v>0</v>
      </c>
      <c r="X325">
        <v>4</v>
      </c>
      <c r="Y325" t="s">
        <v>65</v>
      </c>
      <c r="Z325" t="s">
        <v>392</v>
      </c>
      <c r="AA325" t="s">
        <v>42</v>
      </c>
      <c r="AB325" t="s">
        <v>43</v>
      </c>
      <c r="AC325" t="s">
        <v>43</v>
      </c>
    </row>
    <row r="326" spans="1:29" x14ac:dyDescent="0.4">
      <c r="A326" t="s">
        <v>27</v>
      </c>
      <c r="B326">
        <v>278</v>
      </c>
      <c r="C326" t="s">
        <v>2859</v>
      </c>
      <c r="D326">
        <v>105</v>
      </c>
      <c r="E326" t="s">
        <v>68</v>
      </c>
      <c r="F326" t="s">
        <v>940</v>
      </c>
      <c r="G326" t="s">
        <v>941</v>
      </c>
      <c r="H326" t="s">
        <v>942</v>
      </c>
      <c r="I326" t="s">
        <v>943</v>
      </c>
      <c r="J326" t="s">
        <v>900</v>
      </c>
      <c r="K326" t="s">
        <v>598</v>
      </c>
      <c r="L326" t="s">
        <v>944</v>
      </c>
      <c r="M326" t="s">
        <v>35</v>
      </c>
      <c r="N326">
        <v>1235831578</v>
      </c>
      <c r="O326" t="s">
        <v>945</v>
      </c>
      <c r="P326" t="s">
        <v>2859</v>
      </c>
      <c r="R326" t="s">
        <v>948</v>
      </c>
      <c r="S326" t="s">
        <v>949</v>
      </c>
      <c r="T326" t="s">
        <v>58</v>
      </c>
      <c r="U326" t="s">
        <v>82</v>
      </c>
      <c r="V326" s="1">
        <v>41820</v>
      </c>
      <c r="W326">
        <v>0</v>
      </c>
      <c r="X326">
        <v>5</v>
      </c>
      <c r="Y326" t="s">
        <v>66</v>
      </c>
      <c r="Z326" t="s">
        <v>392</v>
      </c>
      <c r="AA326" t="s">
        <v>42</v>
      </c>
      <c r="AB326" t="s">
        <v>43</v>
      </c>
      <c r="AC326" t="s">
        <v>43</v>
      </c>
    </row>
    <row r="327" spans="1:29" x14ac:dyDescent="0.4">
      <c r="A327" t="s">
        <v>27</v>
      </c>
      <c r="B327">
        <v>278</v>
      </c>
      <c r="C327" t="s">
        <v>2859</v>
      </c>
      <c r="D327">
        <v>106</v>
      </c>
      <c r="E327" t="s">
        <v>68</v>
      </c>
      <c r="F327" t="s">
        <v>940</v>
      </c>
      <c r="G327" t="s">
        <v>941</v>
      </c>
      <c r="H327" t="s">
        <v>942</v>
      </c>
      <c r="I327" t="s">
        <v>943</v>
      </c>
      <c r="J327" t="s">
        <v>900</v>
      </c>
      <c r="K327" t="s">
        <v>598</v>
      </c>
      <c r="L327" t="s">
        <v>944</v>
      </c>
      <c r="M327" t="s">
        <v>35</v>
      </c>
      <c r="N327">
        <v>1235831578</v>
      </c>
      <c r="O327" t="s">
        <v>945</v>
      </c>
      <c r="P327" t="s">
        <v>2859</v>
      </c>
      <c r="R327" t="s">
        <v>946</v>
      </c>
      <c r="S327" t="s">
        <v>947</v>
      </c>
      <c r="T327" t="s">
        <v>58</v>
      </c>
      <c r="U327" t="s">
        <v>82</v>
      </c>
      <c r="V327" s="1">
        <v>43954</v>
      </c>
      <c r="W327">
        <v>0</v>
      </c>
      <c r="X327">
        <v>13</v>
      </c>
      <c r="Z327" t="s">
        <v>392</v>
      </c>
      <c r="AA327" t="s">
        <v>42</v>
      </c>
      <c r="AB327" t="s">
        <v>43</v>
      </c>
      <c r="AC327" t="s">
        <v>43</v>
      </c>
    </row>
    <row r="328" spans="1:29" x14ac:dyDescent="0.4">
      <c r="A328" t="s">
        <v>27</v>
      </c>
      <c r="B328">
        <v>278</v>
      </c>
      <c r="C328" t="s">
        <v>2859</v>
      </c>
      <c r="D328">
        <v>105</v>
      </c>
      <c r="E328" t="s">
        <v>68</v>
      </c>
      <c r="F328" t="s">
        <v>940</v>
      </c>
      <c r="G328" t="s">
        <v>941</v>
      </c>
      <c r="H328" t="s">
        <v>942</v>
      </c>
      <c r="I328" t="s">
        <v>943</v>
      </c>
      <c r="J328" t="s">
        <v>900</v>
      </c>
      <c r="K328" t="s">
        <v>598</v>
      </c>
      <c r="L328" t="s">
        <v>944</v>
      </c>
      <c r="M328" t="s">
        <v>35</v>
      </c>
      <c r="N328">
        <v>1235831578</v>
      </c>
      <c r="O328" t="s">
        <v>945</v>
      </c>
      <c r="P328" t="s">
        <v>2859</v>
      </c>
      <c r="R328" t="s">
        <v>948</v>
      </c>
      <c r="S328" t="s">
        <v>949</v>
      </c>
      <c r="T328" t="s">
        <v>58</v>
      </c>
      <c r="U328" t="s">
        <v>82</v>
      </c>
      <c r="V328" s="1">
        <v>41820</v>
      </c>
      <c r="W328">
        <v>0</v>
      </c>
      <c r="X328">
        <v>15</v>
      </c>
      <c r="Z328" t="s">
        <v>392</v>
      </c>
      <c r="AA328" t="s">
        <v>42</v>
      </c>
      <c r="AB328" t="s">
        <v>43</v>
      </c>
      <c r="AC328" t="s">
        <v>43</v>
      </c>
    </row>
    <row r="329" spans="1:29" x14ac:dyDescent="0.4">
      <c r="A329" t="s">
        <v>27</v>
      </c>
      <c r="B329">
        <v>762</v>
      </c>
      <c r="C329" t="s">
        <v>2941</v>
      </c>
      <c r="D329">
        <v>107</v>
      </c>
      <c r="E329" t="s">
        <v>28</v>
      </c>
      <c r="F329" t="s">
        <v>950</v>
      </c>
      <c r="G329" t="s">
        <v>951</v>
      </c>
      <c r="H329" t="s">
        <v>952</v>
      </c>
      <c r="J329" t="s">
        <v>953</v>
      </c>
      <c r="K329" t="s">
        <v>495</v>
      </c>
      <c r="L329" t="s">
        <v>954</v>
      </c>
      <c r="M329" t="s">
        <v>35</v>
      </c>
      <c r="N329" t="s">
        <v>955</v>
      </c>
      <c r="O329" t="s">
        <v>956</v>
      </c>
      <c r="P329" t="s">
        <v>2941</v>
      </c>
      <c r="R329" t="s">
        <v>958</v>
      </c>
      <c r="S329" t="s">
        <v>959</v>
      </c>
      <c r="T329" t="s">
        <v>960</v>
      </c>
      <c r="U329" t="s">
        <v>40</v>
      </c>
      <c r="V329" s="1">
        <v>43578</v>
      </c>
      <c r="W329">
        <v>0</v>
      </c>
      <c r="X329">
        <v>20</v>
      </c>
      <c r="AA329" t="s">
        <v>42</v>
      </c>
      <c r="AB329" t="s">
        <v>43</v>
      </c>
      <c r="AC329" t="s">
        <v>43</v>
      </c>
    </row>
    <row r="330" spans="1:29" x14ac:dyDescent="0.4">
      <c r="A330" t="s">
        <v>27</v>
      </c>
      <c r="B330">
        <v>762</v>
      </c>
      <c r="C330" t="s">
        <v>2941</v>
      </c>
      <c r="E330" t="s">
        <v>28</v>
      </c>
      <c r="F330" t="s">
        <v>950</v>
      </c>
      <c r="G330" t="s">
        <v>951</v>
      </c>
      <c r="H330" t="s">
        <v>952</v>
      </c>
      <c r="J330" t="s">
        <v>953</v>
      </c>
      <c r="K330" t="s">
        <v>495</v>
      </c>
      <c r="L330" t="s">
        <v>954</v>
      </c>
      <c r="M330" t="s">
        <v>35</v>
      </c>
      <c r="N330" t="s">
        <v>955</v>
      </c>
      <c r="O330" t="s">
        <v>956</v>
      </c>
      <c r="P330" t="s">
        <v>957</v>
      </c>
      <c r="R330" t="s">
        <v>961</v>
      </c>
      <c r="S330" t="s">
        <v>962</v>
      </c>
      <c r="T330" t="s">
        <v>960</v>
      </c>
      <c r="U330" t="s">
        <v>82</v>
      </c>
      <c r="V330" s="1">
        <v>42134</v>
      </c>
      <c r="W330">
        <v>0</v>
      </c>
      <c r="X330">
        <v>0</v>
      </c>
      <c r="Y330" t="s">
        <v>59</v>
      </c>
      <c r="AA330" t="s">
        <v>42</v>
      </c>
      <c r="AB330" t="s">
        <v>43</v>
      </c>
      <c r="AC330" t="s">
        <v>43</v>
      </c>
    </row>
    <row r="331" spans="1:29" x14ac:dyDescent="0.4">
      <c r="A331" t="s">
        <v>27</v>
      </c>
      <c r="B331">
        <v>762</v>
      </c>
      <c r="C331" t="s">
        <v>2941</v>
      </c>
      <c r="E331" t="s">
        <v>28</v>
      </c>
      <c r="F331" t="s">
        <v>950</v>
      </c>
      <c r="G331" t="s">
        <v>951</v>
      </c>
      <c r="H331" t="s">
        <v>952</v>
      </c>
      <c r="J331" t="s">
        <v>953</v>
      </c>
      <c r="K331" t="s">
        <v>495</v>
      </c>
      <c r="L331" t="s">
        <v>954</v>
      </c>
      <c r="M331" t="s">
        <v>35</v>
      </c>
      <c r="N331" t="s">
        <v>955</v>
      </c>
      <c r="O331" t="s">
        <v>956</v>
      </c>
      <c r="P331" t="s">
        <v>957</v>
      </c>
      <c r="R331" t="s">
        <v>963</v>
      </c>
      <c r="S331" t="s">
        <v>964</v>
      </c>
      <c r="T331" t="s">
        <v>567</v>
      </c>
      <c r="U331" t="s">
        <v>82</v>
      </c>
      <c r="V331" s="1">
        <v>40801</v>
      </c>
      <c r="W331">
        <v>0</v>
      </c>
      <c r="X331">
        <v>0</v>
      </c>
      <c r="Y331" t="s">
        <v>59</v>
      </c>
      <c r="AA331" t="s">
        <v>42</v>
      </c>
      <c r="AB331" t="s">
        <v>43</v>
      </c>
      <c r="AC331" t="s">
        <v>43</v>
      </c>
    </row>
    <row r="332" spans="1:29" x14ac:dyDescent="0.4">
      <c r="A332" t="s">
        <v>27</v>
      </c>
      <c r="B332">
        <v>762</v>
      </c>
      <c r="C332" t="s">
        <v>2941</v>
      </c>
      <c r="E332" t="s">
        <v>28</v>
      </c>
      <c r="F332" t="s">
        <v>950</v>
      </c>
      <c r="G332" t="s">
        <v>951</v>
      </c>
      <c r="H332" t="s">
        <v>952</v>
      </c>
      <c r="J332" t="s">
        <v>953</v>
      </c>
      <c r="K332" t="s">
        <v>495</v>
      </c>
      <c r="L332" t="s">
        <v>954</v>
      </c>
      <c r="M332" t="s">
        <v>35</v>
      </c>
      <c r="N332" t="s">
        <v>955</v>
      </c>
      <c r="O332" t="s">
        <v>956</v>
      </c>
      <c r="P332" t="s">
        <v>957</v>
      </c>
      <c r="R332" t="s">
        <v>965</v>
      </c>
      <c r="S332" t="s">
        <v>966</v>
      </c>
      <c r="T332" t="s">
        <v>967</v>
      </c>
      <c r="U332" t="s">
        <v>40</v>
      </c>
      <c r="V332" s="1">
        <v>45469</v>
      </c>
      <c r="W332">
        <v>0</v>
      </c>
      <c r="X332">
        <v>0</v>
      </c>
      <c r="AA332" t="s">
        <v>42</v>
      </c>
      <c r="AB332" t="s">
        <v>43</v>
      </c>
      <c r="AC332" t="s">
        <v>43</v>
      </c>
    </row>
    <row r="333" spans="1:29" x14ac:dyDescent="0.4">
      <c r="A333" t="s">
        <v>27</v>
      </c>
      <c r="B333">
        <v>1162</v>
      </c>
      <c r="C333" t="s">
        <v>976</v>
      </c>
      <c r="D333">
        <v>108</v>
      </c>
      <c r="E333" t="s">
        <v>195</v>
      </c>
      <c r="F333" t="s">
        <v>968</v>
      </c>
      <c r="G333" t="s">
        <v>969</v>
      </c>
      <c r="H333" t="s">
        <v>970</v>
      </c>
      <c r="J333" t="s">
        <v>971</v>
      </c>
      <c r="K333" t="s">
        <v>972</v>
      </c>
      <c r="L333" t="s">
        <v>973</v>
      </c>
      <c r="M333" t="s">
        <v>35</v>
      </c>
      <c r="N333" t="s">
        <v>974</v>
      </c>
      <c r="O333" t="s">
        <v>975</v>
      </c>
      <c r="P333" t="s">
        <v>976</v>
      </c>
      <c r="R333" t="s">
        <v>977</v>
      </c>
      <c r="S333" t="s">
        <v>978</v>
      </c>
      <c r="T333" t="s">
        <v>232</v>
      </c>
      <c r="U333" t="s">
        <v>82</v>
      </c>
      <c r="V333" s="1">
        <v>43203</v>
      </c>
      <c r="W333">
        <v>0</v>
      </c>
      <c r="X333">
        <v>21</v>
      </c>
      <c r="AA333" t="s">
        <v>42</v>
      </c>
      <c r="AB333" t="s">
        <v>43</v>
      </c>
      <c r="AC333" t="s">
        <v>43</v>
      </c>
    </row>
    <row r="334" spans="1:29" x14ac:dyDescent="0.4">
      <c r="A334" t="s">
        <v>27</v>
      </c>
      <c r="B334">
        <v>1162</v>
      </c>
      <c r="C334" t="s">
        <v>976</v>
      </c>
      <c r="D334">
        <v>108</v>
      </c>
      <c r="E334" t="s">
        <v>195</v>
      </c>
      <c r="F334" t="s">
        <v>968</v>
      </c>
      <c r="G334" t="s">
        <v>969</v>
      </c>
      <c r="H334" t="s">
        <v>970</v>
      </c>
      <c r="J334" t="s">
        <v>971</v>
      </c>
      <c r="K334" t="s">
        <v>972</v>
      </c>
      <c r="L334" t="s">
        <v>973</v>
      </c>
      <c r="M334" t="s">
        <v>35</v>
      </c>
      <c r="N334" t="s">
        <v>974</v>
      </c>
      <c r="O334" t="s">
        <v>975</v>
      </c>
      <c r="P334" t="s">
        <v>976</v>
      </c>
      <c r="R334" t="s">
        <v>977</v>
      </c>
      <c r="S334" t="s">
        <v>978</v>
      </c>
      <c r="T334" t="s">
        <v>232</v>
      </c>
      <c r="U334" t="s">
        <v>82</v>
      </c>
      <c r="V334" s="1">
        <v>43203</v>
      </c>
      <c r="W334">
        <v>0</v>
      </c>
      <c r="X334">
        <v>19</v>
      </c>
      <c r="AA334" t="s">
        <v>42</v>
      </c>
      <c r="AB334" t="s">
        <v>43</v>
      </c>
      <c r="AC334" t="s">
        <v>43</v>
      </c>
    </row>
    <row r="335" spans="1:29" x14ac:dyDescent="0.4">
      <c r="A335" t="s">
        <v>27</v>
      </c>
      <c r="B335">
        <v>521</v>
      </c>
      <c r="C335" t="s">
        <v>2942</v>
      </c>
      <c r="D335">
        <v>110</v>
      </c>
      <c r="E335" t="s">
        <v>68</v>
      </c>
      <c r="F335" t="s">
        <v>979</v>
      </c>
      <c r="G335" t="s">
        <v>980</v>
      </c>
      <c r="H335" t="s">
        <v>981</v>
      </c>
      <c r="J335" t="s">
        <v>982</v>
      </c>
      <c r="K335" t="s">
        <v>73</v>
      </c>
      <c r="L335" t="s">
        <v>983</v>
      </c>
      <c r="M335" t="s">
        <v>35</v>
      </c>
      <c r="N335">
        <v>2082249156</v>
      </c>
      <c r="O335" t="s">
        <v>984</v>
      </c>
      <c r="P335" t="s">
        <v>2942</v>
      </c>
      <c r="R335" t="s">
        <v>3049</v>
      </c>
      <c r="S335" t="s">
        <v>987</v>
      </c>
      <c r="T335" t="s">
        <v>58</v>
      </c>
      <c r="U335" t="s">
        <v>82</v>
      </c>
      <c r="V335" s="1">
        <v>44854</v>
      </c>
      <c r="W335">
        <v>0</v>
      </c>
      <c r="X335">
        <v>4</v>
      </c>
      <c r="Y335" t="s">
        <v>65</v>
      </c>
      <c r="AA335" t="s">
        <v>42</v>
      </c>
      <c r="AB335" t="s">
        <v>43</v>
      </c>
      <c r="AC335" t="s">
        <v>43</v>
      </c>
    </row>
    <row r="336" spans="1:29" x14ac:dyDescent="0.4">
      <c r="A336" t="s">
        <v>27</v>
      </c>
      <c r="B336">
        <v>521</v>
      </c>
      <c r="C336" t="s">
        <v>2942</v>
      </c>
      <c r="D336">
        <v>109</v>
      </c>
      <c r="E336" t="s">
        <v>68</v>
      </c>
      <c r="F336" t="s">
        <v>979</v>
      </c>
      <c r="G336" t="s">
        <v>980</v>
      </c>
      <c r="H336" t="s">
        <v>981</v>
      </c>
      <c r="J336" t="s">
        <v>982</v>
      </c>
      <c r="K336" t="s">
        <v>73</v>
      </c>
      <c r="L336" t="s">
        <v>983</v>
      </c>
      <c r="M336" t="s">
        <v>35</v>
      </c>
      <c r="N336">
        <v>2082249156</v>
      </c>
      <c r="O336" t="s">
        <v>984</v>
      </c>
      <c r="P336" t="s">
        <v>2942</v>
      </c>
      <c r="R336" t="s">
        <v>3103</v>
      </c>
      <c r="S336" t="s">
        <v>989</v>
      </c>
      <c r="T336" t="s">
        <v>960</v>
      </c>
      <c r="U336" t="s">
        <v>82</v>
      </c>
      <c r="V336" s="1">
        <v>42329</v>
      </c>
      <c r="W336">
        <v>0</v>
      </c>
      <c r="X336">
        <v>6</v>
      </c>
      <c r="Y336" t="s">
        <v>83</v>
      </c>
      <c r="AA336" t="s">
        <v>42</v>
      </c>
      <c r="AB336" t="s">
        <v>43</v>
      </c>
      <c r="AC336" t="s">
        <v>43</v>
      </c>
    </row>
    <row r="337" spans="1:29" x14ac:dyDescent="0.4">
      <c r="A337" t="s">
        <v>27</v>
      </c>
      <c r="B337">
        <v>521</v>
      </c>
      <c r="C337" t="s">
        <v>2942</v>
      </c>
      <c r="D337">
        <v>110</v>
      </c>
      <c r="E337" t="s">
        <v>68</v>
      </c>
      <c r="F337" t="s">
        <v>979</v>
      </c>
      <c r="G337" t="s">
        <v>980</v>
      </c>
      <c r="H337" t="s">
        <v>981</v>
      </c>
      <c r="J337" t="s">
        <v>982</v>
      </c>
      <c r="K337" t="s">
        <v>73</v>
      </c>
      <c r="L337" t="s">
        <v>983</v>
      </c>
      <c r="M337" t="s">
        <v>35</v>
      </c>
      <c r="N337">
        <v>2082249156</v>
      </c>
      <c r="O337" t="s">
        <v>984</v>
      </c>
      <c r="P337" t="s">
        <v>2942</v>
      </c>
      <c r="R337" t="s">
        <v>3049</v>
      </c>
      <c r="S337" t="s">
        <v>987</v>
      </c>
      <c r="T337" t="s">
        <v>58</v>
      </c>
      <c r="U337" t="s">
        <v>82</v>
      </c>
      <c r="V337" s="1">
        <v>44854</v>
      </c>
      <c r="W337">
        <v>0</v>
      </c>
      <c r="X337">
        <v>13</v>
      </c>
      <c r="AA337" t="s">
        <v>42</v>
      </c>
      <c r="AB337" t="s">
        <v>43</v>
      </c>
      <c r="AC337" t="s">
        <v>43</v>
      </c>
    </row>
    <row r="338" spans="1:29" x14ac:dyDescent="0.4">
      <c r="A338" t="s">
        <v>27</v>
      </c>
      <c r="B338">
        <v>521</v>
      </c>
      <c r="C338" t="s">
        <v>2942</v>
      </c>
      <c r="D338">
        <v>109</v>
      </c>
      <c r="E338" t="s">
        <v>68</v>
      </c>
      <c r="F338" t="s">
        <v>979</v>
      </c>
      <c r="G338" t="s">
        <v>980</v>
      </c>
      <c r="H338" t="s">
        <v>981</v>
      </c>
      <c r="J338" t="s">
        <v>982</v>
      </c>
      <c r="K338" t="s">
        <v>73</v>
      </c>
      <c r="L338" t="s">
        <v>983</v>
      </c>
      <c r="M338" t="s">
        <v>35</v>
      </c>
      <c r="N338">
        <v>2082249156</v>
      </c>
      <c r="O338" t="s">
        <v>984</v>
      </c>
      <c r="P338" t="s">
        <v>2942</v>
      </c>
      <c r="R338" t="s">
        <v>3103</v>
      </c>
      <c r="S338" t="s">
        <v>989</v>
      </c>
      <c r="T338" t="s">
        <v>960</v>
      </c>
      <c r="U338" t="s">
        <v>82</v>
      </c>
      <c r="V338" s="1">
        <v>42329</v>
      </c>
      <c r="W338">
        <v>0</v>
      </c>
      <c r="X338">
        <v>17</v>
      </c>
      <c r="AA338" t="s">
        <v>42</v>
      </c>
      <c r="AB338" t="s">
        <v>43</v>
      </c>
      <c r="AC338" t="s">
        <v>43</v>
      </c>
    </row>
    <row r="339" spans="1:29" x14ac:dyDescent="0.4">
      <c r="A339" t="s">
        <v>27</v>
      </c>
      <c r="B339">
        <v>521</v>
      </c>
      <c r="C339" t="s">
        <v>2942</v>
      </c>
      <c r="E339" t="s">
        <v>68</v>
      </c>
      <c r="F339" t="s">
        <v>979</v>
      </c>
      <c r="G339" t="s">
        <v>980</v>
      </c>
      <c r="H339" t="s">
        <v>981</v>
      </c>
      <c r="J339" t="s">
        <v>982</v>
      </c>
      <c r="K339" t="s">
        <v>73</v>
      </c>
      <c r="L339" t="s">
        <v>983</v>
      </c>
      <c r="M339" t="s">
        <v>35</v>
      </c>
      <c r="N339">
        <v>2082249156</v>
      </c>
      <c r="O339" t="s">
        <v>984</v>
      </c>
      <c r="P339" t="s">
        <v>985</v>
      </c>
      <c r="R339" t="s">
        <v>990</v>
      </c>
      <c r="S339" t="s">
        <v>991</v>
      </c>
      <c r="T339" t="s">
        <v>992</v>
      </c>
      <c r="U339" t="s">
        <v>82</v>
      </c>
      <c r="V339" s="1">
        <v>40371</v>
      </c>
      <c r="W339">
        <v>0</v>
      </c>
      <c r="X339">
        <v>0</v>
      </c>
      <c r="Y339" t="s">
        <v>59</v>
      </c>
      <c r="AA339" t="s">
        <v>42</v>
      </c>
      <c r="AB339" t="s">
        <v>43</v>
      </c>
      <c r="AC339" t="s">
        <v>43</v>
      </c>
    </row>
    <row r="340" spans="1:29" x14ac:dyDescent="0.4">
      <c r="A340" t="s">
        <v>27</v>
      </c>
      <c r="B340">
        <v>521</v>
      </c>
      <c r="C340" t="s">
        <v>2942</v>
      </c>
      <c r="E340" t="s">
        <v>68</v>
      </c>
      <c r="F340" t="s">
        <v>979</v>
      </c>
      <c r="G340" t="s">
        <v>980</v>
      </c>
      <c r="H340" t="s">
        <v>981</v>
      </c>
      <c r="J340" t="s">
        <v>982</v>
      </c>
      <c r="K340" t="s">
        <v>73</v>
      </c>
      <c r="L340" t="s">
        <v>983</v>
      </c>
      <c r="M340" t="s">
        <v>35</v>
      </c>
      <c r="N340">
        <v>2082249156</v>
      </c>
      <c r="O340" t="s">
        <v>984</v>
      </c>
      <c r="P340" t="s">
        <v>985</v>
      </c>
      <c r="R340" t="s">
        <v>990</v>
      </c>
      <c r="S340" t="s">
        <v>991</v>
      </c>
      <c r="T340" t="s">
        <v>992</v>
      </c>
      <c r="U340" t="s">
        <v>82</v>
      </c>
      <c r="V340" s="1">
        <v>40371</v>
      </c>
      <c r="W340">
        <v>0</v>
      </c>
      <c r="X340">
        <v>0</v>
      </c>
      <c r="Y340" t="s">
        <v>59</v>
      </c>
      <c r="AA340" t="s">
        <v>42</v>
      </c>
      <c r="AB340" t="s">
        <v>43</v>
      </c>
      <c r="AC340" t="s">
        <v>43</v>
      </c>
    </row>
    <row r="341" spans="1:29" x14ac:dyDescent="0.4">
      <c r="A341" t="s">
        <v>27</v>
      </c>
      <c r="B341">
        <v>957</v>
      </c>
      <c r="C341" t="s">
        <v>2943</v>
      </c>
      <c r="D341">
        <v>111</v>
      </c>
      <c r="E341" t="s">
        <v>257</v>
      </c>
      <c r="F341" t="s">
        <v>993</v>
      </c>
      <c r="G341" t="s">
        <v>994</v>
      </c>
      <c r="H341" t="s">
        <v>995</v>
      </c>
      <c r="J341" t="s">
        <v>996</v>
      </c>
      <c r="K341" t="s">
        <v>495</v>
      </c>
      <c r="L341" t="s">
        <v>997</v>
      </c>
      <c r="M341" t="s">
        <v>35</v>
      </c>
      <c r="N341">
        <v>7957358057</v>
      </c>
      <c r="O341" t="s">
        <v>998</v>
      </c>
      <c r="P341" t="s">
        <v>2943</v>
      </c>
      <c r="R341" t="s">
        <v>999</v>
      </c>
      <c r="S341" t="s">
        <v>1000</v>
      </c>
      <c r="U341" t="s">
        <v>82</v>
      </c>
      <c r="V341" s="1">
        <v>43247</v>
      </c>
      <c r="W341">
        <v>0</v>
      </c>
      <c r="X341">
        <v>7</v>
      </c>
      <c r="AA341" t="s">
        <v>42</v>
      </c>
      <c r="AB341" t="s">
        <v>43</v>
      </c>
      <c r="AC341" t="s">
        <v>43</v>
      </c>
    </row>
    <row r="342" spans="1:29" x14ac:dyDescent="0.4">
      <c r="A342" t="s">
        <v>27</v>
      </c>
      <c r="B342">
        <v>957</v>
      </c>
      <c r="C342" t="s">
        <v>2943</v>
      </c>
      <c r="D342">
        <v>111</v>
      </c>
      <c r="E342" t="s">
        <v>257</v>
      </c>
      <c r="F342" t="s">
        <v>993</v>
      </c>
      <c r="G342" t="s">
        <v>994</v>
      </c>
      <c r="H342" t="s">
        <v>995</v>
      </c>
      <c r="J342" t="s">
        <v>996</v>
      </c>
      <c r="K342" t="s">
        <v>495</v>
      </c>
      <c r="L342" t="s">
        <v>997</v>
      </c>
      <c r="M342" t="s">
        <v>35</v>
      </c>
      <c r="N342">
        <v>7957358057</v>
      </c>
      <c r="O342" t="s">
        <v>998</v>
      </c>
      <c r="P342" t="s">
        <v>2943</v>
      </c>
      <c r="R342" t="s">
        <v>999</v>
      </c>
      <c r="S342" t="s">
        <v>1000</v>
      </c>
      <c r="U342" t="s">
        <v>82</v>
      </c>
      <c r="V342" s="1">
        <v>43247</v>
      </c>
      <c r="W342">
        <v>0</v>
      </c>
      <c r="X342">
        <v>19</v>
      </c>
      <c r="AA342" t="s">
        <v>42</v>
      </c>
      <c r="AB342" t="s">
        <v>43</v>
      </c>
      <c r="AC342" t="s">
        <v>43</v>
      </c>
    </row>
    <row r="343" spans="1:29" x14ac:dyDescent="0.4">
      <c r="A343" t="s">
        <v>27</v>
      </c>
      <c r="B343">
        <v>4686</v>
      </c>
      <c r="C343" t="s">
        <v>1007</v>
      </c>
      <c r="D343">
        <v>112</v>
      </c>
      <c r="E343" t="s">
        <v>195</v>
      </c>
      <c r="F343" t="s">
        <v>1001</v>
      </c>
      <c r="G343" t="s">
        <v>1002</v>
      </c>
      <c r="H343" t="s">
        <v>1003</v>
      </c>
      <c r="J343" t="s">
        <v>1004</v>
      </c>
      <c r="K343" t="s">
        <v>495</v>
      </c>
      <c r="L343" t="s">
        <v>1005</v>
      </c>
      <c r="M343" t="s">
        <v>35</v>
      </c>
      <c r="N343">
        <v>7903991528</v>
      </c>
      <c r="O343" t="s">
        <v>1006</v>
      </c>
      <c r="P343" t="s">
        <v>1007</v>
      </c>
      <c r="R343" t="s">
        <v>1008</v>
      </c>
      <c r="S343" t="s">
        <v>1009</v>
      </c>
      <c r="T343" t="s">
        <v>94</v>
      </c>
      <c r="U343" t="s">
        <v>40</v>
      </c>
      <c r="V343" s="1">
        <v>44044</v>
      </c>
      <c r="W343">
        <v>0</v>
      </c>
      <c r="X343">
        <v>3</v>
      </c>
      <c r="AA343" t="s">
        <v>42</v>
      </c>
      <c r="AB343" t="s">
        <v>43</v>
      </c>
      <c r="AC343" t="s">
        <v>43</v>
      </c>
    </row>
    <row r="344" spans="1:29" x14ac:dyDescent="0.4">
      <c r="A344" t="s">
        <v>27</v>
      </c>
      <c r="B344">
        <v>4686</v>
      </c>
      <c r="C344" t="s">
        <v>1007</v>
      </c>
      <c r="D344">
        <v>112</v>
      </c>
      <c r="E344" t="s">
        <v>195</v>
      </c>
      <c r="F344" t="s">
        <v>1001</v>
      </c>
      <c r="G344" t="s">
        <v>1002</v>
      </c>
      <c r="H344" t="s">
        <v>1003</v>
      </c>
      <c r="J344" t="s">
        <v>1004</v>
      </c>
      <c r="K344" t="s">
        <v>495</v>
      </c>
      <c r="L344" t="s">
        <v>1005</v>
      </c>
      <c r="M344" t="s">
        <v>35</v>
      </c>
      <c r="N344">
        <v>7903991528</v>
      </c>
      <c r="O344" t="s">
        <v>1006</v>
      </c>
      <c r="P344" t="s">
        <v>1007</v>
      </c>
      <c r="R344" t="s">
        <v>1008</v>
      </c>
      <c r="S344" t="s">
        <v>1009</v>
      </c>
      <c r="T344" t="s">
        <v>94</v>
      </c>
      <c r="U344" t="s">
        <v>40</v>
      </c>
      <c r="V344" s="1">
        <v>44044</v>
      </c>
      <c r="W344">
        <v>0</v>
      </c>
      <c r="X344">
        <v>4</v>
      </c>
      <c r="Y344" t="s">
        <v>65</v>
      </c>
      <c r="AA344" t="s">
        <v>42</v>
      </c>
      <c r="AB344" t="s">
        <v>43</v>
      </c>
      <c r="AC344" t="s">
        <v>43</v>
      </c>
    </row>
    <row r="345" spans="1:29" x14ac:dyDescent="0.4">
      <c r="A345" t="s">
        <v>27</v>
      </c>
      <c r="B345">
        <v>4686</v>
      </c>
      <c r="C345" t="s">
        <v>1007</v>
      </c>
      <c r="D345">
        <v>112</v>
      </c>
      <c r="E345" t="s">
        <v>195</v>
      </c>
      <c r="F345" t="s">
        <v>1001</v>
      </c>
      <c r="G345" t="s">
        <v>1002</v>
      </c>
      <c r="H345" t="s">
        <v>1003</v>
      </c>
      <c r="J345" t="s">
        <v>1004</v>
      </c>
      <c r="K345" t="s">
        <v>495</v>
      </c>
      <c r="L345" t="s">
        <v>1005</v>
      </c>
      <c r="M345" t="s">
        <v>35</v>
      </c>
      <c r="N345">
        <v>7903991528</v>
      </c>
      <c r="O345" t="s">
        <v>1006</v>
      </c>
      <c r="P345" t="s">
        <v>1007</v>
      </c>
      <c r="R345" t="s">
        <v>1008</v>
      </c>
      <c r="S345" t="s">
        <v>1009</v>
      </c>
      <c r="T345" t="s">
        <v>94</v>
      </c>
      <c r="U345" t="s">
        <v>40</v>
      </c>
      <c r="V345" s="1">
        <v>44044</v>
      </c>
      <c r="W345">
        <v>0</v>
      </c>
      <c r="X345">
        <v>11</v>
      </c>
      <c r="AA345" t="s">
        <v>42</v>
      </c>
      <c r="AB345" t="s">
        <v>43</v>
      </c>
      <c r="AC345" t="s">
        <v>43</v>
      </c>
    </row>
    <row r="346" spans="1:29" x14ac:dyDescent="0.4">
      <c r="A346" t="s">
        <v>27</v>
      </c>
      <c r="B346">
        <v>4686</v>
      </c>
      <c r="C346" t="s">
        <v>1007</v>
      </c>
      <c r="D346">
        <v>112</v>
      </c>
      <c r="E346" t="s">
        <v>195</v>
      </c>
      <c r="F346" t="s">
        <v>1001</v>
      </c>
      <c r="G346" t="s">
        <v>1002</v>
      </c>
      <c r="H346" t="s">
        <v>1003</v>
      </c>
      <c r="J346" t="s">
        <v>1004</v>
      </c>
      <c r="K346" t="s">
        <v>495</v>
      </c>
      <c r="L346" t="s">
        <v>1005</v>
      </c>
      <c r="M346" t="s">
        <v>35</v>
      </c>
      <c r="N346">
        <v>7903991528</v>
      </c>
      <c r="O346" t="s">
        <v>1006</v>
      </c>
      <c r="P346" t="s">
        <v>1007</v>
      </c>
      <c r="R346" t="s">
        <v>1008</v>
      </c>
      <c r="S346" t="s">
        <v>1009</v>
      </c>
      <c r="T346" t="s">
        <v>94</v>
      </c>
      <c r="U346" t="s">
        <v>40</v>
      </c>
      <c r="V346" s="1">
        <v>44044</v>
      </c>
      <c r="W346">
        <v>0</v>
      </c>
      <c r="X346">
        <v>12</v>
      </c>
      <c r="AA346" t="s">
        <v>42</v>
      </c>
      <c r="AB346" t="s">
        <v>43</v>
      </c>
      <c r="AC346" t="s">
        <v>43</v>
      </c>
    </row>
    <row r="347" spans="1:29" x14ac:dyDescent="0.4">
      <c r="A347" t="s">
        <v>27</v>
      </c>
      <c r="B347">
        <v>4686</v>
      </c>
      <c r="C347" t="s">
        <v>1007</v>
      </c>
      <c r="E347" t="s">
        <v>195</v>
      </c>
      <c r="F347" t="s">
        <v>1001</v>
      </c>
      <c r="G347" t="s">
        <v>1002</v>
      </c>
      <c r="H347" t="s">
        <v>1003</v>
      </c>
      <c r="J347" t="s">
        <v>1004</v>
      </c>
      <c r="K347" t="s">
        <v>495</v>
      </c>
      <c r="L347" t="s">
        <v>1005</v>
      </c>
      <c r="M347" t="s">
        <v>35</v>
      </c>
      <c r="N347">
        <v>7903991528</v>
      </c>
      <c r="O347" t="s">
        <v>1006</v>
      </c>
      <c r="P347" t="s">
        <v>1007</v>
      </c>
      <c r="R347" t="s">
        <v>1010</v>
      </c>
      <c r="S347" t="s">
        <v>1011</v>
      </c>
      <c r="T347" t="s">
        <v>376</v>
      </c>
      <c r="U347" t="s">
        <v>82</v>
      </c>
      <c r="V347" s="1">
        <v>45409</v>
      </c>
      <c r="W347">
        <v>0</v>
      </c>
      <c r="X347">
        <v>0</v>
      </c>
      <c r="Y347" t="s">
        <v>59</v>
      </c>
      <c r="AA347" t="s">
        <v>42</v>
      </c>
      <c r="AB347" t="s">
        <v>43</v>
      </c>
      <c r="AC347" t="s">
        <v>43</v>
      </c>
    </row>
    <row r="348" spans="1:29" x14ac:dyDescent="0.4">
      <c r="A348" t="s">
        <v>27</v>
      </c>
      <c r="B348">
        <v>4686</v>
      </c>
      <c r="C348" t="s">
        <v>1007</v>
      </c>
      <c r="E348" t="s">
        <v>195</v>
      </c>
      <c r="F348" t="s">
        <v>1001</v>
      </c>
      <c r="G348" t="s">
        <v>1002</v>
      </c>
      <c r="H348" t="s">
        <v>1003</v>
      </c>
      <c r="J348" t="s">
        <v>1004</v>
      </c>
      <c r="K348" t="s">
        <v>495</v>
      </c>
      <c r="L348" t="s">
        <v>1005</v>
      </c>
      <c r="M348" t="s">
        <v>35</v>
      </c>
      <c r="N348">
        <v>7903991528</v>
      </c>
      <c r="O348" t="s">
        <v>1006</v>
      </c>
      <c r="P348" t="s">
        <v>1007</v>
      </c>
      <c r="R348" t="s">
        <v>1010</v>
      </c>
      <c r="S348" t="s">
        <v>1011</v>
      </c>
      <c r="T348" t="s">
        <v>376</v>
      </c>
      <c r="U348" t="s">
        <v>82</v>
      </c>
      <c r="V348" s="1">
        <v>45409</v>
      </c>
      <c r="W348">
        <v>0</v>
      </c>
      <c r="X348">
        <v>0</v>
      </c>
      <c r="Y348" t="s">
        <v>59</v>
      </c>
      <c r="AA348" t="s">
        <v>42</v>
      </c>
      <c r="AB348" t="s">
        <v>43</v>
      </c>
      <c r="AC348" t="s">
        <v>43</v>
      </c>
    </row>
    <row r="349" spans="1:29" x14ac:dyDescent="0.4">
      <c r="A349" t="s">
        <v>27</v>
      </c>
      <c r="B349">
        <v>4558</v>
      </c>
      <c r="C349" t="s">
        <v>2944</v>
      </c>
      <c r="D349">
        <v>113</v>
      </c>
      <c r="E349" t="s">
        <v>68</v>
      </c>
      <c r="F349" t="s">
        <v>1012</v>
      </c>
      <c r="G349" t="s">
        <v>1013</v>
      </c>
      <c r="H349" t="s">
        <v>1014</v>
      </c>
      <c r="I349" t="s">
        <v>1015</v>
      </c>
      <c r="J349" t="s">
        <v>1016</v>
      </c>
      <c r="K349" t="s">
        <v>370</v>
      </c>
      <c r="L349" t="s">
        <v>1017</v>
      </c>
      <c r="M349" t="s">
        <v>35</v>
      </c>
      <c r="N349">
        <v>7702066989</v>
      </c>
      <c r="O349" t="s">
        <v>1018</v>
      </c>
      <c r="P349" t="s">
        <v>2944</v>
      </c>
      <c r="R349" t="s">
        <v>1020</v>
      </c>
      <c r="S349" t="s">
        <v>1021</v>
      </c>
      <c r="T349" t="s">
        <v>58</v>
      </c>
      <c r="U349" t="s">
        <v>40</v>
      </c>
      <c r="V349" s="1">
        <v>43474</v>
      </c>
      <c r="W349">
        <v>0</v>
      </c>
      <c r="X349">
        <v>4</v>
      </c>
      <c r="Y349" t="s">
        <v>65</v>
      </c>
      <c r="AA349" t="s">
        <v>42</v>
      </c>
      <c r="AB349" t="s">
        <v>43</v>
      </c>
      <c r="AC349" t="s">
        <v>43</v>
      </c>
    </row>
    <row r="350" spans="1:29" x14ac:dyDescent="0.4">
      <c r="A350" t="s">
        <v>27</v>
      </c>
      <c r="B350">
        <v>4558</v>
      </c>
      <c r="C350" t="s">
        <v>2944</v>
      </c>
      <c r="D350">
        <v>113</v>
      </c>
      <c r="E350" t="s">
        <v>68</v>
      </c>
      <c r="F350" t="s">
        <v>1012</v>
      </c>
      <c r="G350" t="s">
        <v>1013</v>
      </c>
      <c r="H350" t="s">
        <v>1014</v>
      </c>
      <c r="I350" t="s">
        <v>1015</v>
      </c>
      <c r="J350" t="s">
        <v>1016</v>
      </c>
      <c r="K350" t="s">
        <v>370</v>
      </c>
      <c r="L350" t="s">
        <v>1017</v>
      </c>
      <c r="M350" t="s">
        <v>35</v>
      </c>
      <c r="N350">
        <v>7702066989</v>
      </c>
      <c r="O350" t="s">
        <v>1018</v>
      </c>
      <c r="P350" t="s">
        <v>1019</v>
      </c>
      <c r="R350" t="s">
        <v>1020</v>
      </c>
      <c r="S350" t="s">
        <v>1021</v>
      </c>
      <c r="T350" t="s">
        <v>58</v>
      </c>
      <c r="U350" t="s">
        <v>40</v>
      </c>
      <c r="V350" s="1">
        <v>43474</v>
      </c>
      <c r="W350">
        <v>0</v>
      </c>
      <c r="X350">
        <v>5</v>
      </c>
      <c r="Y350" t="s">
        <v>66</v>
      </c>
      <c r="AA350" t="s">
        <v>42</v>
      </c>
      <c r="AB350" t="s">
        <v>43</v>
      </c>
      <c r="AC350" t="s">
        <v>43</v>
      </c>
    </row>
    <row r="351" spans="1:29" x14ac:dyDescent="0.4">
      <c r="A351" t="s">
        <v>27</v>
      </c>
      <c r="B351">
        <v>4558</v>
      </c>
      <c r="C351" t="s">
        <v>2944</v>
      </c>
      <c r="D351">
        <v>114</v>
      </c>
      <c r="E351" t="s">
        <v>68</v>
      </c>
      <c r="F351" t="s">
        <v>1012</v>
      </c>
      <c r="G351" t="s">
        <v>1013</v>
      </c>
      <c r="H351" t="s">
        <v>1014</v>
      </c>
      <c r="I351" t="s">
        <v>1015</v>
      </c>
      <c r="J351" t="s">
        <v>1016</v>
      </c>
      <c r="K351" t="s">
        <v>370</v>
      </c>
      <c r="L351" t="s">
        <v>1017</v>
      </c>
      <c r="M351" t="s">
        <v>35</v>
      </c>
      <c r="N351">
        <v>7702066989</v>
      </c>
      <c r="O351" t="s">
        <v>1018</v>
      </c>
      <c r="P351" t="s">
        <v>2944</v>
      </c>
      <c r="R351" t="s">
        <v>1022</v>
      </c>
      <c r="S351" t="s">
        <v>1023</v>
      </c>
      <c r="T351" t="s">
        <v>58</v>
      </c>
      <c r="U351" t="s">
        <v>40</v>
      </c>
      <c r="V351" s="1">
        <v>45219</v>
      </c>
      <c r="W351">
        <v>0</v>
      </c>
      <c r="X351">
        <v>4</v>
      </c>
      <c r="Y351" t="s">
        <v>65</v>
      </c>
      <c r="AA351" t="s">
        <v>42</v>
      </c>
      <c r="AB351" t="s">
        <v>43</v>
      </c>
      <c r="AC351" t="s">
        <v>43</v>
      </c>
    </row>
    <row r="352" spans="1:29" x14ac:dyDescent="0.4">
      <c r="A352" t="s">
        <v>27</v>
      </c>
      <c r="B352">
        <v>3452</v>
      </c>
      <c r="C352" t="s">
        <v>1032</v>
      </c>
      <c r="D352">
        <v>115</v>
      </c>
      <c r="E352" t="s">
        <v>68</v>
      </c>
      <c r="F352" t="s">
        <v>1024</v>
      </c>
      <c r="G352" t="s">
        <v>1025</v>
      </c>
      <c r="H352" t="s">
        <v>1026</v>
      </c>
      <c r="I352" t="s">
        <v>1027</v>
      </c>
      <c r="J352" t="s">
        <v>1028</v>
      </c>
      <c r="K352" t="s">
        <v>51</v>
      </c>
      <c r="L352" t="s">
        <v>1029</v>
      </c>
      <c r="M352" t="s">
        <v>35</v>
      </c>
      <c r="N352" t="s">
        <v>1030</v>
      </c>
      <c r="O352" t="s">
        <v>1031</v>
      </c>
      <c r="P352" t="s">
        <v>1032</v>
      </c>
      <c r="R352" t="s">
        <v>3037</v>
      </c>
      <c r="S352" t="s">
        <v>1034</v>
      </c>
      <c r="T352" t="s">
        <v>376</v>
      </c>
      <c r="U352" t="s">
        <v>82</v>
      </c>
      <c r="V352" s="1">
        <v>45490</v>
      </c>
      <c r="W352">
        <v>0</v>
      </c>
      <c r="X352">
        <v>3</v>
      </c>
      <c r="AA352" t="s">
        <v>42</v>
      </c>
      <c r="AB352" t="s">
        <v>43</v>
      </c>
      <c r="AC352" t="s">
        <v>43</v>
      </c>
    </row>
    <row r="353" spans="1:30" x14ac:dyDescent="0.4">
      <c r="A353" t="s">
        <v>27</v>
      </c>
      <c r="B353">
        <v>3452</v>
      </c>
      <c r="C353" t="s">
        <v>1032</v>
      </c>
      <c r="D353">
        <v>116</v>
      </c>
      <c r="E353" t="s">
        <v>68</v>
      </c>
      <c r="F353" t="s">
        <v>1024</v>
      </c>
      <c r="G353" t="s">
        <v>1025</v>
      </c>
      <c r="H353" t="s">
        <v>1026</v>
      </c>
      <c r="I353" t="s">
        <v>1027</v>
      </c>
      <c r="J353" t="s">
        <v>1028</v>
      </c>
      <c r="K353" t="s">
        <v>51</v>
      </c>
      <c r="L353" t="s">
        <v>1029</v>
      </c>
      <c r="M353" t="s">
        <v>35</v>
      </c>
      <c r="N353" t="s">
        <v>1030</v>
      </c>
      <c r="O353" t="s">
        <v>1031</v>
      </c>
      <c r="P353" t="s">
        <v>1032</v>
      </c>
      <c r="R353" t="s">
        <v>3036</v>
      </c>
      <c r="S353" t="s">
        <v>1036</v>
      </c>
      <c r="T353" t="s">
        <v>3039</v>
      </c>
      <c r="U353" t="s">
        <v>40</v>
      </c>
      <c r="V353" s="1">
        <v>43911</v>
      </c>
      <c r="W353">
        <v>0</v>
      </c>
      <c r="X353">
        <v>3</v>
      </c>
      <c r="AA353" t="s">
        <v>42</v>
      </c>
      <c r="AB353" t="s">
        <v>43</v>
      </c>
      <c r="AC353" t="s">
        <v>43</v>
      </c>
    </row>
    <row r="354" spans="1:30" x14ac:dyDescent="0.4">
      <c r="A354" t="s">
        <v>27</v>
      </c>
      <c r="B354">
        <v>3452</v>
      </c>
      <c r="C354" t="s">
        <v>1032</v>
      </c>
      <c r="D354">
        <v>117</v>
      </c>
      <c r="E354" t="s">
        <v>68</v>
      </c>
      <c r="F354" t="s">
        <v>1024</v>
      </c>
      <c r="G354" t="s">
        <v>1025</v>
      </c>
      <c r="H354" t="s">
        <v>1026</v>
      </c>
      <c r="I354" t="s">
        <v>1027</v>
      </c>
      <c r="J354" t="s">
        <v>1028</v>
      </c>
      <c r="K354" t="s">
        <v>51</v>
      </c>
      <c r="L354" t="s">
        <v>1029</v>
      </c>
      <c r="M354" t="s">
        <v>35</v>
      </c>
      <c r="N354" t="s">
        <v>1030</v>
      </c>
      <c r="O354" t="s">
        <v>1031</v>
      </c>
      <c r="P354" t="s">
        <v>1032</v>
      </c>
      <c r="R354" t="s">
        <v>1037</v>
      </c>
      <c r="S354" t="s">
        <v>1038</v>
      </c>
      <c r="T354" t="s">
        <v>376</v>
      </c>
      <c r="U354" t="s">
        <v>82</v>
      </c>
      <c r="W354">
        <v>0</v>
      </c>
      <c r="X354">
        <v>3</v>
      </c>
      <c r="AA354" t="s">
        <v>42</v>
      </c>
      <c r="AB354" t="s">
        <v>43</v>
      </c>
      <c r="AC354" t="s">
        <v>43</v>
      </c>
    </row>
    <row r="355" spans="1:30" x14ac:dyDescent="0.4">
      <c r="A355" t="s">
        <v>27</v>
      </c>
      <c r="B355">
        <v>3452</v>
      </c>
      <c r="C355" t="s">
        <v>1032</v>
      </c>
      <c r="D355">
        <v>115</v>
      </c>
      <c r="E355" t="s">
        <v>68</v>
      </c>
      <c r="F355" t="s">
        <v>1024</v>
      </c>
      <c r="G355" t="s">
        <v>1025</v>
      </c>
      <c r="H355" t="s">
        <v>1026</v>
      </c>
      <c r="I355" t="s">
        <v>1027</v>
      </c>
      <c r="J355" t="s">
        <v>1028</v>
      </c>
      <c r="K355" t="s">
        <v>51</v>
      </c>
      <c r="L355" t="s">
        <v>1029</v>
      </c>
      <c r="M355" t="s">
        <v>35</v>
      </c>
      <c r="N355" t="s">
        <v>1030</v>
      </c>
      <c r="O355" t="s">
        <v>1031</v>
      </c>
      <c r="P355" t="s">
        <v>1032</v>
      </c>
      <c r="R355" t="s">
        <v>3037</v>
      </c>
      <c r="S355" t="s">
        <v>1034</v>
      </c>
      <c r="T355" t="s">
        <v>376</v>
      </c>
      <c r="U355" t="s">
        <v>82</v>
      </c>
      <c r="V355" s="1">
        <v>45490</v>
      </c>
      <c r="W355">
        <v>0</v>
      </c>
      <c r="X355">
        <v>11</v>
      </c>
      <c r="AA355" t="s">
        <v>42</v>
      </c>
      <c r="AB355" t="s">
        <v>43</v>
      </c>
      <c r="AC355" t="s">
        <v>43</v>
      </c>
    </row>
    <row r="356" spans="1:30" x14ac:dyDescent="0.4">
      <c r="A356" t="s">
        <v>27</v>
      </c>
      <c r="B356">
        <v>3452</v>
      </c>
      <c r="C356" t="s">
        <v>1032</v>
      </c>
      <c r="D356">
        <v>116</v>
      </c>
      <c r="E356" t="s">
        <v>68</v>
      </c>
      <c r="F356" t="s">
        <v>1024</v>
      </c>
      <c r="G356" t="s">
        <v>1025</v>
      </c>
      <c r="H356" t="s">
        <v>1026</v>
      </c>
      <c r="I356" t="s">
        <v>1027</v>
      </c>
      <c r="J356" t="s">
        <v>1028</v>
      </c>
      <c r="K356" t="s">
        <v>51</v>
      </c>
      <c r="L356" t="s">
        <v>1029</v>
      </c>
      <c r="M356" t="s">
        <v>35</v>
      </c>
      <c r="N356" t="s">
        <v>1030</v>
      </c>
      <c r="O356" t="s">
        <v>1031</v>
      </c>
      <c r="P356" t="s">
        <v>1032</v>
      </c>
      <c r="R356" t="s">
        <v>3036</v>
      </c>
      <c r="S356" t="s">
        <v>1036</v>
      </c>
      <c r="T356" t="s">
        <v>3039</v>
      </c>
      <c r="U356" t="s">
        <v>40</v>
      </c>
      <c r="V356" s="1">
        <v>43911</v>
      </c>
      <c r="W356">
        <v>0</v>
      </c>
      <c r="X356">
        <v>11</v>
      </c>
      <c r="AA356" t="s">
        <v>42</v>
      </c>
      <c r="AB356" t="s">
        <v>43</v>
      </c>
      <c r="AC356" t="s">
        <v>43</v>
      </c>
    </row>
    <row r="357" spans="1:30" x14ac:dyDescent="0.4">
      <c r="A357" t="s">
        <v>27</v>
      </c>
      <c r="B357">
        <v>3452</v>
      </c>
      <c r="C357" t="s">
        <v>1032</v>
      </c>
      <c r="D357">
        <v>117</v>
      </c>
      <c r="E357" t="s">
        <v>68</v>
      </c>
      <c r="F357" t="s">
        <v>1024</v>
      </c>
      <c r="G357" t="s">
        <v>1025</v>
      </c>
      <c r="H357" t="s">
        <v>1026</v>
      </c>
      <c r="I357" t="s">
        <v>1027</v>
      </c>
      <c r="J357" t="s">
        <v>1028</v>
      </c>
      <c r="K357" t="s">
        <v>51</v>
      </c>
      <c r="L357" t="s">
        <v>1029</v>
      </c>
      <c r="M357" t="s">
        <v>35</v>
      </c>
      <c r="N357" t="s">
        <v>1030</v>
      </c>
      <c r="O357" t="s">
        <v>1031</v>
      </c>
      <c r="P357" t="s">
        <v>1032</v>
      </c>
      <c r="R357" t="s">
        <v>1037</v>
      </c>
      <c r="S357" t="s">
        <v>1038</v>
      </c>
      <c r="T357" t="s">
        <v>376</v>
      </c>
      <c r="U357" t="s">
        <v>82</v>
      </c>
      <c r="W357">
        <v>0</v>
      </c>
      <c r="X357">
        <v>11</v>
      </c>
      <c r="AA357" t="s">
        <v>42</v>
      </c>
      <c r="AB357" t="s">
        <v>43</v>
      </c>
      <c r="AC357" t="s">
        <v>43</v>
      </c>
    </row>
    <row r="358" spans="1:30" x14ac:dyDescent="0.4">
      <c r="A358" t="s">
        <v>27</v>
      </c>
      <c r="B358">
        <v>2717</v>
      </c>
      <c r="C358" t="s">
        <v>2945</v>
      </c>
      <c r="D358">
        <v>118</v>
      </c>
      <c r="E358" t="s">
        <v>1039</v>
      </c>
      <c r="F358" t="s">
        <v>1040</v>
      </c>
      <c r="G358" t="s">
        <v>1041</v>
      </c>
      <c r="H358" t="s">
        <v>1042</v>
      </c>
      <c r="I358" t="s">
        <v>1043</v>
      </c>
      <c r="J358" t="s">
        <v>1044</v>
      </c>
      <c r="K358" t="s">
        <v>51</v>
      </c>
      <c r="L358" t="s">
        <v>1045</v>
      </c>
      <c r="M358" t="s">
        <v>35</v>
      </c>
      <c r="N358" t="s">
        <v>1046</v>
      </c>
      <c r="O358" t="s">
        <v>1047</v>
      </c>
      <c r="P358" t="s">
        <v>2945</v>
      </c>
      <c r="R358" t="s">
        <v>1048</v>
      </c>
      <c r="S358" t="s">
        <v>1049</v>
      </c>
      <c r="T358" t="s">
        <v>1050</v>
      </c>
      <c r="U358" t="s">
        <v>40</v>
      </c>
      <c r="V358" s="1">
        <v>44255</v>
      </c>
      <c r="W358">
        <v>0</v>
      </c>
      <c r="X358">
        <v>3</v>
      </c>
      <c r="AA358" t="s">
        <v>42</v>
      </c>
      <c r="AB358" t="s">
        <v>43</v>
      </c>
      <c r="AC358" t="s">
        <v>42</v>
      </c>
    </row>
    <row r="359" spans="1:30" x14ac:dyDescent="0.4">
      <c r="A359" t="s">
        <v>27</v>
      </c>
      <c r="B359">
        <v>2717</v>
      </c>
      <c r="C359" t="s">
        <v>2945</v>
      </c>
      <c r="D359">
        <v>118</v>
      </c>
      <c r="E359" t="s">
        <v>1039</v>
      </c>
      <c r="F359" t="s">
        <v>1040</v>
      </c>
      <c r="G359" t="s">
        <v>1041</v>
      </c>
      <c r="H359" t="s">
        <v>1042</v>
      </c>
      <c r="I359" t="s">
        <v>1043</v>
      </c>
      <c r="J359" t="s">
        <v>1044</v>
      </c>
      <c r="K359" t="s">
        <v>51</v>
      </c>
      <c r="L359" t="s">
        <v>1045</v>
      </c>
      <c r="M359" t="s">
        <v>35</v>
      </c>
      <c r="N359" t="s">
        <v>1046</v>
      </c>
      <c r="O359" t="s">
        <v>1047</v>
      </c>
      <c r="P359" t="s">
        <v>2945</v>
      </c>
      <c r="R359" t="s">
        <v>1048</v>
      </c>
      <c r="S359" t="s">
        <v>1049</v>
      </c>
      <c r="T359" t="s">
        <v>1050</v>
      </c>
      <c r="U359" t="s">
        <v>40</v>
      </c>
      <c r="V359" s="1">
        <v>44255</v>
      </c>
      <c r="W359">
        <v>0</v>
      </c>
      <c r="X359">
        <v>11</v>
      </c>
      <c r="AA359" t="s">
        <v>42</v>
      </c>
      <c r="AB359" t="s">
        <v>43</v>
      </c>
      <c r="AC359" t="s">
        <v>42</v>
      </c>
    </row>
    <row r="360" spans="1:30" ht="64" x14ac:dyDescent="0.4">
      <c r="A360" t="s">
        <v>27</v>
      </c>
      <c r="B360">
        <v>3953</v>
      </c>
      <c r="C360" t="s">
        <v>2860</v>
      </c>
      <c r="D360">
        <v>120</v>
      </c>
      <c r="E360" t="s">
        <v>257</v>
      </c>
      <c r="F360" t="s">
        <v>1051</v>
      </c>
      <c r="G360" t="s">
        <v>1052</v>
      </c>
      <c r="H360" t="s">
        <v>1053</v>
      </c>
      <c r="I360">
        <v>4</v>
      </c>
      <c r="J360" t="s">
        <v>1054</v>
      </c>
      <c r="K360" t="s">
        <v>73</v>
      </c>
      <c r="L360" t="s">
        <v>1055</v>
      </c>
      <c r="M360" t="s">
        <v>35</v>
      </c>
      <c r="N360">
        <v>7825669139</v>
      </c>
      <c r="O360" t="s">
        <v>1056</v>
      </c>
      <c r="P360" t="s">
        <v>2860</v>
      </c>
      <c r="R360" t="s">
        <v>1057</v>
      </c>
      <c r="S360" t="s">
        <v>1058</v>
      </c>
      <c r="T360" t="s">
        <v>58</v>
      </c>
      <c r="U360" t="s">
        <v>40</v>
      </c>
      <c r="V360" s="1">
        <v>45501</v>
      </c>
      <c r="W360">
        <v>0</v>
      </c>
      <c r="X360">
        <v>4</v>
      </c>
      <c r="Y360" t="s">
        <v>65</v>
      </c>
      <c r="Z360" t="s">
        <v>135</v>
      </c>
      <c r="AA360" t="s">
        <v>42</v>
      </c>
      <c r="AB360" t="s">
        <v>43</v>
      </c>
      <c r="AC360" t="s">
        <v>43</v>
      </c>
      <c r="AD360" s="2" t="s">
        <v>1059</v>
      </c>
    </row>
    <row r="361" spans="1:30" ht="64" x14ac:dyDescent="0.4">
      <c r="A361" t="s">
        <v>27</v>
      </c>
      <c r="B361">
        <v>3953</v>
      </c>
      <c r="C361" t="s">
        <v>2860</v>
      </c>
      <c r="D361">
        <v>119</v>
      </c>
      <c r="E361" t="s">
        <v>257</v>
      </c>
      <c r="F361" t="s">
        <v>1051</v>
      </c>
      <c r="G361" t="s">
        <v>1052</v>
      </c>
      <c r="H361" t="s">
        <v>1053</v>
      </c>
      <c r="I361">
        <v>4</v>
      </c>
      <c r="J361" t="s">
        <v>1054</v>
      </c>
      <c r="K361" t="s">
        <v>73</v>
      </c>
      <c r="L361" t="s">
        <v>1055</v>
      </c>
      <c r="M361" t="s">
        <v>35</v>
      </c>
      <c r="N361">
        <v>7825669139</v>
      </c>
      <c r="O361" t="s">
        <v>1056</v>
      </c>
      <c r="P361" t="s">
        <v>2860</v>
      </c>
      <c r="R361" t="s">
        <v>1060</v>
      </c>
      <c r="S361" t="s">
        <v>1061</v>
      </c>
      <c r="T361" t="s">
        <v>58</v>
      </c>
      <c r="U361" t="s">
        <v>40</v>
      </c>
      <c r="V361" s="1">
        <v>43308</v>
      </c>
      <c r="W361">
        <v>0</v>
      </c>
      <c r="X361">
        <v>6</v>
      </c>
      <c r="Y361" t="s">
        <v>83</v>
      </c>
      <c r="Z361" t="s">
        <v>135</v>
      </c>
      <c r="AA361" t="s">
        <v>42</v>
      </c>
      <c r="AB361" t="s">
        <v>43</v>
      </c>
      <c r="AC361" t="s">
        <v>43</v>
      </c>
      <c r="AD361" s="2" t="s">
        <v>1059</v>
      </c>
    </row>
    <row r="362" spans="1:30" ht="64" x14ac:dyDescent="0.4">
      <c r="A362" t="s">
        <v>27</v>
      </c>
      <c r="B362">
        <v>3953</v>
      </c>
      <c r="C362" t="s">
        <v>2860</v>
      </c>
      <c r="D362">
        <v>119</v>
      </c>
      <c r="E362" t="s">
        <v>257</v>
      </c>
      <c r="F362" t="s">
        <v>1051</v>
      </c>
      <c r="G362" t="s">
        <v>1052</v>
      </c>
      <c r="H362" t="s">
        <v>1053</v>
      </c>
      <c r="I362">
        <v>4</v>
      </c>
      <c r="J362" t="s">
        <v>1054</v>
      </c>
      <c r="K362" t="s">
        <v>73</v>
      </c>
      <c r="L362" t="s">
        <v>1055</v>
      </c>
      <c r="M362" t="s">
        <v>35</v>
      </c>
      <c r="N362">
        <v>7825669139</v>
      </c>
      <c r="O362" t="s">
        <v>1056</v>
      </c>
      <c r="P362" t="s">
        <v>2860</v>
      </c>
      <c r="R362" t="s">
        <v>1060</v>
      </c>
      <c r="S362" t="s">
        <v>1061</v>
      </c>
      <c r="T362" t="s">
        <v>58</v>
      </c>
      <c r="U362" t="s">
        <v>40</v>
      </c>
      <c r="V362" s="1">
        <v>43308</v>
      </c>
      <c r="W362">
        <v>0</v>
      </c>
      <c r="X362">
        <v>7</v>
      </c>
      <c r="Z362" t="s">
        <v>135</v>
      </c>
      <c r="AA362" t="s">
        <v>42</v>
      </c>
      <c r="AB362" t="s">
        <v>43</v>
      </c>
      <c r="AC362" t="s">
        <v>43</v>
      </c>
      <c r="AD362" s="2" t="s">
        <v>1059</v>
      </c>
    </row>
    <row r="363" spans="1:30" ht="64" x14ac:dyDescent="0.4">
      <c r="A363" t="s">
        <v>27</v>
      </c>
      <c r="B363">
        <v>3953</v>
      </c>
      <c r="C363" t="s">
        <v>2860</v>
      </c>
      <c r="D363">
        <v>119</v>
      </c>
      <c r="E363" t="s">
        <v>257</v>
      </c>
      <c r="F363" t="s">
        <v>1051</v>
      </c>
      <c r="G363" t="s">
        <v>1052</v>
      </c>
      <c r="H363" t="s">
        <v>1053</v>
      </c>
      <c r="I363">
        <v>4</v>
      </c>
      <c r="J363" t="s">
        <v>1054</v>
      </c>
      <c r="K363" t="s">
        <v>73</v>
      </c>
      <c r="L363" t="s">
        <v>1055</v>
      </c>
      <c r="M363" t="s">
        <v>35</v>
      </c>
      <c r="N363">
        <v>7825669139</v>
      </c>
      <c r="O363" t="s">
        <v>1056</v>
      </c>
      <c r="P363" t="s">
        <v>2860</v>
      </c>
      <c r="R363" t="s">
        <v>1060</v>
      </c>
      <c r="S363" t="s">
        <v>1061</v>
      </c>
      <c r="T363" t="s">
        <v>58</v>
      </c>
      <c r="U363" t="s">
        <v>40</v>
      </c>
      <c r="V363" s="1">
        <v>43308</v>
      </c>
      <c r="W363">
        <v>0</v>
      </c>
      <c r="X363">
        <v>16</v>
      </c>
      <c r="Z363" t="s">
        <v>135</v>
      </c>
      <c r="AA363" t="s">
        <v>42</v>
      </c>
      <c r="AB363" t="s">
        <v>43</v>
      </c>
      <c r="AC363" t="s">
        <v>43</v>
      </c>
      <c r="AD363" s="2" t="s">
        <v>1059</v>
      </c>
    </row>
    <row r="364" spans="1:30" ht="64" x14ac:dyDescent="0.4">
      <c r="A364" t="s">
        <v>27</v>
      </c>
      <c r="B364">
        <v>3953</v>
      </c>
      <c r="C364" t="s">
        <v>2860</v>
      </c>
      <c r="D364">
        <v>119</v>
      </c>
      <c r="E364" t="s">
        <v>257</v>
      </c>
      <c r="F364" t="s">
        <v>1051</v>
      </c>
      <c r="G364" t="s">
        <v>1052</v>
      </c>
      <c r="H364" t="s">
        <v>1053</v>
      </c>
      <c r="I364">
        <v>4</v>
      </c>
      <c r="J364" t="s">
        <v>1054</v>
      </c>
      <c r="K364" t="s">
        <v>73</v>
      </c>
      <c r="L364" t="s">
        <v>1055</v>
      </c>
      <c r="M364" t="s">
        <v>35</v>
      </c>
      <c r="N364">
        <v>7825669139</v>
      </c>
      <c r="O364" t="s">
        <v>1056</v>
      </c>
      <c r="P364" t="s">
        <v>2860</v>
      </c>
      <c r="R364" t="s">
        <v>1060</v>
      </c>
      <c r="S364" t="s">
        <v>1061</v>
      </c>
      <c r="T364" t="s">
        <v>58</v>
      </c>
      <c r="U364" t="s">
        <v>40</v>
      </c>
      <c r="V364" s="1">
        <v>43308</v>
      </c>
      <c r="W364">
        <v>0</v>
      </c>
      <c r="X364">
        <v>18</v>
      </c>
      <c r="Z364" t="s">
        <v>135</v>
      </c>
      <c r="AA364" t="s">
        <v>42</v>
      </c>
      <c r="AB364" t="s">
        <v>43</v>
      </c>
      <c r="AC364" t="s">
        <v>43</v>
      </c>
      <c r="AD364" s="2" t="s">
        <v>1059</v>
      </c>
    </row>
    <row r="365" spans="1:30" ht="64" x14ac:dyDescent="0.4">
      <c r="A365" t="s">
        <v>27</v>
      </c>
      <c r="B365">
        <v>3953</v>
      </c>
      <c r="C365" t="s">
        <v>2860</v>
      </c>
      <c r="D365">
        <v>120</v>
      </c>
      <c r="E365" t="s">
        <v>257</v>
      </c>
      <c r="F365" t="s">
        <v>1051</v>
      </c>
      <c r="G365" t="s">
        <v>1052</v>
      </c>
      <c r="H365" t="s">
        <v>1053</v>
      </c>
      <c r="I365">
        <v>4</v>
      </c>
      <c r="J365" t="s">
        <v>1054</v>
      </c>
      <c r="K365" t="s">
        <v>73</v>
      </c>
      <c r="L365" t="s">
        <v>1055</v>
      </c>
      <c r="M365" t="s">
        <v>35</v>
      </c>
      <c r="N365">
        <v>7825669139</v>
      </c>
      <c r="O365" t="s">
        <v>1056</v>
      </c>
      <c r="P365" t="s">
        <v>2860</v>
      </c>
      <c r="R365" t="s">
        <v>1057</v>
      </c>
      <c r="S365" t="s">
        <v>1058</v>
      </c>
      <c r="T365" t="s">
        <v>58</v>
      </c>
      <c r="U365" t="s">
        <v>40</v>
      </c>
      <c r="V365" s="1">
        <v>45501</v>
      </c>
      <c r="W365">
        <v>0</v>
      </c>
      <c r="X365">
        <v>12</v>
      </c>
      <c r="Z365" t="s">
        <v>135</v>
      </c>
      <c r="AA365" t="s">
        <v>42</v>
      </c>
      <c r="AB365" t="s">
        <v>43</v>
      </c>
      <c r="AC365" t="s">
        <v>43</v>
      </c>
      <c r="AD365" s="2" t="s">
        <v>1059</v>
      </c>
    </row>
    <row r="366" spans="1:30" x14ac:dyDescent="0.4">
      <c r="A366" t="s">
        <v>27</v>
      </c>
      <c r="B366">
        <v>393</v>
      </c>
      <c r="C366" t="s">
        <v>2946</v>
      </c>
      <c r="D366">
        <v>121</v>
      </c>
      <c r="E366" t="s">
        <v>68</v>
      </c>
      <c r="F366" t="s">
        <v>1062</v>
      </c>
      <c r="G366" t="s">
        <v>1063</v>
      </c>
      <c r="H366" t="s">
        <v>1064</v>
      </c>
      <c r="I366" t="s">
        <v>1065</v>
      </c>
      <c r="J366" t="s">
        <v>278</v>
      </c>
      <c r="K366" t="s">
        <v>73</v>
      </c>
      <c r="L366" t="s">
        <v>1066</v>
      </c>
      <c r="M366" t="s">
        <v>35</v>
      </c>
      <c r="N366" t="s">
        <v>1067</v>
      </c>
      <c r="O366" t="s">
        <v>1068</v>
      </c>
      <c r="P366" t="s">
        <v>2946</v>
      </c>
      <c r="R366" t="s">
        <v>1069</v>
      </c>
      <c r="S366" t="s">
        <v>1070</v>
      </c>
      <c r="T366" t="s">
        <v>284</v>
      </c>
      <c r="U366" t="s">
        <v>82</v>
      </c>
      <c r="V366" s="1">
        <v>42444</v>
      </c>
      <c r="W366">
        <v>0</v>
      </c>
      <c r="X366">
        <v>6</v>
      </c>
      <c r="Y366" t="s">
        <v>83</v>
      </c>
      <c r="AA366" t="s">
        <v>42</v>
      </c>
      <c r="AB366" t="s">
        <v>43</v>
      </c>
      <c r="AC366" t="s">
        <v>43</v>
      </c>
    </row>
    <row r="367" spans="1:30" x14ac:dyDescent="0.4">
      <c r="A367" t="s">
        <v>27</v>
      </c>
      <c r="B367">
        <v>393</v>
      </c>
      <c r="C367" t="s">
        <v>2946</v>
      </c>
      <c r="D367">
        <v>121</v>
      </c>
      <c r="E367" t="s">
        <v>68</v>
      </c>
      <c r="F367" t="s">
        <v>1062</v>
      </c>
      <c r="G367" t="s">
        <v>1063</v>
      </c>
      <c r="H367" t="s">
        <v>1064</v>
      </c>
      <c r="I367" t="s">
        <v>1065</v>
      </c>
      <c r="J367" t="s">
        <v>278</v>
      </c>
      <c r="K367" t="s">
        <v>73</v>
      </c>
      <c r="L367" t="s">
        <v>1066</v>
      </c>
      <c r="M367" t="s">
        <v>35</v>
      </c>
      <c r="N367" t="s">
        <v>1067</v>
      </c>
      <c r="O367" t="s">
        <v>1068</v>
      </c>
      <c r="P367" t="s">
        <v>2946</v>
      </c>
      <c r="R367" t="s">
        <v>1069</v>
      </c>
      <c r="S367" t="s">
        <v>1070</v>
      </c>
      <c r="T367" t="s">
        <v>284</v>
      </c>
      <c r="U367" t="s">
        <v>82</v>
      </c>
      <c r="V367" s="1">
        <v>42444</v>
      </c>
      <c r="W367">
        <v>0</v>
      </c>
      <c r="X367">
        <v>17</v>
      </c>
      <c r="AA367" t="s">
        <v>42</v>
      </c>
      <c r="AB367" t="s">
        <v>43</v>
      </c>
      <c r="AC367" t="s">
        <v>43</v>
      </c>
    </row>
    <row r="368" spans="1:30" x14ac:dyDescent="0.4">
      <c r="A368" t="s">
        <v>27</v>
      </c>
      <c r="B368">
        <v>5474</v>
      </c>
      <c r="C368" t="s">
        <v>1077</v>
      </c>
      <c r="D368">
        <v>122</v>
      </c>
      <c r="E368" t="s">
        <v>68</v>
      </c>
      <c r="F368" t="s">
        <v>1071</v>
      </c>
      <c r="G368" t="s">
        <v>1072</v>
      </c>
      <c r="H368" t="s">
        <v>1073</v>
      </c>
      <c r="J368" t="s">
        <v>1074</v>
      </c>
      <c r="K368" t="s">
        <v>189</v>
      </c>
      <c r="L368" t="s">
        <v>1075</v>
      </c>
      <c r="M368" t="s">
        <v>35</v>
      </c>
      <c r="N368">
        <v>7852194767</v>
      </c>
      <c r="O368" t="s">
        <v>1076</v>
      </c>
      <c r="P368" t="s">
        <v>1077</v>
      </c>
      <c r="R368" t="s">
        <v>1078</v>
      </c>
      <c r="S368" t="s">
        <v>1079</v>
      </c>
      <c r="T368" t="s">
        <v>3135</v>
      </c>
      <c r="U368" t="s">
        <v>82</v>
      </c>
      <c r="V368" s="1">
        <v>44095</v>
      </c>
      <c r="W368">
        <v>0</v>
      </c>
      <c r="X368">
        <v>9</v>
      </c>
      <c r="AA368" t="s">
        <v>42</v>
      </c>
      <c r="AB368" t="s">
        <v>43</v>
      </c>
      <c r="AC368" t="s">
        <v>43</v>
      </c>
    </row>
    <row r="369" spans="1:29" x14ac:dyDescent="0.4">
      <c r="A369" t="s">
        <v>27</v>
      </c>
      <c r="B369">
        <v>5474</v>
      </c>
      <c r="C369" t="s">
        <v>1077</v>
      </c>
      <c r="D369">
        <v>122</v>
      </c>
      <c r="E369" t="s">
        <v>68</v>
      </c>
      <c r="F369" t="s">
        <v>1071</v>
      </c>
      <c r="G369" t="s">
        <v>1072</v>
      </c>
      <c r="H369" t="s">
        <v>1073</v>
      </c>
      <c r="J369" t="s">
        <v>1074</v>
      </c>
      <c r="K369" t="s">
        <v>189</v>
      </c>
      <c r="L369" t="s">
        <v>1075</v>
      </c>
      <c r="M369" t="s">
        <v>35</v>
      </c>
      <c r="N369">
        <v>7852194767</v>
      </c>
      <c r="O369" t="s">
        <v>1076</v>
      </c>
      <c r="P369" t="s">
        <v>1077</v>
      </c>
      <c r="R369" t="s">
        <v>1078</v>
      </c>
      <c r="S369" t="s">
        <v>1079</v>
      </c>
      <c r="T369" t="s">
        <v>3135</v>
      </c>
      <c r="U369" t="s">
        <v>82</v>
      </c>
      <c r="V369" s="1">
        <v>44095</v>
      </c>
      <c r="W369">
        <v>0</v>
      </c>
      <c r="X369">
        <v>11</v>
      </c>
      <c r="AA369" t="s">
        <v>42</v>
      </c>
      <c r="AB369" t="s">
        <v>43</v>
      </c>
      <c r="AC369" t="s">
        <v>43</v>
      </c>
    </row>
    <row r="370" spans="1:29" x14ac:dyDescent="0.4">
      <c r="A370" t="s">
        <v>27</v>
      </c>
      <c r="B370">
        <v>113</v>
      </c>
      <c r="C370" t="s">
        <v>2861</v>
      </c>
      <c r="E370" t="s">
        <v>68</v>
      </c>
      <c r="F370" t="s">
        <v>1080</v>
      </c>
      <c r="G370" t="s">
        <v>1081</v>
      </c>
      <c r="H370" t="s">
        <v>1082</v>
      </c>
      <c r="I370" t="s">
        <v>1083</v>
      </c>
      <c r="J370" t="s">
        <v>1084</v>
      </c>
      <c r="K370" t="s">
        <v>1085</v>
      </c>
      <c r="L370" t="s">
        <v>1086</v>
      </c>
      <c r="M370" t="s">
        <v>35</v>
      </c>
      <c r="N370">
        <v>7845904898</v>
      </c>
      <c r="O370" t="s">
        <v>1087</v>
      </c>
      <c r="P370" t="s">
        <v>1088</v>
      </c>
      <c r="R370" t="s">
        <v>1089</v>
      </c>
      <c r="S370" t="s">
        <v>1090</v>
      </c>
      <c r="T370" t="s">
        <v>1091</v>
      </c>
      <c r="U370" t="s">
        <v>40</v>
      </c>
      <c r="V370" s="1">
        <v>42191</v>
      </c>
      <c r="W370">
        <v>0</v>
      </c>
      <c r="X370">
        <v>0</v>
      </c>
      <c r="Y370" t="s">
        <v>59</v>
      </c>
      <c r="Z370" t="s">
        <v>135</v>
      </c>
      <c r="AA370" t="s">
        <v>42</v>
      </c>
      <c r="AB370" t="s">
        <v>43</v>
      </c>
      <c r="AC370" t="s">
        <v>43</v>
      </c>
    </row>
    <row r="371" spans="1:29" x14ac:dyDescent="0.4">
      <c r="A371" t="s">
        <v>27</v>
      </c>
      <c r="B371">
        <v>113</v>
      </c>
      <c r="C371" t="s">
        <v>2861</v>
      </c>
      <c r="E371" t="s">
        <v>68</v>
      </c>
      <c r="F371" t="s">
        <v>1080</v>
      </c>
      <c r="G371" t="s">
        <v>1081</v>
      </c>
      <c r="H371" t="s">
        <v>1082</v>
      </c>
      <c r="I371" t="s">
        <v>1083</v>
      </c>
      <c r="J371" t="s">
        <v>1084</v>
      </c>
      <c r="K371" t="s">
        <v>1085</v>
      </c>
      <c r="L371" t="s">
        <v>1086</v>
      </c>
      <c r="M371" t="s">
        <v>35</v>
      </c>
      <c r="N371">
        <v>7845904898</v>
      </c>
      <c r="O371" t="s">
        <v>1087</v>
      </c>
      <c r="P371" t="s">
        <v>1088</v>
      </c>
      <c r="R371" t="s">
        <v>1089</v>
      </c>
      <c r="S371" t="s">
        <v>1090</v>
      </c>
      <c r="T371" t="s">
        <v>1091</v>
      </c>
      <c r="U371" t="s">
        <v>40</v>
      </c>
      <c r="V371" s="1">
        <v>42191</v>
      </c>
      <c r="W371">
        <v>0</v>
      </c>
      <c r="X371">
        <v>0</v>
      </c>
      <c r="Y371" t="s">
        <v>59</v>
      </c>
      <c r="Z371" t="s">
        <v>135</v>
      </c>
      <c r="AA371" t="s">
        <v>42</v>
      </c>
      <c r="AB371" t="s">
        <v>43</v>
      </c>
      <c r="AC371" t="s">
        <v>43</v>
      </c>
    </row>
    <row r="372" spans="1:29" x14ac:dyDescent="0.4">
      <c r="A372" t="s">
        <v>27</v>
      </c>
      <c r="B372">
        <v>113</v>
      </c>
      <c r="C372" t="s">
        <v>2861</v>
      </c>
      <c r="D372">
        <v>123</v>
      </c>
      <c r="E372" t="s">
        <v>68</v>
      </c>
      <c r="F372" t="s">
        <v>1080</v>
      </c>
      <c r="G372" t="s">
        <v>1081</v>
      </c>
      <c r="H372" t="s">
        <v>1082</v>
      </c>
      <c r="I372" t="s">
        <v>1083</v>
      </c>
      <c r="J372" t="s">
        <v>1084</v>
      </c>
      <c r="K372" t="s">
        <v>1085</v>
      </c>
      <c r="L372" t="s">
        <v>1086</v>
      </c>
      <c r="M372" t="s">
        <v>35</v>
      </c>
      <c r="N372">
        <v>7845904898</v>
      </c>
      <c r="O372" t="s">
        <v>1087</v>
      </c>
      <c r="P372" t="s">
        <v>2861</v>
      </c>
      <c r="R372" t="s">
        <v>1092</v>
      </c>
      <c r="S372" t="s">
        <v>1093</v>
      </c>
      <c r="T372" t="s">
        <v>376</v>
      </c>
      <c r="U372" t="s">
        <v>40</v>
      </c>
      <c r="V372" s="1">
        <v>45444</v>
      </c>
      <c r="W372">
        <v>0</v>
      </c>
      <c r="X372">
        <v>4</v>
      </c>
      <c r="Y372" t="s">
        <v>65</v>
      </c>
      <c r="Z372" t="s">
        <v>135</v>
      </c>
      <c r="AA372" t="s">
        <v>42</v>
      </c>
      <c r="AB372" t="s">
        <v>43</v>
      </c>
      <c r="AC372" t="s">
        <v>43</v>
      </c>
    </row>
    <row r="373" spans="1:29" x14ac:dyDescent="0.4">
      <c r="A373" t="s">
        <v>27</v>
      </c>
      <c r="B373">
        <v>113</v>
      </c>
      <c r="C373" t="s">
        <v>2861</v>
      </c>
      <c r="D373">
        <v>124</v>
      </c>
      <c r="E373" t="s">
        <v>68</v>
      </c>
      <c r="F373" t="s">
        <v>1080</v>
      </c>
      <c r="G373" t="s">
        <v>1081</v>
      </c>
      <c r="H373" t="s">
        <v>1082</v>
      </c>
      <c r="I373" t="s">
        <v>1083</v>
      </c>
      <c r="J373" t="s">
        <v>1084</v>
      </c>
      <c r="K373" t="s">
        <v>1085</v>
      </c>
      <c r="L373" t="s">
        <v>1086</v>
      </c>
      <c r="M373" t="s">
        <v>35</v>
      </c>
      <c r="N373">
        <v>7845904898</v>
      </c>
      <c r="O373" t="s">
        <v>1087</v>
      </c>
      <c r="P373" t="s">
        <v>2861</v>
      </c>
      <c r="R373" t="s">
        <v>1094</v>
      </c>
      <c r="S373" t="s">
        <v>1095</v>
      </c>
      <c r="T373" t="s">
        <v>58</v>
      </c>
      <c r="U373" t="s">
        <v>40</v>
      </c>
      <c r="V373" s="1">
        <v>43915</v>
      </c>
      <c r="W373">
        <v>0</v>
      </c>
      <c r="X373">
        <v>5</v>
      </c>
      <c r="Y373" t="s">
        <v>66</v>
      </c>
      <c r="Z373" t="s">
        <v>135</v>
      </c>
      <c r="AA373" t="s">
        <v>42</v>
      </c>
      <c r="AB373" t="s">
        <v>43</v>
      </c>
      <c r="AC373" t="s">
        <v>43</v>
      </c>
    </row>
    <row r="374" spans="1:29" x14ac:dyDescent="0.4">
      <c r="A374" t="s">
        <v>27</v>
      </c>
      <c r="B374">
        <v>113</v>
      </c>
      <c r="C374" t="s">
        <v>2861</v>
      </c>
      <c r="D374">
        <v>124</v>
      </c>
      <c r="E374" t="s">
        <v>68</v>
      </c>
      <c r="F374" t="s">
        <v>1080</v>
      </c>
      <c r="G374" t="s">
        <v>1081</v>
      </c>
      <c r="H374" t="s">
        <v>1082</v>
      </c>
      <c r="I374" t="s">
        <v>1083</v>
      </c>
      <c r="J374" t="s">
        <v>1084</v>
      </c>
      <c r="K374" t="s">
        <v>1085</v>
      </c>
      <c r="L374" t="s">
        <v>1086</v>
      </c>
      <c r="M374" t="s">
        <v>35</v>
      </c>
      <c r="N374">
        <v>7845904898</v>
      </c>
      <c r="O374" t="s">
        <v>1087</v>
      </c>
      <c r="P374" t="s">
        <v>2861</v>
      </c>
      <c r="R374" t="s">
        <v>1094</v>
      </c>
      <c r="S374" t="s">
        <v>1095</v>
      </c>
      <c r="T374" t="s">
        <v>58</v>
      </c>
      <c r="U374" t="s">
        <v>40</v>
      </c>
      <c r="V374" s="1">
        <v>43915</v>
      </c>
      <c r="W374">
        <v>0</v>
      </c>
      <c r="X374">
        <v>6</v>
      </c>
      <c r="Y374" t="s">
        <v>83</v>
      </c>
      <c r="Z374" t="s">
        <v>135</v>
      </c>
      <c r="AA374" t="s">
        <v>42</v>
      </c>
      <c r="AB374" t="s">
        <v>43</v>
      </c>
      <c r="AC374" t="s">
        <v>43</v>
      </c>
    </row>
    <row r="375" spans="1:29" x14ac:dyDescent="0.4">
      <c r="A375" t="s">
        <v>27</v>
      </c>
      <c r="B375">
        <v>113</v>
      </c>
      <c r="C375" t="s">
        <v>2861</v>
      </c>
      <c r="D375">
        <v>123</v>
      </c>
      <c r="E375" t="s">
        <v>68</v>
      </c>
      <c r="F375" t="s">
        <v>1080</v>
      </c>
      <c r="G375" t="s">
        <v>1081</v>
      </c>
      <c r="H375" t="s">
        <v>1082</v>
      </c>
      <c r="I375" t="s">
        <v>1083</v>
      </c>
      <c r="J375" t="s">
        <v>1084</v>
      </c>
      <c r="K375" t="s">
        <v>1085</v>
      </c>
      <c r="L375" t="s">
        <v>1086</v>
      </c>
      <c r="M375" t="s">
        <v>35</v>
      </c>
      <c r="N375">
        <v>7845904898</v>
      </c>
      <c r="O375" t="s">
        <v>1087</v>
      </c>
      <c r="P375" t="s">
        <v>2861</v>
      </c>
      <c r="R375" t="s">
        <v>1092</v>
      </c>
      <c r="S375" t="s">
        <v>1093</v>
      </c>
      <c r="T375" t="s">
        <v>376</v>
      </c>
      <c r="U375" t="s">
        <v>40</v>
      </c>
      <c r="V375" s="1">
        <v>45444</v>
      </c>
      <c r="W375">
        <v>0</v>
      </c>
      <c r="X375">
        <v>12</v>
      </c>
      <c r="Z375" t="s">
        <v>135</v>
      </c>
      <c r="AA375" t="s">
        <v>42</v>
      </c>
      <c r="AB375" t="s">
        <v>43</v>
      </c>
      <c r="AC375" t="s">
        <v>43</v>
      </c>
    </row>
    <row r="376" spans="1:29" x14ac:dyDescent="0.4">
      <c r="A376" t="s">
        <v>27</v>
      </c>
      <c r="B376">
        <v>113</v>
      </c>
      <c r="C376" t="s">
        <v>2861</v>
      </c>
      <c r="D376">
        <v>124</v>
      </c>
      <c r="E376" t="s">
        <v>68</v>
      </c>
      <c r="F376" t="s">
        <v>1080</v>
      </c>
      <c r="G376" t="s">
        <v>1081</v>
      </c>
      <c r="H376" t="s">
        <v>1082</v>
      </c>
      <c r="I376" t="s">
        <v>1083</v>
      </c>
      <c r="J376" t="s">
        <v>1084</v>
      </c>
      <c r="K376" t="s">
        <v>1085</v>
      </c>
      <c r="L376" t="s">
        <v>1086</v>
      </c>
      <c r="M376" t="s">
        <v>35</v>
      </c>
      <c r="N376">
        <v>7845904898</v>
      </c>
      <c r="O376" t="s">
        <v>1087</v>
      </c>
      <c r="P376" t="s">
        <v>2861</v>
      </c>
      <c r="R376" t="s">
        <v>1094</v>
      </c>
      <c r="S376" t="s">
        <v>1095</v>
      </c>
      <c r="T376" t="s">
        <v>58</v>
      </c>
      <c r="U376" t="s">
        <v>40</v>
      </c>
      <c r="V376" s="1">
        <v>43915</v>
      </c>
      <c r="W376">
        <v>0</v>
      </c>
      <c r="X376">
        <v>14</v>
      </c>
      <c r="Z376" t="s">
        <v>135</v>
      </c>
      <c r="AA376" t="s">
        <v>42</v>
      </c>
      <c r="AB376" t="s">
        <v>43</v>
      </c>
      <c r="AC376" t="s">
        <v>43</v>
      </c>
    </row>
    <row r="377" spans="1:29" x14ac:dyDescent="0.4">
      <c r="A377" t="s">
        <v>27</v>
      </c>
      <c r="B377">
        <v>113</v>
      </c>
      <c r="C377" t="s">
        <v>2861</v>
      </c>
      <c r="D377">
        <v>124</v>
      </c>
      <c r="E377" t="s">
        <v>68</v>
      </c>
      <c r="F377" t="s">
        <v>1080</v>
      </c>
      <c r="G377" t="s">
        <v>1081</v>
      </c>
      <c r="H377" t="s">
        <v>1082</v>
      </c>
      <c r="I377" t="s">
        <v>1083</v>
      </c>
      <c r="J377" t="s">
        <v>1084</v>
      </c>
      <c r="K377" t="s">
        <v>1085</v>
      </c>
      <c r="L377" t="s">
        <v>1086</v>
      </c>
      <c r="M377" t="s">
        <v>35</v>
      </c>
      <c r="N377">
        <v>7845904898</v>
      </c>
      <c r="O377" t="s">
        <v>1087</v>
      </c>
      <c r="P377" t="s">
        <v>2861</v>
      </c>
      <c r="R377" t="s">
        <v>1094</v>
      </c>
      <c r="S377" t="s">
        <v>1095</v>
      </c>
      <c r="T377" t="s">
        <v>58</v>
      </c>
      <c r="U377" t="s">
        <v>40</v>
      </c>
      <c r="V377" s="1">
        <v>43915</v>
      </c>
      <c r="W377">
        <v>0</v>
      </c>
      <c r="X377">
        <v>16</v>
      </c>
      <c r="Z377" t="s">
        <v>135</v>
      </c>
      <c r="AA377" t="s">
        <v>42</v>
      </c>
      <c r="AB377" t="s">
        <v>43</v>
      </c>
      <c r="AC377" t="s">
        <v>43</v>
      </c>
    </row>
    <row r="378" spans="1:29" x14ac:dyDescent="0.4">
      <c r="A378" t="s">
        <v>27</v>
      </c>
      <c r="B378">
        <v>1375</v>
      </c>
      <c r="C378" t="s">
        <v>2862</v>
      </c>
      <c r="D378">
        <v>128</v>
      </c>
      <c r="E378" t="s">
        <v>257</v>
      </c>
      <c r="F378" t="s">
        <v>1096</v>
      </c>
      <c r="G378" t="s">
        <v>1097</v>
      </c>
      <c r="H378" t="s">
        <v>1098</v>
      </c>
      <c r="I378" t="s">
        <v>1099</v>
      </c>
      <c r="J378" t="s">
        <v>1100</v>
      </c>
      <c r="K378" t="s">
        <v>1101</v>
      </c>
      <c r="L378" t="s">
        <v>1102</v>
      </c>
      <c r="M378" t="s">
        <v>35</v>
      </c>
      <c r="N378">
        <v>1945428737</v>
      </c>
      <c r="O378" t="s">
        <v>1103</v>
      </c>
      <c r="P378" t="s">
        <v>2862</v>
      </c>
      <c r="R378" t="s">
        <v>3057</v>
      </c>
      <c r="S378" t="s">
        <v>1106</v>
      </c>
      <c r="T378" t="s">
        <v>232</v>
      </c>
      <c r="U378" t="s">
        <v>82</v>
      </c>
      <c r="V378" s="1">
        <v>44988</v>
      </c>
      <c r="W378">
        <v>0</v>
      </c>
      <c r="X378">
        <v>4</v>
      </c>
      <c r="Y378" t="s">
        <v>65</v>
      </c>
      <c r="Z378" t="s">
        <v>135</v>
      </c>
      <c r="AA378" t="s">
        <v>42</v>
      </c>
      <c r="AB378" t="s">
        <v>43</v>
      </c>
      <c r="AC378" t="s">
        <v>43</v>
      </c>
    </row>
    <row r="379" spans="1:29" x14ac:dyDescent="0.4">
      <c r="A379" t="s">
        <v>27</v>
      </c>
      <c r="B379">
        <v>1375</v>
      </c>
      <c r="C379" t="s">
        <v>2862</v>
      </c>
      <c r="D379">
        <v>125</v>
      </c>
      <c r="E379" t="s">
        <v>257</v>
      </c>
      <c r="F379" t="s">
        <v>1096</v>
      </c>
      <c r="G379" t="s">
        <v>1097</v>
      </c>
      <c r="H379" t="s">
        <v>1098</v>
      </c>
      <c r="I379" t="s">
        <v>1099</v>
      </c>
      <c r="J379" t="s">
        <v>1100</v>
      </c>
      <c r="K379" t="s">
        <v>1101</v>
      </c>
      <c r="L379" t="s">
        <v>1102</v>
      </c>
      <c r="M379" t="s">
        <v>35</v>
      </c>
      <c r="N379">
        <v>1945428737</v>
      </c>
      <c r="O379" t="s">
        <v>1103</v>
      </c>
      <c r="P379" t="s">
        <v>2862</v>
      </c>
      <c r="R379" t="s">
        <v>3058</v>
      </c>
      <c r="S379" t="s">
        <v>1108</v>
      </c>
      <c r="T379" t="s">
        <v>58</v>
      </c>
      <c r="U379" t="s">
        <v>40</v>
      </c>
      <c r="V379" s="1">
        <v>44477</v>
      </c>
      <c r="W379">
        <v>0</v>
      </c>
      <c r="X379">
        <v>4</v>
      </c>
      <c r="Y379" t="s">
        <v>65</v>
      </c>
      <c r="Z379" t="s">
        <v>135</v>
      </c>
      <c r="AA379" t="s">
        <v>42</v>
      </c>
      <c r="AB379" t="s">
        <v>43</v>
      </c>
      <c r="AC379" t="s">
        <v>43</v>
      </c>
    </row>
    <row r="380" spans="1:29" x14ac:dyDescent="0.4">
      <c r="A380" t="s">
        <v>27</v>
      </c>
      <c r="B380">
        <v>1375</v>
      </c>
      <c r="C380" t="s">
        <v>2862</v>
      </c>
      <c r="D380">
        <v>126</v>
      </c>
      <c r="E380" t="s">
        <v>257</v>
      </c>
      <c r="F380" t="s">
        <v>1096</v>
      </c>
      <c r="G380" t="s">
        <v>1097</v>
      </c>
      <c r="H380" t="s">
        <v>1098</v>
      </c>
      <c r="I380" t="s">
        <v>1099</v>
      </c>
      <c r="J380" t="s">
        <v>1100</v>
      </c>
      <c r="K380" t="s">
        <v>1101</v>
      </c>
      <c r="L380" t="s">
        <v>1102</v>
      </c>
      <c r="M380" t="s">
        <v>35</v>
      </c>
      <c r="N380">
        <v>1945428737</v>
      </c>
      <c r="O380" t="s">
        <v>1103</v>
      </c>
      <c r="P380" t="s">
        <v>2862</v>
      </c>
      <c r="R380" t="s">
        <v>3104</v>
      </c>
      <c r="S380" t="s">
        <v>1110</v>
      </c>
      <c r="T380" t="s">
        <v>169</v>
      </c>
      <c r="U380" t="s">
        <v>40</v>
      </c>
      <c r="V380" s="1">
        <v>43570</v>
      </c>
      <c r="W380">
        <v>0</v>
      </c>
      <c r="X380">
        <v>5</v>
      </c>
      <c r="Y380" t="s">
        <v>66</v>
      </c>
      <c r="Z380" t="s">
        <v>135</v>
      </c>
      <c r="AA380" t="s">
        <v>42</v>
      </c>
      <c r="AB380" t="s">
        <v>43</v>
      </c>
      <c r="AC380" t="s">
        <v>43</v>
      </c>
    </row>
    <row r="381" spans="1:29" x14ac:dyDescent="0.4">
      <c r="A381" t="s">
        <v>27</v>
      </c>
      <c r="B381">
        <v>1375</v>
      </c>
      <c r="C381" t="s">
        <v>2862</v>
      </c>
      <c r="D381">
        <v>127</v>
      </c>
      <c r="E381" t="s">
        <v>257</v>
      </c>
      <c r="F381" t="s">
        <v>1096</v>
      </c>
      <c r="G381" t="s">
        <v>1097</v>
      </c>
      <c r="H381" t="s">
        <v>1098</v>
      </c>
      <c r="I381" t="s">
        <v>1099</v>
      </c>
      <c r="J381" t="s">
        <v>1100</v>
      </c>
      <c r="K381" t="s">
        <v>1101</v>
      </c>
      <c r="L381" t="s">
        <v>1102</v>
      </c>
      <c r="M381" t="s">
        <v>35</v>
      </c>
      <c r="N381">
        <v>1945428737</v>
      </c>
      <c r="O381" t="s">
        <v>1103</v>
      </c>
      <c r="P381" t="s">
        <v>2862</v>
      </c>
      <c r="R381" t="s">
        <v>3105</v>
      </c>
      <c r="S381" t="s">
        <v>1113</v>
      </c>
      <c r="T381" t="s">
        <v>58</v>
      </c>
      <c r="U381" t="s">
        <v>40</v>
      </c>
      <c r="V381" s="1">
        <v>42314</v>
      </c>
      <c r="W381">
        <v>0</v>
      </c>
      <c r="X381">
        <v>5</v>
      </c>
      <c r="Y381" t="s">
        <v>66</v>
      </c>
      <c r="Z381" t="s">
        <v>135</v>
      </c>
      <c r="AA381" t="s">
        <v>42</v>
      </c>
      <c r="AB381" t="s">
        <v>43</v>
      </c>
      <c r="AC381" t="s">
        <v>43</v>
      </c>
    </row>
    <row r="382" spans="1:29" x14ac:dyDescent="0.4">
      <c r="A382" t="s">
        <v>27</v>
      </c>
      <c r="B382">
        <v>1375</v>
      </c>
      <c r="C382" t="s">
        <v>2862</v>
      </c>
      <c r="D382">
        <v>125</v>
      </c>
      <c r="E382" t="s">
        <v>257</v>
      </c>
      <c r="F382" t="s">
        <v>1096</v>
      </c>
      <c r="G382" t="s">
        <v>1097</v>
      </c>
      <c r="H382" t="s">
        <v>1098</v>
      </c>
      <c r="I382" t="s">
        <v>1099</v>
      </c>
      <c r="J382" t="s">
        <v>1100</v>
      </c>
      <c r="K382" t="s">
        <v>1101</v>
      </c>
      <c r="L382" t="s">
        <v>1102</v>
      </c>
      <c r="M382" t="s">
        <v>35</v>
      </c>
      <c r="N382">
        <v>1945428737</v>
      </c>
      <c r="O382" t="s">
        <v>1103</v>
      </c>
      <c r="P382" t="s">
        <v>2862</v>
      </c>
      <c r="R382" t="s">
        <v>3058</v>
      </c>
      <c r="S382" t="s">
        <v>1108</v>
      </c>
      <c r="T382" t="s">
        <v>58</v>
      </c>
      <c r="U382" t="s">
        <v>40</v>
      </c>
      <c r="V382" s="1">
        <v>44477</v>
      </c>
      <c r="W382">
        <v>0</v>
      </c>
      <c r="X382">
        <v>5</v>
      </c>
      <c r="Y382" t="s">
        <v>66</v>
      </c>
      <c r="Z382" t="s">
        <v>135</v>
      </c>
      <c r="AA382" t="s">
        <v>42</v>
      </c>
      <c r="AB382" t="s">
        <v>43</v>
      </c>
      <c r="AC382" t="s">
        <v>43</v>
      </c>
    </row>
    <row r="383" spans="1:29" x14ac:dyDescent="0.4">
      <c r="A383" t="s">
        <v>27</v>
      </c>
      <c r="B383">
        <v>1375</v>
      </c>
      <c r="C383" t="s">
        <v>2862</v>
      </c>
      <c r="E383" t="s">
        <v>257</v>
      </c>
      <c r="F383" t="s">
        <v>1096</v>
      </c>
      <c r="G383" t="s">
        <v>1097</v>
      </c>
      <c r="H383" t="s">
        <v>1098</v>
      </c>
      <c r="I383" t="s">
        <v>1099</v>
      </c>
      <c r="J383" t="s">
        <v>1100</v>
      </c>
      <c r="K383" t="s">
        <v>1101</v>
      </c>
      <c r="L383" t="s">
        <v>1102</v>
      </c>
      <c r="M383" t="s">
        <v>35</v>
      </c>
      <c r="N383">
        <v>1945428737</v>
      </c>
      <c r="O383" t="s">
        <v>1103</v>
      </c>
      <c r="P383" t="s">
        <v>1104</v>
      </c>
      <c r="R383" t="s">
        <v>1114</v>
      </c>
      <c r="S383" t="s">
        <v>1115</v>
      </c>
      <c r="T383" t="s">
        <v>1116</v>
      </c>
      <c r="U383" t="s">
        <v>82</v>
      </c>
      <c r="V383" s="1">
        <v>42586</v>
      </c>
      <c r="W383">
        <v>0</v>
      </c>
      <c r="X383">
        <v>0</v>
      </c>
      <c r="Y383" t="s">
        <v>59</v>
      </c>
      <c r="Z383" t="s">
        <v>135</v>
      </c>
      <c r="AA383" t="s">
        <v>42</v>
      </c>
      <c r="AB383" t="s">
        <v>43</v>
      </c>
      <c r="AC383" t="s">
        <v>43</v>
      </c>
    </row>
    <row r="384" spans="1:29" x14ac:dyDescent="0.4">
      <c r="A384" t="s">
        <v>27</v>
      </c>
      <c r="B384">
        <v>1375</v>
      </c>
      <c r="C384" t="s">
        <v>2862</v>
      </c>
      <c r="D384">
        <v>128</v>
      </c>
      <c r="E384" t="s">
        <v>257</v>
      </c>
      <c r="F384" t="s">
        <v>1096</v>
      </c>
      <c r="G384" t="s">
        <v>1097</v>
      </c>
      <c r="H384" t="s">
        <v>1098</v>
      </c>
      <c r="I384" t="s">
        <v>1099</v>
      </c>
      <c r="J384" t="s">
        <v>1100</v>
      </c>
      <c r="K384" t="s">
        <v>1101</v>
      </c>
      <c r="L384" t="s">
        <v>1102</v>
      </c>
      <c r="M384" t="s">
        <v>35</v>
      </c>
      <c r="N384">
        <v>1945428737</v>
      </c>
      <c r="O384" t="s">
        <v>1103</v>
      </c>
      <c r="P384" t="s">
        <v>2862</v>
      </c>
      <c r="R384" t="s">
        <v>3057</v>
      </c>
      <c r="S384" t="s">
        <v>1106</v>
      </c>
      <c r="T384" t="s">
        <v>232</v>
      </c>
      <c r="U384" t="s">
        <v>82</v>
      </c>
      <c r="V384" s="1">
        <v>44988</v>
      </c>
      <c r="W384">
        <v>0</v>
      </c>
      <c r="X384">
        <v>13</v>
      </c>
      <c r="Z384" t="s">
        <v>135</v>
      </c>
      <c r="AA384" t="s">
        <v>42</v>
      </c>
      <c r="AB384" t="s">
        <v>43</v>
      </c>
      <c r="AC384" t="s">
        <v>43</v>
      </c>
    </row>
    <row r="385" spans="1:30" x14ac:dyDescent="0.4">
      <c r="A385" t="s">
        <v>27</v>
      </c>
      <c r="B385">
        <v>1375</v>
      </c>
      <c r="C385" t="s">
        <v>2862</v>
      </c>
      <c r="D385">
        <v>125</v>
      </c>
      <c r="E385" t="s">
        <v>257</v>
      </c>
      <c r="F385" t="s">
        <v>1096</v>
      </c>
      <c r="G385" t="s">
        <v>1097</v>
      </c>
      <c r="H385" t="s">
        <v>1098</v>
      </c>
      <c r="I385" t="s">
        <v>1099</v>
      </c>
      <c r="J385" t="s">
        <v>1100</v>
      </c>
      <c r="K385" t="s">
        <v>1101</v>
      </c>
      <c r="L385" t="s">
        <v>1102</v>
      </c>
      <c r="M385" t="s">
        <v>35</v>
      </c>
      <c r="N385">
        <v>1945428737</v>
      </c>
      <c r="O385" t="s">
        <v>1103</v>
      </c>
      <c r="P385" t="s">
        <v>2862</v>
      </c>
      <c r="R385" t="s">
        <v>3058</v>
      </c>
      <c r="S385" t="s">
        <v>1108</v>
      </c>
      <c r="T385" t="s">
        <v>58</v>
      </c>
      <c r="U385" t="s">
        <v>40</v>
      </c>
      <c r="V385" s="1">
        <v>44477</v>
      </c>
      <c r="W385">
        <v>0</v>
      </c>
      <c r="X385">
        <v>12</v>
      </c>
      <c r="Z385" t="s">
        <v>135</v>
      </c>
      <c r="AA385" t="s">
        <v>42</v>
      </c>
      <c r="AB385" t="s">
        <v>43</v>
      </c>
      <c r="AC385" t="s">
        <v>43</v>
      </c>
    </row>
    <row r="386" spans="1:30" x14ac:dyDescent="0.4">
      <c r="A386" t="s">
        <v>27</v>
      </c>
      <c r="B386">
        <v>1375</v>
      </c>
      <c r="C386" t="s">
        <v>2862</v>
      </c>
      <c r="D386">
        <v>125</v>
      </c>
      <c r="E386" t="s">
        <v>257</v>
      </c>
      <c r="F386" t="s">
        <v>1096</v>
      </c>
      <c r="G386" t="s">
        <v>1097</v>
      </c>
      <c r="H386" t="s">
        <v>1098</v>
      </c>
      <c r="I386" t="s">
        <v>1099</v>
      </c>
      <c r="J386" t="s">
        <v>1100</v>
      </c>
      <c r="K386" t="s">
        <v>1101</v>
      </c>
      <c r="L386" t="s">
        <v>1102</v>
      </c>
      <c r="M386" t="s">
        <v>35</v>
      </c>
      <c r="N386">
        <v>1945428737</v>
      </c>
      <c r="O386" t="s">
        <v>1103</v>
      </c>
      <c r="P386" t="s">
        <v>2862</v>
      </c>
      <c r="R386" t="s">
        <v>3058</v>
      </c>
      <c r="S386" t="s">
        <v>1108</v>
      </c>
      <c r="T386" t="s">
        <v>58</v>
      </c>
      <c r="U386" t="s">
        <v>40</v>
      </c>
      <c r="V386" s="1">
        <v>44477</v>
      </c>
      <c r="W386">
        <v>0</v>
      </c>
      <c r="X386">
        <v>14</v>
      </c>
      <c r="Z386" t="s">
        <v>135</v>
      </c>
      <c r="AA386" t="s">
        <v>42</v>
      </c>
      <c r="AB386" t="s">
        <v>43</v>
      </c>
      <c r="AC386" t="s">
        <v>43</v>
      </c>
    </row>
    <row r="387" spans="1:30" x14ac:dyDescent="0.4">
      <c r="A387" t="s">
        <v>27</v>
      </c>
      <c r="B387">
        <v>1375</v>
      </c>
      <c r="C387" t="s">
        <v>2862</v>
      </c>
      <c r="D387">
        <v>126</v>
      </c>
      <c r="E387" t="s">
        <v>257</v>
      </c>
      <c r="F387" t="s">
        <v>1096</v>
      </c>
      <c r="G387" t="s">
        <v>1097</v>
      </c>
      <c r="H387" t="s">
        <v>1098</v>
      </c>
      <c r="I387" t="s">
        <v>1099</v>
      </c>
      <c r="J387" t="s">
        <v>1100</v>
      </c>
      <c r="K387" t="s">
        <v>1101</v>
      </c>
      <c r="L387" t="s">
        <v>1102</v>
      </c>
      <c r="M387" t="s">
        <v>35</v>
      </c>
      <c r="N387">
        <v>1945428737</v>
      </c>
      <c r="O387" t="s">
        <v>1103</v>
      </c>
      <c r="P387" t="s">
        <v>2862</v>
      </c>
      <c r="R387" t="s">
        <v>3104</v>
      </c>
      <c r="S387" t="s">
        <v>1110</v>
      </c>
      <c r="T387" t="s">
        <v>169</v>
      </c>
      <c r="U387" t="s">
        <v>40</v>
      </c>
      <c r="V387" s="1">
        <v>43570</v>
      </c>
      <c r="W387">
        <v>0</v>
      </c>
      <c r="X387">
        <v>14</v>
      </c>
      <c r="Z387" t="s">
        <v>135</v>
      </c>
      <c r="AA387" t="s">
        <v>42</v>
      </c>
      <c r="AB387" t="s">
        <v>43</v>
      </c>
      <c r="AC387" t="s">
        <v>43</v>
      </c>
    </row>
    <row r="388" spans="1:30" x14ac:dyDescent="0.4">
      <c r="A388" t="s">
        <v>27</v>
      </c>
      <c r="B388">
        <v>1375</v>
      </c>
      <c r="C388" t="s">
        <v>2862</v>
      </c>
      <c r="D388">
        <v>127</v>
      </c>
      <c r="E388" t="s">
        <v>257</v>
      </c>
      <c r="F388" t="s">
        <v>1096</v>
      </c>
      <c r="G388" t="s">
        <v>1097</v>
      </c>
      <c r="H388" t="s">
        <v>1098</v>
      </c>
      <c r="I388" t="s">
        <v>1099</v>
      </c>
      <c r="J388" t="s">
        <v>1100</v>
      </c>
      <c r="K388" t="s">
        <v>1101</v>
      </c>
      <c r="L388" t="s">
        <v>1102</v>
      </c>
      <c r="M388" t="s">
        <v>35</v>
      </c>
      <c r="N388">
        <v>1945428737</v>
      </c>
      <c r="O388" t="s">
        <v>1103</v>
      </c>
      <c r="P388" t="s">
        <v>2862</v>
      </c>
      <c r="R388" t="s">
        <v>3105</v>
      </c>
      <c r="S388" t="s">
        <v>1113</v>
      </c>
      <c r="T388" t="s">
        <v>58</v>
      </c>
      <c r="U388" t="s">
        <v>40</v>
      </c>
      <c r="V388" s="1">
        <v>42314</v>
      </c>
      <c r="W388">
        <v>0</v>
      </c>
      <c r="X388">
        <v>14</v>
      </c>
      <c r="Z388" t="s">
        <v>135</v>
      </c>
      <c r="AA388" t="s">
        <v>42</v>
      </c>
      <c r="AB388" t="s">
        <v>43</v>
      </c>
      <c r="AC388" t="s">
        <v>43</v>
      </c>
    </row>
    <row r="389" spans="1:30" x14ac:dyDescent="0.4">
      <c r="A389" t="s">
        <v>27</v>
      </c>
      <c r="B389">
        <v>1375</v>
      </c>
      <c r="C389" t="s">
        <v>2862</v>
      </c>
      <c r="D389">
        <v>126</v>
      </c>
      <c r="E389" t="s">
        <v>257</v>
      </c>
      <c r="F389" t="s">
        <v>1096</v>
      </c>
      <c r="G389" t="s">
        <v>1097</v>
      </c>
      <c r="H389" t="s">
        <v>1098</v>
      </c>
      <c r="I389" t="s">
        <v>1099</v>
      </c>
      <c r="J389" t="s">
        <v>1100</v>
      </c>
      <c r="K389" t="s">
        <v>1101</v>
      </c>
      <c r="L389" t="s">
        <v>1102</v>
      </c>
      <c r="M389" t="s">
        <v>35</v>
      </c>
      <c r="N389">
        <v>1945428737</v>
      </c>
      <c r="O389" t="s">
        <v>1103</v>
      </c>
      <c r="P389" t="s">
        <v>2862</v>
      </c>
      <c r="R389" t="s">
        <v>3104</v>
      </c>
      <c r="S389" t="s">
        <v>1110</v>
      </c>
      <c r="T389" t="s">
        <v>169</v>
      </c>
      <c r="U389" t="s">
        <v>40</v>
      </c>
      <c r="V389" s="1">
        <v>43570</v>
      </c>
      <c r="W389">
        <v>0</v>
      </c>
      <c r="X389">
        <v>16</v>
      </c>
      <c r="Z389" t="s">
        <v>135</v>
      </c>
      <c r="AA389" t="s">
        <v>42</v>
      </c>
      <c r="AB389" t="s">
        <v>43</v>
      </c>
      <c r="AC389" t="s">
        <v>43</v>
      </c>
    </row>
    <row r="390" spans="1:30" x14ac:dyDescent="0.4">
      <c r="A390" t="s">
        <v>27</v>
      </c>
      <c r="B390">
        <v>1375</v>
      </c>
      <c r="C390" t="s">
        <v>2862</v>
      </c>
      <c r="E390" t="s">
        <v>257</v>
      </c>
      <c r="F390" t="s">
        <v>1096</v>
      </c>
      <c r="G390" t="s">
        <v>1097</v>
      </c>
      <c r="H390" t="s">
        <v>1098</v>
      </c>
      <c r="I390" t="s">
        <v>1099</v>
      </c>
      <c r="J390" t="s">
        <v>1100</v>
      </c>
      <c r="K390" t="s">
        <v>1101</v>
      </c>
      <c r="L390" t="s">
        <v>1102</v>
      </c>
      <c r="M390" t="s">
        <v>35</v>
      </c>
      <c r="N390">
        <v>1945428737</v>
      </c>
      <c r="O390" t="s">
        <v>1103</v>
      </c>
      <c r="P390" t="s">
        <v>1104</v>
      </c>
      <c r="R390" t="s">
        <v>1114</v>
      </c>
      <c r="S390" t="s">
        <v>1115</v>
      </c>
      <c r="T390" t="s">
        <v>1116</v>
      </c>
      <c r="U390" t="s">
        <v>82</v>
      </c>
      <c r="V390" s="1">
        <v>42586</v>
      </c>
      <c r="W390">
        <v>0</v>
      </c>
      <c r="X390">
        <v>0</v>
      </c>
      <c r="Y390" t="s">
        <v>59</v>
      </c>
      <c r="Z390" t="s">
        <v>135</v>
      </c>
      <c r="AA390" t="s">
        <v>42</v>
      </c>
      <c r="AB390" t="s">
        <v>43</v>
      </c>
      <c r="AC390" t="s">
        <v>43</v>
      </c>
    </row>
    <row r="391" spans="1:30" x14ac:dyDescent="0.4">
      <c r="A391" t="s">
        <v>27</v>
      </c>
      <c r="B391">
        <v>3961</v>
      </c>
      <c r="C391" t="s">
        <v>2947</v>
      </c>
      <c r="D391">
        <v>129</v>
      </c>
      <c r="E391" t="s">
        <v>28</v>
      </c>
      <c r="F391" t="s">
        <v>1117</v>
      </c>
      <c r="G391" t="s">
        <v>1118</v>
      </c>
      <c r="H391" t="s">
        <v>1119</v>
      </c>
      <c r="I391" t="s">
        <v>1120</v>
      </c>
      <c r="J391" t="s">
        <v>660</v>
      </c>
      <c r="K391" t="s">
        <v>33</v>
      </c>
      <c r="L391" t="s">
        <v>661</v>
      </c>
      <c r="M391" t="s">
        <v>35</v>
      </c>
      <c r="N391" t="s">
        <v>1121</v>
      </c>
      <c r="O391" t="s">
        <v>1122</v>
      </c>
      <c r="P391" t="s">
        <v>2947</v>
      </c>
      <c r="R391" t="s">
        <v>1123</v>
      </c>
      <c r="S391" t="s">
        <v>1124</v>
      </c>
      <c r="T391" t="s">
        <v>58</v>
      </c>
      <c r="U391" t="s">
        <v>82</v>
      </c>
      <c r="V391" s="1">
        <v>42686</v>
      </c>
      <c r="W391">
        <v>0</v>
      </c>
      <c r="X391">
        <v>5</v>
      </c>
      <c r="Y391" t="s">
        <v>66</v>
      </c>
      <c r="AA391" t="s">
        <v>42</v>
      </c>
      <c r="AB391" t="s">
        <v>43</v>
      </c>
      <c r="AC391" t="s">
        <v>42</v>
      </c>
    </row>
    <row r="392" spans="1:30" x14ac:dyDescent="0.4">
      <c r="A392" t="s">
        <v>27</v>
      </c>
      <c r="B392">
        <v>3961</v>
      </c>
      <c r="C392" t="s">
        <v>2947</v>
      </c>
      <c r="D392">
        <v>129</v>
      </c>
      <c r="E392" t="s">
        <v>28</v>
      </c>
      <c r="F392" t="s">
        <v>1117</v>
      </c>
      <c r="G392" t="s">
        <v>1118</v>
      </c>
      <c r="H392" t="s">
        <v>1119</v>
      </c>
      <c r="I392" t="s">
        <v>1120</v>
      </c>
      <c r="J392" t="s">
        <v>660</v>
      </c>
      <c r="K392" t="s">
        <v>33</v>
      </c>
      <c r="L392" t="s">
        <v>661</v>
      </c>
      <c r="M392" t="s">
        <v>35</v>
      </c>
      <c r="N392" t="s">
        <v>1121</v>
      </c>
      <c r="O392" t="s">
        <v>1122</v>
      </c>
      <c r="P392" t="s">
        <v>2947</v>
      </c>
      <c r="R392" t="s">
        <v>1123</v>
      </c>
      <c r="S392" t="s">
        <v>1124</v>
      </c>
      <c r="T392" t="s">
        <v>58</v>
      </c>
      <c r="U392" t="s">
        <v>82</v>
      </c>
      <c r="V392" s="1">
        <v>42686</v>
      </c>
      <c r="W392">
        <v>0</v>
      </c>
      <c r="X392">
        <v>6</v>
      </c>
      <c r="Y392" t="s">
        <v>83</v>
      </c>
      <c r="AA392" t="s">
        <v>42</v>
      </c>
      <c r="AB392" t="s">
        <v>43</v>
      </c>
      <c r="AC392" t="s">
        <v>42</v>
      </c>
    </row>
    <row r="393" spans="1:30" x14ac:dyDescent="0.4">
      <c r="A393" t="s">
        <v>27</v>
      </c>
      <c r="B393">
        <v>3961</v>
      </c>
      <c r="C393" t="s">
        <v>2947</v>
      </c>
      <c r="D393">
        <v>129</v>
      </c>
      <c r="E393" t="s">
        <v>28</v>
      </c>
      <c r="F393" t="s">
        <v>1117</v>
      </c>
      <c r="G393" t="s">
        <v>1118</v>
      </c>
      <c r="H393" t="s">
        <v>1119</v>
      </c>
      <c r="I393" t="s">
        <v>1120</v>
      </c>
      <c r="J393" t="s">
        <v>660</v>
      </c>
      <c r="K393" t="s">
        <v>33</v>
      </c>
      <c r="L393" t="s">
        <v>661</v>
      </c>
      <c r="M393" t="s">
        <v>35</v>
      </c>
      <c r="N393" t="s">
        <v>1121</v>
      </c>
      <c r="O393" t="s">
        <v>1122</v>
      </c>
      <c r="P393" t="s">
        <v>2947</v>
      </c>
      <c r="R393" t="s">
        <v>1123</v>
      </c>
      <c r="S393" t="s">
        <v>1124</v>
      </c>
      <c r="T393" t="s">
        <v>58</v>
      </c>
      <c r="U393" t="s">
        <v>82</v>
      </c>
      <c r="V393" s="1">
        <v>42686</v>
      </c>
      <c r="W393">
        <v>0</v>
      </c>
      <c r="X393">
        <v>15</v>
      </c>
      <c r="AA393" t="s">
        <v>42</v>
      </c>
      <c r="AB393" t="s">
        <v>43</v>
      </c>
      <c r="AC393" t="s">
        <v>42</v>
      </c>
    </row>
    <row r="394" spans="1:30" x14ac:dyDescent="0.4">
      <c r="A394" t="s">
        <v>27</v>
      </c>
      <c r="B394">
        <v>3961</v>
      </c>
      <c r="C394" t="s">
        <v>2947</v>
      </c>
      <c r="D394">
        <v>129</v>
      </c>
      <c r="E394" t="s">
        <v>28</v>
      </c>
      <c r="F394" t="s">
        <v>1117</v>
      </c>
      <c r="G394" t="s">
        <v>1118</v>
      </c>
      <c r="H394" t="s">
        <v>1119</v>
      </c>
      <c r="I394" t="s">
        <v>1120</v>
      </c>
      <c r="J394" t="s">
        <v>660</v>
      </c>
      <c r="K394" t="s">
        <v>33</v>
      </c>
      <c r="L394" t="s">
        <v>661</v>
      </c>
      <c r="M394" t="s">
        <v>35</v>
      </c>
      <c r="N394" t="s">
        <v>1121</v>
      </c>
      <c r="O394" t="s">
        <v>1122</v>
      </c>
      <c r="P394" t="s">
        <v>2947</v>
      </c>
      <c r="R394" t="s">
        <v>1123</v>
      </c>
      <c r="S394" t="s">
        <v>1124</v>
      </c>
      <c r="T394" t="s">
        <v>58</v>
      </c>
      <c r="U394" t="s">
        <v>82</v>
      </c>
      <c r="V394" s="1">
        <v>42686</v>
      </c>
      <c r="W394">
        <v>0</v>
      </c>
      <c r="X394">
        <v>17</v>
      </c>
      <c r="AA394" t="s">
        <v>42</v>
      </c>
      <c r="AB394" t="s">
        <v>43</v>
      </c>
      <c r="AC394" t="s">
        <v>42</v>
      </c>
    </row>
    <row r="395" spans="1:30" x14ac:dyDescent="0.4">
      <c r="A395" t="s">
        <v>27</v>
      </c>
      <c r="B395">
        <v>2189</v>
      </c>
      <c r="C395" t="s">
        <v>1130</v>
      </c>
      <c r="E395" t="s">
        <v>28</v>
      </c>
      <c r="F395" t="s">
        <v>950</v>
      </c>
      <c r="G395" t="s">
        <v>1125</v>
      </c>
      <c r="H395" t="s">
        <v>1126</v>
      </c>
      <c r="J395" t="s">
        <v>1127</v>
      </c>
      <c r="K395" t="s">
        <v>495</v>
      </c>
      <c r="L395" t="s">
        <v>1128</v>
      </c>
      <c r="M395" t="s">
        <v>35</v>
      </c>
      <c r="N395">
        <v>7764686809</v>
      </c>
      <c r="O395" t="s">
        <v>1129</v>
      </c>
      <c r="P395" t="s">
        <v>1130</v>
      </c>
      <c r="R395" t="s">
        <v>1131</v>
      </c>
      <c r="S395" t="s">
        <v>1132</v>
      </c>
      <c r="T395" t="s">
        <v>356</v>
      </c>
      <c r="U395" t="s">
        <v>40</v>
      </c>
      <c r="V395" s="1">
        <v>45559</v>
      </c>
      <c r="W395">
        <v>0</v>
      </c>
      <c r="X395">
        <v>0</v>
      </c>
      <c r="Y395" t="s">
        <v>59</v>
      </c>
      <c r="AA395" t="s">
        <v>42</v>
      </c>
      <c r="AB395" t="s">
        <v>43</v>
      </c>
      <c r="AC395" t="s">
        <v>43</v>
      </c>
    </row>
    <row r="396" spans="1:30" x14ac:dyDescent="0.4">
      <c r="A396" t="s">
        <v>27</v>
      </c>
      <c r="B396">
        <v>2189</v>
      </c>
      <c r="C396" t="s">
        <v>1130</v>
      </c>
      <c r="E396" t="s">
        <v>28</v>
      </c>
      <c r="F396" t="s">
        <v>950</v>
      </c>
      <c r="G396" t="s">
        <v>1125</v>
      </c>
      <c r="H396" t="s">
        <v>1126</v>
      </c>
      <c r="J396" t="s">
        <v>1127</v>
      </c>
      <c r="K396" t="s">
        <v>495</v>
      </c>
      <c r="L396" t="s">
        <v>1128</v>
      </c>
      <c r="M396" t="s">
        <v>35</v>
      </c>
      <c r="N396">
        <v>7764686809</v>
      </c>
      <c r="O396" t="s">
        <v>1129</v>
      </c>
      <c r="P396" t="s">
        <v>1130</v>
      </c>
      <c r="R396" t="s">
        <v>1133</v>
      </c>
      <c r="S396" t="s">
        <v>1134</v>
      </c>
      <c r="T396" t="s">
        <v>356</v>
      </c>
      <c r="U396" t="s">
        <v>40</v>
      </c>
      <c r="V396" s="1">
        <v>43925</v>
      </c>
      <c r="W396">
        <v>0</v>
      </c>
      <c r="X396">
        <v>0</v>
      </c>
      <c r="Y396" t="s">
        <v>59</v>
      </c>
      <c r="AA396" t="s">
        <v>42</v>
      </c>
      <c r="AB396" t="s">
        <v>43</v>
      </c>
      <c r="AC396" t="s">
        <v>43</v>
      </c>
    </row>
    <row r="397" spans="1:30" x14ac:dyDescent="0.4">
      <c r="A397" t="s">
        <v>27</v>
      </c>
      <c r="B397">
        <v>1084</v>
      </c>
      <c r="C397" t="s">
        <v>67</v>
      </c>
      <c r="E397" t="s">
        <v>68</v>
      </c>
      <c r="F397" t="s">
        <v>883</v>
      </c>
      <c r="G397" t="s">
        <v>1135</v>
      </c>
      <c r="H397" t="s">
        <v>1136</v>
      </c>
      <c r="I397" t="s">
        <v>468</v>
      </c>
      <c r="J397" t="s">
        <v>50</v>
      </c>
      <c r="K397" t="s">
        <v>51</v>
      </c>
      <c r="L397" t="s">
        <v>1137</v>
      </c>
      <c r="M397" t="s">
        <v>35</v>
      </c>
      <c r="N397">
        <v>441489782506</v>
      </c>
      <c r="O397" t="s">
        <v>1138</v>
      </c>
      <c r="P397" t="s">
        <v>67</v>
      </c>
      <c r="R397" t="s">
        <v>1139</v>
      </c>
      <c r="S397" t="s">
        <v>1140</v>
      </c>
      <c r="T397" t="s">
        <v>94</v>
      </c>
      <c r="U397" t="s">
        <v>82</v>
      </c>
      <c r="V397" s="1">
        <v>41672</v>
      </c>
      <c r="W397">
        <v>0</v>
      </c>
      <c r="X397">
        <v>0</v>
      </c>
      <c r="Y397" t="s">
        <v>59</v>
      </c>
      <c r="AA397" t="s">
        <v>42</v>
      </c>
      <c r="AB397" t="s">
        <v>43</v>
      </c>
      <c r="AC397" t="s">
        <v>43</v>
      </c>
      <c r="AD397" t="s">
        <v>1141</v>
      </c>
    </row>
    <row r="398" spans="1:30" x14ac:dyDescent="0.4">
      <c r="A398" t="s">
        <v>27</v>
      </c>
      <c r="B398">
        <v>1084</v>
      </c>
      <c r="C398" t="s">
        <v>67</v>
      </c>
      <c r="E398" t="s">
        <v>68</v>
      </c>
      <c r="F398" t="s">
        <v>883</v>
      </c>
      <c r="G398" t="s">
        <v>1135</v>
      </c>
      <c r="H398" t="s">
        <v>1136</v>
      </c>
      <c r="I398" t="s">
        <v>468</v>
      </c>
      <c r="J398" t="s">
        <v>50</v>
      </c>
      <c r="K398" t="s">
        <v>51</v>
      </c>
      <c r="L398" t="s">
        <v>1137</v>
      </c>
      <c r="M398" t="s">
        <v>35</v>
      </c>
      <c r="N398">
        <v>441489782506</v>
      </c>
      <c r="O398" t="s">
        <v>1138</v>
      </c>
      <c r="P398" t="s">
        <v>67</v>
      </c>
      <c r="R398" t="s">
        <v>1139</v>
      </c>
      <c r="S398" t="s">
        <v>1140</v>
      </c>
      <c r="T398" t="s">
        <v>94</v>
      </c>
      <c r="U398" t="s">
        <v>82</v>
      </c>
      <c r="V398" s="1">
        <v>41672</v>
      </c>
      <c r="W398">
        <v>0</v>
      </c>
      <c r="X398">
        <v>0</v>
      </c>
      <c r="Y398" t="s">
        <v>59</v>
      </c>
      <c r="AA398" t="s">
        <v>42</v>
      </c>
      <c r="AB398" t="s">
        <v>43</v>
      </c>
      <c r="AC398" t="s">
        <v>43</v>
      </c>
      <c r="AD398" t="s">
        <v>1141</v>
      </c>
    </row>
    <row r="399" spans="1:30" x14ac:dyDescent="0.4">
      <c r="A399" t="s">
        <v>27</v>
      </c>
      <c r="B399">
        <v>1084</v>
      </c>
      <c r="C399" t="s">
        <v>67</v>
      </c>
      <c r="E399" t="s">
        <v>68</v>
      </c>
      <c r="F399" t="s">
        <v>883</v>
      </c>
      <c r="G399" t="s">
        <v>1135</v>
      </c>
      <c r="H399" t="s">
        <v>1136</v>
      </c>
      <c r="I399" t="s">
        <v>468</v>
      </c>
      <c r="J399" t="s">
        <v>50</v>
      </c>
      <c r="K399" t="s">
        <v>51</v>
      </c>
      <c r="L399" t="s">
        <v>1137</v>
      </c>
      <c r="M399" t="s">
        <v>35</v>
      </c>
      <c r="N399">
        <v>441489782506</v>
      </c>
      <c r="O399" t="s">
        <v>1138</v>
      </c>
      <c r="P399" t="s">
        <v>67</v>
      </c>
      <c r="R399" t="s">
        <v>1142</v>
      </c>
      <c r="S399" t="s">
        <v>1143</v>
      </c>
      <c r="T399" t="s">
        <v>94</v>
      </c>
      <c r="U399" t="s">
        <v>40</v>
      </c>
      <c r="V399" s="1">
        <v>45279</v>
      </c>
      <c r="W399">
        <v>0</v>
      </c>
      <c r="X399">
        <v>0</v>
      </c>
      <c r="Y399" t="s">
        <v>59</v>
      </c>
      <c r="AA399" t="s">
        <v>42</v>
      </c>
      <c r="AB399" t="s">
        <v>43</v>
      </c>
      <c r="AC399" t="s">
        <v>43</v>
      </c>
      <c r="AD399" t="s">
        <v>1141</v>
      </c>
    </row>
    <row r="400" spans="1:30" x14ac:dyDescent="0.4">
      <c r="A400" t="s">
        <v>27</v>
      </c>
      <c r="B400">
        <v>1084</v>
      </c>
      <c r="C400" t="s">
        <v>67</v>
      </c>
      <c r="E400" t="s">
        <v>68</v>
      </c>
      <c r="F400" t="s">
        <v>883</v>
      </c>
      <c r="G400" t="s">
        <v>1135</v>
      </c>
      <c r="H400" t="s">
        <v>1136</v>
      </c>
      <c r="I400" t="s">
        <v>468</v>
      </c>
      <c r="J400" t="s">
        <v>50</v>
      </c>
      <c r="K400" t="s">
        <v>51</v>
      </c>
      <c r="L400" t="s">
        <v>1137</v>
      </c>
      <c r="M400" t="s">
        <v>35</v>
      </c>
      <c r="N400">
        <v>441489782506</v>
      </c>
      <c r="O400" t="s">
        <v>1138</v>
      </c>
      <c r="P400" t="s">
        <v>67</v>
      </c>
      <c r="R400" t="s">
        <v>1144</v>
      </c>
      <c r="S400" t="s">
        <v>1145</v>
      </c>
      <c r="T400" t="s">
        <v>94</v>
      </c>
      <c r="U400" t="s">
        <v>40</v>
      </c>
      <c r="V400" s="1">
        <v>44374</v>
      </c>
      <c r="W400">
        <v>0</v>
      </c>
      <c r="X400">
        <v>0</v>
      </c>
      <c r="Y400" t="s">
        <v>59</v>
      </c>
      <c r="AA400" t="s">
        <v>42</v>
      </c>
      <c r="AB400" t="s">
        <v>43</v>
      </c>
      <c r="AC400" t="s">
        <v>43</v>
      </c>
      <c r="AD400" t="s">
        <v>1141</v>
      </c>
    </row>
    <row r="401" spans="1:31" x14ac:dyDescent="0.4">
      <c r="A401" t="s">
        <v>27</v>
      </c>
      <c r="B401">
        <v>1084</v>
      </c>
      <c r="C401" t="s">
        <v>67</v>
      </c>
      <c r="D401">
        <v>130</v>
      </c>
      <c r="E401" t="s">
        <v>68</v>
      </c>
      <c r="F401" t="s">
        <v>883</v>
      </c>
      <c r="G401" t="s">
        <v>1135</v>
      </c>
      <c r="H401" t="s">
        <v>1136</v>
      </c>
      <c r="I401" t="s">
        <v>468</v>
      </c>
      <c r="J401" t="s">
        <v>50</v>
      </c>
      <c r="K401" t="s">
        <v>51</v>
      </c>
      <c r="L401" t="s">
        <v>1137</v>
      </c>
      <c r="M401" t="s">
        <v>35</v>
      </c>
      <c r="N401">
        <v>441489782506</v>
      </c>
      <c r="O401" t="s">
        <v>1138</v>
      </c>
      <c r="P401" t="s">
        <v>67</v>
      </c>
      <c r="R401" t="s">
        <v>3050</v>
      </c>
      <c r="S401" t="s">
        <v>1143</v>
      </c>
      <c r="T401" t="s">
        <v>94</v>
      </c>
      <c r="U401" t="s">
        <v>40</v>
      </c>
      <c r="V401" s="1">
        <v>45279</v>
      </c>
      <c r="W401">
        <v>0</v>
      </c>
      <c r="X401">
        <v>4</v>
      </c>
      <c r="Y401" t="s">
        <v>65</v>
      </c>
      <c r="AA401" t="s">
        <v>42</v>
      </c>
      <c r="AB401" t="s">
        <v>43</v>
      </c>
      <c r="AC401" t="s">
        <v>43</v>
      </c>
      <c r="AE401" t="s">
        <v>1141</v>
      </c>
    </row>
    <row r="402" spans="1:31" x14ac:dyDescent="0.4">
      <c r="A402" t="s">
        <v>27</v>
      </c>
      <c r="B402">
        <v>1084</v>
      </c>
      <c r="C402" t="s">
        <v>67</v>
      </c>
      <c r="D402">
        <v>131</v>
      </c>
      <c r="E402" t="s">
        <v>68</v>
      </c>
      <c r="F402" t="s">
        <v>883</v>
      </c>
      <c r="G402" t="s">
        <v>1135</v>
      </c>
      <c r="H402" t="s">
        <v>1136</v>
      </c>
      <c r="I402" t="s">
        <v>468</v>
      </c>
      <c r="J402" t="s">
        <v>50</v>
      </c>
      <c r="K402" t="s">
        <v>51</v>
      </c>
      <c r="L402" t="s">
        <v>1137</v>
      </c>
      <c r="M402" t="s">
        <v>35</v>
      </c>
      <c r="N402">
        <v>441489782506</v>
      </c>
      <c r="O402" t="s">
        <v>1138</v>
      </c>
      <c r="P402" t="s">
        <v>67</v>
      </c>
      <c r="R402" t="s">
        <v>1144</v>
      </c>
      <c r="S402" t="s">
        <v>1145</v>
      </c>
      <c r="T402" t="s">
        <v>94</v>
      </c>
      <c r="U402" t="s">
        <v>40</v>
      </c>
      <c r="V402" s="1">
        <v>44374</v>
      </c>
      <c r="W402">
        <v>0</v>
      </c>
      <c r="X402">
        <v>7</v>
      </c>
      <c r="AA402" t="s">
        <v>42</v>
      </c>
      <c r="AB402" t="s">
        <v>43</v>
      </c>
      <c r="AC402" t="s">
        <v>43</v>
      </c>
      <c r="AE402" t="s">
        <v>1141</v>
      </c>
    </row>
    <row r="403" spans="1:31" ht="112" x14ac:dyDescent="0.4">
      <c r="A403" t="s">
        <v>27</v>
      </c>
      <c r="B403">
        <v>299</v>
      </c>
      <c r="C403" t="s">
        <v>2863</v>
      </c>
      <c r="E403" t="s">
        <v>257</v>
      </c>
      <c r="F403" t="s">
        <v>1146</v>
      </c>
      <c r="G403" t="s">
        <v>1147</v>
      </c>
      <c r="H403" t="s">
        <v>1148</v>
      </c>
      <c r="I403" t="s">
        <v>1149</v>
      </c>
      <c r="J403" t="s">
        <v>1150</v>
      </c>
      <c r="K403" t="s">
        <v>189</v>
      </c>
      <c r="L403" t="s">
        <v>1151</v>
      </c>
      <c r="M403" t="s">
        <v>35</v>
      </c>
      <c r="N403">
        <v>1277210228</v>
      </c>
      <c r="O403" t="s">
        <v>1152</v>
      </c>
      <c r="P403" t="s">
        <v>229</v>
      </c>
      <c r="R403" t="s">
        <v>1153</v>
      </c>
      <c r="S403" t="s">
        <v>1154</v>
      </c>
      <c r="T403" t="s">
        <v>284</v>
      </c>
      <c r="U403" t="s">
        <v>40</v>
      </c>
      <c r="V403" s="1">
        <v>43648</v>
      </c>
      <c r="W403">
        <v>0</v>
      </c>
      <c r="X403">
        <v>0</v>
      </c>
      <c r="Y403" t="s">
        <v>59</v>
      </c>
      <c r="Z403" t="s">
        <v>1155</v>
      </c>
      <c r="AA403" t="s">
        <v>42</v>
      </c>
      <c r="AB403" t="s">
        <v>43</v>
      </c>
      <c r="AC403" t="s">
        <v>43</v>
      </c>
      <c r="AD403" s="2" t="s">
        <v>1156</v>
      </c>
    </row>
    <row r="404" spans="1:31" ht="112" x14ac:dyDescent="0.4">
      <c r="A404" t="s">
        <v>27</v>
      </c>
      <c r="B404">
        <v>299</v>
      </c>
      <c r="C404" t="s">
        <v>2863</v>
      </c>
      <c r="E404" t="s">
        <v>257</v>
      </c>
      <c r="F404" t="s">
        <v>1146</v>
      </c>
      <c r="G404" t="s">
        <v>1147</v>
      </c>
      <c r="H404" t="s">
        <v>1148</v>
      </c>
      <c r="I404" t="s">
        <v>1149</v>
      </c>
      <c r="J404" t="s">
        <v>1150</v>
      </c>
      <c r="K404" t="s">
        <v>189</v>
      </c>
      <c r="L404" t="s">
        <v>1151</v>
      </c>
      <c r="M404" t="s">
        <v>35</v>
      </c>
      <c r="N404">
        <v>1277210228</v>
      </c>
      <c r="O404" t="s">
        <v>1152</v>
      </c>
      <c r="P404" t="s">
        <v>229</v>
      </c>
      <c r="R404" t="s">
        <v>1157</v>
      </c>
      <c r="S404" t="s">
        <v>1158</v>
      </c>
      <c r="T404" t="s">
        <v>376</v>
      </c>
      <c r="U404" t="s">
        <v>82</v>
      </c>
      <c r="V404" s="1">
        <v>41627</v>
      </c>
      <c r="W404">
        <v>0</v>
      </c>
      <c r="X404">
        <v>0</v>
      </c>
      <c r="Y404" t="s">
        <v>59</v>
      </c>
      <c r="Z404" t="s">
        <v>1155</v>
      </c>
      <c r="AA404" t="s">
        <v>42</v>
      </c>
      <c r="AB404" t="s">
        <v>43</v>
      </c>
      <c r="AC404" t="s">
        <v>43</v>
      </c>
      <c r="AD404" s="2" t="s">
        <v>1156</v>
      </c>
    </row>
    <row r="405" spans="1:31" ht="112" x14ac:dyDescent="0.4">
      <c r="A405" t="s">
        <v>27</v>
      </c>
      <c r="B405">
        <v>299</v>
      </c>
      <c r="C405" t="s">
        <v>2863</v>
      </c>
      <c r="E405" t="s">
        <v>257</v>
      </c>
      <c r="F405" t="s">
        <v>1146</v>
      </c>
      <c r="G405" t="s">
        <v>1147</v>
      </c>
      <c r="H405" t="s">
        <v>1148</v>
      </c>
      <c r="I405" t="s">
        <v>1149</v>
      </c>
      <c r="J405" t="s">
        <v>1150</v>
      </c>
      <c r="K405" t="s">
        <v>189</v>
      </c>
      <c r="L405" t="s">
        <v>1151</v>
      </c>
      <c r="M405" t="s">
        <v>35</v>
      </c>
      <c r="N405">
        <v>1277210228</v>
      </c>
      <c r="O405" t="s">
        <v>1152</v>
      </c>
      <c r="P405" t="s">
        <v>229</v>
      </c>
      <c r="R405" t="s">
        <v>1153</v>
      </c>
      <c r="S405" t="s">
        <v>1154</v>
      </c>
      <c r="T405" t="s">
        <v>284</v>
      </c>
      <c r="U405" t="s">
        <v>40</v>
      </c>
      <c r="V405" s="1">
        <v>43648</v>
      </c>
      <c r="W405">
        <v>0</v>
      </c>
      <c r="X405">
        <v>0</v>
      </c>
      <c r="Y405" t="s">
        <v>59</v>
      </c>
      <c r="Z405" t="s">
        <v>1155</v>
      </c>
      <c r="AA405" t="s">
        <v>42</v>
      </c>
      <c r="AB405" t="s">
        <v>43</v>
      </c>
      <c r="AC405" t="s">
        <v>43</v>
      </c>
      <c r="AD405" s="2" t="s">
        <v>1156</v>
      </c>
    </row>
    <row r="406" spans="1:31" ht="112" x14ac:dyDescent="0.4">
      <c r="A406" t="s">
        <v>27</v>
      </c>
      <c r="B406">
        <v>299</v>
      </c>
      <c r="C406" t="s">
        <v>2863</v>
      </c>
      <c r="E406" t="s">
        <v>257</v>
      </c>
      <c r="F406" t="s">
        <v>1146</v>
      </c>
      <c r="G406" t="s">
        <v>1147</v>
      </c>
      <c r="H406" t="s">
        <v>1148</v>
      </c>
      <c r="I406" t="s">
        <v>1149</v>
      </c>
      <c r="J406" t="s">
        <v>1150</v>
      </c>
      <c r="K406" t="s">
        <v>189</v>
      </c>
      <c r="L406" t="s">
        <v>1151</v>
      </c>
      <c r="M406" t="s">
        <v>35</v>
      </c>
      <c r="N406">
        <v>1277210228</v>
      </c>
      <c r="O406" t="s">
        <v>1152</v>
      </c>
      <c r="P406" t="s">
        <v>229</v>
      </c>
      <c r="R406" t="s">
        <v>1157</v>
      </c>
      <c r="S406" t="s">
        <v>1158</v>
      </c>
      <c r="T406" t="s">
        <v>376</v>
      </c>
      <c r="U406" t="s">
        <v>82</v>
      </c>
      <c r="V406" s="1">
        <v>41627</v>
      </c>
      <c r="W406">
        <v>0</v>
      </c>
      <c r="X406">
        <v>0</v>
      </c>
      <c r="Y406" t="s">
        <v>59</v>
      </c>
      <c r="Z406" t="s">
        <v>1155</v>
      </c>
      <c r="AA406" t="s">
        <v>42</v>
      </c>
      <c r="AB406" t="s">
        <v>43</v>
      </c>
      <c r="AC406" t="s">
        <v>43</v>
      </c>
      <c r="AD406" s="2" t="s">
        <v>1156</v>
      </c>
    </row>
    <row r="407" spans="1:31" ht="320" x14ac:dyDescent="0.4">
      <c r="A407" t="s">
        <v>27</v>
      </c>
      <c r="B407">
        <v>299</v>
      </c>
      <c r="C407" t="s">
        <v>2863</v>
      </c>
      <c r="D407">
        <v>132</v>
      </c>
      <c r="E407" t="s">
        <v>257</v>
      </c>
      <c r="F407" t="s">
        <v>1146</v>
      </c>
      <c r="G407" t="s">
        <v>1147</v>
      </c>
      <c r="H407" t="s">
        <v>1148</v>
      </c>
      <c r="I407" t="s">
        <v>1149</v>
      </c>
      <c r="J407" t="s">
        <v>1150</v>
      </c>
      <c r="K407" t="s">
        <v>189</v>
      </c>
      <c r="L407" t="s">
        <v>1151</v>
      </c>
      <c r="M407" t="s">
        <v>35</v>
      </c>
      <c r="N407">
        <v>1277210228</v>
      </c>
      <c r="O407" t="s">
        <v>1152</v>
      </c>
      <c r="P407" t="s">
        <v>2863</v>
      </c>
      <c r="R407" t="s">
        <v>1159</v>
      </c>
      <c r="S407" t="s">
        <v>1160</v>
      </c>
      <c r="T407" t="s">
        <v>94</v>
      </c>
      <c r="U407" t="s">
        <v>82</v>
      </c>
      <c r="V407" s="1">
        <v>44811</v>
      </c>
      <c r="W407">
        <v>0</v>
      </c>
      <c r="X407">
        <v>4</v>
      </c>
      <c r="Y407" t="s">
        <v>65</v>
      </c>
      <c r="Z407" t="s">
        <v>1155</v>
      </c>
      <c r="AA407" t="s">
        <v>42</v>
      </c>
      <c r="AB407" t="s">
        <v>43</v>
      </c>
      <c r="AC407" t="s">
        <v>43</v>
      </c>
      <c r="AE407" s="2" t="s">
        <v>1156</v>
      </c>
    </row>
    <row r="408" spans="1:31" ht="320" x14ac:dyDescent="0.4">
      <c r="A408" t="s">
        <v>27</v>
      </c>
      <c r="B408">
        <v>299</v>
      </c>
      <c r="C408" t="s">
        <v>2863</v>
      </c>
      <c r="D408">
        <v>132</v>
      </c>
      <c r="E408" t="s">
        <v>257</v>
      </c>
      <c r="F408" t="s">
        <v>1146</v>
      </c>
      <c r="G408" t="s">
        <v>1147</v>
      </c>
      <c r="H408" t="s">
        <v>1148</v>
      </c>
      <c r="I408" t="s">
        <v>1149</v>
      </c>
      <c r="J408" t="s">
        <v>1150</v>
      </c>
      <c r="K408" t="s">
        <v>189</v>
      </c>
      <c r="L408" t="s">
        <v>1151</v>
      </c>
      <c r="M408" t="s">
        <v>35</v>
      </c>
      <c r="N408">
        <v>1277210228</v>
      </c>
      <c r="O408" t="s">
        <v>1152</v>
      </c>
      <c r="P408" t="s">
        <v>2863</v>
      </c>
      <c r="R408" t="s">
        <v>1159</v>
      </c>
      <c r="S408" t="s">
        <v>1160</v>
      </c>
      <c r="T408" t="s">
        <v>94</v>
      </c>
      <c r="U408" t="s">
        <v>82</v>
      </c>
      <c r="V408" s="1">
        <v>44811</v>
      </c>
      <c r="W408">
        <v>0</v>
      </c>
      <c r="X408">
        <v>5</v>
      </c>
      <c r="Y408" t="s">
        <v>66</v>
      </c>
      <c r="Z408" t="s">
        <v>1155</v>
      </c>
      <c r="AA408" t="s">
        <v>42</v>
      </c>
      <c r="AB408" t="s">
        <v>43</v>
      </c>
      <c r="AC408" t="s">
        <v>43</v>
      </c>
      <c r="AE408" s="2" t="s">
        <v>1156</v>
      </c>
    </row>
    <row r="409" spans="1:31" ht="320" x14ac:dyDescent="0.4">
      <c r="A409" t="s">
        <v>27</v>
      </c>
      <c r="B409">
        <v>299</v>
      </c>
      <c r="C409" t="s">
        <v>2863</v>
      </c>
      <c r="D409">
        <v>132</v>
      </c>
      <c r="E409" t="s">
        <v>257</v>
      </c>
      <c r="F409" t="s">
        <v>1146</v>
      </c>
      <c r="G409" t="s">
        <v>1147</v>
      </c>
      <c r="H409" t="s">
        <v>1148</v>
      </c>
      <c r="I409" t="s">
        <v>1149</v>
      </c>
      <c r="J409" t="s">
        <v>1150</v>
      </c>
      <c r="K409" t="s">
        <v>189</v>
      </c>
      <c r="L409" t="s">
        <v>1151</v>
      </c>
      <c r="M409" t="s">
        <v>35</v>
      </c>
      <c r="N409">
        <v>1277210228</v>
      </c>
      <c r="O409" t="s">
        <v>1152</v>
      </c>
      <c r="P409" t="s">
        <v>2863</v>
      </c>
      <c r="R409" t="s">
        <v>1159</v>
      </c>
      <c r="S409" t="s">
        <v>1160</v>
      </c>
      <c r="T409" t="s">
        <v>94</v>
      </c>
      <c r="U409" t="s">
        <v>82</v>
      </c>
      <c r="V409" s="1">
        <v>44811</v>
      </c>
      <c r="W409">
        <v>0</v>
      </c>
      <c r="X409">
        <v>13</v>
      </c>
      <c r="Z409" t="s">
        <v>1155</v>
      </c>
      <c r="AA409" t="s">
        <v>42</v>
      </c>
      <c r="AB409" t="s">
        <v>43</v>
      </c>
      <c r="AC409" t="s">
        <v>43</v>
      </c>
      <c r="AE409" s="2" t="s">
        <v>1156</v>
      </c>
    </row>
    <row r="410" spans="1:31" ht="320" x14ac:dyDescent="0.4">
      <c r="A410" t="s">
        <v>27</v>
      </c>
      <c r="B410">
        <v>299</v>
      </c>
      <c r="C410" t="s">
        <v>2863</v>
      </c>
      <c r="D410">
        <v>132</v>
      </c>
      <c r="E410" t="s">
        <v>257</v>
      </c>
      <c r="F410" t="s">
        <v>1146</v>
      </c>
      <c r="G410" t="s">
        <v>1147</v>
      </c>
      <c r="H410" t="s">
        <v>1148</v>
      </c>
      <c r="I410" t="s">
        <v>1149</v>
      </c>
      <c r="J410" t="s">
        <v>1150</v>
      </c>
      <c r="K410" t="s">
        <v>189</v>
      </c>
      <c r="L410" t="s">
        <v>1151</v>
      </c>
      <c r="M410" t="s">
        <v>35</v>
      </c>
      <c r="N410">
        <v>1277210228</v>
      </c>
      <c r="O410" t="s">
        <v>1152</v>
      </c>
      <c r="P410" t="s">
        <v>2863</v>
      </c>
      <c r="R410" t="s">
        <v>1159</v>
      </c>
      <c r="S410" t="s">
        <v>1160</v>
      </c>
      <c r="T410" t="s">
        <v>94</v>
      </c>
      <c r="U410" t="s">
        <v>82</v>
      </c>
      <c r="V410" s="1">
        <v>44811</v>
      </c>
      <c r="W410">
        <v>0</v>
      </c>
      <c r="X410">
        <v>15</v>
      </c>
      <c r="Z410" t="s">
        <v>1155</v>
      </c>
      <c r="AA410" t="s">
        <v>42</v>
      </c>
      <c r="AB410" t="s">
        <v>43</v>
      </c>
      <c r="AC410" t="s">
        <v>43</v>
      </c>
      <c r="AE410" s="2" t="s">
        <v>1156</v>
      </c>
    </row>
    <row r="411" spans="1:31" x14ac:dyDescent="0.4">
      <c r="A411" t="s">
        <v>27</v>
      </c>
      <c r="B411">
        <v>295</v>
      </c>
      <c r="C411" t="s">
        <v>297</v>
      </c>
      <c r="E411" t="s">
        <v>28</v>
      </c>
      <c r="F411" t="s">
        <v>1161</v>
      </c>
      <c r="G411" t="s">
        <v>1162</v>
      </c>
      <c r="H411" t="s">
        <v>1163</v>
      </c>
      <c r="J411" t="s">
        <v>1164</v>
      </c>
      <c r="K411" t="s">
        <v>426</v>
      </c>
      <c r="L411" t="s">
        <v>1165</v>
      </c>
      <c r="M411" t="s">
        <v>35</v>
      </c>
      <c r="N411" t="s">
        <v>1166</v>
      </c>
      <c r="O411" t="s">
        <v>1167</v>
      </c>
      <c r="P411" t="s">
        <v>1168</v>
      </c>
      <c r="R411" t="s">
        <v>1169</v>
      </c>
      <c r="S411" t="s">
        <v>1170</v>
      </c>
      <c r="T411" t="s">
        <v>94</v>
      </c>
      <c r="U411" t="s">
        <v>40</v>
      </c>
      <c r="V411" s="1">
        <v>41370</v>
      </c>
      <c r="W411">
        <v>0</v>
      </c>
      <c r="X411">
        <v>0</v>
      </c>
      <c r="Y411" t="s">
        <v>59</v>
      </c>
      <c r="AA411" t="s">
        <v>42</v>
      </c>
      <c r="AB411" t="s">
        <v>43</v>
      </c>
      <c r="AC411" t="s">
        <v>42</v>
      </c>
    </row>
    <row r="412" spans="1:31" x14ac:dyDescent="0.4">
      <c r="A412" t="s">
        <v>27</v>
      </c>
      <c r="B412">
        <v>295</v>
      </c>
      <c r="C412" t="s">
        <v>297</v>
      </c>
      <c r="E412" t="s">
        <v>28</v>
      </c>
      <c r="F412" t="s">
        <v>1161</v>
      </c>
      <c r="G412" t="s">
        <v>1162</v>
      </c>
      <c r="H412" t="s">
        <v>1163</v>
      </c>
      <c r="J412" t="s">
        <v>1164</v>
      </c>
      <c r="K412" t="s">
        <v>426</v>
      </c>
      <c r="L412" t="s">
        <v>1165</v>
      </c>
      <c r="M412" t="s">
        <v>35</v>
      </c>
      <c r="N412" t="s">
        <v>1166</v>
      </c>
      <c r="O412" t="s">
        <v>1167</v>
      </c>
      <c r="P412" t="s">
        <v>1168</v>
      </c>
      <c r="R412" t="s">
        <v>1171</v>
      </c>
      <c r="S412" t="s">
        <v>1172</v>
      </c>
      <c r="T412" t="s">
        <v>58</v>
      </c>
      <c r="U412" t="s">
        <v>40</v>
      </c>
      <c r="V412" s="1">
        <v>45630</v>
      </c>
      <c r="W412">
        <v>0</v>
      </c>
      <c r="X412">
        <v>0</v>
      </c>
      <c r="Y412" t="s">
        <v>59</v>
      </c>
      <c r="AA412" t="s">
        <v>42</v>
      </c>
      <c r="AB412" t="s">
        <v>43</v>
      </c>
      <c r="AC412" t="s">
        <v>42</v>
      </c>
    </row>
    <row r="413" spans="1:31" x14ac:dyDescent="0.4">
      <c r="A413" t="s">
        <v>27</v>
      </c>
      <c r="B413">
        <v>295</v>
      </c>
      <c r="C413" t="s">
        <v>297</v>
      </c>
      <c r="D413">
        <v>133</v>
      </c>
      <c r="E413" t="s">
        <v>28</v>
      </c>
      <c r="F413" t="s">
        <v>1161</v>
      </c>
      <c r="G413" t="s">
        <v>1162</v>
      </c>
      <c r="H413" t="s">
        <v>1163</v>
      </c>
      <c r="J413" t="s">
        <v>1164</v>
      </c>
      <c r="K413" t="s">
        <v>426</v>
      </c>
      <c r="L413" t="s">
        <v>1165</v>
      </c>
      <c r="M413" t="s">
        <v>35</v>
      </c>
      <c r="N413" t="s">
        <v>1166</v>
      </c>
      <c r="O413" t="s">
        <v>1167</v>
      </c>
      <c r="P413" t="s">
        <v>297</v>
      </c>
      <c r="R413" t="s">
        <v>1173</v>
      </c>
      <c r="S413" t="s">
        <v>1174</v>
      </c>
      <c r="T413" t="s">
        <v>58</v>
      </c>
      <c r="U413" t="s">
        <v>40</v>
      </c>
      <c r="V413" s="1">
        <v>42805</v>
      </c>
      <c r="W413">
        <v>0</v>
      </c>
      <c r="X413">
        <v>7</v>
      </c>
      <c r="AA413" t="s">
        <v>42</v>
      </c>
      <c r="AB413" t="s">
        <v>43</v>
      </c>
      <c r="AC413" t="s">
        <v>42</v>
      </c>
    </row>
    <row r="414" spans="1:31" x14ac:dyDescent="0.4">
      <c r="A414" t="s">
        <v>27</v>
      </c>
      <c r="B414">
        <v>295</v>
      </c>
      <c r="C414" t="s">
        <v>297</v>
      </c>
      <c r="E414" t="s">
        <v>28</v>
      </c>
      <c r="F414" t="s">
        <v>1161</v>
      </c>
      <c r="G414" t="s">
        <v>1162</v>
      </c>
      <c r="H414" t="s">
        <v>1163</v>
      </c>
      <c r="J414" t="s">
        <v>1164</v>
      </c>
      <c r="K414" t="s">
        <v>426</v>
      </c>
      <c r="L414" t="s">
        <v>1165</v>
      </c>
      <c r="M414" t="s">
        <v>35</v>
      </c>
      <c r="N414" t="s">
        <v>1166</v>
      </c>
      <c r="O414" t="s">
        <v>1167</v>
      </c>
      <c r="P414" t="s">
        <v>1168</v>
      </c>
      <c r="R414" t="s">
        <v>1169</v>
      </c>
      <c r="S414" t="s">
        <v>1170</v>
      </c>
      <c r="T414" t="s">
        <v>94</v>
      </c>
      <c r="U414" t="s">
        <v>40</v>
      </c>
      <c r="V414" s="1">
        <v>41370</v>
      </c>
      <c r="W414">
        <v>0</v>
      </c>
      <c r="X414">
        <v>0</v>
      </c>
      <c r="Y414" t="s">
        <v>59</v>
      </c>
      <c r="AA414" t="s">
        <v>42</v>
      </c>
      <c r="AB414" t="s">
        <v>43</v>
      </c>
      <c r="AC414" t="s">
        <v>42</v>
      </c>
    </row>
    <row r="415" spans="1:31" x14ac:dyDescent="0.4">
      <c r="A415" t="s">
        <v>27</v>
      </c>
      <c r="B415">
        <v>295</v>
      </c>
      <c r="C415" t="s">
        <v>297</v>
      </c>
      <c r="E415" t="s">
        <v>28</v>
      </c>
      <c r="F415" t="s">
        <v>1161</v>
      </c>
      <c r="G415" t="s">
        <v>1162</v>
      </c>
      <c r="H415" t="s">
        <v>1163</v>
      </c>
      <c r="J415" t="s">
        <v>1164</v>
      </c>
      <c r="K415" t="s">
        <v>426</v>
      </c>
      <c r="L415" t="s">
        <v>1165</v>
      </c>
      <c r="M415" t="s">
        <v>35</v>
      </c>
      <c r="N415" t="s">
        <v>1166</v>
      </c>
      <c r="O415" t="s">
        <v>1167</v>
      </c>
      <c r="P415" t="s">
        <v>1168</v>
      </c>
      <c r="R415" t="s">
        <v>1171</v>
      </c>
      <c r="S415" t="s">
        <v>1172</v>
      </c>
      <c r="T415" t="s">
        <v>58</v>
      </c>
      <c r="U415" t="s">
        <v>40</v>
      </c>
      <c r="V415" s="1">
        <v>45630</v>
      </c>
      <c r="W415">
        <v>0</v>
      </c>
      <c r="X415">
        <v>0</v>
      </c>
      <c r="Y415" t="s">
        <v>59</v>
      </c>
      <c r="AA415" t="s">
        <v>42</v>
      </c>
      <c r="AB415" t="s">
        <v>43</v>
      </c>
      <c r="AC415" t="s">
        <v>42</v>
      </c>
    </row>
    <row r="416" spans="1:31" x14ac:dyDescent="0.4">
      <c r="A416" t="s">
        <v>27</v>
      </c>
      <c r="B416">
        <v>295</v>
      </c>
      <c r="C416" t="s">
        <v>297</v>
      </c>
      <c r="E416" t="s">
        <v>28</v>
      </c>
      <c r="F416" t="s">
        <v>1161</v>
      </c>
      <c r="G416" t="s">
        <v>1162</v>
      </c>
      <c r="H416" t="s">
        <v>1163</v>
      </c>
      <c r="J416" t="s">
        <v>1164</v>
      </c>
      <c r="K416" t="s">
        <v>426</v>
      </c>
      <c r="L416" t="s">
        <v>1165</v>
      </c>
      <c r="M416" t="s">
        <v>35</v>
      </c>
      <c r="N416" t="s">
        <v>1166</v>
      </c>
      <c r="O416" t="s">
        <v>1167</v>
      </c>
      <c r="P416" t="s">
        <v>1168</v>
      </c>
      <c r="R416" t="s">
        <v>1173</v>
      </c>
      <c r="S416" t="s">
        <v>1174</v>
      </c>
      <c r="T416" t="s">
        <v>58</v>
      </c>
      <c r="U416" t="s">
        <v>40</v>
      </c>
      <c r="V416" s="1">
        <v>42805</v>
      </c>
      <c r="W416">
        <v>0</v>
      </c>
      <c r="X416">
        <v>0</v>
      </c>
      <c r="Y416" t="s">
        <v>59</v>
      </c>
      <c r="AA416" t="s">
        <v>42</v>
      </c>
      <c r="AB416" t="s">
        <v>43</v>
      </c>
      <c r="AC416" t="s">
        <v>42</v>
      </c>
    </row>
    <row r="417" spans="1:31" x14ac:dyDescent="0.4">
      <c r="A417" t="s">
        <v>27</v>
      </c>
      <c r="B417">
        <v>419</v>
      </c>
      <c r="C417" t="s">
        <v>2948</v>
      </c>
      <c r="E417" t="s">
        <v>195</v>
      </c>
      <c r="F417" t="s">
        <v>1175</v>
      </c>
      <c r="G417" t="s">
        <v>1176</v>
      </c>
      <c r="H417" t="s">
        <v>1177</v>
      </c>
      <c r="J417" t="s">
        <v>886</v>
      </c>
      <c r="K417" t="s">
        <v>330</v>
      </c>
      <c r="L417" t="s">
        <v>1178</v>
      </c>
      <c r="M417" t="s">
        <v>35</v>
      </c>
      <c r="N417">
        <v>7949196156</v>
      </c>
      <c r="O417" t="s">
        <v>1179</v>
      </c>
      <c r="P417" t="s">
        <v>1180</v>
      </c>
      <c r="R417" t="s">
        <v>1181</v>
      </c>
      <c r="S417" t="s">
        <v>1182</v>
      </c>
      <c r="T417" t="s">
        <v>284</v>
      </c>
      <c r="U417" t="s">
        <v>82</v>
      </c>
      <c r="V417" s="1">
        <v>42534</v>
      </c>
      <c r="W417">
        <v>0</v>
      </c>
      <c r="X417">
        <v>0</v>
      </c>
      <c r="Y417" t="s">
        <v>59</v>
      </c>
      <c r="AA417" t="s">
        <v>42</v>
      </c>
      <c r="AB417" t="s">
        <v>43</v>
      </c>
      <c r="AC417" t="s">
        <v>43</v>
      </c>
    </row>
    <row r="418" spans="1:31" x14ac:dyDescent="0.4">
      <c r="A418" t="s">
        <v>27</v>
      </c>
      <c r="B418">
        <v>419</v>
      </c>
      <c r="C418" t="s">
        <v>2948</v>
      </c>
      <c r="E418" t="s">
        <v>195</v>
      </c>
      <c r="F418" t="s">
        <v>1175</v>
      </c>
      <c r="G418" t="s">
        <v>1176</v>
      </c>
      <c r="H418" t="s">
        <v>1177</v>
      </c>
      <c r="J418" t="s">
        <v>886</v>
      </c>
      <c r="K418" t="s">
        <v>330</v>
      </c>
      <c r="L418" t="s">
        <v>1178</v>
      </c>
      <c r="M418" t="s">
        <v>35</v>
      </c>
      <c r="N418">
        <v>7949196156</v>
      </c>
      <c r="O418" t="s">
        <v>1179</v>
      </c>
      <c r="P418" t="s">
        <v>1180</v>
      </c>
      <c r="R418" t="s">
        <v>1183</v>
      </c>
      <c r="S418" t="s">
        <v>1184</v>
      </c>
      <c r="T418" t="s">
        <v>580</v>
      </c>
      <c r="U418" t="s">
        <v>40</v>
      </c>
      <c r="V418" s="1">
        <v>45132</v>
      </c>
      <c r="W418">
        <v>0</v>
      </c>
      <c r="X418">
        <v>0</v>
      </c>
      <c r="Y418" t="s">
        <v>59</v>
      </c>
      <c r="AA418" t="s">
        <v>42</v>
      </c>
      <c r="AB418" t="s">
        <v>43</v>
      </c>
      <c r="AC418" t="s">
        <v>43</v>
      </c>
    </row>
    <row r="419" spans="1:31" x14ac:dyDescent="0.4">
      <c r="A419" t="s">
        <v>27</v>
      </c>
      <c r="B419">
        <v>419</v>
      </c>
      <c r="C419" t="s">
        <v>2948</v>
      </c>
      <c r="E419" t="s">
        <v>195</v>
      </c>
      <c r="F419" t="s">
        <v>1175</v>
      </c>
      <c r="G419" t="s">
        <v>1176</v>
      </c>
      <c r="H419" t="s">
        <v>1177</v>
      </c>
      <c r="J419" t="s">
        <v>886</v>
      </c>
      <c r="K419" t="s">
        <v>330</v>
      </c>
      <c r="L419" t="s">
        <v>1178</v>
      </c>
      <c r="M419" t="s">
        <v>35</v>
      </c>
      <c r="N419">
        <v>7949196156</v>
      </c>
      <c r="O419" t="s">
        <v>1179</v>
      </c>
      <c r="P419" t="s">
        <v>1180</v>
      </c>
      <c r="R419" t="s">
        <v>1181</v>
      </c>
      <c r="S419" t="s">
        <v>1182</v>
      </c>
      <c r="T419" t="s">
        <v>284</v>
      </c>
      <c r="U419" t="s">
        <v>82</v>
      </c>
      <c r="V419" s="1">
        <v>42534</v>
      </c>
      <c r="W419">
        <v>0</v>
      </c>
      <c r="X419">
        <v>0</v>
      </c>
      <c r="Y419" t="s">
        <v>59</v>
      </c>
      <c r="AA419" t="s">
        <v>42</v>
      </c>
      <c r="AB419" t="s">
        <v>43</v>
      </c>
      <c r="AC419" t="s">
        <v>43</v>
      </c>
    </row>
    <row r="420" spans="1:31" x14ac:dyDescent="0.4">
      <c r="A420" t="s">
        <v>27</v>
      </c>
      <c r="B420">
        <v>419</v>
      </c>
      <c r="C420" t="s">
        <v>2948</v>
      </c>
      <c r="E420" t="s">
        <v>195</v>
      </c>
      <c r="F420" t="s">
        <v>1175</v>
      </c>
      <c r="G420" t="s">
        <v>1176</v>
      </c>
      <c r="H420" t="s">
        <v>1177</v>
      </c>
      <c r="J420" t="s">
        <v>886</v>
      </c>
      <c r="K420" t="s">
        <v>330</v>
      </c>
      <c r="L420" t="s">
        <v>1178</v>
      </c>
      <c r="M420" t="s">
        <v>35</v>
      </c>
      <c r="N420">
        <v>7949196156</v>
      </c>
      <c r="O420" t="s">
        <v>1179</v>
      </c>
      <c r="P420" t="s">
        <v>1180</v>
      </c>
      <c r="R420" t="s">
        <v>1183</v>
      </c>
      <c r="S420" t="s">
        <v>1184</v>
      </c>
      <c r="T420" t="s">
        <v>580</v>
      </c>
      <c r="U420" t="s">
        <v>40</v>
      </c>
      <c r="V420" s="1">
        <v>45132</v>
      </c>
      <c r="W420">
        <v>0</v>
      </c>
      <c r="X420">
        <v>0</v>
      </c>
      <c r="Y420" t="s">
        <v>59</v>
      </c>
      <c r="AA420" t="s">
        <v>42</v>
      </c>
      <c r="AB420" t="s">
        <v>43</v>
      </c>
      <c r="AC420" t="s">
        <v>43</v>
      </c>
    </row>
    <row r="421" spans="1:31" x14ac:dyDescent="0.4">
      <c r="A421" t="s">
        <v>27</v>
      </c>
      <c r="B421">
        <v>64</v>
      </c>
      <c r="C421" t="s">
        <v>2949</v>
      </c>
      <c r="E421" t="s">
        <v>68</v>
      </c>
      <c r="F421" t="s">
        <v>643</v>
      </c>
      <c r="G421" t="s">
        <v>1185</v>
      </c>
      <c r="H421" t="s">
        <v>1186</v>
      </c>
      <c r="I421" t="s">
        <v>1187</v>
      </c>
      <c r="J421" t="s">
        <v>1188</v>
      </c>
      <c r="K421" t="s">
        <v>528</v>
      </c>
      <c r="L421" t="s">
        <v>1189</v>
      </c>
      <c r="M421" t="s">
        <v>35</v>
      </c>
      <c r="N421" t="s">
        <v>1190</v>
      </c>
      <c r="O421" t="s">
        <v>1191</v>
      </c>
      <c r="P421" t="s">
        <v>1192</v>
      </c>
      <c r="R421" t="s">
        <v>1193</v>
      </c>
      <c r="S421" t="s">
        <v>1194</v>
      </c>
      <c r="T421" t="s">
        <v>1195</v>
      </c>
      <c r="U421" t="s">
        <v>82</v>
      </c>
      <c r="V421" s="1">
        <v>44925</v>
      </c>
      <c r="W421">
        <v>0</v>
      </c>
      <c r="X421">
        <v>0</v>
      </c>
      <c r="Y421" t="s">
        <v>59</v>
      </c>
      <c r="AA421" t="s">
        <v>42</v>
      </c>
      <c r="AB421" t="s">
        <v>43</v>
      </c>
      <c r="AC421" t="s">
        <v>43</v>
      </c>
    </row>
    <row r="422" spans="1:31" x14ac:dyDescent="0.4">
      <c r="A422" t="s">
        <v>27</v>
      </c>
      <c r="B422">
        <v>64</v>
      </c>
      <c r="C422" t="s">
        <v>2949</v>
      </c>
      <c r="E422" t="s">
        <v>68</v>
      </c>
      <c r="F422" t="s">
        <v>643</v>
      </c>
      <c r="G422" t="s">
        <v>1185</v>
      </c>
      <c r="H422" t="s">
        <v>1186</v>
      </c>
      <c r="I422" t="s">
        <v>1187</v>
      </c>
      <c r="J422" t="s">
        <v>1188</v>
      </c>
      <c r="K422" t="s">
        <v>528</v>
      </c>
      <c r="L422" t="s">
        <v>1189</v>
      </c>
      <c r="M422" t="s">
        <v>35</v>
      </c>
      <c r="N422" t="s">
        <v>1190</v>
      </c>
      <c r="O422" t="s">
        <v>1191</v>
      </c>
      <c r="P422" t="s">
        <v>1192</v>
      </c>
      <c r="R422" t="s">
        <v>1193</v>
      </c>
      <c r="S422" t="s">
        <v>1194</v>
      </c>
      <c r="T422" t="s">
        <v>1195</v>
      </c>
      <c r="U422" t="s">
        <v>82</v>
      </c>
      <c r="V422" s="1">
        <v>44925</v>
      </c>
      <c r="W422">
        <v>0</v>
      </c>
      <c r="X422">
        <v>0</v>
      </c>
      <c r="Y422" t="s">
        <v>59</v>
      </c>
      <c r="AA422" t="s">
        <v>42</v>
      </c>
      <c r="AB422" t="s">
        <v>43</v>
      </c>
      <c r="AC422" t="s">
        <v>43</v>
      </c>
    </row>
    <row r="423" spans="1:31" x14ac:dyDescent="0.4">
      <c r="A423" t="s">
        <v>27</v>
      </c>
      <c r="B423">
        <v>112</v>
      </c>
      <c r="C423" t="s">
        <v>2864</v>
      </c>
      <c r="D423">
        <v>134</v>
      </c>
      <c r="E423" t="s">
        <v>68</v>
      </c>
      <c r="F423" t="s">
        <v>1196</v>
      </c>
      <c r="G423" t="s">
        <v>1185</v>
      </c>
      <c r="H423" t="s">
        <v>1197</v>
      </c>
      <c r="I423" t="s">
        <v>1198</v>
      </c>
      <c r="J423" t="s">
        <v>1199</v>
      </c>
      <c r="K423" t="s">
        <v>189</v>
      </c>
      <c r="L423" t="s">
        <v>1200</v>
      </c>
      <c r="M423" t="s">
        <v>35</v>
      </c>
      <c r="N423">
        <v>1375847083</v>
      </c>
      <c r="O423" t="s">
        <v>1201</v>
      </c>
      <c r="P423" t="s">
        <v>2864</v>
      </c>
      <c r="R423" t="s">
        <v>3051</v>
      </c>
      <c r="S423" t="s">
        <v>1203</v>
      </c>
      <c r="T423" t="s">
        <v>376</v>
      </c>
      <c r="U423" t="s">
        <v>40</v>
      </c>
      <c r="V423" s="1">
        <v>44846</v>
      </c>
      <c r="W423">
        <v>0</v>
      </c>
      <c r="X423">
        <v>4</v>
      </c>
      <c r="Y423" t="s">
        <v>65</v>
      </c>
      <c r="Z423" t="s">
        <v>135</v>
      </c>
      <c r="AA423" t="s">
        <v>42</v>
      </c>
      <c r="AB423" t="s">
        <v>43</v>
      </c>
      <c r="AC423" t="s">
        <v>43</v>
      </c>
      <c r="AD423" t="s">
        <v>1204</v>
      </c>
    </row>
    <row r="424" spans="1:31" x14ac:dyDescent="0.4">
      <c r="A424" t="s">
        <v>27</v>
      </c>
      <c r="B424">
        <v>112</v>
      </c>
      <c r="C424" t="s">
        <v>2864</v>
      </c>
      <c r="D424">
        <v>135</v>
      </c>
      <c r="E424" t="s">
        <v>68</v>
      </c>
      <c r="F424" t="s">
        <v>1196</v>
      </c>
      <c r="G424" t="s">
        <v>1185</v>
      </c>
      <c r="H424" t="s">
        <v>1197</v>
      </c>
      <c r="I424" t="s">
        <v>1198</v>
      </c>
      <c r="J424" t="s">
        <v>1199</v>
      </c>
      <c r="K424" t="s">
        <v>189</v>
      </c>
      <c r="L424" t="s">
        <v>1200</v>
      </c>
      <c r="M424" t="s">
        <v>35</v>
      </c>
      <c r="N424">
        <v>1375847083</v>
      </c>
      <c r="O424" t="s">
        <v>1201</v>
      </c>
      <c r="P424" t="s">
        <v>2864</v>
      </c>
      <c r="R424" t="s">
        <v>1205</v>
      </c>
      <c r="S424" t="s">
        <v>1206</v>
      </c>
      <c r="T424" t="s">
        <v>58</v>
      </c>
      <c r="U424" t="s">
        <v>40</v>
      </c>
      <c r="V424" s="1">
        <v>43668</v>
      </c>
      <c r="W424">
        <v>0</v>
      </c>
      <c r="X424">
        <v>6</v>
      </c>
      <c r="Y424" t="s">
        <v>83</v>
      </c>
      <c r="Z424" t="s">
        <v>135</v>
      </c>
      <c r="AA424" t="s">
        <v>42</v>
      </c>
      <c r="AB424" t="s">
        <v>43</v>
      </c>
      <c r="AC424" t="s">
        <v>43</v>
      </c>
      <c r="AD424" t="s">
        <v>1204</v>
      </c>
    </row>
    <row r="425" spans="1:31" x14ac:dyDescent="0.4">
      <c r="A425" t="s">
        <v>27</v>
      </c>
      <c r="B425">
        <v>112</v>
      </c>
      <c r="C425" t="s">
        <v>2864</v>
      </c>
      <c r="D425">
        <v>135</v>
      </c>
      <c r="E425" t="s">
        <v>68</v>
      </c>
      <c r="F425" t="s">
        <v>1196</v>
      </c>
      <c r="G425" t="s">
        <v>1185</v>
      </c>
      <c r="H425" t="s">
        <v>1197</v>
      </c>
      <c r="I425" t="s">
        <v>1198</v>
      </c>
      <c r="J425" t="s">
        <v>1199</v>
      </c>
      <c r="K425" t="s">
        <v>189</v>
      </c>
      <c r="L425" t="s">
        <v>1200</v>
      </c>
      <c r="M425" t="s">
        <v>35</v>
      </c>
      <c r="N425">
        <v>1375847083</v>
      </c>
      <c r="O425" t="s">
        <v>1201</v>
      </c>
      <c r="P425" t="s">
        <v>2864</v>
      </c>
      <c r="R425" t="s">
        <v>1205</v>
      </c>
      <c r="S425" t="s">
        <v>1206</v>
      </c>
      <c r="T425" t="s">
        <v>58</v>
      </c>
      <c r="U425" t="s">
        <v>40</v>
      </c>
      <c r="V425" s="1">
        <v>43668</v>
      </c>
      <c r="W425">
        <v>0</v>
      </c>
      <c r="X425">
        <v>7</v>
      </c>
      <c r="Z425" t="s">
        <v>135</v>
      </c>
      <c r="AA425" t="s">
        <v>42</v>
      </c>
      <c r="AB425" t="s">
        <v>43</v>
      </c>
      <c r="AC425" t="s">
        <v>43</v>
      </c>
      <c r="AD425" t="s">
        <v>1204</v>
      </c>
    </row>
    <row r="426" spans="1:31" x14ac:dyDescent="0.4">
      <c r="A426" t="s">
        <v>27</v>
      </c>
      <c r="B426">
        <v>112</v>
      </c>
      <c r="C426" t="s">
        <v>2864</v>
      </c>
      <c r="D426">
        <v>134</v>
      </c>
      <c r="E426" t="s">
        <v>68</v>
      </c>
      <c r="F426" t="s">
        <v>1196</v>
      </c>
      <c r="G426" t="s">
        <v>1185</v>
      </c>
      <c r="H426" t="s">
        <v>1197</v>
      </c>
      <c r="I426" t="s">
        <v>1198</v>
      </c>
      <c r="J426" t="s">
        <v>1199</v>
      </c>
      <c r="K426" t="s">
        <v>189</v>
      </c>
      <c r="L426" t="s">
        <v>1200</v>
      </c>
      <c r="M426" t="s">
        <v>35</v>
      </c>
      <c r="N426">
        <v>1375847083</v>
      </c>
      <c r="O426" t="s">
        <v>1201</v>
      </c>
      <c r="P426" t="s">
        <v>2864</v>
      </c>
      <c r="R426" t="s">
        <v>3051</v>
      </c>
      <c r="S426" t="s">
        <v>1203</v>
      </c>
      <c r="T426" t="s">
        <v>376</v>
      </c>
      <c r="U426" t="s">
        <v>40</v>
      </c>
      <c r="V426" s="1">
        <v>44846</v>
      </c>
      <c r="W426">
        <v>0</v>
      </c>
      <c r="X426">
        <v>12</v>
      </c>
      <c r="Z426" t="s">
        <v>135</v>
      </c>
      <c r="AA426" t="s">
        <v>42</v>
      </c>
      <c r="AB426" t="s">
        <v>43</v>
      </c>
      <c r="AC426" t="s">
        <v>43</v>
      </c>
      <c r="AD426" t="s">
        <v>1204</v>
      </c>
    </row>
    <row r="427" spans="1:31" x14ac:dyDescent="0.4">
      <c r="A427" t="s">
        <v>27</v>
      </c>
      <c r="B427">
        <v>112</v>
      </c>
      <c r="C427" t="s">
        <v>2864</v>
      </c>
      <c r="D427">
        <v>135</v>
      </c>
      <c r="E427" t="s">
        <v>68</v>
      </c>
      <c r="F427" t="s">
        <v>1196</v>
      </c>
      <c r="G427" t="s">
        <v>1185</v>
      </c>
      <c r="H427" t="s">
        <v>1197</v>
      </c>
      <c r="I427" t="s">
        <v>1198</v>
      </c>
      <c r="J427" t="s">
        <v>1199</v>
      </c>
      <c r="K427" t="s">
        <v>189</v>
      </c>
      <c r="L427" t="s">
        <v>1200</v>
      </c>
      <c r="M427" t="s">
        <v>35</v>
      </c>
      <c r="N427">
        <v>1375847083</v>
      </c>
      <c r="O427" t="s">
        <v>1201</v>
      </c>
      <c r="P427" t="s">
        <v>2864</v>
      </c>
      <c r="R427" t="s">
        <v>1205</v>
      </c>
      <c r="S427" t="s">
        <v>1206</v>
      </c>
      <c r="T427" t="s">
        <v>58</v>
      </c>
      <c r="U427" t="s">
        <v>40</v>
      </c>
      <c r="V427" s="1">
        <v>43668</v>
      </c>
      <c r="W427">
        <v>0</v>
      </c>
      <c r="X427">
        <v>16</v>
      </c>
      <c r="Z427" t="s">
        <v>135</v>
      </c>
      <c r="AA427" t="s">
        <v>42</v>
      </c>
      <c r="AB427" t="s">
        <v>43</v>
      </c>
      <c r="AC427" t="s">
        <v>43</v>
      </c>
      <c r="AD427" t="s">
        <v>1204</v>
      </c>
    </row>
    <row r="428" spans="1:31" x14ac:dyDescent="0.4">
      <c r="A428" t="s">
        <v>27</v>
      </c>
      <c r="B428">
        <v>112</v>
      </c>
      <c r="C428" t="s">
        <v>2864</v>
      </c>
      <c r="D428">
        <v>135</v>
      </c>
      <c r="E428" t="s">
        <v>68</v>
      </c>
      <c r="F428" t="s">
        <v>1196</v>
      </c>
      <c r="G428" t="s">
        <v>1185</v>
      </c>
      <c r="H428" t="s">
        <v>1197</v>
      </c>
      <c r="I428" t="s">
        <v>1198</v>
      </c>
      <c r="J428" t="s">
        <v>1199</v>
      </c>
      <c r="K428" t="s">
        <v>189</v>
      </c>
      <c r="L428" t="s">
        <v>1200</v>
      </c>
      <c r="M428" t="s">
        <v>35</v>
      </c>
      <c r="N428">
        <v>1375847083</v>
      </c>
      <c r="O428" t="s">
        <v>1201</v>
      </c>
      <c r="P428" t="s">
        <v>2864</v>
      </c>
      <c r="R428" t="s">
        <v>1205</v>
      </c>
      <c r="S428" t="s">
        <v>1206</v>
      </c>
      <c r="T428" t="s">
        <v>58</v>
      </c>
      <c r="U428" t="s">
        <v>40</v>
      </c>
      <c r="V428" s="1">
        <v>43668</v>
      </c>
      <c r="W428">
        <v>0</v>
      </c>
      <c r="X428">
        <v>18</v>
      </c>
      <c r="Z428" t="s">
        <v>135</v>
      </c>
      <c r="AA428" t="s">
        <v>42</v>
      </c>
      <c r="AB428" t="s">
        <v>43</v>
      </c>
      <c r="AC428" t="s">
        <v>43</v>
      </c>
      <c r="AD428" t="s">
        <v>1204</v>
      </c>
    </row>
    <row r="429" spans="1:31" x14ac:dyDescent="0.4">
      <c r="A429" t="s">
        <v>27</v>
      </c>
      <c r="B429">
        <v>173</v>
      </c>
      <c r="C429" t="s">
        <v>2950</v>
      </c>
      <c r="D429">
        <v>136</v>
      </c>
      <c r="E429" t="s">
        <v>68</v>
      </c>
      <c r="F429" t="s">
        <v>1207</v>
      </c>
      <c r="G429" t="s">
        <v>1208</v>
      </c>
      <c r="H429" t="s">
        <v>1209</v>
      </c>
      <c r="J429" t="s">
        <v>1210</v>
      </c>
      <c r="K429" t="s">
        <v>1211</v>
      </c>
      <c r="L429" t="s">
        <v>1212</v>
      </c>
      <c r="M429" t="s">
        <v>35</v>
      </c>
      <c r="N429" t="s">
        <v>1213</v>
      </c>
      <c r="O429" t="s">
        <v>1214</v>
      </c>
      <c r="P429" t="s">
        <v>3065</v>
      </c>
      <c r="R429" t="s">
        <v>1216</v>
      </c>
      <c r="S429" t="s">
        <v>1217</v>
      </c>
      <c r="T429" t="s">
        <v>169</v>
      </c>
      <c r="U429" t="s">
        <v>40</v>
      </c>
      <c r="V429" s="1">
        <v>42659</v>
      </c>
      <c r="W429">
        <v>0</v>
      </c>
      <c r="X429">
        <v>16</v>
      </c>
      <c r="AA429" t="s">
        <v>42</v>
      </c>
      <c r="AB429" t="s">
        <v>43</v>
      </c>
      <c r="AC429" t="s">
        <v>43</v>
      </c>
      <c r="AE429" t="s">
        <v>1218</v>
      </c>
    </row>
    <row r="430" spans="1:31" x14ac:dyDescent="0.4">
      <c r="A430" t="s">
        <v>27</v>
      </c>
      <c r="B430">
        <v>173</v>
      </c>
      <c r="C430" t="s">
        <v>2950</v>
      </c>
      <c r="E430" t="s">
        <v>68</v>
      </c>
      <c r="F430" t="s">
        <v>1207</v>
      </c>
      <c r="G430" t="s">
        <v>1208</v>
      </c>
      <c r="H430" t="s">
        <v>1209</v>
      </c>
      <c r="J430" t="s">
        <v>1210</v>
      </c>
      <c r="K430" t="s">
        <v>1211</v>
      </c>
      <c r="L430" t="s">
        <v>1212</v>
      </c>
      <c r="M430" t="s">
        <v>35</v>
      </c>
      <c r="N430" t="s">
        <v>1213</v>
      </c>
      <c r="O430" t="s">
        <v>1214</v>
      </c>
      <c r="P430" t="s">
        <v>1215</v>
      </c>
      <c r="R430" t="s">
        <v>1219</v>
      </c>
      <c r="S430" t="s">
        <v>1220</v>
      </c>
      <c r="T430" t="s">
        <v>58</v>
      </c>
      <c r="U430" t="s">
        <v>40</v>
      </c>
      <c r="V430" s="1">
        <v>40496</v>
      </c>
      <c r="W430">
        <v>0</v>
      </c>
      <c r="X430">
        <v>0</v>
      </c>
      <c r="Y430" t="s">
        <v>59</v>
      </c>
      <c r="AA430" t="s">
        <v>42</v>
      </c>
      <c r="AB430" t="s">
        <v>43</v>
      </c>
      <c r="AC430" t="s">
        <v>43</v>
      </c>
      <c r="AD430" t="s">
        <v>1218</v>
      </c>
    </row>
    <row r="431" spans="1:31" x14ac:dyDescent="0.4">
      <c r="A431" t="s">
        <v>27</v>
      </c>
      <c r="B431">
        <v>173</v>
      </c>
      <c r="C431" t="s">
        <v>2950</v>
      </c>
      <c r="E431" t="s">
        <v>68</v>
      </c>
      <c r="F431" t="s">
        <v>1207</v>
      </c>
      <c r="G431" t="s">
        <v>1208</v>
      </c>
      <c r="H431" t="s">
        <v>1209</v>
      </c>
      <c r="J431" t="s">
        <v>1210</v>
      </c>
      <c r="K431" t="s">
        <v>1211</v>
      </c>
      <c r="L431" t="s">
        <v>1212</v>
      </c>
      <c r="M431" t="s">
        <v>35</v>
      </c>
      <c r="N431" t="s">
        <v>1213</v>
      </c>
      <c r="O431" t="s">
        <v>1214</v>
      </c>
      <c r="P431" t="s">
        <v>1215</v>
      </c>
      <c r="R431" t="s">
        <v>1221</v>
      </c>
      <c r="S431" t="s">
        <v>1222</v>
      </c>
      <c r="T431" t="s">
        <v>94</v>
      </c>
      <c r="U431" t="s">
        <v>40</v>
      </c>
      <c r="V431" s="1">
        <v>41447</v>
      </c>
      <c r="W431">
        <v>0</v>
      </c>
      <c r="X431">
        <v>0</v>
      </c>
      <c r="Y431" t="s">
        <v>59</v>
      </c>
      <c r="AA431" t="s">
        <v>42</v>
      </c>
      <c r="AB431" t="s">
        <v>43</v>
      </c>
      <c r="AC431" t="s">
        <v>43</v>
      </c>
      <c r="AD431" t="s">
        <v>1218</v>
      </c>
    </row>
    <row r="432" spans="1:31" x14ac:dyDescent="0.4">
      <c r="A432" t="s">
        <v>27</v>
      </c>
      <c r="B432">
        <v>3751</v>
      </c>
      <c r="C432" t="s">
        <v>1231</v>
      </c>
      <c r="D432">
        <v>137</v>
      </c>
      <c r="E432" t="s">
        <v>28</v>
      </c>
      <c r="F432" t="s">
        <v>1223</v>
      </c>
      <c r="G432" t="s">
        <v>1224</v>
      </c>
      <c r="H432" t="s">
        <v>1225</v>
      </c>
      <c r="I432" t="s">
        <v>1226</v>
      </c>
      <c r="J432" t="s">
        <v>1227</v>
      </c>
      <c r="K432" t="s">
        <v>1228</v>
      </c>
      <c r="L432" t="s">
        <v>1229</v>
      </c>
      <c r="M432" t="s">
        <v>35</v>
      </c>
      <c r="N432">
        <v>7712582324</v>
      </c>
      <c r="O432" t="s">
        <v>1230</v>
      </c>
      <c r="P432" t="s">
        <v>1231</v>
      </c>
      <c r="R432" t="s">
        <v>1232</v>
      </c>
      <c r="S432" t="s">
        <v>1233</v>
      </c>
      <c r="T432" t="s">
        <v>94</v>
      </c>
      <c r="U432" t="s">
        <v>40</v>
      </c>
      <c r="V432" s="1">
        <v>43116</v>
      </c>
      <c r="W432">
        <v>0</v>
      </c>
      <c r="X432">
        <v>16</v>
      </c>
      <c r="AA432" t="s">
        <v>42</v>
      </c>
      <c r="AB432" t="s">
        <v>43</v>
      </c>
      <c r="AC432" t="s">
        <v>43</v>
      </c>
    </row>
    <row r="433" spans="1:29" x14ac:dyDescent="0.4">
      <c r="A433" t="s">
        <v>27</v>
      </c>
      <c r="B433">
        <v>3751</v>
      </c>
      <c r="C433" t="s">
        <v>1231</v>
      </c>
      <c r="D433">
        <v>137</v>
      </c>
      <c r="E433" t="s">
        <v>28</v>
      </c>
      <c r="F433" t="s">
        <v>1223</v>
      </c>
      <c r="G433" t="s">
        <v>1224</v>
      </c>
      <c r="H433" t="s">
        <v>1225</v>
      </c>
      <c r="I433" t="s">
        <v>1226</v>
      </c>
      <c r="J433" t="s">
        <v>1227</v>
      </c>
      <c r="K433" t="s">
        <v>1228</v>
      </c>
      <c r="L433" t="s">
        <v>1229</v>
      </c>
      <c r="M433" t="s">
        <v>35</v>
      </c>
      <c r="N433">
        <v>7712582324</v>
      </c>
      <c r="O433" t="s">
        <v>1230</v>
      </c>
      <c r="P433" t="s">
        <v>1231</v>
      </c>
      <c r="R433" t="s">
        <v>1232</v>
      </c>
      <c r="S433" t="s">
        <v>1233</v>
      </c>
      <c r="T433" t="s">
        <v>94</v>
      </c>
      <c r="U433" t="s">
        <v>40</v>
      </c>
      <c r="V433" s="1">
        <v>43116</v>
      </c>
      <c r="W433">
        <v>0</v>
      </c>
      <c r="X433">
        <v>18</v>
      </c>
      <c r="AA433" t="s">
        <v>42</v>
      </c>
      <c r="AB433" t="s">
        <v>43</v>
      </c>
      <c r="AC433" t="s">
        <v>43</v>
      </c>
    </row>
    <row r="434" spans="1:29" x14ac:dyDescent="0.4">
      <c r="A434" t="s">
        <v>27</v>
      </c>
      <c r="B434">
        <v>3751</v>
      </c>
      <c r="C434" t="s">
        <v>1231</v>
      </c>
      <c r="E434" t="s">
        <v>28</v>
      </c>
      <c r="F434" t="s">
        <v>1223</v>
      </c>
      <c r="G434" t="s">
        <v>1224</v>
      </c>
      <c r="H434" t="s">
        <v>1225</v>
      </c>
      <c r="I434" t="s">
        <v>1226</v>
      </c>
      <c r="J434" t="s">
        <v>1227</v>
      </c>
      <c r="K434" t="s">
        <v>1228</v>
      </c>
      <c r="L434" t="s">
        <v>1229</v>
      </c>
      <c r="M434" t="s">
        <v>35</v>
      </c>
      <c r="N434">
        <v>7712582324</v>
      </c>
      <c r="O434" t="s">
        <v>1230</v>
      </c>
      <c r="P434" t="s">
        <v>1231</v>
      </c>
      <c r="R434" t="s">
        <v>1234</v>
      </c>
      <c r="S434" t="s">
        <v>1235</v>
      </c>
      <c r="T434" t="s">
        <v>94</v>
      </c>
      <c r="U434" t="s">
        <v>82</v>
      </c>
      <c r="V434" s="1">
        <v>45322</v>
      </c>
      <c r="W434">
        <v>0</v>
      </c>
      <c r="X434">
        <v>0</v>
      </c>
      <c r="Y434" t="s">
        <v>59</v>
      </c>
      <c r="AA434" t="s">
        <v>42</v>
      </c>
      <c r="AB434" t="s">
        <v>43</v>
      </c>
      <c r="AC434" t="s">
        <v>43</v>
      </c>
    </row>
    <row r="435" spans="1:29" x14ac:dyDescent="0.4">
      <c r="A435" t="s">
        <v>27</v>
      </c>
      <c r="B435">
        <v>1714</v>
      </c>
      <c r="C435" t="s">
        <v>2951</v>
      </c>
      <c r="D435">
        <v>138</v>
      </c>
      <c r="E435" t="s">
        <v>257</v>
      </c>
      <c r="F435" t="s">
        <v>1236</v>
      </c>
      <c r="G435" t="s">
        <v>1237</v>
      </c>
      <c r="H435" t="s">
        <v>1238</v>
      </c>
      <c r="J435" t="s">
        <v>152</v>
      </c>
      <c r="K435" t="s">
        <v>73</v>
      </c>
      <c r="L435" t="s">
        <v>1239</v>
      </c>
      <c r="M435" t="s">
        <v>35</v>
      </c>
      <c r="N435" t="s">
        <v>1240</v>
      </c>
      <c r="O435" t="s">
        <v>1241</v>
      </c>
      <c r="P435" t="s">
        <v>3045</v>
      </c>
      <c r="R435" t="s">
        <v>1242</v>
      </c>
      <c r="S435" t="s">
        <v>1243</v>
      </c>
      <c r="T435" t="s">
        <v>58</v>
      </c>
      <c r="U435" t="s">
        <v>82</v>
      </c>
      <c r="V435" s="1">
        <v>42706</v>
      </c>
      <c r="W435">
        <v>0</v>
      </c>
      <c r="X435">
        <v>4</v>
      </c>
      <c r="Y435" t="s">
        <v>65</v>
      </c>
      <c r="AA435" t="s">
        <v>42</v>
      </c>
      <c r="AB435" t="s">
        <v>43</v>
      </c>
      <c r="AC435" t="s">
        <v>43</v>
      </c>
    </row>
    <row r="436" spans="1:29" x14ac:dyDescent="0.4">
      <c r="A436" t="s">
        <v>27</v>
      </c>
      <c r="B436">
        <v>1714</v>
      </c>
      <c r="C436" t="s">
        <v>2951</v>
      </c>
      <c r="D436">
        <v>139</v>
      </c>
      <c r="E436" t="s">
        <v>257</v>
      </c>
      <c r="F436" t="s">
        <v>1236</v>
      </c>
      <c r="G436" t="s">
        <v>1237</v>
      </c>
      <c r="H436" t="s">
        <v>1238</v>
      </c>
      <c r="J436" t="s">
        <v>152</v>
      </c>
      <c r="K436" t="s">
        <v>73</v>
      </c>
      <c r="L436" t="s">
        <v>1239</v>
      </c>
      <c r="M436" t="s">
        <v>35</v>
      </c>
      <c r="N436" t="s">
        <v>1240</v>
      </c>
      <c r="O436" t="s">
        <v>1241</v>
      </c>
      <c r="P436" t="s">
        <v>3045</v>
      </c>
      <c r="R436" t="s">
        <v>1244</v>
      </c>
      <c r="S436" t="s">
        <v>1245</v>
      </c>
      <c r="T436" t="s">
        <v>58</v>
      </c>
      <c r="U436" t="s">
        <v>82</v>
      </c>
      <c r="V436" s="1">
        <v>44285</v>
      </c>
      <c r="W436">
        <v>0</v>
      </c>
      <c r="X436">
        <v>5</v>
      </c>
      <c r="Y436" t="s">
        <v>66</v>
      </c>
      <c r="AA436" t="s">
        <v>42</v>
      </c>
      <c r="AB436" t="s">
        <v>43</v>
      </c>
      <c r="AC436" t="s">
        <v>43</v>
      </c>
    </row>
    <row r="437" spans="1:29" x14ac:dyDescent="0.4">
      <c r="A437" t="s">
        <v>27</v>
      </c>
      <c r="B437">
        <v>1714</v>
      </c>
      <c r="C437" t="s">
        <v>2951</v>
      </c>
      <c r="D437">
        <v>140</v>
      </c>
      <c r="E437" t="s">
        <v>257</v>
      </c>
      <c r="F437" t="s">
        <v>1236</v>
      </c>
      <c r="G437" t="s">
        <v>1237</v>
      </c>
      <c r="H437" t="s">
        <v>1238</v>
      </c>
      <c r="J437" t="s">
        <v>152</v>
      </c>
      <c r="K437" t="s">
        <v>73</v>
      </c>
      <c r="L437" t="s">
        <v>1239</v>
      </c>
      <c r="M437" t="s">
        <v>35</v>
      </c>
      <c r="N437" t="s">
        <v>1240</v>
      </c>
      <c r="O437" t="s">
        <v>1241</v>
      </c>
      <c r="P437" t="s">
        <v>3045</v>
      </c>
      <c r="R437" t="s">
        <v>1246</v>
      </c>
      <c r="S437" t="s">
        <v>1247</v>
      </c>
      <c r="T437" t="s">
        <v>94</v>
      </c>
      <c r="U437" t="s">
        <v>40</v>
      </c>
      <c r="V437" s="1">
        <v>43499</v>
      </c>
      <c r="W437">
        <v>0</v>
      </c>
      <c r="X437">
        <v>5</v>
      </c>
      <c r="Y437" t="s">
        <v>66</v>
      </c>
      <c r="AA437" t="s">
        <v>42</v>
      </c>
      <c r="AB437" t="s">
        <v>43</v>
      </c>
      <c r="AC437" t="s">
        <v>43</v>
      </c>
    </row>
    <row r="438" spans="1:29" x14ac:dyDescent="0.4">
      <c r="A438" t="s">
        <v>27</v>
      </c>
      <c r="B438">
        <v>1714</v>
      </c>
      <c r="C438" t="s">
        <v>2951</v>
      </c>
      <c r="D438">
        <v>138</v>
      </c>
      <c r="E438" t="s">
        <v>257</v>
      </c>
      <c r="F438" t="s">
        <v>1236</v>
      </c>
      <c r="G438" t="s">
        <v>1237</v>
      </c>
      <c r="H438" t="s">
        <v>1238</v>
      </c>
      <c r="J438" t="s">
        <v>152</v>
      </c>
      <c r="K438" t="s">
        <v>73</v>
      </c>
      <c r="L438" t="s">
        <v>1239</v>
      </c>
      <c r="M438" t="s">
        <v>35</v>
      </c>
      <c r="N438" t="s">
        <v>1240</v>
      </c>
      <c r="O438" t="s">
        <v>1241</v>
      </c>
      <c r="P438" t="s">
        <v>3045</v>
      </c>
      <c r="R438" t="s">
        <v>1242</v>
      </c>
      <c r="S438" t="s">
        <v>1243</v>
      </c>
      <c r="T438" t="s">
        <v>58</v>
      </c>
      <c r="U438" t="s">
        <v>82</v>
      </c>
      <c r="V438" s="1">
        <v>42706</v>
      </c>
      <c r="W438">
        <v>0</v>
      </c>
      <c r="X438">
        <v>13</v>
      </c>
      <c r="AA438" t="s">
        <v>42</v>
      </c>
      <c r="AB438" t="s">
        <v>43</v>
      </c>
      <c r="AC438" t="s">
        <v>43</v>
      </c>
    </row>
    <row r="439" spans="1:29" x14ac:dyDescent="0.4">
      <c r="A439" t="s">
        <v>27</v>
      </c>
      <c r="B439">
        <v>1714</v>
      </c>
      <c r="C439" t="s">
        <v>2951</v>
      </c>
      <c r="D439">
        <v>139</v>
      </c>
      <c r="E439" t="s">
        <v>257</v>
      </c>
      <c r="F439" t="s">
        <v>1236</v>
      </c>
      <c r="G439" t="s">
        <v>1237</v>
      </c>
      <c r="H439" t="s">
        <v>1238</v>
      </c>
      <c r="J439" t="s">
        <v>152</v>
      </c>
      <c r="K439" t="s">
        <v>73</v>
      </c>
      <c r="L439" t="s">
        <v>1239</v>
      </c>
      <c r="M439" t="s">
        <v>35</v>
      </c>
      <c r="N439" t="s">
        <v>1240</v>
      </c>
      <c r="O439" t="s">
        <v>1241</v>
      </c>
      <c r="P439" t="s">
        <v>3045</v>
      </c>
      <c r="R439" t="s">
        <v>1244</v>
      </c>
      <c r="S439" t="s">
        <v>1245</v>
      </c>
      <c r="T439" t="s">
        <v>58</v>
      </c>
      <c r="U439" t="s">
        <v>82</v>
      </c>
      <c r="V439" s="1">
        <v>44285</v>
      </c>
      <c r="W439">
        <v>0</v>
      </c>
      <c r="X439">
        <v>15</v>
      </c>
      <c r="AA439" t="s">
        <v>42</v>
      </c>
      <c r="AB439" t="s">
        <v>43</v>
      </c>
      <c r="AC439" t="s">
        <v>43</v>
      </c>
    </row>
    <row r="440" spans="1:29" x14ac:dyDescent="0.4">
      <c r="A440" t="s">
        <v>27</v>
      </c>
      <c r="B440">
        <v>1714</v>
      </c>
      <c r="C440" t="s">
        <v>2951</v>
      </c>
      <c r="D440">
        <v>140</v>
      </c>
      <c r="E440" t="s">
        <v>257</v>
      </c>
      <c r="F440" t="s">
        <v>1236</v>
      </c>
      <c r="G440" t="s">
        <v>1237</v>
      </c>
      <c r="H440" t="s">
        <v>1238</v>
      </c>
      <c r="J440" t="s">
        <v>152</v>
      </c>
      <c r="K440" t="s">
        <v>73</v>
      </c>
      <c r="L440" t="s">
        <v>1239</v>
      </c>
      <c r="M440" t="s">
        <v>35</v>
      </c>
      <c r="N440" t="s">
        <v>1240</v>
      </c>
      <c r="O440" t="s">
        <v>1241</v>
      </c>
      <c r="P440" t="s">
        <v>3045</v>
      </c>
      <c r="R440" t="s">
        <v>1246</v>
      </c>
      <c r="S440" t="s">
        <v>1247</v>
      </c>
      <c r="T440" t="s">
        <v>94</v>
      </c>
      <c r="U440" t="s">
        <v>40</v>
      </c>
      <c r="V440" s="1">
        <v>43499</v>
      </c>
      <c r="W440">
        <v>0</v>
      </c>
      <c r="X440">
        <v>14</v>
      </c>
      <c r="AA440" t="s">
        <v>42</v>
      </c>
      <c r="AB440" t="s">
        <v>43</v>
      </c>
      <c r="AC440" t="s">
        <v>43</v>
      </c>
    </row>
    <row r="441" spans="1:29" x14ac:dyDescent="0.4">
      <c r="A441" t="s">
        <v>27</v>
      </c>
      <c r="B441">
        <v>889</v>
      </c>
      <c r="C441" t="s">
        <v>2952</v>
      </c>
      <c r="D441">
        <v>141</v>
      </c>
      <c r="E441" t="s">
        <v>28</v>
      </c>
      <c r="F441" t="s">
        <v>1248</v>
      </c>
      <c r="G441" t="s">
        <v>1249</v>
      </c>
      <c r="H441" t="s">
        <v>1250</v>
      </c>
      <c r="J441" t="s">
        <v>1251</v>
      </c>
      <c r="K441" t="s">
        <v>1252</v>
      </c>
      <c r="L441" t="s">
        <v>1253</v>
      </c>
      <c r="M441" t="s">
        <v>1254</v>
      </c>
      <c r="N441">
        <v>31641309799</v>
      </c>
      <c r="O441" t="s">
        <v>1255</v>
      </c>
      <c r="P441" t="s">
        <v>2952</v>
      </c>
      <c r="R441" t="s">
        <v>1256</v>
      </c>
      <c r="S441" t="s">
        <v>1257</v>
      </c>
      <c r="T441" t="s">
        <v>58</v>
      </c>
      <c r="U441" t="s">
        <v>40</v>
      </c>
      <c r="V441" s="1">
        <v>45803</v>
      </c>
      <c r="W441">
        <v>0</v>
      </c>
      <c r="X441">
        <v>4</v>
      </c>
      <c r="Y441" t="s">
        <v>65</v>
      </c>
      <c r="AA441" t="s">
        <v>42</v>
      </c>
      <c r="AB441" t="s">
        <v>43</v>
      </c>
      <c r="AC441" t="s">
        <v>43</v>
      </c>
    </row>
    <row r="442" spans="1:29" x14ac:dyDescent="0.4">
      <c r="A442" t="s">
        <v>27</v>
      </c>
      <c r="B442">
        <v>889</v>
      </c>
      <c r="C442" t="s">
        <v>2952</v>
      </c>
      <c r="D442">
        <v>142</v>
      </c>
      <c r="E442" t="s">
        <v>28</v>
      </c>
      <c r="F442" t="s">
        <v>1248</v>
      </c>
      <c r="G442" t="s">
        <v>1249</v>
      </c>
      <c r="H442" t="s">
        <v>1250</v>
      </c>
      <c r="J442" t="s">
        <v>1251</v>
      </c>
      <c r="K442" t="s">
        <v>1252</v>
      </c>
      <c r="L442" t="s">
        <v>1253</v>
      </c>
      <c r="M442" t="s">
        <v>1254</v>
      </c>
      <c r="N442">
        <v>31641309799</v>
      </c>
      <c r="O442" t="s">
        <v>1255</v>
      </c>
      <c r="P442" t="s">
        <v>2952</v>
      </c>
      <c r="R442" t="s">
        <v>1258</v>
      </c>
      <c r="S442" t="s">
        <v>1259</v>
      </c>
      <c r="T442" t="s">
        <v>376</v>
      </c>
      <c r="U442" t="s">
        <v>40</v>
      </c>
      <c r="V442" s="1">
        <v>43204</v>
      </c>
      <c r="W442">
        <v>0</v>
      </c>
      <c r="X442">
        <v>18</v>
      </c>
      <c r="AA442" t="s">
        <v>42</v>
      </c>
      <c r="AB442" t="s">
        <v>43</v>
      </c>
      <c r="AC442" t="s">
        <v>43</v>
      </c>
    </row>
    <row r="443" spans="1:29" x14ac:dyDescent="0.4">
      <c r="A443" t="s">
        <v>27</v>
      </c>
      <c r="B443">
        <v>889</v>
      </c>
      <c r="C443" t="s">
        <v>2952</v>
      </c>
      <c r="D443">
        <v>142</v>
      </c>
      <c r="E443" t="s">
        <v>28</v>
      </c>
      <c r="F443" t="s">
        <v>1248</v>
      </c>
      <c r="G443" t="s">
        <v>1249</v>
      </c>
      <c r="H443" t="s">
        <v>1250</v>
      </c>
      <c r="J443" t="s">
        <v>1251</v>
      </c>
      <c r="K443" t="s">
        <v>1252</v>
      </c>
      <c r="L443" t="s">
        <v>1253</v>
      </c>
      <c r="M443" t="s">
        <v>1254</v>
      </c>
      <c r="N443">
        <v>31641309799</v>
      </c>
      <c r="O443" t="s">
        <v>1255</v>
      </c>
      <c r="P443" t="s">
        <v>2952</v>
      </c>
      <c r="R443" t="s">
        <v>1258</v>
      </c>
      <c r="S443" t="s">
        <v>1259</v>
      </c>
      <c r="T443" t="s">
        <v>376</v>
      </c>
      <c r="U443" t="s">
        <v>40</v>
      </c>
      <c r="V443" s="1">
        <v>43204</v>
      </c>
      <c r="W443">
        <v>0</v>
      </c>
      <c r="X443">
        <v>20</v>
      </c>
      <c r="AA443" t="s">
        <v>42</v>
      </c>
      <c r="AB443" t="s">
        <v>43</v>
      </c>
      <c r="AC443" t="s">
        <v>43</v>
      </c>
    </row>
    <row r="444" spans="1:29" x14ac:dyDescent="0.4">
      <c r="A444" t="s">
        <v>27</v>
      </c>
      <c r="B444">
        <v>889</v>
      </c>
      <c r="C444" t="s">
        <v>2952</v>
      </c>
      <c r="D444">
        <v>141</v>
      </c>
      <c r="E444" t="s">
        <v>28</v>
      </c>
      <c r="F444" t="s">
        <v>1248</v>
      </c>
      <c r="G444" t="s">
        <v>1249</v>
      </c>
      <c r="H444" t="s">
        <v>1250</v>
      </c>
      <c r="J444" t="s">
        <v>1251</v>
      </c>
      <c r="K444" t="s">
        <v>1252</v>
      </c>
      <c r="L444" t="s">
        <v>1253</v>
      </c>
      <c r="M444" t="s">
        <v>1254</v>
      </c>
      <c r="N444">
        <v>31641309799</v>
      </c>
      <c r="O444" t="s">
        <v>1255</v>
      </c>
      <c r="P444" t="s">
        <v>2952</v>
      </c>
      <c r="R444" t="s">
        <v>1256</v>
      </c>
      <c r="S444" t="s">
        <v>1257</v>
      </c>
      <c r="T444" t="s">
        <v>58</v>
      </c>
      <c r="U444" t="s">
        <v>40</v>
      </c>
      <c r="V444" s="1">
        <v>45803</v>
      </c>
      <c r="W444">
        <v>0</v>
      </c>
      <c r="X444">
        <v>12</v>
      </c>
      <c r="AA444" t="s">
        <v>42</v>
      </c>
      <c r="AB444" t="s">
        <v>43</v>
      </c>
      <c r="AC444" t="s">
        <v>43</v>
      </c>
    </row>
    <row r="445" spans="1:29" x14ac:dyDescent="0.4">
      <c r="A445" t="s">
        <v>27</v>
      </c>
      <c r="B445">
        <v>889</v>
      </c>
      <c r="C445" t="s">
        <v>2952</v>
      </c>
      <c r="D445">
        <v>142</v>
      </c>
      <c r="E445" t="s">
        <v>28</v>
      </c>
      <c r="F445" t="s">
        <v>1248</v>
      </c>
      <c r="G445" t="s">
        <v>1249</v>
      </c>
      <c r="H445" t="s">
        <v>1250</v>
      </c>
      <c r="J445" t="s">
        <v>1251</v>
      </c>
      <c r="K445" t="s">
        <v>1252</v>
      </c>
      <c r="L445" t="s">
        <v>1253</v>
      </c>
      <c r="M445" t="s">
        <v>1254</v>
      </c>
      <c r="N445">
        <v>31641309799</v>
      </c>
      <c r="O445" t="s">
        <v>1255</v>
      </c>
      <c r="P445" t="s">
        <v>2952</v>
      </c>
      <c r="R445" t="s">
        <v>1258</v>
      </c>
      <c r="S445" t="s">
        <v>1259</v>
      </c>
      <c r="T445" t="s">
        <v>376</v>
      </c>
      <c r="U445" t="s">
        <v>40</v>
      </c>
      <c r="V445" s="1">
        <v>43204</v>
      </c>
      <c r="W445">
        <v>0</v>
      </c>
      <c r="X445">
        <v>7</v>
      </c>
      <c r="AA445" t="s">
        <v>42</v>
      </c>
      <c r="AB445" t="s">
        <v>43</v>
      </c>
      <c r="AC445" t="s">
        <v>43</v>
      </c>
    </row>
    <row r="446" spans="1:29" x14ac:dyDescent="0.4">
      <c r="A446" t="s">
        <v>27</v>
      </c>
      <c r="B446">
        <v>6109</v>
      </c>
      <c r="C446" t="s">
        <v>2953</v>
      </c>
      <c r="D446">
        <v>143</v>
      </c>
      <c r="E446" t="s">
        <v>68</v>
      </c>
      <c r="F446" t="s">
        <v>772</v>
      </c>
      <c r="G446" t="s">
        <v>1260</v>
      </c>
      <c r="H446" t="s">
        <v>1261</v>
      </c>
      <c r="I446" t="s">
        <v>1262</v>
      </c>
      <c r="J446" t="s">
        <v>730</v>
      </c>
      <c r="K446" t="s">
        <v>495</v>
      </c>
      <c r="L446" t="s">
        <v>1263</v>
      </c>
      <c r="M446" t="s">
        <v>35</v>
      </c>
      <c r="N446">
        <v>1323461995</v>
      </c>
      <c r="O446" t="s">
        <v>1264</v>
      </c>
      <c r="P446" t="s">
        <v>3075</v>
      </c>
      <c r="R446" t="s">
        <v>3106</v>
      </c>
      <c r="S446" t="s">
        <v>1266</v>
      </c>
      <c r="T446" t="s">
        <v>94</v>
      </c>
      <c r="U446" t="s">
        <v>82</v>
      </c>
      <c r="V446" s="1">
        <v>45188</v>
      </c>
      <c r="W446">
        <v>0</v>
      </c>
      <c r="X446">
        <v>10</v>
      </c>
      <c r="AA446" t="s">
        <v>42</v>
      </c>
      <c r="AB446" t="s">
        <v>43</v>
      </c>
      <c r="AC446" t="s">
        <v>43</v>
      </c>
    </row>
    <row r="447" spans="1:29" x14ac:dyDescent="0.4">
      <c r="A447" t="s">
        <v>27</v>
      </c>
      <c r="B447">
        <v>6109</v>
      </c>
      <c r="C447" t="s">
        <v>2953</v>
      </c>
      <c r="D447">
        <v>143</v>
      </c>
      <c r="E447" t="s">
        <v>68</v>
      </c>
      <c r="F447" t="s">
        <v>772</v>
      </c>
      <c r="G447" t="s">
        <v>1260</v>
      </c>
      <c r="H447" t="s">
        <v>1261</v>
      </c>
      <c r="I447" t="s">
        <v>1262</v>
      </c>
      <c r="J447" t="s">
        <v>730</v>
      </c>
      <c r="K447" t="s">
        <v>495</v>
      </c>
      <c r="L447" t="s">
        <v>1263</v>
      </c>
      <c r="M447" t="s">
        <v>35</v>
      </c>
      <c r="N447">
        <v>1323461995</v>
      </c>
      <c r="O447" t="s">
        <v>1264</v>
      </c>
      <c r="P447" t="s">
        <v>3075</v>
      </c>
      <c r="R447" t="s">
        <v>3106</v>
      </c>
      <c r="S447" t="s">
        <v>1266</v>
      </c>
      <c r="T447" t="s">
        <v>94</v>
      </c>
      <c r="U447" t="s">
        <v>82</v>
      </c>
      <c r="V447" s="1">
        <v>45188</v>
      </c>
      <c r="W447">
        <v>0</v>
      </c>
      <c r="X447">
        <v>11</v>
      </c>
      <c r="AA447" t="s">
        <v>42</v>
      </c>
      <c r="AB447" t="s">
        <v>43</v>
      </c>
      <c r="AC447" t="s">
        <v>43</v>
      </c>
    </row>
    <row r="448" spans="1:29" x14ac:dyDescent="0.4">
      <c r="A448" t="s">
        <v>27</v>
      </c>
      <c r="B448">
        <v>5350</v>
      </c>
      <c r="C448" t="s">
        <v>2865</v>
      </c>
      <c r="E448" t="s">
        <v>195</v>
      </c>
      <c r="F448" t="s">
        <v>896</v>
      </c>
      <c r="G448" t="s">
        <v>1267</v>
      </c>
      <c r="H448" t="s">
        <v>1268</v>
      </c>
      <c r="I448" t="s">
        <v>1269</v>
      </c>
      <c r="J448" t="s">
        <v>1270</v>
      </c>
      <c r="K448" t="s">
        <v>51</v>
      </c>
      <c r="L448" t="s">
        <v>1271</v>
      </c>
      <c r="M448" t="s">
        <v>35</v>
      </c>
      <c r="N448" t="s">
        <v>1272</v>
      </c>
      <c r="O448" t="s">
        <v>1273</v>
      </c>
      <c r="P448" t="s">
        <v>1274</v>
      </c>
      <c r="R448" t="s">
        <v>1275</v>
      </c>
      <c r="S448" t="s">
        <v>1276</v>
      </c>
      <c r="T448" t="s">
        <v>1277</v>
      </c>
      <c r="U448" t="s">
        <v>82</v>
      </c>
      <c r="V448" s="1">
        <v>40306</v>
      </c>
      <c r="W448">
        <v>0</v>
      </c>
      <c r="X448">
        <v>0</v>
      </c>
      <c r="Y448" t="s">
        <v>59</v>
      </c>
      <c r="Z448" t="s">
        <v>135</v>
      </c>
      <c r="AA448" t="s">
        <v>42</v>
      </c>
      <c r="AB448" t="s">
        <v>43</v>
      </c>
      <c r="AC448" t="s">
        <v>43</v>
      </c>
    </row>
    <row r="449" spans="1:30" x14ac:dyDescent="0.4">
      <c r="A449" t="s">
        <v>27</v>
      </c>
      <c r="B449">
        <v>5350</v>
      </c>
      <c r="C449" t="s">
        <v>2865</v>
      </c>
      <c r="E449" t="s">
        <v>195</v>
      </c>
      <c r="F449" t="s">
        <v>896</v>
      </c>
      <c r="G449" t="s">
        <v>1267</v>
      </c>
      <c r="H449" t="s">
        <v>1268</v>
      </c>
      <c r="I449" t="s">
        <v>1269</v>
      </c>
      <c r="J449" t="s">
        <v>1270</v>
      </c>
      <c r="K449" t="s">
        <v>51</v>
      </c>
      <c r="L449" t="s">
        <v>1271</v>
      </c>
      <c r="M449" t="s">
        <v>35</v>
      </c>
      <c r="N449" t="s">
        <v>1272</v>
      </c>
      <c r="O449" t="s">
        <v>1273</v>
      </c>
      <c r="P449" t="s">
        <v>1274</v>
      </c>
      <c r="R449" t="s">
        <v>1275</v>
      </c>
      <c r="S449" t="s">
        <v>1276</v>
      </c>
      <c r="T449" t="s">
        <v>1277</v>
      </c>
      <c r="U449" t="s">
        <v>82</v>
      </c>
      <c r="V449" s="1">
        <v>40306</v>
      </c>
      <c r="W449">
        <v>0</v>
      </c>
      <c r="X449">
        <v>0</v>
      </c>
      <c r="Y449" t="s">
        <v>59</v>
      </c>
      <c r="Z449" t="s">
        <v>135</v>
      </c>
      <c r="AA449" t="s">
        <v>42</v>
      </c>
      <c r="AB449" t="s">
        <v>43</v>
      </c>
      <c r="AC449" t="s">
        <v>43</v>
      </c>
    </row>
    <row r="450" spans="1:30" x14ac:dyDescent="0.4">
      <c r="A450" t="s">
        <v>27</v>
      </c>
      <c r="B450">
        <v>5350</v>
      </c>
      <c r="C450" t="s">
        <v>2865</v>
      </c>
      <c r="D450">
        <v>145</v>
      </c>
      <c r="E450" t="s">
        <v>195</v>
      </c>
      <c r="F450" t="s">
        <v>896</v>
      </c>
      <c r="G450" t="s">
        <v>1267</v>
      </c>
      <c r="H450" t="s">
        <v>1268</v>
      </c>
      <c r="I450" t="s">
        <v>1269</v>
      </c>
      <c r="J450" t="s">
        <v>1270</v>
      </c>
      <c r="K450" t="s">
        <v>51</v>
      </c>
      <c r="L450" t="s">
        <v>1271</v>
      </c>
      <c r="M450" t="s">
        <v>35</v>
      </c>
      <c r="N450" t="s">
        <v>1272</v>
      </c>
      <c r="O450" t="s">
        <v>1273</v>
      </c>
      <c r="P450" t="s">
        <v>2865</v>
      </c>
      <c r="R450" t="s">
        <v>3107</v>
      </c>
      <c r="S450" t="s">
        <v>1279</v>
      </c>
      <c r="T450" t="s">
        <v>46</v>
      </c>
      <c r="U450" t="s">
        <v>82</v>
      </c>
      <c r="V450" s="1">
        <v>43503</v>
      </c>
      <c r="W450">
        <v>0</v>
      </c>
      <c r="X450">
        <v>5</v>
      </c>
      <c r="Y450" t="s">
        <v>66</v>
      </c>
      <c r="Z450" t="s">
        <v>135</v>
      </c>
      <c r="AA450" t="s">
        <v>42</v>
      </c>
      <c r="AB450" t="s">
        <v>43</v>
      </c>
      <c r="AC450" t="s">
        <v>43</v>
      </c>
    </row>
    <row r="451" spans="1:30" x14ac:dyDescent="0.4">
      <c r="A451" t="s">
        <v>27</v>
      </c>
      <c r="B451">
        <v>5350</v>
      </c>
      <c r="C451" t="s">
        <v>2865</v>
      </c>
      <c r="D451">
        <v>145</v>
      </c>
      <c r="E451" t="s">
        <v>195</v>
      </c>
      <c r="F451" t="s">
        <v>896</v>
      </c>
      <c r="G451" t="s">
        <v>1267</v>
      </c>
      <c r="H451" t="s">
        <v>1268</v>
      </c>
      <c r="I451" t="s">
        <v>1269</v>
      </c>
      <c r="J451" t="s">
        <v>1270</v>
      </c>
      <c r="K451" t="s">
        <v>51</v>
      </c>
      <c r="L451" t="s">
        <v>1271</v>
      </c>
      <c r="M451" t="s">
        <v>35</v>
      </c>
      <c r="N451" t="s">
        <v>1272</v>
      </c>
      <c r="O451" t="s">
        <v>1273</v>
      </c>
      <c r="P451" t="s">
        <v>2865</v>
      </c>
      <c r="R451" t="s">
        <v>3107</v>
      </c>
      <c r="S451" t="s">
        <v>1279</v>
      </c>
      <c r="T451" t="s">
        <v>46</v>
      </c>
      <c r="U451" t="s">
        <v>82</v>
      </c>
      <c r="V451" s="1">
        <v>43503</v>
      </c>
      <c r="W451">
        <v>0</v>
      </c>
      <c r="X451">
        <v>6</v>
      </c>
      <c r="Y451" t="s">
        <v>83</v>
      </c>
      <c r="Z451" t="s">
        <v>135</v>
      </c>
      <c r="AA451" t="s">
        <v>42</v>
      </c>
      <c r="AB451" t="s">
        <v>43</v>
      </c>
      <c r="AC451" t="s">
        <v>43</v>
      </c>
    </row>
    <row r="452" spans="1:30" x14ac:dyDescent="0.4">
      <c r="A452" t="s">
        <v>27</v>
      </c>
      <c r="B452">
        <v>5350</v>
      </c>
      <c r="C452" t="s">
        <v>2865</v>
      </c>
      <c r="D452">
        <v>144</v>
      </c>
      <c r="E452" t="s">
        <v>195</v>
      </c>
      <c r="F452" t="s">
        <v>896</v>
      </c>
      <c r="G452" t="s">
        <v>1267</v>
      </c>
      <c r="H452" t="s">
        <v>1268</v>
      </c>
      <c r="I452" t="s">
        <v>1269</v>
      </c>
      <c r="J452" t="s">
        <v>1270</v>
      </c>
      <c r="K452" t="s">
        <v>51</v>
      </c>
      <c r="L452" t="s">
        <v>1271</v>
      </c>
      <c r="M452" t="s">
        <v>35</v>
      </c>
      <c r="N452" t="s">
        <v>1272</v>
      </c>
      <c r="O452" t="s">
        <v>1273</v>
      </c>
      <c r="P452" t="s">
        <v>2865</v>
      </c>
      <c r="R452" t="s">
        <v>3108</v>
      </c>
      <c r="S452" t="s">
        <v>1281</v>
      </c>
      <c r="T452" t="s">
        <v>376</v>
      </c>
      <c r="U452" t="s">
        <v>82</v>
      </c>
      <c r="V452" s="1">
        <v>44551</v>
      </c>
      <c r="W452">
        <v>0</v>
      </c>
      <c r="X452">
        <v>6</v>
      </c>
      <c r="Y452" t="s">
        <v>83</v>
      </c>
      <c r="Z452" t="s">
        <v>135</v>
      </c>
      <c r="AA452" t="s">
        <v>42</v>
      </c>
      <c r="AB452" t="s">
        <v>43</v>
      </c>
      <c r="AC452" t="s">
        <v>43</v>
      </c>
    </row>
    <row r="453" spans="1:30" x14ac:dyDescent="0.4">
      <c r="A453" t="s">
        <v>27</v>
      </c>
      <c r="B453">
        <v>5350</v>
      </c>
      <c r="C453" t="s">
        <v>2865</v>
      </c>
      <c r="D453">
        <v>144</v>
      </c>
      <c r="E453" t="s">
        <v>195</v>
      </c>
      <c r="F453" t="s">
        <v>896</v>
      </c>
      <c r="G453" t="s">
        <v>1267</v>
      </c>
      <c r="H453" t="s">
        <v>1268</v>
      </c>
      <c r="I453" t="s">
        <v>1269</v>
      </c>
      <c r="J453" t="s">
        <v>1270</v>
      </c>
      <c r="K453" t="s">
        <v>51</v>
      </c>
      <c r="L453" t="s">
        <v>1271</v>
      </c>
      <c r="M453" t="s">
        <v>35</v>
      </c>
      <c r="N453" t="s">
        <v>1272</v>
      </c>
      <c r="O453" t="s">
        <v>1273</v>
      </c>
      <c r="P453" t="s">
        <v>2865</v>
      </c>
      <c r="R453" t="s">
        <v>3108</v>
      </c>
      <c r="S453" t="s">
        <v>1281</v>
      </c>
      <c r="T453" t="s">
        <v>376</v>
      </c>
      <c r="U453" t="s">
        <v>82</v>
      </c>
      <c r="V453" s="1">
        <v>44551</v>
      </c>
      <c r="W453">
        <v>0</v>
      </c>
      <c r="X453">
        <v>7</v>
      </c>
      <c r="Z453" t="s">
        <v>135</v>
      </c>
      <c r="AA453" t="s">
        <v>42</v>
      </c>
      <c r="AB453" t="s">
        <v>43</v>
      </c>
      <c r="AC453" t="s">
        <v>43</v>
      </c>
    </row>
    <row r="454" spans="1:30" x14ac:dyDescent="0.4">
      <c r="A454" t="s">
        <v>27</v>
      </c>
      <c r="B454">
        <v>5350</v>
      </c>
      <c r="C454" t="s">
        <v>2865</v>
      </c>
      <c r="D454">
        <v>145</v>
      </c>
      <c r="E454" t="s">
        <v>195</v>
      </c>
      <c r="F454" t="s">
        <v>896</v>
      </c>
      <c r="G454" t="s">
        <v>1267</v>
      </c>
      <c r="H454" t="s">
        <v>1268</v>
      </c>
      <c r="I454" t="s">
        <v>1269</v>
      </c>
      <c r="J454" t="s">
        <v>1270</v>
      </c>
      <c r="K454" t="s">
        <v>51</v>
      </c>
      <c r="L454" t="s">
        <v>1271</v>
      </c>
      <c r="M454" t="s">
        <v>35</v>
      </c>
      <c r="N454" t="s">
        <v>1272</v>
      </c>
      <c r="O454" t="s">
        <v>1273</v>
      </c>
      <c r="P454" t="s">
        <v>2865</v>
      </c>
      <c r="R454" t="s">
        <v>3107</v>
      </c>
      <c r="S454" t="s">
        <v>1279</v>
      </c>
      <c r="T454" t="s">
        <v>46</v>
      </c>
      <c r="U454" t="s">
        <v>82</v>
      </c>
      <c r="V454" s="1">
        <v>43503</v>
      </c>
      <c r="W454">
        <v>0</v>
      </c>
      <c r="X454">
        <v>15</v>
      </c>
      <c r="Z454" t="s">
        <v>135</v>
      </c>
      <c r="AA454" t="s">
        <v>42</v>
      </c>
      <c r="AB454" t="s">
        <v>43</v>
      </c>
      <c r="AC454" t="s">
        <v>43</v>
      </c>
    </row>
    <row r="455" spans="1:30" x14ac:dyDescent="0.4">
      <c r="A455" t="s">
        <v>27</v>
      </c>
      <c r="B455">
        <v>5350</v>
      </c>
      <c r="C455" t="s">
        <v>2865</v>
      </c>
      <c r="D455">
        <v>144</v>
      </c>
      <c r="E455" t="s">
        <v>195</v>
      </c>
      <c r="F455" t="s">
        <v>896</v>
      </c>
      <c r="G455" t="s">
        <v>1267</v>
      </c>
      <c r="H455" t="s">
        <v>1268</v>
      </c>
      <c r="I455" t="s">
        <v>1269</v>
      </c>
      <c r="J455" t="s">
        <v>1270</v>
      </c>
      <c r="K455" t="s">
        <v>51</v>
      </c>
      <c r="L455" t="s">
        <v>1271</v>
      </c>
      <c r="M455" t="s">
        <v>35</v>
      </c>
      <c r="N455" t="s">
        <v>1272</v>
      </c>
      <c r="O455" t="s">
        <v>1273</v>
      </c>
      <c r="P455" t="s">
        <v>2865</v>
      </c>
      <c r="R455" t="s">
        <v>3108</v>
      </c>
      <c r="S455" t="s">
        <v>1281</v>
      </c>
      <c r="T455" t="s">
        <v>376</v>
      </c>
      <c r="U455" t="s">
        <v>82</v>
      </c>
      <c r="V455" s="1">
        <v>44551</v>
      </c>
      <c r="W455">
        <v>0</v>
      </c>
      <c r="X455">
        <v>17</v>
      </c>
      <c r="Z455" t="s">
        <v>135</v>
      </c>
      <c r="AA455" t="s">
        <v>42</v>
      </c>
      <c r="AB455" t="s">
        <v>43</v>
      </c>
      <c r="AC455" t="s">
        <v>43</v>
      </c>
    </row>
    <row r="456" spans="1:30" x14ac:dyDescent="0.4">
      <c r="A456" t="s">
        <v>27</v>
      </c>
      <c r="B456">
        <v>3268</v>
      </c>
      <c r="C456" t="s">
        <v>377</v>
      </c>
      <c r="D456">
        <v>146</v>
      </c>
      <c r="E456" t="s">
        <v>68</v>
      </c>
      <c r="F456" t="s">
        <v>1282</v>
      </c>
      <c r="G456" t="s">
        <v>1283</v>
      </c>
      <c r="H456" t="s">
        <v>1284</v>
      </c>
      <c r="J456" t="s">
        <v>1285</v>
      </c>
      <c r="K456" t="s">
        <v>1085</v>
      </c>
      <c r="L456" t="s">
        <v>1286</v>
      </c>
      <c r="M456" t="s">
        <v>35</v>
      </c>
      <c r="N456">
        <v>447979082199</v>
      </c>
      <c r="O456" t="s">
        <v>1287</v>
      </c>
      <c r="P456" t="s">
        <v>377</v>
      </c>
      <c r="R456" t="s">
        <v>1289</v>
      </c>
      <c r="S456" t="s">
        <v>1290</v>
      </c>
      <c r="T456" t="s">
        <v>58</v>
      </c>
      <c r="U456" t="s">
        <v>82</v>
      </c>
      <c r="V456" s="1">
        <v>44841</v>
      </c>
      <c r="W456">
        <v>0</v>
      </c>
      <c r="X456">
        <v>4</v>
      </c>
      <c r="Y456" t="s">
        <v>65</v>
      </c>
      <c r="AA456" t="s">
        <v>42</v>
      </c>
      <c r="AB456" t="s">
        <v>43</v>
      </c>
      <c r="AC456" t="s">
        <v>43</v>
      </c>
      <c r="AD456" t="s">
        <v>1291</v>
      </c>
    </row>
    <row r="457" spans="1:30" x14ac:dyDescent="0.4">
      <c r="A457" t="s">
        <v>27</v>
      </c>
      <c r="B457">
        <v>3268</v>
      </c>
      <c r="C457" t="s">
        <v>377</v>
      </c>
      <c r="D457">
        <v>146</v>
      </c>
      <c r="E457" t="s">
        <v>68</v>
      </c>
      <c r="F457" t="s">
        <v>1282</v>
      </c>
      <c r="G457" t="s">
        <v>1283</v>
      </c>
      <c r="H457" t="s">
        <v>1284</v>
      </c>
      <c r="J457" t="s">
        <v>1285</v>
      </c>
      <c r="K457" t="s">
        <v>1085</v>
      </c>
      <c r="L457" t="s">
        <v>1286</v>
      </c>
      <c r="M457" t="s">
        <v>35</v>
      </c>
      <c r="N457">
        <v>447979082199</v>
      </c>
      <c r="O457" t="s">
        <v>1287</v>
      </c>
      <c r="P457" t="s">
        <v>377</v>
      </c>
      <c r="R457" t="s">
        <v>1289</v>
      </c>
      <c r="S457" t="s">
        <v>1290</v>
      </c>
      <c r="T457" t="s">
        <v>58</v>
      </c>
      <c r="U457" t="s">
        <v>82</v>
      </c>
      <c r="V457" s="1">
        <v>44841</v>
      </c>
      <c r="W457">
        <v>0</v>
      </c>
      <c r="X457">
        <v>5</v>
      </c>
      <c r="Y457" t="s">
        <v>66</v>
      </c>
      <c r="AA457" t="s">
        <v>42</v>
      </c>
      <c r="AB457" t="s">
        <v>43</v>
      </c>
      <c r="AC457" t="s">
        <v>43</v>
      </c>
      <c r="AD457" t="s">
        <v>1291</v>
      </c>
    </row>
    <row r="458" spans="1:30" x14ac:dyDescent="0.4">
      <c r="A458" t="s">
        <v>27</v>
      </c>
      <c r="B458">
        <v>3268</v>
      </c>
      <c r="C458" t="s">
        <v>377</v>
      </c>
      <c r="D458">
        <v>146</v>
      </c>
      <c r="E458" t="s">
        <v>68</v>
      </c>
      <c r="F458" t="s">
        <v>1282</v>
      </c>
      <c r="G458" t="s">
        <v>1283</v>
      </c>
      <c r="H458" t="s">
        <v>1284</v>
      </c>
      <c r="J458" t="s">
        <v>1285</v>
      </c>
      <c r="K458" t="s">
        <v>1085</v>
      </c>
      <c r="L458" t="s">
        <v>1286</v>
      </c>
      <c r="M458" t="s">
        <v>35</v>
      </c>
      <c r="N458">
        <v>447979082199</v>
      </c>
      <c r="O458" t="s">
        <v>1287</v>
      </c>
      <c r="P458" t="s">
        <v>377</v>
      </c>
      <c r="R458" t="s">
        <v>1289</v>
      </c>
      <c r="S458" t="s">
        <v>1290</v>
      </c>
      <c r="T458" t="s">
        <v>58</v>
      </c>
      <c r="U458" t="s">
        <v>82</v>
      </c>
      <c r="V458" s="1">
        <v>44841</v>
      </c>
      <c r="W458">
        <v>0</v>
      </c>
      <c r="X458">
        <v>6</v>
      </c>
      <c r="Y458" t="s">
        <v>83</v>
      </c>
      <c r="AA458" t="s">
        <v>42</v>
      </c>
      <c r="AB458" t="s">
        <v>43</v>
      </c>
      <c r="AC458" t="s">
        <v>43</v>
      </c>
      <c r="AD458" t="s">
        <v>1291</v>
      </c>
    </row>
    <row r="459" spans="1:30" x14ac:dyDescent="0.4">
      <c r="A459" t="s">
        <v>27</v>
      </c>
      <c r="B459">
        <v>3268</v>
      </c>
      <c r="C459" t="s">
        <v>377</v>
      </c>
      <c r="D459">
        <v>147</v>
      </c>
      <c r="E459" t="s">
        <v>68</v>
      </c>
      <c r="F459" t="s">
        <v>1282</v>
      </c>
      <c r="G459" t="s">
        <v>1283</v>
      </c>
      <c r="H459" t="s">
        <v>1284</v>
      </c>
      <c r="J459" t="s">
        <v>1285</v>
      </c>
      <c r="K459" t="s">
        <v>1085</v>
      </c>
      <c r="L459" t="s">
        <v>1286</v>
      </c>
      <c r="M459" t="s">
        <v>35</v>
      </c>
      <c r="N459">
        <v>447979082199</v>
      </c>
      <c r="O459" t="s">
        <v>1287</v>
      </c>
      <c r="P459" t="s">
        <v>377</v>
      </c>
      <c r="R459" t="s">
        <v>1292</v>
      </c>
      <c r="S459" t="s">
        <v>1293</v>
      </c>
      <c r="T459" t="s">
        <v>58</v>
      </c>
      <c r="U459" t="s">
        <v>40</v>
      </c>
      <c r="V459" s="1">
        <v>43161</v>
      </c>
      <c r="W459">
        <v>0</v>
      </c>
      <c r="X459">
        <v>6</v>
      </c>
      <c r="Y459" t="s">
        <v>83</v>
      </c>
      <c r="AA459" t="s">
        <v>42</v>
      </c>
      <c r="AB459" t="s">
        <v>43</v>
      </c>
      <c r="AC459" t="s">
        <v>43</v>
      </c>
      <c r="AD459" t="s">
        <v>1291</v>
      </c>
    </row>
    <row r="460" spans="1:30" x14ac:dyDescent="0.4">
      <c r="A460" t="s">
        <v>27</v>
      </c>
      <c r="B460">
        <v>3268</v>
      </c>
      <c r="C460" t="s">
        <v>377</v>
      </c>
      <c r="D460">
        <v>147</v>
      </c>
      <c r="E460" t="s">
        <v>68</v>
      </c>
      <c r="F460" t="s">
        <v>1282</v>
      </c>
      <c r="G460" t="s">
        <v>1283</v>
      </c>
      <c r="H460" t="s">
        <v>1284</v>
      </c>
      <c r="J460" t="s">
        <v>1285</v>
      </c>
      <c r="K460" t="s">
        <v>1085</v>
      </c>
      <c r="L460" t="s">
        <v>1286</v>
      </c>
      <c r="M460" t="s">
        <v>35</v>
      </c>
      <c r="N460">
        <v>447979082199</v>
      </c>
      <c r="O460" t="s">
        <v>1287</v>
      </c>
      <c r="P460" t="s">
        <v>377</v>
      </c>
      <c r="R460" t="s">
        <v>1292</v>
      </c>
      <c r="S460" t="s">
        <v>1293</v>
      </c>
      <c r="T460" t="s">
        <v>58</v>
      </c>
      <c r="U460" t="s">
        <v>40</v>
      </c>
      <c r="V460" s="1">
        <v>43161</v>
      </c>
      <c r="W460">
        <v>0</v>
      </c>
      <c r="X460">
        <v>7</v>
      </c>
      <c r="AA460" t="s">
        <v>42</v>
      </c>
      <c r="AB460" t="s">
        <v>43</v>
      </c>
      <c r="AC460" t="s">
        <v>43</v>
      </c>
      <c r="AD460" t="s">
        <v>1291</v>
      </c>
    </row>
    <row r="461" spans="1:30" x14ac:dyDescent="0.4">
      <c r="A461" t="s">
        <v>27</v>
      </c>
      <c r="B461">
        <v>3268</v>
      </c>
      <c r="C461" t="s">
        <v>377</v>
      </c>
      <c r="E461" t="s">
        <v>68</v>
      </c>
      <c r="F461" t="s">
        <v>1282</v>
      </c>
      <c r="G461" t="s">
        <v>1283</v>
      </c>
      <c r="H461" t="s">
        <v>1284</v>
      </c>
      <c r="J461" t="s">
        <v>1285</v>
      </c>
      <c r="K461" t="s">
        <v>1085</v>
      </c>
      <c r="L461" t="s">
        <v>1286</v>
      </c>
      <c r="M461" t="s">
        <v>35</v>
      </c>
      <c r="N461">
        <v>447979082199</v>
      </c>
      <c r="O461" t="s">
        <v>1287</v>
      </c>
      <c r="P461" t="s">
        <v>1288</v>
      </c>
      <c r="R461" t="s">
        <v>1289</v>
      </c>
      <c r="S461" t="s">
        <v>1290</v>
      </c>
      <c r="T461" t="s">
        <v>58</v>
      </c>
      <c r="U461" t="s">
        <v>82</v>
      </c>
      <c r="V461" s="1">
        <v>44841</v>
      </c>
      <c r="W461">
        <v>0</v>
      </c>
      <c r="X461">
        <v>0</v>
      </c>
      <c r="Y461" t="s">
        <v>59</v>
      </c>
      <c r="AA461" t="s">
        <v>42</v>
      </c>
      <c r="AB461" t="s">
        <v>43</v>
      </c>
      <c r="AC461" t="s">
        <v>43</v>
      </c>
      <c r="AD461" t="s">
        <v>1291</v>
      </c>
    </row>
    <row r="462" spans="1:30" x14ac:dyDescent="0.4">
      <c r="A462" t="s">
        <v>27</v>
      </c>
      <c r="B462">
        <v>3268</v>
      </c>
      <c r="C462" t="s">
        <v>377</v>
      </c>
      <c r="E462" t="s">
        <v>68</v>
      </c>
      <c r="F462" t="s">
        <v>1282</v>
      </c>
      <c r="G462" t="s">
        <v>1283</v>
      </c>
      <c r="H462" t="s">
        <v>1284</v>
      </c>
      <c r="J462" t="s">
        <v>1285</v>
      </c>
      <c r="K462" t="s">
        <v>1085</v>
      </c>
      <c r="L462" t="s">
        <v>1286</v>
      </c>
      <c r="M462" t="s">
        <v>35</v>
      </c>
      <c r="N462">
        <v>447979082199</v>
      </c>
      <c r="O462" t="s">
        <v>1287</v>
      </c>
      <c r="P462" t="s">
        <v>1288</v>
      </c>
      <c r="R462" t="s">
        <v>1292</v>
      </c>
      <c r="S462" t="s">
        <v>1293</v>
      </c>
      <c r="T462" t="s">
        <v>58</v>
      </c>
      <c r="U462" t="s">
        <v>40</v>
      </c>
      <c r="V462" s="1">
        <v>43161</v>
      </c>
      <c r="W462">
        <v>0</v>
      </c>
      <c r="X462">
        <v>0</v>
      </c>
      <c r="Y462" t="s">
        <v>59</v>
      </c>
      <c r="AA462" t="s">
        <v>42</v>
      </c>
      <c r="AB462" t="s">
        <v>43</v>
      </c>
      <c r="AC462" t="s">
        <v>43</v>
      </c>
      <c r="AD462" t="s">
        <v>1291</v>
      </c>
    </row>
    <row r="463" spans="1:30" x14ac:dyDescent="0.4">
      <c r="A463" t="s">
        <v>27</v>
      </c>
      <c r="B463">
        <v>3268</v>
      </c>
      <c r="C463" t="s">
        <v>377</v>
      </c>
      <c r="E463" t="s">
        <v>68</v>
      </c>
      <c r="F463" t="s">
        <v>1282</v>
      </c>
      <c r="G463" t="s">
        <v>1283</v>
      </c>
      <c r="H463" t="s">
        <v>1284</v>
      </c>
      <c r="J463" t="s">
        <v>1285</v>
      </c>
      <c r="K463" t="s">
        <v>1085</v>
      </c>
      <c r="L463" t="s">
        <v>1286</v>
      </c>
      <c r="M463" t="s">
        <v>35</v>
      </c>
      <c r="N463">
        <v>447979082199</v>
      </c>
      <c r="O463" t="s">
        <v>1287</v>
      </c>
      <c r="P463" t="s">
        <v>1288</v>
      </c>
      <c r="R463" t="s">
        <v>1294</v>
      </c>
      <c r="S463" t="s">
        <v>1295</v>
      </c>
      <c r="T463" t="s">
        <v>1296</v>
      </c>
      <c r="U463" t="s">
        <v>82</v>
      </c>
      <c r="V463" s="1">
        <v>41469</v>
      </c>
      <c r="W463">
        <v>0</v>
      </c>
      <c r="X463">
        <v>0</v>
      </c>
      <c r="Y463" t="s">
        <v>59</v>
      </c>
      <c r="AA463" t="s">
        <v>42</v>
      </c>
      <c r="AB463" t="s">
        <v>43</v>
      </c>
      <c r="AC463" t="s">
        <v>43</v>
      </c>
      <c r="AD463" t="s">
        <v>1291</v>
      </c>
    </row>
    <row r="464" spans="1:30" x14ac:dyDescent="0.4">
      <c r="A464" t="s">
        <v>27</v>
      </c>
      <c r="B464">
        <v>5052</v>
      </c>
      <c r="C464" t="s">
        <v>1302</v>
      </c>
      <c r="D464">
        <v>149</v>
      </c>
      <c r="E464" t="s">
        <v>28</v>
      </c>
      <c r="F464" t="s">
        <v>1297</v>
      </c>
      <c r="G464" t="s">
        <v>1283</v>
      </c>
      <c r="H464" t="s">
        <v>1298</v>
      </c>
      <c r="J464" t="s">
        <v>1299</v>
      </c>
      <c r="K464" t="s">
        <v>33</v>
      </c>
      <c r="L464" t="s">
        <v>1300</v>
      </c>
      <c r="M464" t="s">
        <v>35</v>
      </c>
      <c r="N464">
        <v>7904496938</v>
      </c>
      <c r="O464" t="s">
        <v>1301</v>
      </c>
      <c r="P464" t="s">
        <v>1302</v>
      </c>
      <c r="R464" t="s">
        <v>1303</v>
      </c>
      <c r="S464" t="s">
        <v>1304</v>
      </c>
      <c r="T464" t="s">
        <v>1305</v>
      </c>
      <c r="U464" t="s">
        <v>82</v>
      </c>
      <c r="V464" s="1">
        <v>43581</v>
      </c>
      <c r="W464">
        <v>0</v>
      </c>
      <c r="X464">
        <v>8</v>
      </c>
      <c r="AA464" t="s">
        <v>42</v>
      </c>
      <c r="AB464" t="s">
        <v>43</v>
      </c>
      <c r="AC464" t="s">
        <v>43</v>
      </c>
    </row>
    <row r="465" spans="1:29" x14ac:dyDescent="0.4">
      <c r="A465" t="s">
        <v>27</v>
      </c>
      <c r="B465">
        <v>5052</v>
      </c>
      <c r="C465" t="s">
        <v>1302</v>
      </c>
      <c r="D465">
        <v>149</v>
      </c>
      <c r="E465" t="s">
        <v>28</v>
      </c>
      <c r="F465" t="s">
        <v>1297</v>
      </c>
      <c r="G465" t="s">
        <v>1283</v>
      </c>
      <c r="H465" t="s">
        <v>1298</v>
      </c>
      <c r="J465" t="s">
        <v>1299</v>
      </c>
      <c r="K465" t="s">
        <v>33</v>
      </c>
      <c r="L465" t="s">
        <v>1300</v>
      </c>
      <c r="M465" t="s">
        <v>35</v>
      </c>
      <c r="N465">
        <v>7904496938</v>
      </c>
      <c r="O465" t="s">
        <v>1301</v>
      </c>
      <c r="P465" t="s">
        <v>1302</v>
      </c>
      <c r="R465" t="s">
        <v>1303</v>
      </c>
      <c r="S465" t="s">
        <v>1304</v>
      </c>
      <c r="T465" t="s">
        <v>1305</v>
      </c>
      <c r="U465" t="s">
        <v>82</v>
      </c>
      <c r="V465" s="1">
        <v>43581</v>
      </c>
      <c r="W465">
        <v>0</v>
      </c>
      <c r="X465">
        <v>10</v>
      </c>
      <c r="AA465" t="s">
        <v>42</v>
      </c>
      <c r="AB465" t="s">
        <v>43</v>
      </c>
      <c r="AC465" t="s">
        <v>43</v>
      </c>
    </row>
    <row r="466" spans="1:29" x14ac:dyDescent="0.4">
      <c r="A466" t="s">
        <v>27</v>
      </c>
      <c r="B466">
        <v>3814</v>
      </c>
      <c r="C466" t="s">
        <v>2954</v>
      </c>
      <c r="E466" t="s">
        <v>257</v>
      </c>
      <c r="F466" t="s">
        <v>1306</v>
      </c>
      <c r="G466" t="s">
        <v>1283</v>
      </c>
      <c r="H466" t="s">
        <v>1298</v>
      </c>
      <c r="J466" t="s">
        <v>1299</v>
      </c>
      <c r="K466" t="s">
        <v>33</v>
      </c>
      <c r="L466" t="s">
        <v>1300</v>
      </c>
      <c r="M466" t="s">
        <v>35</v>
      </c>
      <c r="N466">
        <v>7852255964</v>
      </c>
      <c r="O466" t="s">
        <v>1307</v>
      </c>
      <c r="P466" t="s">
        <v>1308</v>
      </c>
      <c r="R466" t="s">
        <v>1309</v>
      </c>
      <c r="S466" t="s">
        <v>1310</v>
      </c>
      <c r="T466" t="s">
        <v>1311</v>
      </c>
      <c r="U466" t="s">
        <v>82</v>
      </c>
      <c r="V466" s="1">
        <v>41294</v>
      </c>
      <c r="W466">
        <v>0</v>
      </c>
      <c r="X466">
        <v>0</v>
      </c>
      <c r="Y466" t="s">
        <v>59</v>
      </c>
      <c r="AA466" t="s">
        <v>42</v>
      </c>
      <c r="AB466" t="s">
        <v>43</v>
      </c>
      <c r="AC466" t="s">
        <v>43</v>
      </c>
    </row>
    <row r="467" spans="1:29" x14ac:dyDescent="0.4">
      <c r="A467" t="s">
        <v>27</v>
      </c>
      <c r="B467">
        <v>3814</v>
      </c>
      <c r="C467" t="s">
        <v>2954</v>
      </c>
      <c r="D467">
        <v>148</v>
      </c>
      <c r="E467" t="s">
        <v>257</v>
      </c>
      <c r="F467" t="s">
        <v>1306</v>
      </c>
      <c r="G467" t="s">
        <v>1283</v>
      </c>
      <c r="H467" t="s">
        <v>1298</v>
      </c>
      <c r="J467" t="s">
        <v>1299</v>
      </c>
      <c r="K467" t="s">
        <v>33</v>
      </c>
      <c r="L467" t="s">
        <v>1300</v>
      </c>
      <c r="M467" t="s">
        <v>35</v>
      </c>
      <c r="N467">
        <v>7852255964</v>
      </c>
      <c r="O467" t="s">
        <v>1307</v>
      </c>
      <c r="P467" t="s">
        <v>1308</v>
      </c>
      <c r="R467" t="s">
        <v>1312</v>
      </c>
      <c r="S467" t="s">
        <v>1313</v>
      </c>
      <c r="T467" t="s">
        <v>1314</v>
      </c>
      <c r="U467" t="s">
        <v>82</v>
      </c>
      <c r="V467" s="1">
        <v>42320</v>
      </c>
      <c r="W467">
        <v>0</v>
      </c>
      <c r="X467">
        <v>10</v>
      </c>
      <c r="AA467" t="s">
        <v>42</v>
      </c>
      <c r="AB467" t="s">
        <v>43</v>
      </c>
      <c r="AC467" t="s">
        <v>43</v>
      </c>
    </row>
    <row r="468" spans="1:29" x14ac:dyDescent="0.4">
      <c r="A468" t="s">
        <v>27</v>
      </c>
      <c r="B468">
        <v>3814</v>
      </c>
      <c r="C468" t="s">
        <v>2954</v>
      </c>
      <c r="D468">
        <v>148</v>
      </c>
      <c r="E468" t="s">
        <v>257</v>
      </c>
      <c r="F468" t="s">
        <v>1306</v>
      </c>
      <c r="G468" t="s">
        <v>1283</v>
      </c>
      <c r="H468" t="s">
        <v>1298</v>
      </c>
      <c r="J468" t="s">
        <v>1299</v>
      </c>
      <c r="K468" t="s">
        <v>33</v>
      </c>
      <c r="L468" t="s">
        <v>1300</v>
      </c>
      <c r="M468" t="s">
        <v>35</v>
      </c>
      <c r="N468">
        <v>7852255964</v>
      </c>
      <c r="O468" t="s">
        <v>1307</v>
      </c>
      <c r="P468" t="s">
        <v>1308</v>
      </c>
      <c r="R468" t="s">
        <v>1312</v>
      </c>
      <c r="S468" t="s">
        <v>1313</v>
      </c>
      <c r="T468" t="s">
        <v>1314</v>
      </c>
      <c r="U468" t="s">
        <v>82</v>
      </c>
      <c r="V468" s="1">
        <v>42320</v>
      </c>
      <c r="W468">
        <v>0</v>
      </c>
      <c r="X468">
        <v>8</v>
      </c>
      <c r="AA468" t="s">
        <v>42</v>
      </c>
      <c r="AB468" t="s">
        <v>43</v>
      </c>
      <c r="AC468" t="s">
        <v>43</v>
      </c>
    </row>
    <row r="469" spans="1:29" x14ac:dyDescent="0.4">
      <c r="A469" t="s">
        <v>27</v>
      </c>
      <c r="B469">
        <v>1588</v>
      </c>
      <c r="C469" t="s">
        <v>2955</v>
      </c>
      <c r="D469">
        <v>150</v>
      </c>
      <c r="E469" t="s">
        <v>257</v>
      </c>
      <c r="F469" t="s">
        <v>1315</v>
      </c>
      <c r="G469" t="s">
        <v>1316</v>
      </c>
      <c r="H469" t="s">
        <v>1317</v>
      </c>
      <c r="I469" t="s">
        <v>1318</v>
      </c>
      <c r="J469" t="s">
        <v>1319</v>
      </c>
      <c r="K469" t="s">
        <v>1320</v>
      </c>
      <c r="L469" t="s">
        <v>1321</v>
      </c>
      <c r="M469" t="s">
        <v>35</v>
      </c>
      <c r="N469">
        <v>1223624880</v>
      </c>
      <c r="O469" t="s">
        <v>1322</v>
      </c>
      <c r="P469" t="s">
        <v>1323</v>
      </c>
      <c r="R469" t="s">
        <v>1324</v>
      </c>
      <c r="S469" t="s">
        <v>1325</v>
      </c>
      <c r="T469" t="s">
        <v>58</v>
      </c>
      <c r="U469" t="s">
        <v>82</v>
      </c>
      <c r="V469" s="1">
        <v>44536</v>
      </c>
      <c r="W469">
        <v>0</v>
      </c>
      <c r="X469">
        <v>5</v>
      </c>
      <c r="Y469" t="s">
        <v>66</v>
      </c>
      <c r="AA469" t="s">
        <v>42</v>
      </c>
      <c r="AB469" t="s">
        <v>43</v>
      </c>
      <c r="AC469" t="s">
        <v>43</v>
      </c>
    </row>
    <row r="470" spans="1:29" x14ac:dyDescent="0.4">
      <c r="A470" t="s">
        <v>27</v>
      </c>
      <c r="B470">
        <v>1588</v>
      </c>
      <c r="C470" t="s">
        <v>2955</v>
      </c>
      <c r="D470">
        <v>151</v>
      </c>
      <c r="E470" t="s">
        <v>257</v>
      </c>
      <c r="F470" t="s">
        <v>1315</v>
      </c>
      <c r="G470" t="s">
        <v>1316</v>
      </c>
      <c r="H470" t="s">
        <v>1317</v>
      </c>
      <c r="I470" t="s">
        <v>1318</v>
      </c>
      <c r="J470" t="s">
        <v>1319</v>
      </c>
      <c r="K470" t="s">
        <v>1320</v>
      </c>
      <c r="L470" t="s">
        <v>1321</v>
      </c>
      <c r="M470" t="s">
        <v>35</v>
      </c>
      <c r="N470">
        <v>1223624880</v>
      </c>
      <c r="O470" t="s">
        <v>1322</v>
      </c>
      <c r="P470" t="s">
        <v>1323</v>
      </c>
      <c r="R470" t="s">
        <v>1326</v>
      </c>
      <c r="S470" t="s">
        <v>1327</v>
      </c>
      <c r="T470" t="s">
        <v>58</v>
      </c>
      <c r="U470" t="s">
        <v>82</v>
      </c>
      <c r="V470" s="1">
        <v>42622</v>
      </c>
      <c r="W470">
        <v>0</v>
      </c>
      <c r="X470">
        <v>7</v>
      </c>
      <c r="AA470" t="s">
        <v>42</v>
      </c>
      <c r="AB470" t="s">
        <v>43</v>
      </c>
      <c r="AC470" t="s">
        <v>43</v>
      </c>
    </row>
    <row r="471" spans="1:29" x14ac:dyDescent="0.4">
      <c r="A471" t="s">
        <v>27</v>
      </c>
      <c r="B471">
        <v>1588</v>
      </c>
      <c r="C471" t="s">
        <v>2955</v>
      </c>
      <c r="D471">
        <v>150</v>
      </c>
      <c r="E471" t="s">
        <v>257</v>
      </c>
      <c r="F471" t="s">
        <v>1315</v>
      </c>
      <c r="G471" t="s">
        <v>1316</v>
      </c>
      <c r="H471" t="s">
        <v>1317</v>
      </c>
      <c r="I471" t="s">
        <v>1318</v>
      </c>
      <c r="J471" t="s">
        <v>1319</v>
      </c>
      <c r="K471" t="s">
        <v>1320</v>
      </c>
      <c r="L471" t="s">
        <v>1321</v>
      </c>
      <c r="M471" t="s">
        <v>35</v>
      </c>
      <c r="N471">
        <v>1223624880</v>
      </c>
      <c r="O471" t="s">
        <v>1322</v>
      </c>
      <c r="P471" t="s">
        <v>1323</v>
      </c>
      <c r="R471" t="s">
        <v>1324</v>
      </c>
      <c r="S471" t="s">
        <v>1325</v>
      </c>
      <c r="T471" t="s">
        <v>58</v>
      </c>
      <c r="U471" t="s">
        <v>82</v>
      </c>
      <c r="V471" s="1">
        <v>44536</v>
      </c>
      <c r="W471">
        <v>0</v>
      </c>
      <c r="X471">
        <v>15</v>
      </c>
      <c r="AA471" t="s">
        <v>42</v>
      </c>
      <c r="AB471" t="s">
        <v>43</v>
      </c>
      <c r="AC471" t="s">
        <v>43</v>
      </c>
    </row>
    <row r="472" spans="1:29" x14ac:dyDescent="0.4">
      <c r="A472" t="s">
        <v>27</v>
      </c>
      <c r="B472">
        <v>1588</v>
      </c>
      <c r="C472" t="s">
        <v>2955</v>
      </c>
      <c r="D472">
        <v>150</v>
      </c>
      <c r="E472" t="s">
        <v>257</v>
      </c>
      <c r="F472" t="s">
        <v>1315</v>
      </c>
      <c r="G472" t="s">
        <v>1316</v>
      </c>
      <c r="H472" t="s">
        <v>1317</v>
      </c>
      <c r="I472" t="s">
        <v>1318</v>
      </c>
      <c r="J472" t="s">
        <v>1319</v>
      </c>
      <c r="K472" t="s">
        <v>1320</v>
      </c>
      <c r="L472" t="s">
        <v>1321</v>
      </c>
      <c r="M472" t="s">
        <v>35</v>
      </c>
      <c r="N472">
        <v>1223624880</v>
      </c>
      <c r="O472" t="s">
        <v>1322</v>
      </c>
      <c r="P472" t="s">
        <v>1323</v>
      </c>
      <c r="R472" t="s">
        <v>1324</v>
      </c>
      <c r="S472" t="s">
        <v>1325</v>
      </c>
      <c r="T472" t="s">
        <v>58</v>
      </c>
      <c r="U472" t="s">
        <v>82</v>
      </c>
      <c r="V472" s="1">
        <v>44536</v>
      </c>
      <c r="W472">
        <v>0</v>
      </c>
      <c r="X472">
        <v>17</v>
      </c>
      <c r="AA472" t="s">
        <v>42</v>
      </c>
      <c r="AB472" t="s">
        <v>43</v>
      </c>
      <c r="AC472" t="s">
        <v>43</v>
      </c>
    </row>
    <row r="473" spans="1:29" x14ac:dyDescent="0.4">
      <c r="A473" t="s">
        <v>27</v>
      </c>
      <c r="B473">
        <v>1588</v>
      </c>
      <c r="C473" t="s">
        <v>2955</v>
      </c>
      <c r="D473">
        <v>151</v>
      </c>
      <c r="E473" t="s">
        <v>257</v>
      </c>
      <c r="F473" t="s">
        <v>1315</v>
      </c>
      <c r="G473" t="s">
        <v>1316</v>
      </c>
      <c r="H473" t="s">
        <v>1317</v>
      </c>
      <c r="I473" t="s">
        <v>1318</v>
      </c>
      <c r="J473" t="s">
        <v>1319</v>
      </c>
      <c r="K473" t="s">
        <v>1320</v>
      </c>
      <c r="L473" t="s">
        <v>1321</v>
      </c>
      <c r="M473" t="s">
        <v>35</v>
      </c>
      <c r="N473">
        <v>1223624880</v>
      </c>
      <c r="O473" t="s">
        <v>1322</v>
      </c>
      <c r="P473" t="s">
        <v>1323</v>
      </c>
      <c r="R473" t="s">
        <v>1326</v>
      </c>
      <c r="S473" t="s">
        <v>1327</v>
      </c>
      <c r="T473" t="s">
        <v>58</v>
      </c>
      <c r="U473" t="s">
        <v>82</v>
      </c>
      <c r="V473" s="1">
        <v>42622</v>
      </c>
      <c r="W473">
        <v>0</v>
      </c>
      <c r="X473">
        <v>21</v>
      </c>
      <c r="AA473" t="s">
        <v>42</v>
      </c>
      <c r="AB473" t="s">
        <v>43</v>
      </c>
      <c r="AC473" t="s">
        <v>43</v>
      </c>
    </row>
    <row r="474" spans="1:29" x14ac:dyDescent="0.4">
      <c r="A474" t="s">
        <v>27</v>
      </c>
      <c r="B474">
        <v>1588</v>
      </c>
      <c r="C474" t="s">
        <v>2955</v>
      </c>
      <c r="D474">
        <v>150</v>
      </c>
      <c r="E474" t="s">
        <v>257</v>
      </c>
      <c r="F474" t="s">
        <v>1315</v>
      </c>
      <c r="G474" t="s">
        <v>1316</v>
      </c>
      <c r="H474" t="s">
        <v>1317</v>
      </c>
      <c r="I474" t="s">
        <v>1318</v>
      </c>
      <c r="J474" t="s">
        <v>1319</v>
      </c>
      <c r="K474" t="s">
        <v>1320</v>
      </c>
      <c r="L474" t="s">
        <v>1321</v>
      </c>
      <c r="M474" t="s">
        <v>35</v>
      </c>
      <c r="N474">
        <v>1223624880</v>
      </c>
      <c r="O474" t="s">
        <v>1322</v>
      </c>
      <c r="P474" t="s">
        <v>1323</v>
      </c>
      <c r="R474" t="s">
        <v>1324</v>
      </c>
      <c r="S474" t="s">
        <v>1325</v>
      </c>
      <c r="T474" t="s">
        <v>58</v>
      </c>
      <c r="U474" t="s">
        <v>82</v>
      </c>
      <c r="V474" s="1">
        <v>44536</v>
      </c>
      <c r="W474">
        <v>0</v>
      </c>
      <c r="X474">
        <v>19</v>
      </c>
      <c r="AA474" t="s">
        <v>42</v>
      </c>
      <c r="AB474" t="s">
        <v>43</v>
      </c>
      <c r="AC474" t="s">
        <v>43</v>
      </c>
    </row>
    <row r="475" spans="1:29" x14ac:dyDescent="0.4">
      <c r="A475" t="s">
        <v>27</v>
      </c>
      <c r="B475">
        <v>1589</v>
      </c>
      <c r="C475" t="s">
        <v>1330</v>
      </c>
      <c r="D475">
        <v>152</v>
      </c>
      <c r="E475" t="s">
        <v>68</v>
      </c>
      <c r="F475" t="s">
        <v>1328</v>
      </c>
      <c r="G475" t="s">
        <v>1316</v>
      </c>
      <c r="H475" t="s">
        <v>1317</v>
      </c>
      <c r="I475" t="s">
        <v>1318</v>
      </c>
      <c r="J475" t="s">
        <v>1319</v>
      </c>
      <c r="K475" t="s">
        <v>1320</v>
      </c>
      <c r="L475" t="s">
        <v>1321</v>
      </c>
      <c r="M475" t="s">
        <v>35</v>
      </c>
      <c r="N475" t="s">
        <v>1329</v>
      </c>
      <c r="O475" t="s">
        <v>1322</v>
      </c>
      <c r="P475" t="s">
        <v>1330</v>
      </c>
      <c r="R475" t="s">
        <v>1331</v>
      </c>
      <c r="S475" t="s">
        <v>1332</v>
      </c>
      <c r="T475" t="s">
        <v>58</v>
      </c>
      <c r="U475" t="s">
        <v>40</v>
      </c>
      <c r="V475" s="1">
        <v>43780</v>
      </c>
      <c r="W475">
        <v>0</v>
      </c>
      <c r="X475">
        <v>7</v>
      </c>
      <c r="AA475" t="s">
        <v>42</v>
      </c>
      <c r="AB475" t="s">
        <v>43</v>
      </c>
      <c r="AC475" t="s">
        <v>43</v>
      </c>
    </row>
    <row r="476" spans="1:29" x14ac:dyDescent="0.4">
      <c r="A476" t="s">
        <v>27</v>
      </c>
      <c r="B476">
        <v>1589</v>
      </c>
      <c r="C476" t="s">
        <v>1330</v>
      </c>
      <c r="D476">
        <v>152</v>
      </c>
      <c r="E476" t="s">
        <v>68</v>
      </c>
      <c r="F476" t="s">
        <v>1328</v>
      </c>
      <c r="G476" t="s">
        <v>1316</v>
      </c>
      <c r="H476" t="s">
        <v>1317</v>
      </c>
      <c r="I476" t="s">
        <v>1318</v>
      </c>
      <c r="J476" t="s">
        <v>1319</v>
      </c>
      <c r="K476" t="s">
        <v>1320</v>
      </c>
      <c r="L476" t="s">
        <v>1321</v>
      </c>
      <c r="M476" t="s">
        <v>35</v>
      </c>
      <c r="N476" t="s">
        <v>1329</v>
      </c>
      <c r="O476" t="s">
        <v>1322</v>
      </c>
      <c r="P476" t="s">
        <v>1330</v>
      </c>
      <c r="R476" t="s">
        <v>1331</v>
      </c>
      <c r="S476" t="s">
        <v>1332</v>
      </c>
      <c r="T476" t="s">
        <v>58</v>
      </c>
      <c r="U476" t="s">
        <v>40</v>
      </c>
      <c r="V476" s="1">
        <v>43780</v>
      </c>
      <c r="W476">
        <v>0</v>
      </c>
      <c r="X476">
        <v>18</v>
      </c>
      <c r="AA476" t="s">
        <v>42</v>
      </c>
      <c r="AB476" t="s">
        <v>43</v>
      </c>
      <c r="AC476" t="s">
        <v>43</v>
      </c>
    </row>
    <row r="477" spans="1:29" x14ac:dyDescent="0.4">
      <c r="A477" t="s">
        <v>27</v>
      </c>
      <c r="B477">
        <v>1589</v>
      </c>
      <c r="C477" t="s">
        <v>1330</v>
      </c>
      <c r="D477">
        <v>152</v>
      </c>
      <c r="E477" t="s">
        <v>68</v>
      </c>
      <c r="F477" t="s">
        <v>1328</v>
      </c>
      <c r="G477" t="s">
        <v>1316</v>
      </c>
      <c r="H477" t="s">
        <v>1317</v>
      </c>
      <c r="I477" t="s">
        <v>1318</v>
      </c>
      <c r="J477" t="s">
        <v>1319</v>
      </c>
      <c r="K477" t="s">
        <v>1320</v>
      </c>
      <c r="L477" t="s">
        <v>1321</v>
      </c>
      <c r="M477" t="s">
        <v>35</v>
      </c>
      <c r="N477" t="s">
        <v>1329</v>
      </c>
      <c r="O477" t="s">
        <v>1322</v>
      </c>
      <c r="P477" t="s">
        <v>1330</v>
      </c>
      <c r="R477" t="s">
        <v>1331</v>
      </c>
      <c r="S477" t="s">
        <v>1332</v>
      </c>
      <c r="T477" t="s">
        <v>58</v>
      </c>
      <c r="U477" t="s">
        <v>40</v>
      </c>
      <c r="V477" s="1">
        <v>43780</v>
      </c>
      <c r="W477">
        <v>0</v>
      </c>
      <c r="X477">
        <v>20</v>
      </c>
      <c r="AA477" t="s">
        <v>42</v>
      </c>
      <c r="AB477" t="s">
        <v>43</v>
      </c>
      <c r="AC477" t="s">
        <v>43</v>
      </c>
    </row>
    <row r="478" spans="1:29" x14ac:dyDescent="0.4">
      <c r="A478" t="s">
        <v>27</v>
      </c>
      <c r="B478">
        <v>5199</v>
      </c>
      <c r="C478" t="s">
        <v>2956</v>
      </c>
      <c r="D478">
        <v>153</v>
      </c>
      <c r="E478" t="s">
        <v>28</v>
      </c>
      <c r="F478" t="s">
        <v>1333</v>
      </c>
      <c r="G478" t="s">
        <v>1334</v>
      </c>
      <c r="H478">
        <v>1</v>
      </c>
      <c r="I478" t="s">
        <v>1335</v>
      </c>
      <c r="J478" t="s">
        <v>1336</v>
      </c>
      <c r="K478" t="s">
        <v>51</v>
      </c>
      <c r="L478" t="s">
        <v>1337</v>
      </c>
      <c r="M478" t="s">
        <v>35</v>
      </c>
      <c r="N478">
        <v>7876350654</v>
      </c>
      <c r="O478" t="s">
        <v>1338</v>
      </c>
      <c r="P478" t="s">
        <v>2956</v>
      </c>
      <c r="R478" t="s">
        <v>3109</v>
      </c>
      <c r="S478" t="s">
        <v>1340</v>
      </c>
      <c r="T478" t="s">
        <v>58</v>
      </c>
      <c r="U478" t="s">
        <v>40</v>
      </c>
      <c r="V478" s="1">
        <v>44536</v>
      </c>
      <c r="W478">
        <v>0</v>
      </c>
      <c r="X478">
        <v>14</v>
      </c>
      <c r="AA478" t="s">
        <v>42</v>
      </c>
      <c r="AB478" t="s">
        <v>43</v>
      </c>
      <c r="AC478" t="s">
        <v>43</v>
      </c>
    </row>
    <row r="479" spans="1:29" x14ac:dyDescent="0.4">
      <c r="A479" t="s">
        <v>27</v>
      </c>
      <c r="B479">
        <v>4440</v>
      </c>
      <c r="C479" t="s">
        <v>2957</v>
      </c>
      <c r="D479">
        <v>154</v>
      </c>
      <c r="E479" t="s">
        <v>68</v>
      </c>
      <c r="F479" t="s">
        <v>1341</v>
      </c>
      <c r="G479" t="s">
        <v>1342</v>
      </c>
      <c r="H479" t="s">
        <v>1343</v>
      </c>
      <c r="I479" t="s">
        <v>1344</v>
      </c>
      <c r="J479" t="s">
        <v>1028</v>
      </c>
      <c r="K479" t="s">
        <v>51</v>
      </c>
      <c r="L479" t="s">
        <v>1345</v>
      </c>
      <c r="M479" t="s">
        <v>35</v>
      </c>
      <c r="N479">
        <v>1794388801</v>
      </c>
      <c r="O479" t="s">
        <v>1346</v>
      </c>
      <c r="P479" t="s">
        <v>2957</v>
      </c>
      <c r="R479" t="s">
        <v>1347</v>
      </c>
      <c r="S479" t="s">
        <v>1348</v>
      </c>
      <c r="T479" t="s">
        <v>58</v>
      </c>
      <c r="U479" t="s">
        <v>82</v>
      </c>
      <c r="V479" s="1">
        <v>42738</v>
      </c>
      <c r="W479">
        <v>0</v>
      </c>
      <c r="X479">
        <v>15</v>
      </c>
      <c r="AA479" t="s">
        <v>42</v>
      </c>
      <c r="AB479" t="s">
        <v>43</v>
      </c>
      <c r="AC479" t="s">
        <v>43</v>
      </c>
    </row>
    <row r="480" spans="1:29" x14ac:dyDescent="0.4">
      <c r="A480" t="s">
        <v>27</v>
      </c>
      <c r="B480">
        <v>4440</v>
      </c>
      <c r="C480" t="s">
        <v>2957</v>
      </c>
      <c r="D480">
        <v>154</v>
      </c>
      <c r="E480" t="s">
        <v>68</v>
      </c>
      <c r="F480" t="s">
        <v>1341</v>
      </c>
      <c r="G480" t="s">
        <v>1342</v>
      </c>
      <c r="H480" t="s">
        <v>1343</v>
      </c>
      <c r="I480" t="s">
        <v>1344</v>
      </c>
      <c r="J480" t="s">
        <v>1028</v>
      </c>
      <c r="K480" t="s">
        <v>51</v>
      </c>
      <c r="L480" t="s">
        <v>1345</v>
      </c>
      <c r="M480" t="s">
        <v>35</v>
      </c>
      <c r="N480">
        <v>1794388801</v>
      </c>
      <c r="O480" t="s">
        <v>1346</v>
      </c>
      <c r="P480" t="s">
        <v>2957</v>
      </c>
      <c r="R480" t="s">
        <v>1347</v>
      </c>
      <c r="S480" t="s">
        <v>1348</v>
      </c>
      <c r="T480" t="s">
        <v>58</v>
      </c>
      <c r="U480" t="s">
        <v>82</v>
      </c>
      <c r="V480" s="1">
        <v>42738</v>
      </c>
      <c r="W480">
        <v>0</v>
      </c>
      <c r="X480">
        <v>17</v>
      </c>
      <c r="AA480" t="s">
        <v>42</v>
      </c>
      <c r="AB480" t="s">
        <v>43</v>
      </c>
      <c r="AC480" t="s">
        <v>43</v>
      </c>
    </row>
    <row r="481" spans="1:30" x14ac:dyDescent="0.4">
      <c r="A481" t="s">
        <v>27</v>
      </c>
      <c r="B481">
        <v>6416</v>
      </c>
      <c r="C481" t="s">
        <v>1354</v>
      </c>
      <c r="E481" t="s">
        <v>68</v>
      </c>
      <c r="F481" t="s">
        <v>1349</v>
      </c>
      <c r="G481" t="s">
        <v>1350</v>
      </c>
      <c r="H481" t="s">
        <v>1351</v>
      </c>
      <c r="J481" t="s">
        <v>262</v>
      </c>
      <c r="K481" t="s">
        <v>51</v>
      </c>
      <c r="L481" t="s">
        <v>1352</v>
      </c>
      <c r="M481" t="s">
        <v>35</v>
      </c>
      <c r="N481">
        <v>7428687460</v>
      </c>
      <c r="O481" t="s">
        <v>1353</v>
      </c>
      <c r="P481" t="s">
        <v>1354</v>
      </c>
      <c r="R481" t="s">
        <v>1355</v>
      </c>
      <c r="S481" t="s">
        <v>1356</v>
      </c>
      <c r="T481" t="s">
        <v>376</v>
      </c>
      <c r="U481" t="s">
        <v>82</v>
      </c>
      <c r="V481" s="1">
        <v>44548</v>
      </c>
      <c r="W481">
        <v>0</v>
      </c>
      <c r="X481">
        <v>0</v>
      </c>
      <c r="Y481" t="s">
        <v>59</v>
      </c>
      <c r="AA481" t="s">
        <v>42</v>
      </c>
      <c r="AB481" t="s">
        <v>43</v>
      </c>
      <c r="AC481" t="s">
        <v>43</v>
      </c>
    </row>
    <row r="482" spans="1:30" x14ac:dyDescent="0.4">
      <c r="A482" t="s">
        <v>27</v>
      </c>
      <c r="B482">
        <v>6416</v>
      </c>
      <c r="C482" t="s">
        <v>1354</v>
      </c>
      <c r="E482" t="s">
        <v>68</v>
      </c>
      <c r="F482" t="s">
        <v>1349</v>
      </c>
      <c r="G482" t="s">
        <v>1350</v>
      </c>
      <c r="H482" t="s">
        <v>1351</v>
      </c>
      <c r="J482" t="s">
        <v>262</v>
      </c>
      <c r="K482" t="s">
        <v>51</v>
      </c>
      <c r="L482" t="s">
        <v>1352</v>
      </c>
      <c r="M482" t="s">
        <v>35</v>
      </c>
      <c r="N482">
        <v>7428687460</v>
      </c>
      <c r="O482" t="s">
        <v>1353</v>
      </c>
      <c r="P482" t="s">
        <v>1354</v>
      </c>
      <c r="R482" t="s">
        <v>1355</v>
      </c>
      <c r="S482" t="s">
        <v>1356</v>
      </c>
      <c r="T482" t="s">
        <v>376</v>
      </c>
      <c r="U482" t="s">
        <v>82</v>
      </c>
      <c r="V482" s="1">
        <v>44548</v>
      </c>
      <c r="W482">
        <v>0</v>
      </c>
      <c r="X482">
        <v>0</v>
      </c>
      <c r="Y482" t="s">
        <v>59</v>
      </c>
      <c r="AA482" t="s">
        <v>42</v>
      </c>
      <c r="AB482" t="s">
        <v>43</v>
      </c>
      <c r="AC482" t="s">
        <v>43</v>
      </c>
    </row>
    <row r="483" spans="1:30" x14ac:dyDescent="0.4">
      <c r="A483" t="s">
        <v>27</v>
      </c>
      <c r="B483">
        <v>6416</v>
      </c>
      <c r="C483" t="s">
        <v>1354</v>
      </c>
      <c r="D483">
        <v>155</v>
      </c>
      <c r="E483" t="s">
        <v>68</v>
      </c>
      <c r="F483" t="s">
        <v>1349</v>
      </c>
      <c r="G483" t="s">
        <v>1350</v>
      </c>
      <c r="H483" t="s">
        <v>1351</v>
      </c>
      <c r="J483" t="s">
        <v>262</v>
      </c>
      <c r="K483" t="s">
        <v>51</v>
      </c>
      <c r="L483" t="s">
        <v>1352</v>
      </c>
      <c r="M483" t="s">
        <v>35</v>
      </c>
      <c r="N483">
        <v>7428687460</v>
      </c>
      <c r="O483" t="s">
        <v>1353</v>
      </c>
      <c r="P483" t="s">
        <v>1354</v>
      </c>
      <c r="R483" t="s">
        <v>1357</v>
      </c>
      <c r="S483" t="s">
        <v>1358</v>
      </c>
      <c r="T483" t="s">
        <v>79</v>
      </c>
      <c r="U483" t="s">
        <v>82</v>
      </c>
      <c r="V483" s="1">
        <v>45020</v>
      </c>
      <c r="W483">
        <v>0</v>
      </c>
      <c r="X483">
        <v>1</v>
      </c>
      <c r="AA483" t="s">
        <v>42</v>
      </c>
      <c r="AB483" t="s">
        <v>43</v>
      </c>
      <c r="AC483" t="s">
        <v>43</v>
      </c>
    </row>
    <row r="484" spans="1:30" x14ac:dyDescent="0.4">
      <c r="A484" t="s">
        <v>27</v>
      </c>
      <c r="B484">
        <v>6416</v>
      </c>
      <c r="C484" t="s">
        <v>1354</v>
      </c>
      <c r="D484">
        <v>155</v>
      </c>
      <c r="E484" t="s">
        <v>68</v>
      </c>
      <c r="F484" t="s">
        <v>1349</v>
      </c>
      <c r="G484" t="s">
        <v>1350</v>
      </c>
      <c r="H484" t="s">
        <v>1351</v>
      </c>
      <c r="J484" t="s">
        <v>262</v>
      </c>
      <c r="K484" t="s">
        <v>51</v>
      </c>
      <c r="L484" t="s">
        <v>1352</v>
      </c>
      <c r="M484" t="s">
        <v>35</v>
      </c>
      <c r="N484">
        <v>7428687460</v>
      </c>
      <c r="O484" t="s">
        <v>1353</v>
      </c>
      <c r="P484" t="s">
        <v>1354</v>
      </c>
      <c r="R484" t="s">
        <v>1357</v>
      </c>
      <c r="S484" t="s">
        <v>1358</v>
      </c>
      <c r="T484" t="s">
        <v>94</v>
      </c>
      <c r="U484" t="s">
        <v>82</v>
      </c>
      <c r="V484" s="1">
        <v>45020</v>
      </c>
      <c r="W484">
        <v>0</v>
      </c>
      <c r="X484">
        <v>2</v>
      </c>
      <c r="AA484" t="s">
        <v>42</v>
      </c>
      <c r="AB484" t="s">
        <v>43</v>
      </c>
      <c r="AC484" t="s">
        <v>43</v>
      </c>
    </row>
    <row r="485" spans="1:30" x14ac:dyDescent="0.4">
      <c r="A485" t="s">
        <v>27</v>
      </c>
      <c r="B485">
        <v>6416</v>
      </c>
      <c r="C485" t="s">
        <v>1354</v>
      </c>
      <c r="D485">
        <v>155</v>
      </c>
      <c r="E485" t="s">
        <v>68</v>
      </c>
      <c r="F485" t="s">
        <v>1349</v>
      </c>
      <c r="G485" t="s">
        <v>1350</v>
      </c>
      <c r="H485" t="s">
        <v>1351</v>
      </c>
      <c r="J485" t="s">
        <v>262</v>
      </c>
      <c r="K485" t="s">
        <v>51</v>
      </c>
      <c r="L485" t="s">
        <v>1352</v>
      </c>
      <c r="M485" t="s">
        <v>35</v>
      </c>
      <c r="N485">
        <v>7428687460</v>
      </c>
      <c r="O485" t="s">
        <v>1353</v>
      </c>
      <c r="P485" t="s">
        <v>1354</v>
      </c>
      <c r="R485" t="s">
        <v>1357</v>
      </c>
      <c r="S485" t="s">
        <v>1358</v>
      </c>
      <c r="T485" t="s">
        <v>94</v>
      </c>
      <c r="U485" t="s">
        <v>82</v>
      </c>
      <c r="V485" s="1">
        <v>45020</v>
      </c>
      <c r="W485">
        <v>0</v>
      </c>
      <c r="X485">
        <v>9</v>
      </c>
      <c r="AA485" t="s">
        <v>42</v>
      </c>
      <c r="AB485" t="s">
        <v>43</v>
      </c>
      <c r="AC485" t="s">
        <v>43</v>
      </c>
    </row>
    <row r="486" spans="1:30" x14ac:dyDescent="0.4">
      <c r="A486" t="s">
        <v>27</v>
      </c>
      <c r="B486">
        <v>6416</v>
      </c>
      <c r="C486" t="s">
        <v>1354</v>
      </c>
      <c r="D486">
        <v>155</v>
      </c>
      <c r="E486" t="s">
        <v>68</v>
      </c>
      <c r="F486" t="s">
        <v>1349</v>
      </c>
      <c r="G486" t="s">
        <v>1350</v>
      </c>
      <c r="H486" t="s">
        <v>1351</v>
      </c>
      <c r="J486" t="s">
        <v>262</v>
      </c>
      <c r="K486" t="s">
        <v>51</v>
      </c>
      <c r="L486" t="s">
        <v>1352</v>
      </c>
      <c r="M486" t="s">
        <v>35</v>
      </c>
      <c r="N486">
        <v>7428687460</v>
      </c>
      <c r="O486" t="s">
        <v>1353</v>
      </c>
      <c r="P486" t="s">
        <v>1354</v>
      </c>
      <c r="R486" t="s">
        <v>1357</v>
      </c>
      <c r="S486" t="s">
        <v>1358</v>
      </c>
      <c r="T486" t="s">
        <v>94</v>
      </c>
      <c r="U486" t="s">
        <v>82</v>
      </c>
      <c r="V486" s="1">
        <v>45020</v>
      </c>
      <c r="W486">
        <v>0</v>
      </c>
      <c r="X486">
        <v>10</v>
      </c>
      <c r="AA486" t="s">
        <v>42</v>
      </c>
      <c r="AB486" t="s">
        <v>43</v>
      </c>
      <c r="AC486" t="s">
        <v>43</v>
      </c>
    </row>
    <row r="487" spans="1:30" x14ac:dyDescent="0.4">
      <c r="A487" t="s">
        <v>27</v>
      </c>
      <c r="B487">
        <v>984</v>
      </c>
      <c r="C487" t="s">
        <v>2866</v>
      </c>
      <c r="D487">
        <v>156</v>
      </c>
      <c r="E487" t="s">
        <v>68</v>
      </c>
      <c r="F487" t="s">
        <v>1359</v>
      </c>
      <c r="G487" t="s">
        <v>1360</v>
      </c>
      <c r="H487" t="s">
        <v>1361</v>
      </c>
      <c r="I487" t="s">
        <v>1362</v>
      </c>
      <c r="J487" t="s">
        <v>1363</v>
      </c>
      <c r="K487" t="s">
        <v>1364</v>
      </c>
      <c r="L487" t="s">
        <v>1365</v>
      </c>
      <c r="M487" t="s">
        <v>35</v>
      </c>
      <c r="N487" t="s">
        <v>1366</v>
      </c>
      <c r="O487" t="s">
        <v>1367</v>
      </c>
      <c r="P487" t="s">
        <v>3076</v>
      </c>
      <c r="R487" t="s">
        <v>1368</v>
      </c>
      <c r="S487" t="s">
        <v>1369</v>
      </c>
      <c r="T487" t="s">
        <v>58</v>
      </c>
      <c r="U487" t="s">
        <v>82</v>
      </c>
      <c r="V487" s="1">
        <v>43886</v>
      </c>
      <c r="W487">
        <v>0</v>
      </c>
      <c r="X487">
        <v>7</v>
      </c>
      <c r="Z487" t="s">
        <v>464</v>
      </c>
      <c r="AA487" t="s">
        <v>42</v>
      </c>
      <c r="AB487" t="s">
        <v>43</v>
      </c>
      <c r="AC487" t="s">
        <v>43</v>
      </c>
    </row>
    <row r="488" spans="1:30" x14ac:dyDescent="0.4">
      <c r="A488" t="s">
        <v>27</v>
      </c>
      <c r="B488">
        <v>984</v>
      </c>
      <c r="C488" t="s">
        <v>2866</v>
      </c>
      <c r="D488">
        <v>156</v>
      </c>
      <c r="E488" t="s">
        <v>68</v>
      </c>
      <c r="F488" t="s">
        <v>1359</v>
      </c>
      <c r="G488" t="s">
        <v>1360</v>
      </c>
      <c r="H488" t="s">
        <v>1361</v>
      </c>
      <c r="I488" t="s">
        <v>1362</v>
      </c>
      <c r="J488" t="s">
        <v>1363</v>
      </c>
      <c r="K488" t="s">
        <v>1364</v>
      </c>
      <c r="L488" t="s">
        <v>1365</v>
      </c>
      <c r="M488" t="s">
        <v>35</v>
      </c>
      <c r="N488" t="s">
        <v>1366</v>
      </c>
      <c r="O488" t="s">
        <v>1367</v>
      </c>
      <c r="P488" t="s">
        <v>3076</v>
      </c>
      <c r="R488" t="s">
        <v>1368</v>
      </c>
      <c r="S488" t="s">
        <v>1369</v>
      </c>
      <c r="T488" t="s">
        <v>58</v>
      </c>
      <c r="U488" t="s">
        <v>82</v>
      </c>
      <c r="V488" s="1">
        <v>43886</v>
      </c>
      <c r="W488">
        <v>0</v>
      </c>
      <c r="X488">
        <v>19</v>
      </c>
      <c r="Z488" t="s">
        <v>464</v>
      </c>
      <c r="AA488" t="s">
        <v>42</v>
      </c>
      <c r="AB488" t="s">
        <v>43</v>
      </c>
      <c r="AC488" t="s">
        <v>43</v>
      </c>
    </row>
    <row r="489" spans="1:30" x14ac:dyDescent="0.4">
      <c r="A489" t="s">
        <v>27</v>
      </c>
      <c r="B489">
        <v>984</v>
      </c>
      <c r="C489" t="s">
        <v>2866</v>
      </c>
      <c r="D489">
        <v>156</v>
      </c>
      <c r="E489" t="s">
        <v>68</v>
      </c>
      <c r="F489" t="s">
        <v>1359</v>
      </c>
      <c r="G489" t="s">
        <v>1360</v>
      </c>
      <c r="H489" t="s">
        <v>1361</v>
      </c>
      <c r="I489" t="s">
        <v>1362</v>
      </c>
      <c r="J489" t="s">
        <v>1363</v>
      </c>
      <c r="K489" t="s">
        <v>1364</v>
      </c>
      <c r="L489" t="s">
        <v>1365</v>
      </c>
      <c r="M489" t="s">
        <v>35</v>
      </c>
      <c r="N489" t="s">
        <v>1366</v>
      </c>
      <c r="O489" t="s">
        <v>1367</v>
      </c>
      <c r="P489" t="s">
        <v>3076</v>
      </c>
      <c r="R489" t="s">
        <v>1368</v>
      </c>
      <c r="S489" t="s">
        <v>1369</v>
      </c>
      <c r="T489" t="s">
        <v>58</v>
      </c>
      <c r="U489" t="s">
        <v>82</v>
      </c>
      <c r="V489" s="1">
        <v>43886</v>
      </c>
      <c r="W489">
        <v>0</v>
      </c>
      <c r="X489">
        <v>21</v>
      </c>
      <c r="Z489" t="s">
        <v>464</v>
      </c>
      <c r="AA489" t="s">
        <v>42</v>
      </c>
      <c r="AB489" t="s">
        <v>43</v>
      </c>
      <c r="AC489" t="s">
        <v>43</v>
      </c>
    </row>
    <row r="490" spans="1:30" x14ac:dyDescent="0.4">
      <c r="A490" t="s">
        <v>27</v>
      </c>
      <c r="B490">
        <v>3069</v>
      </c>
      <c r="C490" t="s">
        <v>1375</v>
      </c>
      <c r="D490">
        <v>157</v>
      </c>
      <c r="E490" t="s">
        <v>68</v>
      </c>
      <c r="F490" t="s">
        <v>656</v>
      </c>
      <c r="G490" t="s">
        <v>1370</v>
      </c>
      <c r="H490" t="s">
        <v>1371</v>
      </c>
      <c r="I490" t="s">
        <v>1372</v>
      </c>
      <c r="J490" t="s">
        <v>623</v>
      </c>
      <c r="K490" t="s">
        <v>33</v>
      </c>
      <c r="L490" t="s">
        <v>1373</v>
      </c>
      <c r="M490" t="s">
        <v>35</v>
      </c>
      <c r="N490">
        <v>7967144704</v>
      </c>
      <c r="O490" t="s">
        <v>1374</v>
      </c>
      <c r="P490" t="s">
        <v>1375</v>
      </c>
      <c r="R490" t="s">
        <v>1376</v>
      </c>
      <c r="S490" t="s">
        <v>1377</v>
      </c>
      <c r="T490" t="s">
        <v>94</v>
      </c>
      <c r="U490" t="s">
        <v>40</v>
      </c>
      <c r="V490" s="1">
        <v>44469</v>
      </c>
      <c r="W490">
        <v>0</v>
      </c>
      <c r="X490">
        <v>4</v>
      </c>
      <c r="Y490" t="s">
        <v>65</v>
      </c>
      <c r="AA490" t="s">
        <v>42</v>
      </c>
      <c r="AB490" t="s">
        <v>43</v>
      </c>
      <c r="AC490" t="s">
        <v>43</v>
      </c>
      <c r="AD490" t="s">
        <v>1378</v>
      </c>
    </row>
    <row r="491" spans="1:30" x14ac:dyDescent="0.4">
      <c r="A491" t="s">
        <v>27</v>
      </c>
      <c r="B491">
        <v>3069</v>
      </c>
      <c r="C491" t="s">
        <v>1375</v>
      </c>
      <c r="D491">
        <v>157</v>
      </c>
      <c r="E491" t="s">
        <v>68</v>
      </c>
      <c r="F491" t="s">
        <v>656</v>
      </c>
      <c r="G491" t="s">
        <v>1370</v>
      </c>
      <c r="H491" t="s">
        <v>1371</v>
      </c>
      <c r="I491" t="s">
        <v>1372</v>
      </c>
      <c r="J491" t="s">
        <v>623</v>
      </c>
      <c r="K491" t="s">
        <v>33</v>
      </c>
      <c r="L491" t="s">
        <v>1373</v>
      </c>
      <c r="M491" t="s">
        <v>35</v>
      </c>
      <c r="N491">
        <v>7967144704</v>
      </c>
      <c r="O491" t="s">
        <v>1374</v>
      </c>
      <c r="P491" t="s">
        <v>1375</v>
      </c>
      <c r="R491" t="s">
        <v>1376</v>
      </c>
      <c r="S491" t="s">
        <v>1377</v>
      </c>
      <c r="T491" t="s">
        <v>94</v>
      </c>
      <c r="U491" t="s">
        <v>40</v>
      </c>
      <c r="V491" s="1">
        <v>44469</v>
      </c>
      <c r="W491">
        <v>0</v>
      </c>
      <c r="X491">
        <v>5</v>
      </c>
      <c r="Y491" t="s">
        <v>66</v>
      </c>
      <c r="AA491" t="s">
        <v>42</v>
      </c>
      <c r="AB491" t="s">
        <v>43</v>
      </c>
      <c r="AC491" t="s">
        <v>43</v>
      </c>
      <c r="AD491" t="s">
        <v>1378</v>
      </c>
    </row>
    <row r="492" spans="1:30" x14ac:dyDescent="0.4">
      <c r="A492" t="s">
        <v>27</v>
      </c>
      <c r="B492">
        <v>3069</v>
      </c>
      <c r="C492" t="s">
        <v>1375</v>
      </c>
      <c r="D492">
        <v>157</v>
      </c>
      <c r="E492" t="s">
        <v>68</v>
      </c>
      <c r="F492" t="s">
        <v>656</v>
      </c>
      <c r="G492" t="s">
        <v>1370</v>
      </c>
      <c r="H492" t="s">
        <v>1371</v>
      </c>
      <c r="I492" t="s">
        <v>1372</v>
      </c>
      <c r="J492" t="s">
        <v>623</v>
      </c>
      <c r="K492" t="s">
        <v>33</v>
      </c>
      <c r="L492" t="s">
        <v>1373</v>
      </c>
      <c r="M492" t="s">
        <v>35</v>
      </c>
      <c r="N492">
        <v>7967144704</v>
      </c>
      <c r="O492" t="s">
        <v>1374</v>
      </c>
      <c r="P492" t="s">
        <v>1375</v>
      </c>
      <c r="R492" t="s">
        <v>1376</v>
      </c>
      <c r="S492" t="s">
        <v>1377</v>
      </c>
      <c r="T492" t="s">
        <v>94</v>
      </c>
      <c r="U492" t="s">
        <v>40</v>
      </c>
      <c r="V492" s="1">
        <v>44469</v>
      </c>
      <c r="W492">
        <v>0</v>
      </c>
      <c r="X492">
        <v>12</v>
      </c>
      <c r="AA492" t="s">
        <v>42</v>
      </c>
      <c r="AB492" t="s">
        <v>43</v>
      </c>
      <c r="AC492" t="s">
        <v>43</v>
      </c>
      <c r="AD492" t="s">
        <v>1378</v>
      </c>
    </row>
    <row r="493" spans="1:30" x14ac:dyDescent="0.4">
      <c r="A493" t="s">
        <v>27</v>
      </c>
      <c r="B493">
        <v>3069</v>
      </c>
      <c r="C493" t="s">
        <v>1375</v>
      </c>
      <c r="D493">
        <v>157</v>
      </c>
      <c r="E493" t="s">
        <v>68</v>
      </c>
      <c r="F493" t="s">
        <v>656</v>
      </c>
      <c r="G493" t="s">
        <v>1370</v>
      </c>
      <c r="H493" t="s">
        <v>1371</v>
      </c>
      <c r="I493" t="s">
        <v>1372</v>
      </c>
      <c r="J493" t="s">
        <v>623</v>
      </c>
      <c r="K493" t="s">
        <v>33</v>
      </c>
      <c r="L493" t="s">
        <v>1373</v>
      </c>
      <c r="M493" t="s">
        <v>35</v>
      </c>
      <c r="N493">
        <v>7967144704</v>
      </c>
      <c r="O493" t="s">
        <v>1374</v>
      </c>
      <c r="P493" t="s">
        <v>1375</v>
      </c>
      <c r="R493" t="s">
        <v>1376</v>
      </c>
      <c r="S493" t="s">
        <v>1377</v>
      </c>
      <c r="T493" t="s">
        <v>94</v>
      </c>
      <c r="U493" t="s">
        <v>40</v>
      </c>
      <c r="V493" s="1">
        <v>44469</v>
      </c>
      <c r="W493">
        <v>0</v>
      </c>
      <c r="X493">
        <v>14</v>
      </c>
      <c r="AA493" t="s">
        <v>42</v>
      </c>
      <c r="AB493" t="s">
        <v>43</v>
      </c>
      <c r="AC493" t="s">
        <v>43</v>
      </c>
      <c r="AD493" t="s">
        <v>1378</v>
      </c>
    </row>
    <row r="494" spans="1:30" x14ac:dyDescent="0.4">
      <c r="A494" t="s">
        <v>27</v>
      </c>
      <c r="B494">
        <v>4961</v>
      </c>
      <c r="C494" t="s">
        <v>2867</v>
      </c>
      <c r="D494">
        <v>158</v>
      </c>
      <c r="E494" t="s">
        <v>195</v>
      </c>
      <c r="F494" t="s">
        <v>1379</v>
      </c>
      <c r="G494" t="s">
        <v>1380</v>
      </c>
      <c r="H494" t="s">
        <v>1381</v>
      </c>
      <c r="I494" t="s">
        <v>1382</v>
      </c>
      <c r="J494" t="s">
        <v>1383</v>
      </c>
      <c r="K494" t="s">
        <v>426</v>
      </c>
      <c r="L494" t="s">
        <v>1384</v>
      </c>
      <c r="M494" t="s">
        <v>35</v>
      </c>
      <c r="N494">
        <v>7734031945</v>
      </c>
      <c r="O494" t="s">
        <v>1385</v>
      </c>
      <c r="P494" t="s">
        <v>1386</v>
      </c>
      <c r="R494" t="s">
        <v>1387</v>
      </c>
      <c r="S494" t="s">
        <v>1388</v>
      </c>
      <c r="T494" t="s">
        <v>284</v>
      </c>
      <c r="U494" t="s">
        <v>40</v>
      </c>
      <c r="V494" s="1">
        <v>43695</v>
      </c>
      <c r="W494">
        <v>0</v>
      </c>
      <c r="X494">
        <v>4</v>
      </c>
      <c r="Y494" t="s">
        <v>65</v>
      </c>
      <c r="Z494" t="s">
        <v>135</v>
      </c>
      <c r="AA494" t="s">
        <v>42</v>
      </c>
      <c r="AB494" t="s">
        <v>43</v>
      </c>
      <c r="AC494" t="s">
        <v>43</v>
      </c>
    </row>
    <row r="495" spans="1:30" x14ac:dyDescent="0.4">
      <c r="A495" t="s">
        <v>27</v>
      </c>
      <c r="B495">
        <v>4961</v>
      </c>
      <c r="C495" t="s">
        <v>2867</v>
      </c>
      <c r="D495">
        <v>158</v>
      </c>
      <c r="E495" t="s">
        <v>195</v>
      </c>
      <c r="F495" t="s">
        <v>1379</v>
      </c>
      <c r="G495" t="s">
        <v>1380</v>
      </c>
      <c r="H495" t="s">
        <v>1381</v>
      </c>
      <c r="I495" t="s">
        <v>1382</v>
      </c>
      <c r="J495" t="s">
        <v>1383</v>
      </c>
      <c r="K495" t="s">
        <v>426</v>
      </c>
      <c r="L495" t="s">
        <v>1384</v>
      </c>
      <c r="M495" t="s">
        <v>35</v>
      </c>
      <c r="N495">
        <v>7734031945</v>
      </c>
      <c r="O495" t="s">
        <v>1385</v>
      </c>
      <c r="P495" t="s">
        <v>1386</v>
      </c>
      <c r="R495" t="s">
        <v>1387</v>
      </c>
      <c r="S495" t="s">
        <v>1388</v>
      </c>
      <c r="T495" t="s">
        <v>284</v>
      </c>
      <c r="U495" t="s">
        <v>40</v>
      </c>
      <c r="V495" s="1">
        <v>43695</v>
      </c>
      <c r="W495">
        <v>0</v>
      </c>
      <c r="X495">
        <v>12</v>
      </c>
      <c r="Z495" t="s">
        <v>135</v>
      </c>
      <c r="AA495" t="s">
        <v>42</v>
      </c>
      <c r="AB495" t="s">
        <v>43</v>
      </c>
      <c r="AC495" t="s">
        <v>43</v>
      </c>
    </row>
    <row r="496" spans="1:30" x14ac:dyDescent="0.4">
      <c r="A496" t="s">
        <v>27</v>
      </c>
      <c r="B496">
        <v>1815</v>
      </c>
      <c r="C496" t="s">
        <v>2958</v>
      </c>
      <c r="D496">
        <v>159</v>
      </c>
      <c r="E496" t="s">
        <v>28</v>
      </c>
      <c r="F496" t="s">
        <v>1389</v>
      </c>
      <c r="G496" t="s">
        <v>1390</v>
      </c>
      <c r="H496" t="s">
        <v>1391</v>
      </c>
      <c r="I496" t="s">
        <v>1392</v>
      </c>
      <c r="J496" t="s">
        <v>1393</v>
      </c>
      <c r="K496" t="s">
        <v>1394</v>
      </c>
      <c r="L496" t="s">
        <v>1395</v>
      </c>
      <c r="M496" t="s">
        <v>35</v>
      </c>
      <c r="N496">
        <v>1725511843</v>
      </c>
      <c r="O496" t="s">
        <v>1396</v>
      </c>
      <c r="P496" t="s">
        <v>3077</v>
      </c>
      <c r="R496" t="s">
        <v>3110</v>
      </c>
      <c r="S496" t="s">
        <v>1399</v>
      </c>
      <c r="T496" t="s">
        <v>376</v>
      </c>
      <c r="U496" t="s">
        <v>40</v>
      </c>
      <c r="V496" s="1">
        <v>44860</v>
      </c>
      <c r="W496">
        <v>0</v>
      </c>
      <c r="X496">
        <v>12</v>
      </c>
      <c r="AA496" t="s">
        <v>42</v>
      </c>
      <c r="AB496" t="s">
        <v>43</v>
      </c>
      <c r="AC496" t="s">
        <v>43</v>
      </c>
    </row>
    <row r="497" spans="1:29" x14ac:dyDescent="0.4">
      <c r="A497" t="s">
        <v>27</v>
      </c>
      <c r="B497">
        <v>1815</v>
      </c>
      <c r="C497" t="s">
        <v>2958</v>
      </c>
      <c r="D497">
        <v>160</v>
      </c>
      <c r="E497" t="s">
        <v>28</v>
      </c>
      <c r="F497" t="s">
        <v>1389</v>
      </c>
      <c r="G497" t="s">
        <v>1390</v>
      </c>
      <c r="H497" t="s">
        <v>1391</v>
      </c>
      <c r="I497" t="s">
        <v>1392</v>
      </c>
      <c r="J497" t="s">
        <v>1393</v>
      </c>
      <c r="K497" t="s">
        <v>1394</v>
      </c>
      <c r="L497" t="s">
        <v>1395</v>
      </c>
      <c r="M497" t="s">
        <v>35</v>
      </c>
      <c r="N497">
        <v>1725511843</v>
      </c>
      <c r="O497" t="s">
        <v>1396</v>
      </c>
      <c r="P497" t="s">
        <v>3077</v>
      </c>
      <c r="R497" t="s">
        <v>3111</v>
      </c>
      <c r="S497" t="s">
        <v>1402</v>
      </c>
      <c r="T497" t="s">
        <v>376</v>
      </c>
      <c r="U497" t="s">
        <v>40</v>
      </c>
      <c r="V497" s="1">
        <v>43797</v>
      </c>
      <c r="W497">
        <v>0</v>
      </c>
      <c r="X497">
        <v>14</v>
      </c>
      <c r="AA497" t="s">
        <v>42</v>
      </c>
      <c r="AB497" t="s">
        <v>43</v>
      </c>
      <c r="AC497" t="s">
        <v>43</v>
      </c>
    </row>
    <row r="498" spans="1:29" x14ac:dyDescent="0.4">
      <c r="A498" t="s">
        <v>27</v>
      </c>
      <c r="B498">
        <v>1815</v>
      </c>
      <c r="C498" t="s">
        <v>2958</v>
      </c>
      <c r="D498">
        <v>160</v>
      </c>
      <c r="E498" t="s">
        <v>28</v>
      </c>
      <c r="F498" t="s">
        <v>1389</v>
      </c>
      <c r="G498" t="s">
        <v>1390</v>
      </c>
      <c r="H498" t="s">
        <v>1391</v>
      </c>
      <c r="I498" t="s">
        <v>1392</v>
      </c>
      <c r="J498" t="s">
        <v>1393</v>
      </c>
      <c r="K498" t="s">
        <v>1394</v>
      </c>
      <c r="L498" t="s">
        <v>1395</v>
      </c>
      <c r="M498" t="s">
        <v>35</v>
      </c>
      <c r="N498">
        <v>1725511843</v>
      </c>
      <c r="O498" t="s">
        <v>1396</v>
      </c>
      <c r="P498" t="s">
        <v>3077</v>
      </c>
      <c r="R498" t="s">
        <v>3111</v>
      </c>
      <c r="S498" t="s">
        <v>1402</v>
      </c>
      <c r="T498" t="s">
        <v>376</v>
      </c>
      <c r="U498" t="s">
        <v>40</v>
      </c>
      <c r="V498" s="1">
        <v>43797</v>
      </c>
      <c r="W498">
        <v>0</v>
      </c>
      <c r="X498">
        <v>18</v>
      </c>
      <c r="AA498" t="s">
        <v>42</v>
      </c>
      <c r="AB498" t="s">
        <v>43</v>
      </c>
      <c r="AC498" t="s">
        <v>43</v>
      </c>
    </row>
    <row r="499" spans="1:29" x14ac:dyDescent="0.4">
      <c r="A499" t="s">
        <v>27</v>
      </c>
      <c r="B499">
        <v>1815</v>
      </c>
      <c r="C499" t="s">
        <v>2958</v>
      </c>
      <c r="E499" t="s">
        <v>28</v>
      </c>
      <c r="F499" t="s">
        <v>1389</v>
      </c>
      <c r="G499" t="s">
        <v>1390</v>
      </c>
      <c r="H499" t="s">
        <v>1391</v>
      </c>
      <c r="I499" t="s">
        <v>1392</v>
      </c>
      <c r="J499" t="s">
        <v>1393</v>
      </c>
      <c r="K499" t="s">
        <v>1394</v>
      </c>
      <c r="L499" t="s">
        <v>1395</v>
      </c>
      <c r="M499" t="s">
        <v>35</v>
      </c>
      <c r="N499">
        <v>1725511843</v>
      </c>
      <c r="O499" t="s">
        <v>1396</v>
      </c>
      <c r="P499" t="s">
        <v>1397</v>
      </c>
      <c r="R499" t="s">
        <v>1403</v>
      </c>
      <c r="S499" t="s">
        <v>1404</v>
      </c>
      <c r="T499" t="s">
        <v>1400</v>
      </c>
      <c r="U499" t="s">
        <v>40</v>
      </c>
      <c r="V499" s="1">
        <v>44499</v>
      </c>
      <c r="W499">
        <v>0</v>
      </c>
      <c r="X499">
        <v>0</v>
      </c>
      <c r="Y499" t="s">
        <v>59</v>
      </c>
      <c r="AA499" t="s">
        <v>42</v>
      </c>
      <c r="AB499" t="s">
        <v>43</v>
      </c>
      <c r="AC499" t="s">
        <v>43</v>
      </c>
    </row>
    <row r="500" spans="1:29" x14ac:dyDescent="0.4">
      <c r="A500" t="s">
        <v>27</v>
      </c>
      <c r="B500">
        <v>1815</v>
      </c>
      <c r="C500" t="s">
        <v>2958</v>
      </c>
      <c r="E500" t="s">
        <v>28</v>
      </c>
      <c r="F500" t="s">
        <v>1389</v>
      </c>
      <c r="G500" t="s">
        <v>1390</v>
      </c>
      <c r="H500" t="s">
        <v>1391</v>
      </c>
      <c r="I500" t="s">
        <v>1392</v>
      </c>
      <c r="J500" t="s">
        <v>1393</v>
      </c>
      <c r="K500" t="s">
        <v>1394</v>
      </c>
      <c r="L500" t="s">
        <v>1395</v>
      </c>
      <c r="M500" t="s">
        <v>35</v>
      </c>
      <c r="N500">
        <v>1725511843</v>
      </c>
      <c r="O500" t="s">
        <v>1396</v>
      </c>
      <c r="P500" t="s">
        <v>1397</v>
      </c>
      <c r="R500" t="s">
        <v>1405</v>
      </c>
      <c r="S500" t="s">
        <v>1406</v>
      </c>
      <c r="T500" t="s">
        <v>1400</v>
      </c>
      <c r="U500" t="s">
        <v>82</v>
      </c>
      <c r="V500" s="1">
        <v>45085</v>
      </c>
      <c r="W500">
        <v>0</v>
      </c>
      <c r="X500">
        <v>0</v>
      </c>
      <c r="Y500" t="s">
        <v>59</v>
      </c>
      <c r="AA500" t="s">
        <v>42</v>
      </c>
      <c r="AB500" t="s">
        <v>43</v>
      </c>
      <c r="AC500" t="s">
        <v>43</v>
      </c>
    </row>
    <row r="501" spans="1:29" x14ac:dyDescent="0.4">
      <c r="A501" t="s">
        <v>27</v>
      </c>
      <c r="B501">
        <v>1815</v>
      </c>
      <c r="C501" t="s">
        <v>2958</v>
      </c>
      <c r="E501" t="s">
        <v>28</v>
      </c>
      <c r="F501" t="s">
        <v>1389</v>
      </c>
      <c r="G501" t="s">
        <v>1390</v>
      </c>
      <c r="H501" t="s">
        <v>1391</v>
      </c>
      <c r="I501" t="s">
        <v>1392</v>
      </c>
      <c r="J501" t="s">
        <v>1393</v>
      </c>
      <c r="K501" t="s">
        <v>1394</v>
      </c>
      <c r="L501" t="s">
        <v>1395</v>
      </c>
      <c r="M501" t="s">
        <v>35</v>
      </c>
      <c r="N501">
        <v>1725511843</v>
      </c>
      <c r="O501" t="s">
        <v>1396</v>
      </c>
      <c r="P501" t="s">
        <v>1397</v>
      </c>
      <c r="R501" t="s">
        <v>1407</v>
      </c>
      <c r="S501" t="s">
        <v>1408</v>
      </c>
      <c r="T501" t="s">
        <v>79</v>
      </c>
      <c r="U501" t="s">
        <v>40</v>
      </c>
      <c r="V501" s="1">
        <v>42748</v>
      </c>
      <c r="W501">
        <v>0</v>
      </c>
      <c r="X501">
        <v>0</v>
      </c>
      <c r="Y501" t="s">
        <v>59</v>
      </c>
      <c r="AA501" t="s">
        <v>42</v>
      </c>
      <c r="AB501" t="s">
        <v>43</v>
      </c>
      <c r="AC501" t="s">
        <v>43</v>
      </c>
    </row>
    <row r="502" spans="1:29" x14ac:dyDescent="0.4">
      <c r="A502" t="s">
        <v>27</v>
      </c>
      <c r="B502">
        <v>1815</v>
      </c>
      <c r="C502" t="s">
        <v>2958</v>
      </c>
      <c r="E502" t="s">
        <v>28</v>
      </c>
      <c r="F502" t="s">
        <v>1389</v>
      </c>
      <c r="G502" t="s">
        <v>1390</v>
      </c>
      <c r="H502" t="s">
        <v>1391</v>
      </c>
      <c r="I502" t="s">
        <v>1392</v>
      </c>
      <c r="J502" t="s">
        <v>1393</v>
      </c>
      <c r="K502" t="s">
        <v>1394</v>
      </c>
      <c r="L502" t="s">
        <v>1395</v>
      </c>
      <c r="M502" t="s">
        <v>35</v>
      </c>
      <c r="N502">
        <v>1725511843</v>
      </c>
      <c r="O502" t="s">
        <v>1396</v>
      </c>
      <c r="P502" t="s">
        <v>1397</v>
      </c>
      <c r="R502" t="s">
        <v>1409</v>
      </c>
      <c r="S502" t="s">
        <v>1410</v>
      </c>
      <c r="T502" t="s">
        <v>1400</v>
      </c>
      <c r="U502" t="s">
        <v>82</v>
      </c>
      <c r="V502" s="1">
        <v>45558</v>
      </c>
      <c r="W502">
        <v>0</v>
      </c>
      <c r="X502">
        <v>0</v>
      </c>
      <c r="Y502" t="s">
        <v>59</v>
      </c>
      <c r="AA502" t="s">
        <v>42</v>
      </c>
      <c r="AB502" t="s">
        <v>43</v>
      </c>
      <c r="AC502" t="s">
        <v>43</v>
      </c>
    </row>
    <row r="503" spans="1:29" x14ac:dyDescent="0.4">
      <c r="A503" t="s">
        <v>27</v>
      </c>
      <c r="B503">
        <v>1815</v>
      </c>
      <c r="C503" t="s">
        <v>2958</v>
      </c>
      <c r="E503" t="s">
        <v>28</v>
      </c>
      <c r="F503" t="s">
        <v>1389</v>
      </c>
      <c r="G503" t="s">
        <v>1390</v>
      </c>
      <c r="H503" t="s">
        <v>1391</v>
      </c>
      <c r="I503" t="s">
        <v>1392</v>
      </c>
      <c r="J503" t="s">
        <v>1393</v>
      </c>
      <c r="K503" t="s">
        <v>1394</v>
      </c>
      <c r="L503" t="s">
        <v>1395</v>
      </c>
      <c r="M503" t="s">
        <v>35</v>
      </c>
      <c r="N503">
        <v>1725511843</v>
      </c>
      <c r="O503" t="s">
        <v>1396</v>
      </c>
      <c r="P503" t="s">
        <v>1397</v>
      </c>
      <c r="R503" t="s">
        <v>1411</v>
      </c>
      <c r="S503" t="s">
        <v>1412</v>
      </c>
      <c r="T503" t="s">
        <v>79</v>
      </c>
      <c r="U503" t="s">
        <v>40</v>
      </c>
      <c r="V503" s="1">
        <v>41960</v>
      </c>
      <c r="W503">
        <v>0</v>
      </c>
      <c r="X503">
        <v>0</v>
      </c>
      <c r="Y503" t="s">
        <v>59</v>
      </c>
      <c r="AA503" t="s">
        <v>42</v>
      </c>
      <c r="AB503" t="s">
        <v>43</v>
      </c>
      <c r="AC503" t="s">
        <v>43</v>
      </c>
    </row>
    <row r="504" spans="1:29" x14ac:dyDescent="0.4">
      <c r="A504" t="s">
        <v>27</v>
      </c>
      <c r="B504">
        <v>1728</v>
      </c>
      <c r="C504" t="s">
        <v>2959</v>
      </c>
      <c r="D504">
        <v>161</v>
      </c>
      <c r="E504" t="s">
        <v>68</v>
      </c>
      <c r="F504" t="s">
        <v>1413</v>
      </c>
      <c r="G504" t="s">
        <v>1414</v>
      </c>
      <c r="H504" t="s">
        <v>1415</v>
      </c>
      <c r="I504" t="s">
        <v>1416</v>
      </c>
      <c r="J504" t="s">
        <v>1417</v>
      </c>
      <c r="K504" t="s">
        <v>1418</v>
      </c>
      <c r="L504" t="s">
        <v>1419</v>
      </c>
      <c r="M504" t="s">
        <v>35</v>
      </c>
      <c r="N504">
        <v>7818604767</v>
      </c>
      <c r="O504" t="s">
        <v>1420</v>
      </c>
      <c r="P504" t="s">
        <v>3078</v>
      </c>
      <c r="R504" t="s">
        <v>1421</v>
      </c>
      <c r="S504" t="s">
        <v>1422</v>
      </c>
      <c r="T504" t="s">
        <v>94</v>
      </c>
      <c r="U504" t="s">
        <v>40</v>
      </c>
      <c r="V504" s="1">
        <v>43308</v>
      </c>
      <c r="W504">
        <v>0</v>
      </c>
      <c r="X504">
        <v>18</v>
      </c>
      <c r="AA504" t="s">
        <v>42</v>
      </c>
      <c r="AB504" t="s">
        <v>43</v>
      </c>
      <c r="AC504" t="s">
        <v>42</v>
      </c>
    </row>
    <row r="505" spans="1:29" x14ac:dyDescent="0.4">
      <c r="A505" t="s">
        <v>27</v>
      </c>
      <c r="B505">
        <v>1728</v>
      </c>
      <c r="C505" t="s">
        <v>2959</v>
      </c>
      <c r="D505">
        <v>161</v>
      </c>
      <c r="E505" t="s">
        <v>68</v>
      </c>
      <c r="F505" t="s">
        <v>1413</v>
      </c>
      <c r="G505" t="s">
        <v>1414</v>
      </c>
      <c r="H505" t="s">
        <v>1415</v>
      </c>
      <c r="I505" t="s">
        <v>1416</v>
      </c>
      <c r="J505" t="s">
        <v>1417</v>
      </c>
      <c r="K505" t="s">
        <v>1418</v>
      </c>
      <c r="L505" t="s">
        <v>1419</v>
      </c>
      <c r="M505" t="s">
        <v>35</v>
      </c>
      <c r="N505">
        <v>7818604767</v>
      </c>
      <c r="O505" t="s">
        <v>1420</v>
      </c>
      <c r="P505" t="s">
        <v>3078</v>
      </c>
      <c r="R505" t="s">
        <v>1421</v>
      </c>
      <c r="S505" t="s">
        <v>1422</v>
      </c>
      <c r="T505" t="s">
        <v>94</v>
      </c>
      <c r="U505" t="s">
        <v>40</v>
      </c>
      <c r="V505" s="1">
        <v>43308</v>
      </c>
      <c r="W505">
        <v>0</v>
      </c>
      <c r="X505">
        <v>20</v>
      </c>
      <c r="AA505" t="s">
        <v>42</v>
      </c>
      <c r="AB505" t="s">
        <v>43</v>
      </c>
      <c r="AC505" t="s">
        <v>42</v>
      </c>
    </row>
    <row r="506" spans="1:29" x14ac:dyDescent="0.4">
      <c r="A506" t="s">
        <v>27</v>
      </c>
      <c r="B506">
        <v>4415</v>
      </c>
      <c r="C506" t="s">
        <v>1429</v>
      </c>
      <c r="D506">
        <v>162</v>
      </c>
      <c r="E506" t="s">
        <v>28</v>
      </c>
      <c r="F506" t="s">
        <v>1423</v>
      </c>
      <c r="G506" t="s">
        <v>1424</v>
      </c>
      <c r="H506" t="s">
        <v>1425</v>
      </c>
      <c r="J506" t="s">
        <v>1426</v>
      </c>
      <c r="K506" t="s">
        <v>495</v>
      </c>
      <c r="L506" t="s">
        <v>1427</v>
      </c>
      <c r="M506" t="s">
        <v>35</v>
      </c>
      <c r="N506">
        <v>7549652365</v>
      </c>
      <c r="O506" t="s">
        <v>1428</v>
      </c>
      <c r="P506" t="s">
        <v>1429</v>
      </c>
      <c r="R506" t="s">
        <v>1430</v>
      </c>
      <c r="S506" t="s">
        <v>1431</v>
      </c>
      <c r="T506" t="s">
        <v>58</v>
      </c>
      <c r="U506" t="s">
        <v>40</v>
      </c>
      <c r="V506" s="1">
        <v>43668</v>
      </c>
      <c r="W506">
        <v>0</v>
      </c>
      <c r="X506">
        <v>20</v>
      </c>
      <c r="AA506" t="s">
        <v>42</v>
      </c>
      <c r="AB506" t="s">
        <v>43</v>
      </c>
      <c r="AC506" t="s">
        <v>43</v>
      </c>
    </row>
    <row r="507" spans="1:29" x14ac:dyDescent="0.4">
      <c r="A507" t="s">
        <v>27</v>
      </c>
      <c r="B507">
        <v>25</v>
      </c>
      <c r="C507" t="s">
        <v>2960</v>
      </c>
      <c r="E507" t="s">
        <v>68</v>
      </c>
      <c r="F507" t="s">
        <v>481</v>
      </c>
      <c r="G507" t="s">
        <v>1432</v>
      </c>
      <c r="H507" t="s">
        <v>1433</v>
      </c>
      <c r="I507" t="s">
        <v>1434</v>
      </c>
      <c r="J507" t="s">
        <v>886</v>
      </c>
      <c r="K507" t="s">
        <v>51</v>
      </c>
      <c r="L507" t="s">
        <v>1435</v>
      </c>
      <c r="M507" t="s">
        <v>35</v>
      </c>
      <c r="N507" t="s">
        <v>1436</v>
      </c>
      <c r="O507" t="s">
        <v>1437</v>
      </c>
      <c r="P507" t="s">
        <v>1438</v>
      </c>
      <c r="R507" t="s">
        <v>1439</v>
      </c>
      <c r="S507" t="s">
        <v>1440</v>
      </c>
      <c r="T507" t="s">
        <v>169</v>
      </c>
      <c r="U507" t="s">
        <v>40</v>
      </c>
      <c r="V507" s="1">
        <v>40921</v>
      </c>
      <c r="W507">
        <v>0</v>
      </c>
      <c r="X507">
        <v>0</v>
      </c>
      <c r="Y507" t="s">
        <v>59</v>
      </c>
      <c r="AA507" t="s">
        <v>42</v>
      </c>
      <c r="AB507" t="s">
        <v>43</v>
      </c>
      <c r="AC507" t="s">
        <v>43</v>
      </c>
    </row>
    <row r="508" spans="1:29" x14ac:dyDescent="0.4">
      <c r="A508" t="s">
        <v>27</v>
      </c>
      <c r="B508">
        <v>25</v>
      </c>
      <c r="C508" t="s">
        <v>2960</v>
      </c>
      <c r="E508" t="s">
        <v>68</v>
      </c>
      <c r="F508" t="s">
        <v>481</v>
      </c>
      <c r="G508" t="s">
        <v>1432</v>
      </c>
      <c r="H508" t="s">
        <v>1433</v>
      </c>
      <c r="I508" t="s">
        <v>1434</v>
      </c>
      <c r="J508" t="s">
        <v>886</v>
      </c>
      <c r="K508" t="s">
        <v>51</v>
      </c>
      <c r="L508" t="s">
        <v>1435</v>
      </c>
      <c r="M508" t="s">
        <v>35</v>
      </c>
      <c r="N508" t="s">
        <v>1436</v>
      </c>
      <c r="O508" t="s">
        <v>1437</v>
      </c>
      <c r="P508" t="s">
        <v>1438</v>
      </c>
      <c r="R508" t="s">
        <v>1439</v>
      </c>
      <c r="S508" t="s">
        <v>1440</v>
      </c>
      <c r="T508" t="s">
        <v>169</v>
      </c>
      <c r="U508" t="s">
        <v>40</v>
      </c>
      <c r="V508" s="1">
        <v>40921</v>
      </c>
      <c r="W508">
        <v>0</v>
      </c>
      <c r="X508">
        <v>0</v>
      </c>
      <c r="Y508" t="s">
        <v>59</v>
      </c>
      <c r="AA508" t="s">
        <v>42</v>
      </c>
      <c r="AB508" t="s">
        <v>43</v>
      </c>
      <c r="AC508" t="s">
        <v>43</v>
      </c>
    </row>
    <row r="509" spans="1:29" x14ac:dyDescent="0.4">
      <c r="A509" t="s">
        <v>27</v>
      </c>
      <c r="B509">
        <v>25</v>
      </c>
      <c r="C509" t="s">
        <v>2960</v>
      </c>
      <c r="D509">
        <v>165</v>
      </c>
      <c r="E509" t="s">
        <v>68</v>
      </c>
      <c r="F509" t="s">
        <v>481</v>
      </c>
      <c r="G509" t="s">
        <v>1432</v>
      </c>
      <c r="H509" t="s">
        <v>1433</v>
      </c>
      <c r="I509" t="s">
        <v>1434</v>
      </c>
      <c r="J509" t="s">
        <v>886</v>
      </c>
      <c r="K509" t="s">
        <v>51</v>
      </c>
      <c r="L509" t="s">
        <v>1435</v>
      </c>
      <c r="M509" t="s">
        <v>35</v>
      </c>
      <c r="N509" t="s">
        <v>1436</v>
      </c>
      <c r="O509" t="s">
        <v>1437</v>
      </c>
      <c r="P509" t="s">
        <v>2960</v>
      </c>
      <c r="R509" t="s">
        <v>1441</v>
      </c>
      <c r="S509" t="s">
        <v>1442</v>
      </c>
      <c r="T509" t="s">
        <v>169</v>
      </c>
      <c r="U509" t="s">
        <v>40</v>
      </c>
      <c r="V509" s="1">
        <v>43678</v>
      </c>
      <c r="W509">
        <v>0</v>
      </c>
      <c r="X509">
        <v>6</v>
      </c>
      <c r="Y509" t="s">
        <v>83</v>
      </c>
      <c r="AA509" t="s">
        <v>42</v>
      </c>
      <c r="AB509" t="s">
        <v>43</v>
      </c>
      <c r="AC509" t="s">
        <v>43</v>
      </c>
    </row>
    <row r="510" spans="1:29" x14ac:dyDescent="0.4">
      <c r="A510" t="s">
        <v>27</v>
      </c>
      <c r="B510">
        <v>25</v>
      </c>
      <c r="C510" t="s">
        <v>2960</v>
      </c>
      <c r="D510">
        <v>166</v>
      </c>
      <c r="E510" t="s">
        <v>68</v>
      </c>
      <c r="F510" t="s">
        <v>481</v>
      </c>
      <c r="G510" t="s">
        <v>1432</v>
      </c>
      <c r="H510" t="s">
        <v>1433</v>
      </c>
      <c r="I510" t="s">
        <v>1434</v>
      </c>
      <c r="J510" t="s">
        <v>886</v>
      </c>
      <c r="K510" t="s">
        <v>51</v>
      </c>
      <c r="L510" t="s">
        <v>1435</v>
      </c>
      <c r="M510" t="s">
        <v>35</v>
      </c>
      <c r="N510" t="s">
        <v>1436</v>
      </c>
      <c r="O510" t="s">
        <v>1437</v>
      </c>
      <c r="P510" t="s">
        <v>2960</v>
      </c>
      <c r="R510" t="s">
        <v>1443</v>
      </c>
      <c r="S510" t="s">
        <v>1444</v>
      </c>
      <c r="T510" t="s">
        <v>169</v>
      </c>
      <c r="U510" t="s">
        <v>40</v>
      </c>
      <c r="V510" s="1">
        <v>45011</v>
      </c>
      <c r="W510">
        <v>0</v>
      </c>
      <c r="X510">
        <v>6</v>
      </c>
      <c r="Y510" t="s">
        <v>83</v>
      </c>
      <c r="AA510" t="s">
        <v>42</v>
      </c>
      <c r="AB510" t="s">
        <v>43</v>
      </c>
      <c r="AC510" t="s">
        <v>43</v>
      </c>
    </row>
    <row r="511" spans="1:29" x14ac:dyDescent="0.4">
      <c r="A511" t="s">
        <v>27</v>
      </c>
      <c r="B511">
        <v>25</v>
      </c>
      <c r="C511" t="s">
        <v>2960</v>
      </c>
      <c r="D511">
        <v>165</v>
      </c>
      <c r="E511" t="s">
        <v>68</v>
      </c>
      <c r="F511" t="s">
        <v>481</v>
      </c>
      <c r="G511" t="s">
        <v>1432</v>
      </c>
      <c r="H511" t="s">
        <v>1433</v>
      </c>
      <c r="I511" t="s">
        <v>1434</v>
      </c>
      <c r="J511" t="s">
        <v>886</v>
      </c>
      <c r="K511" t="s">
        <v>51</v>
      </c>
      <c r="L511" t="s">
        <v>1435</v>
      </c>
      <c r="M511" t="s">
        <v>35</v>
      </c>
      <c r="N511" t="s">
        <v>1436</v>
      </c>
      <c r="O511" t="s">
        <v>1437</v>
      </c>
      <c r="P511" t="s">
        <v>2960</v>
      </c>
      <c r="R511" t="s">
        <v>1441</v>
      </c>
      <c r="S511" t="s">
        <v>1442</v>
      </c>
      <c r="T511" t="s">
        <v>169</v>
      </c>
      <c r="U511" t="s">
        <v>40</v>
      </c>
      <c r="V511" s="1">
        <v>43678</v>
      </c>
      <c r="W511">
        <v>0</v>
      </c>
      <c r="X511">
        <v>7</v>
      </c>
      <c r="AA511" t="s">
        <v>42</v>
      </c>
      <c r="AB511" t="s">
        <v>43</v>
      </c>
      <c r="AC511" t="s">
        <v>43</v>
      </c>
    </row>
    <row r="512" spans="1:29" x14ac:dyDescent="0.4">
      <c r="A512" t="s">
        <v>27</v>
      </c>
      <c r="B512">
        <v>25</v>
      </c>
      <c r="C512" t="s">
        <v>2960</v>
      </c>
      <c r="D512">
        <v>166</v>
      </c>
      <c r="E512" t="s">
        <v>68</v>
      </c>
      <c r="F512" t="s">
        <v>481</v>
      </c>
      <c r="G512" t="s">
        <v>1432</v>
      </c>
      <c r="H512" t="s">
        <v>1433</v>
      </c>
      <c r="I512" t="s">
        <v>1434</v>
      </c>
      <c r="J512" t="s">
        <v>886</v>
      </c>
      <c r="K512" t="s">
        <v>51</v>
      </c>
      <c r="L512" t="s">
        <v>1435</v>
      </c>
      <c r="M512" t="s">
        <v>35</v>
      </c>
      <c r="N512" t="s">
        <v>1436</v>
      </c>
      <c r="O512" t="s">
        <v>1437</v>
      </c>
      <c r="P512" t="s">
        <v>2960</v>
      </c>
      <c r="R512" t="s">
        <v>1443</v>
      </c>
      <c r="S512" t="s">
        <v>1444</v>
      </c>
      <c r="T512" t="s">
        <v>169</v>
      </c>
      <c r="U512" t="s">
        <v>40</v>
      </c>
      <c r="V512" s="1">
        <v>45011</v>
      </c>
      <c r="W512">
        <v>0</v>
      </c>
      <c r="X512">
        <v>7</v>
      </c>
      <c r="AA512" t="s">
        <v>42</v>
      </c>
      <c r="AB512" t="s">
        <v>43</v>
      </c>
      <c r="AC512" t="s">
        <v>43</v>
      </c>
    </row>
    <row r="513" spans="1:30" x14ac:dyDescent="0.4">
      <c r="A513" t="s">
        <v>27</v>
      </c>
      <c r="B513">
        <v>25</v>
      </c>
      <c r="C513" t="s">
        <v>2960</v>
      </c>
      <c r="D513">
        <v>165</v>
      </c>
      <c r="E513" t="s">
        <v>68</v>
      </c>
      <c r="F513" t="s">
        <v>481</v>
      </c>
      <c r="G513" t="s">
        <v>1432</v>
      </c>
      <c r="H513" t="s">
        <v>1433</v>
      </c>
      <c r="I513" t="s">
        <v>1434</v>
      </c>
      <c r="J513" t="s">
        <v>886</v>
      </c>
      <c r="K513" t="s">
        <v>51</v>
      </c>
      <c r="L513" t="s">
        <v>1435</v>
      </c>
      <c r="M513" t="s">
        <v>35</v>
      </c>
      <c r="N513" t="s">
        <v>1436</v>
      </c>
      <c r="O513" t="s">
        <v>1437</v>
      </c>
      <c r="P513" t="s">
        <v>2960</v>
      </c>
      <c r="R513" t="s">
        <v>1441</v>
      </c>
      <c r="S513" t="s">
        <v>1442</v>
      </c>
      <c r="T513" t="s">
        <v>169</v>
      </c>
      <c r="U513" t="s">
        <v>40</v>
      </c>
      <c r="V513" s="1">
        <v>43678</v>
      </c>
      <c r="W513">
        <v>0</v>
      </c>
      <c r="X513">
        <v>16</v>
      </c>
      <c r="AA513" t="s">
        <v>42</v>
      </c>
      <c r="AB513" t="s">
        <v>43</v>
      </c>
      <c r="AC513" t="s">
        <v>43</v>
      </c>
    </row>
    <row r="514" spans="1:30" x14ac:dyDescent="0.4">
      <c r="A514" t="s">
        <v>27</v>
      </c>
      <c r="B514">
        <v>25</v>
      </c>
      <c r="C514" t="s">
        <v>2960</v>
      </c>
      <c r="D514">
        <v>166</v>
      </c>
      <c r="E514" t="s">
        <v>68</v>
      </c>
      <c r="F514" t="s">
        <v>481</v>
      </c>
      <c r="G514" t="s">
        <v>1432</v>
      </c>
      <c r="H514" t="s">
        <v>1433</v>
      </c>
      <c r="I514" t="s">
        <v>1434</v>
      </c>
      <c r="J514" t="s">
        <v>886</v>
      </c>
      <c r="K514" t="s">
        <v>51</v>
      </c>
      <c r="L514" t="s">
        <v>1435</v>
      </c>
      <c r="M514" t="s">
        <v>35</v>
      </c>
      <c r="N514" t="s">
        <v>1436</v>
      </c>
      <c r="O514" t="s">
        <v>1437</v>
      </c>
      <c r="P514" t="s">
        <v>2960</v>
      </c>
      <c r="R514" t="s">
        <v>1443</v>
      </c>
      <c r="S514" t="s">
        <v>1444</v>
      </c>
      <c r="T514" t="s">
        <v>169</v>
      </c>
      <c r="U514" t="s">
        <v>40</v>
      </c>
      <c r="V514" s="1">
        <v>45011</v>
      </c>
      <c r="W514">
        <v>0</v>
      </c>
      <c r="X514">
        <v>16</v>
      </c>
      <c r="AA514" t="s">
        <v>42</v>
      </c>
      <c r="AB514" t="s">
        <v>43</v>
      </c>
      <c r="AC514" t="s">
        <v>43</v>
      </c>
    </row>
    <row r="515" spans="1:30" x14ac:dyDescent="0.4">
      <c r="A515" t="s">
        <v>27</v>
      </c>
      <c r="B515">
        <v>25</v>
      </c>
      <c r="C515" t="s">
        <v>2960</v>
      </c>
      <c r="D515">
        <v>165</v>
      </c>
      <c r="E515" t="s">
        <v>68</v>
      </c>
      <c r="F515" t="s">
        <v>481</v>
      </c>
      <c r="G515" t="s">
        <v>1432</v>
      </c>
      <c r="H515" t="s">
        <v>1433</v>
      </c>
      <c r="I515" t="s">
        <v>1434</v>
      </c>
      <c r="J515" t="s">
        <v>886</v>
      </c>
      <c r="K515" t="s">
        <v>51</v>
      </c>
      <c r="L515" t="s">
        <v>1435</v>
      </c>
      <c r="M515" t="s">
        <v>35</v>
      </c>
      <c r="N515" t="s">
        <v>1436</v>
      </c>
      <c r="O515" t="s">
        <v>1437</v>
      </c>
      <c r="P515" t="s">
        <v>2960</v>
      </c>
      <c r="R515" t="s">
        <v>1441</v>
      </c>
      <c r="S515" t="s">
        <v>1442</v>
      </c>
      <c r="T515" t="s">
        <v>169</v>
      </c>
      <c r="U515" t="s">
        <v>40</v>
      </c>
      <c r="V515" s="1">
        <v>43678</v>
      </c>
      <c r="W515">
        <v>0</v>
      </c>
      <c r="X515">
        <v>18</v>
      </c>
      <c r="AA515" t="s">
        <v>42</v>
      </c>
      <c r="AB515" t="s">
        <v>43</v>
      </c>
      <c r="AC515" t="s">
        <v>43</v>
      </c>
    </row>
    <row r="516" spans="1:30" x14ac:dyDescent="0.4">
      <c r="A516" t="s">
        <v>27</v>
      </c>
      <c r="B516">
        <v>25</v>
      </c>
      <c r="C516" t="s">
        <v>2960</v>
      </c>
      <c r="D516">
        <v>166</v>
      </c>
      <c r="E516" t="s">
        <v>68</v>
      </c>
      <c r="F516" t="s">
        <v>481</v>
      </c>
      <c r="G516" t="s">
        <v>1432</v>
      </c>
      <c r="H516" t="s">
        <v>1433</v>
      </c>
      <c r="I516" t="s">
        <v>1434</v>
      </c>
      <c r="J516" t="s">
        <v>886</v>
      </c>
      <c r="K516" t="s">
        <v>51</v>
      </c>
      <c r="L516" t="s">
        <v>1435</v>
      </c>
      <c r="M516" t="s">
        <v>35</v>
      </c>
      <c r="N516" t="s">
        <v>1436</v>
      </c>
      <c r="O516" t="s">
        <v>1437</v>
      </c>
      <c r="P516" t="s">
        <v>2960</v>
      </c>
      <c r="R516" t="s">
        <v>1443</v>
      </c>
      <c r="S516" t="s">
        <v>1444</v>
      </c>
      <c r="T516" t="s">
        <v>169</v>
      </c>
      <c r="U516" t="s">
        <v>40</v>
      </c>
      <c r="V516" s="1">
        <v>45011</v>
      </c>
      <c r="W516">
        <v>0</v>
      </c>
      <c r="X516">
        <v>18</v>
      </c>
      <c r="AA516" t="s">
        <v>42</v>
      </c>
      <c r="AB516" t="s">
        <v>43</v>
      </c>
      <c r="AC516" t="s">
        <v>43</v>
      </c>
    </row>
    <row r="517" spans="1:30" x14ac:dyDescent="0.4">
      <c r="A517" t="s">
        <v>27</v>
      </c>
      <c r="B517">
        <v>311</v>
      </c>
      <c r="C517" t="s">
        <v>2961</v>
      </c>
      <c r="D517">
        <v>164</v>
      </c>
      <c r="E517" t="s">
        <v>28</v>
      </c>
      <c r="F517" t="s">
        <v>1445</v>
      </c>
      <c r="G517" t="s">
        <v>1432</v>
      </c>
      <c r="H517" t="s">
        <v>1446</v>
      </c>
      <c r="I517" t="s">
        <v>1447</v>
      </c>
      <c r="J517" t="s">
        <v>1448</v>
      </c>
      <c r="K517" t="s">
        <v>634</v>
      </c>
      <c r="L517" t="s">
        <v>1449</v>
      </c>
      <c r="M517" t="s">
        <v>35</v>
      </c>
      <c r="N517">
        <v>7931733643</v>
      </c>
      <c r="O517" t="s">
        <v>1450</v>
      </c>
      <c r="P517" t="s">
        <v>2961</v>
      </c>
      <c r="R517" t="s">
        <v>1451</v>
      </c>
      <c r="S517" t="s">
        <v>1452</v>
      </c>
      <c r="T517" t="s">
        <v>58</v>
      </c>
      <c r="U517" t="s">
        <v>82</v>
      </c>
      <c r="V517" s="1">
        <v>44961</v>
      </c>
      <c r="W517">
        <v>0</v>
      </c>
      <c r="X517">
        <v>4</v>
      </c>
      <c r="Y517" t="s">
        <v>65</v>
      </c>
      <c r="AA517" t="s">
        <v>42</v>
      </c>
      <c r="AB517" t="s">
        <v>43</v>
      </c>
      <c r="AC517" t="s">
        <v>42</v>
      </c>
      <c r="AD517" t="s">
        <v>1453</v>
      </c>
    </row>
    <row r="518" spans="1:30" x14ac:dyDescent="0.4">
      <c r="A518" t="s">
        <v>27</v>
      </c>
      <c r="B518">
        <v>311</v>
      </c>
      <c r="C518" t="s">
        <v>2961</v>
      </c>
      <c r="D518">
        <v>164</v>
      </c>
      <c r="E518" t="s">
        <v>28</v>
      </c>
      <c r="F518" t="s">
        <v>1445</v>
      </c>
      <c r="G518" t="s">
        <v>1432</v>
      </c>
      <c r="H518" t="s">
        <v>1446</v>
      </c>
      <c r="I518" t="s">
        <v>1447</v>
      </c>
      <c r="J518" t="s">
        <v>1448</v>
      </c>
      <c r="K518" t="s">
        <v>634</v>
      </c>
      <c r="L518" t="s">
        <v>1449</v>
      </c>
      <c r="M518" t="s">
        <v>35</v>
      </c>
      <c r="N518">
        <v>7931733643</v>
      </c>
      <c r="O518" t="s">
        <v>1450</v>
      </c>
      <c r="P518" t="s">
        <v>2961</v>
      </c>
      <c r="R518" t="s">
        <v>1451</v>
      </c>
      <c r="S518" t="s">
        <v>1452</v>
      </c>
      <c r="T518" t="s">
        <v>58</v>
      </c>
      <c r="U518" t="s">
        <v>82</v>
      </c>
      <c r="V518" s="1">
        <v>44961</v>
      </c>
      <c r="W518">
        <v>0</v>
      </c>
      <c r="X518">
        <v>13</v>
      </c>
      <c r="AA518" t="s">
        <v>42</v>
      </c>
      <c r="AB518" t="s">
        <v>43</v>
      </c>
      <c r="AC518" t="s">
        <v>42</v>
      </c>
      <c r="AD518" t="s">
        <v>1453</v>
      </c>
    </row>
    <row r="519" spans="1:30" x14ac:dyDescent="0.4">
      <c r="A519" t="s">
        <v>27</v>
      </c>
      <c r="B519">
        <v>311</v>
      </c>
      <c r="C519" t="s">
        <v>2961</v>
      </c>
      <c r="D519">
        <v>163</v>
      </c>
      <c r="E519" t="s">
        <v>28</v>
      </c>
      <c r="F519" t="s">
        <v>1445</v>
      </c>
      <c r="G519" t="s">
        <v>1432</v>
      </c>
      <c r="H519" t="s">
        <v>1446</v>
      </c>
      <c r="I519" t="s">
        <v>1447</v>
      </c>
      <c r="J519" t="s">
        <v>1448</v>
      </c>
      <c r="K519" t="s">
        <v>634</v>
      </c>
      <c r="L519" t="s">
        <v>1449</v>
      </c>
      <c r="M519" t="s">
        <v>35</v>
      </c>
      <c r="N519">
        <v>7931733643</v>
      </c>
      <c r="O519" t="s">
        <v>1450</v>
      </c>
      <c r="P519" t="s">
        <v>2961</v>
      </c>
      <c r="R519" t="s">
        <v>1454</v>
      </c>
      <c r="S519" t="s">
        <v>1455</v>
      </c>
      <c r="T519" t="s">
        <v>58</v>
      </c>
      <c r="U519" t="s">
        <v>82</v>
      </c>
      <c r="V519" s="1">
        <v>44268</v>
      </c>
      <c r="W519">
        <v>0</v>
      </c>
      <c r="X519">
        <v>6</v>
      </c>
      <c r="Y519" t="s">
        <v>83</v>
      </c>
      <c r="AA519" t="s">
        <v>42</v>
      </c>
      <c r="AB519" t="s">
        <v>43</v>
      </c>
      <c r="AC519" t="s">
        <v>42</v>
      </c>
      <c r="AD519" t="s">
        <v>1453</v>
      </c>
    </row>
    <row r="520" spans="1:30" x14ac:dyDescent="0.4">
      <c r="A520" t="s">
        <v>27</v>
      </c>
      <c r="B520">
        <v>311</v>
      </c>
      <c r="C520" t="s">
        <v>2961</v>
      </c>
      <c r="D520">
        <v>163</v>
      </c>
      <c r="E520" t="s">
        <v>28</v>
      </c>
      <c r="F520" t="s">
        <v>1445</v>
      </c>
      <c r="G520" t="s">
        <v>1432</v>
      </c>
      <c r="H520" t="s">
        <v>1446</v>
      </c>
      <c r="I520" t="s">
        <v>1447</v>
      </c>
      <c r="J520" t="s">
        <v>1448</v>
      </c>
      <c r="K520" t="s">
        <v>634</v>
      </c>
      <c r="L520" t="s">
        <v>1449</v>
      </c>
      <c r="M520" t="s">
        <v>35</v>
      </c>
      <c r="N520">
        <v>7931733643</v>
      </c>
      <c r="O520" t="s">
        <v>1450</v>
      </c>
      <c r="P520" t="s">
        <v>2961</v>
      </c>
      <c r="R520" t="s">
        <v>1454</v>
      </c>
      <c r="S520" t="s">
        <v>1455</v>
      </c>
      <c r="T520" t="s">
        <v>58</v>
      </c>
      <c r="U520" t="s">
        <v>82</v>
      </c>
      <c r="V520" s="1">
        <v>44268</v>
      </c>
      <c r="W520">
        <v>0</v>
      </c>
      <c r="X520">
        <v>7</v>
      </c>
      <c r="AA520" t="s">
        <v>42</v>
      </c>
      <c r="AB520" t="s">
        <v>43</v>
      </c>
      <c r="AC520" t="s">
        <v>42</v>
      </c>
      <c r="AD520" t="s">
        <v>1453</v>
      </c>
    </row>
    <row r="521" spans="1:30" x14ac:dyDescent="0.4">
      <c r="A521" t="s">
        <v>27</v>
      </c>
      <c r="B521">
        <v>311</v>
      </c>
      <c r="C521" t="s">
        <v>2961</v>
      </c>
      <c r="D521">
        <v>163</v>
      </c>
      <c r="E521" t="s">
        <v>28</v>
      </c>
      <c r="F521" t="s">
        <v>1445</v>
      </c>
      <c r="G521" t="s">
        <v>1432</v>
      </c>
      <c r="H521" t="s">
        <v>1446</v>
      </c>
      <c r="I521" t="s">
        <v>1447</v>
      </c>
      <c r="J521" t="s">
        <v>1448</v>
      </c>
      <c r="K521" t="s">
        <v>634</v>
      </c>
      <c r="L521" t="s">
        <v>1449</v>
      </c>
      <c r="M521" t="s">
        <v>35</v>
      </c>
      <c r="N521">
        <v>7931733643</v>
      </c>
      <c r="O521" t="s">
        <v>1450</v>
      </c>
      <c r="P521" t="s">
        <v>2961</v>
      </c>
      <c r="R521" t="s">
        <v>1454</v>
      </c>
      <c r="S521" t="s">
        <v>1455</v>
      </c>
      <c r="T521" t="s">
        <v>58</v>
      </c>
      <c r="U521" t="s">
        <v>82</v>
      </c>
      <c r="V521" s="1">
        <v>44268</v>
      </c>
      <c r="W521">
        <v>0</v>
      </c>
      <c r="X521">
        <v>17</v>
      </c>
      <c r="AA521" t="s">
        <v>42</v>
      </c>
      <c r="AB521" t="s">
        <v>43</v>
      </c>
      <c r="AC521" t="s">
        <v>42</v>
      </c>
      <c r="AD521" t="s">
        <v>1453</v>
      </c>
    </row>
    <row r="522" spans="1:30" x14ac:dyDescent="0.4">
      <c r="A522" t="s">
        <v>27</v>
      </c>
      <c r="B522">
        <v>311</v>
      </c>
      <c r="C522" t="s">
        <v>2961</v>
      </c>
      <c r="D522">
        <v>163</v>
      </c>
      <c r="E522" t="s">
        <v>28</v>
      </c>
      <c r="F522" t="s">
        <v>1445</v>
      </c>
      <c r="G522" t="s">
        <v>1432</v>
      </c>
      <c r="H522" t="s">
        <v>1446</v>
      </c>
      <c r="I522" t="s">
        <v>1447</v>
      </c>
      <c r="J522" t="s">
        <v>1448</v>
      </c>
      <c r="K522" t="s">
        <v>634</v>
      </c>
      <c r="L522" t="s">
        <v>1449</v>
      </c>
      <c r="M522" t="s">
        <v>35</v>
      </c>
      <c r="N522">
        <v>7931733643</v>
      </c>
      <c r="O522" t="s">
        <v>1450</v>
      </c>
      <c r="P522" t="s">
        <v>2961</v>
      </c>
      <c r="R522" t="s">
        <v>1454</v>
      </c>
      <c r="S522" t="s">
        <v>1455</v>
      </c>
      <c r="T522" t="s">
        <v>58</v>
      </c>
      <c r="U522" t="s">
        <v>82</v>
      </c>
      <c r="V522" s="1">
        <v>44268</v>
      </c>
      <c r="W522">
        <v>0</v>
      </c>
      <c r="X522">
        <v>19</v>
      </c>
      <c r="AA522" t="s">
        <v>42</v>
      </c>
      <c r="AB522" t="s">
        <v>43</v>
      </c>
      <c r="AC522" t="s">
        <v>42</v>
      </c>
      <c r="AD522" t="s">
        <v>1453</v>
      </c>
    </row>
    <row r="523" spans="1:30" x14ac:dyDescent="0.4">
      <c r="A523" t="s">
        <v>27</v>
      </c>
      <c r="B523">
        <v>1532</v>
      </c>
      <c r="C523" t="s">
        <v>2962</v>
      </c>
      <c r="D523">
        <v>167</v>
      </c>
      <c r="E523" t="s">
        <v>28</v>
      </c>
      <c r="F523" t="s">
        <v>1456</v>
      </c>
      <c r="G523" t="s">
        <v>1457</v>
      </c>
      <c r="H523" t="s">
        <v>1458</v>
      </c>
      <c r="J523" t="s">
        <v>559</v>
      </c>
      <c r="K523" t="s">
        <v>51</v>
      </c>
      <c r="L523" t="s">
        <v>1459</v>
      </c>
      <c r="M523" t="s">
        <v>35</v>
      </c>
      <c r="N523">
        <v>7786565082</v>
      </c>
      <c r="O523" t="s">
        <v>1460</v>
      </c>
      <c r="P523" t="s">
        <v>3079</v>
      </c>
      <c r="R523" t="s">
        <v>1461</v>
      </c>
      <c r="S523" t="s">
        <v>1462</v>
      </c>
      <c r="T523" t="s">
        <v>58</v>
      </c>
      <c r="U523" t="s">
        <v>82</v>
      </c>
      <c r="V523" s="1">
        <v>43302</v>
      </c>
      <c r="W523">
        <v>0</v>
      </c>
      <c r="X523">
        <v>6</v>
      </c>
      <c r="Y523" t="s">
        <v>83</v>
      </c>
      <c r="AA523" t="s">
        <v>42</v>
      </c>
      <c r="AB523" t="s">
        <v>43</v>
      </c>
      <c r="AC523" t="s">
        <v>43</v>
      </c>
    </row>
    <row r="524" spans="1:30" x14ac:dyDescent="0.4">
      <c r="A524" t="s">
        <v>27</v>
      </c>
      <c r="B524">
        <v>1532</v>
      </c>
      <c r="C524" t="s">
        <v>2962</v>
      </c>
      <c r="D524">
        <v>167</v>
      </c>
      <c r="E524" t="s">
        <v>28</v>
      </c>
      <c r="F524" t="s">
        <v>1456</v>
      </c>
      <c r="G524" t="s">
        <v>1457</v>
      </c>
      <c r="H524" t="s">
        <v>1458</v>
      </c>
      <c r="J524" t="s">
        <v>559</v>
      </c>
      <c r="K524" t="s">
        <v>51</v>
      </c>
      <c r="L524" t="s">
        <v>1459</v>
      </c>
      <c r="M524" t="s">
        <v>35</v>
      </c>
      <c r="N524">
        <v>7786565082</v>
      </c>
      <c r="O524" t="s">
        <v>1460</v>
      </c>
      <c r="P524" t="s">
        <v>3079</v>
      </c>
      <c r="R524" t="s">
        <v>1461</v>
      </c>
      <c r="S524" t="s">
        <v>1462</v>
      </c>
      <c r="T524" t="s">
        <v>58</v>
      </c>
      <c r="U524" t="s">
        <v>82</v>
      </c>
      <c r="V524" s="1">
        <v>43302</v>
      </c>
      <c r="W524">
        <v>0</v>
      </c>
      <c r="X524">
        <v>17</v>
      </c>
      <c r="AA524" t="s">
        <v>42</v>
      </c>
      <c r="AB524" t="s">
        <v>43</v>
      </c>
      <c r="AC524" t="s">
        <v>43</v>
      </c>
    </row>
    <row r="525" spans="1:30" x14ac:dyDescent="0.4">
      <c r="A525" t="s">
        <v>27</v>
      </c>
      <c r="B525">
        <v>1567</v>
      </c>
      <c r="C525" t="s">
        <v>2963</v>
      </c>
      <c r="D525">
        <v>169</v>
      </c>
      <c r="E525" t="s">
        <v>68</v>
      </c>
      <c r="F525" t="s">
        <v>1463</v>
      </c>
      <c r="G525" t="s">
        <v>1464</v>
      </c>
      <c r="H525" t="s">
        <v>1465</v>
      </c>
      <c r="J525" t="s">
        <v>1466</v>
      </c>
      <c r="K525" t="s">
        <v>1467</v>
      </c>
      <c r="L525" t="s">
        <v>1468</v>
      </c>
      <c r="M525" t="s">
        <v>35</v>
      </c>
      <c r="N525" t="s">
        <v>1469</v>
      </c>
      <c r="O525" t="s">
        <v>1470</v>
      </c>
      <c r="P525" t="s">
        <v>3080</v>
      </c>
      <c r="R525" t="s">
        <v>3112</v>
      </c>
      <c r="S525" t="s">
        <v>1472</v>
      </c>
      <c r="T525" t="s">
        <v>58</v>
      </c>
      <c r="U525" t="s">
        <v>82</v>
      </c>
      <c r="V525" s="1">
        <v>44743</v>
      </c>
      <c r="W525">
        <v>0</v>
      </c>
      <c r="X525">
        <v>5</v>
      </c>
      <c r="Y525" t="s">
        <v>66</v>
      </c>
      <c r="AA525" t="s">
        <v>42</v>
      </c>
      <c r="AB525" t="s">
        <v>43</v>
      </c>
      <c r="AC525" t="s">
        <v>42</v>
      </c>
    </row>
    <row r="526" spans="1:30" x14ac:dyDescent="0.4">
      <c r="A526" t="s">
        <v>27</v>
      </c>
      <c r="B526">
        <v>1567</v>
      </c>
      <c r="C526" t="s">
        <v>2963</v>
      </c>
      <c r="D526">
        <v>168</v>
      </c>
      <c r="E526" t="s">
        <v>68</v>
      </c>
      <c r="F526" t="s">
        <v>1463</v>
      </c>
      <c r="G526" t="s">
        <v>1464</v>
      </c>
      <c r="H526" t="s">
        <v>1465</v>
      </c>
      <c r="J526" t="s">
        <v>1466</v>
      </c>
      <c r="K526" t="s">
        <v>1467</v>
      </c>
      <c r="L526" t="s">
        <v>1468</v>
      </c>
      <c r="M526" t="s">
        <v>35</v>
      </c>
      <c r="N526" t="s">
        <v>1469</v>
      </c>
      <c r="O526" t="s">
        <v>1470</v>
      </c>
      <c r="P526" t="s">
        <v>3080</v>
      </c>
      <c r="R526" t="s">
        <v>3113</v>
      </c>
      <c r="S526" t="s">
        <v>1474</v>
      </c>
      <c r="T526" t="s">
        <v>94</v>
      </c>
      <c r="U526" t="s">
        <v>82</v>
      </c>
      <c r="V526" s="1">
        <v>43270</v>
      </c>
      <c r="W526">
        <v>0</v>
      </c>
      <c r="X526">
        <v>6</v>
      </c>
      <c r="Y526" t="s">
        <v>83</v>
      </c>
      <c r="AA526" t="s">
        <v>42</v>
      </c>
      <c r="AB526" t="s">
        <v>43</v>
      </c>
      <c r="AC526" t="s">
        <v>42</v>
      </c>
    </row>
    <row r="527" spans="1:30" x14ac:dyDescent="0.4">
      <c r="A527" t="s">
        <v>27</v>
      </c>
      <c r="B527">
        <v>77</v>
      </c>
      <c r="C527" t="s">
        <v>1481</v>
      </c>
      <c r="E527" t="s">
        <v>195</v>
      </c>
      <c r="F527" t="s">
        <v>1475</v>
      </c>
      <c r="G527" t="s">
        <v>1476</v>
      </c>
      <c r="H527" t="s">
        <v>1477</v>
      </c>
      <c r="J527" t="s">
        <v>1164</v>
      </c>
      <c r="K527" t="s">
        <v>426</v>
      </c>
      <c r="L527" t="s">
        <v>1478</v>
      </c>
      <c r="M527" t="s">
        <v>35</v>
      </c>
      <c r="N527" t="s">
        <v>1479</v>
      </c>
      <c r="O527" t="s">
        <v>1480</v>
      </c>
      <c r="P527" t="s">
        <v>1481</v>
      </c>
      <c r="R527" t="s">
        <v>1482</v>
      </c>
      <c r="S527" t="s">
        <v>1483</v>
      </c>
      <c r="T527" t="s">
        <v>275</v>
      </c>
      <c r="U527" t="s">
        <v>82</v>
      </c>
      <c r="V527" s="1">
        <v>41419</v>
      </c>
      <c r="W527">
        <v>0</v>
      </c>
      <c r="X527">
        <v>0</v>
      </c>
      <c r="Y527" t="s">
        <v>59</v>
      </c>
      <c r="AA527" t="s">
        <v>42</v>
      </c>
      <c r="AB527" t="s">
        <v>43</v>
      </c>
      <c r="AC527" t="s">
        <v>43</v>
      </c>
    </row>
    <row r="528" spans="1:30" x14ac:dyDescent="0.4">
      <c r="A528" t="s">
        <v>27</v>
      </c>
      <c r="B528">
        <v>77</v>
      </c>
      <c r="C528" t="s">
        <v>1481</v>
      </c>
      <c r="E528" t="s">
        <v>195</v>
      </c>
      <c r="F528" t="s">
        <v>1475</v>
      </c>
      <c r="G528" t="s">
        <v>1476</v>
      </c>
      <c r="H528" t="s">
        <v>1477</v>
      </c>
      <c r="J528" t="s">
        <v>1164</v>
      </c>
      <c r="K528" t="s">
        <v>426</v>
      </c>
      <c r="L528" t="s">
        <v>1478</v>
      </c>
      <c r="M528" t="s">
        <v>35</v>
      </c>
      <c r="N528" t="s">
        <v>1479</v>
      </c>
      <c r="O528" t="s">
        <v>1480</v>
      </c>
      <c r="P528" t="s">
        <v>1481</v>
      </c>
      <c r="R528" t="s">
        <v>1484</v>
      </c>
      <c r="S528" t="s">
        <v>1485</v>
      </c>
      <c r="T528" t="s">
        <v>1486</v>
      </c>
      <c r="U528" t="s">
        <v>40</v>
      </c>
      <c r="V528" s="1">
        <v>41772</v>
      </c>
      <c r="W528">
        <v>0</v>
      </c>
      <c r="X528">
        <v>0</v>
      </c>
      <c r="Y528" t="s">
        <v>59</v>
      </c>
      <c r="AA528" t="s">
        <v>42</v>
      </c>
      <c r="AB528" t="s">
        <v>43</v>
      </c>
      <c r="AC528" t="s">
        <v>43</v>
      </c>
    </row>
    <row r="529" spans="1:29" x14ac:dyDescent="0.4">
      <c r="A529" t="s">
        <v>27</v>
      </c>
      <c r="B529">
        <v>77</v>
      </c>
      <c r="C529" t="s">
        <v>1481</v>
      </c>
      <c r="E529" t="s">
        <v>195</v>
      </c>
      <c r="F529" t="s">
        <v>1475</v>
      </c>
      <c r="G529" t="s">
        <v>1476</v>
      </c>
      <c r="H529" t="s">
        <v>1477</v>
      </c>
      <c r="J529" t="s">
        <v>1164</v>
      </c>
      <c r="K529" t="s">
        <v>426</v>
      </c>
      <c r="L529" t="s">
        <v>1478</v>
      </c>
      <c r="M529" t="s">
        <v>35</v>
      </c>
      <c r="N529" t="s">
        <v>1479</v>
      </c>
      <c r="O529" t="s">
        <v>1480</v>
      </c>
      <c r="P529" t="s">
        <v>1481</v>
      </c>
      <c r="R529" t="s">
        <v>1482</v>
      </c>
      <c r="S529" t="s">
        <v>1483</v>
      </c>
      <c r="T529" t="s">
        <v>275</v>
      </c>
      <c r="U529" t="s">
        <v>82</v>
      </c>
      <c r="V529" s="1">
        <v>41419</v>
      </c>
      <c r="W529">
        <v>0</v>
      </c>
      <c r="X529">
        <v>0</v>
      </c>
      <c r="Y529" t="s">
        <v>59</v>
      </c>
      <c r="AA529" t="s">
        <v>42</v>
      </c>
      <c r="AB529" t="s">
        <v>43</v>
      </c>
      <c r="AC529" t="s">
        <v>43</v>
      </c>
    </row>
    <row r="530" spans="1:29" x14ac:dyDescent="0.4">
      <c r="A530" t="s">
        <v>27</v>
      </c>
      <c r="B530">
        <v>77</v>
      </c>
      <c r="C530" t="s">
        <v>1481</v>
      </c>
      <c r="E530" t="s">
        <v>195</v>
      </c>
      <c r="F530" t="s">
        <v>1475</v>
      </c>
      <c r="G530" t="s">
        <v>1476</v>
      </c>
      <c r="H530" t="s">
        <v>1477</v>
      </c>
      <c r="J530" t="s">
        <v>1164</v>
      </c>
      <c r="K530" t="s">
        <v>426</v>
      </c>
      <c r="L530" t="s">
        <v>1478</v>
      </c>
      <c r="M530" t="s">
        <v>35</v>
      </c>
      <c r="N530" t="s">
        <v>1479</v>
      </c>
      <c r="O530" t="s">
        <v>1480</v>
      </c>
      <c r="P530" t="s">
        <v>1481</v>
      </c>
      <c r="R530" t="s">
        <v>1484</v>
      </c>
      <c r="S530" t="s">
        <v>1485</v>
      </c>
      <c r="T530" t="s">
        <v>1486</v>
      </c>
      <c r="U530" t="s">
        <v>40</v>
      </c>
      <c r="V530" s="1">
        <v>41772</v>
      </c>
      <c r="W530">
        <v>0</v>
      </c>
      <c r="X530">
        <v>0</v>
      </c>
      <c r="Y530" t="s">
        <v>59</v>
      </c>
      <c r="AA530" t="s">
        <v>42</v>
      </c>
      <c r="AB530" t="s">
        <v>43</v>
      </c>
      <c r="AC530" t="s">
        <v>43</v>
      </c>
    </row>
    <row r="531" spans="1:29" x14ac:dyDescent="0.4">
      <c r="A531" t="s">
        <v>27</v>
      </c>
      <c r="B531">
        <v>77</v>
      </c>
      <c r="C531" t="s">
        <v>1481</v>
      </c>
      <c r="D531">
        <v>170</v>
      </c>
      <c r="E531" t="s">
        <v>195</v>
      </c>
      <c r="F531" t="s">
        <v>1475</v>
      </c>
      <c r="G531" t="s">
        <v>1476</v>
      </c>
      <c r="H531" t="s">
        <v>1477</v>
      </c>
      <c r="J531" t="s">
        <v>1164</v>
      </c>
      <c r="K531" t="s">
        <v>426</v>
      </c>
      <c r="L531" t="s">
        <v>1478</v>
      </c>
      <c r="M531" t="s">
        <v>35</v>
      </c>
      <c r="N531" t="s">
        <v>1479</v>
      </c>
      <c r="O531" t="s">
        <v>1480</v>
      </c>
      <c r="P531" t="s">
        <v>1481</v>
      </c>
      <c r="R531" t="s">
        <v>1487</v>
      </c>
      <c r="S531" t="s">
        <v>1488</v>
      </c>
      <c r="T531" t="s">
        <v>3135</v>
      </c>
      <c r="U531" t="s">
        <v>82</v>
      </c>
      <c r="V531" s="1">
        <v>43787</v>
      </c>
      <c r="W531">
        <v>0</v>
      </c>
      <c r="X531">
        <v>5</v>
      </c>
      <c r="Y531" t="s">
        <v>66</v>
      </c>
      <c r="AA531" t="s">
        <v>42</v>
      </c>
      <c r="AB531" t="s">
        <v>43</v>
      </c>
      <c r="AC531" t="s">
        <v>43</v>
      </c>
    </row>
    <row r="532" spans="1:29" x14ac:dyDescent="0.4">
      <c r="A532" t="s">
        <v>27</v>
      </c>
      <c r="B532">
        <v>77</v>
      </c>
      <c r="C532" t="s">
        <v>1481</v>
      </c>
      <c r="D532">
        <v>170</v>
      </c>
      <c r="E532" t="s">
        <v>195</v>
      </c>
      <c r="F532" t="s">
        <v>1475</v>
      </c>
      <c r="G532" t="s">
        <v>1476</v>
      </c>
      <c r="H532" t="s">
        <v>1477</v>
      </c>
      <c r="J532" t="s">
        <v>1164</v>
      </c>
      <c r="K532" t="s">
        <v>426</v>
      </c>
      <c r="L532" t="s">
        <v>1478</v>
      </c>
      <c r="M532" t="s">
        <v>35</v>
      </c>
      <c r="N532" t="s">
        <v>1479</v>
      </c>
      <c r="O532" t="s">
        <v>1480</v>
      </c>
      <c r="P532" t="s">
        <v>1481</v>
      </c>
      <c r="R532" t="s">
        <v>1487</v>
      </c>
      <c r="S532" t="s">
        <v>1488</v>
      </c>
      <c r="T532" t="s">
        <v>3135</v>
      </c>
      <c r="U532" t="s">
        <v>82</v>
      </c>
      <c r="V532" s="1">
        <v>43787</v>
      </c>
      <c r="W532">
        <v>0</v>
      </c>
      <c r="X532">
        <v>6</v>
      </c>
      <c r="Y532" t="s">
        <v>83</v>
      </c>
      <c r="AA532" t="s">
        <v>42</v>
      </c>
      <c r="AB532" t="s">
        <v>43</v>
      </c>
      <c r="AC532" t="s">
        <v>43</v>
      </c>
    </row>
    <row r="533" spans="1:29" x14ac:dyDescent="0.4">
      <c r="A533" t="s">
        <v>27</v>
      </c>
      <c r="B533">
        <v>77</v>
      </c>
      <c r="C533" t="s">
        <v>1481</v>
      </c>
      <c r="D533">
        <v>170</v>
      </c>
      <c r="E533" t="s">
        <v>195</v>
      </c>
      <c r="F533" t="s">
        <v>1475</v>
      </c>
      <c r="G533" t="s">
        <v>1476</v>
      </c>
      <c r="H533" t="s">
        <v>1477</v>
      </c>
      <c r="J533" t="s">
        <v>1164</v>
      </c>
      <c r="K533" t="s">
        <v>426</v>
      </c>
      <c r="L533" t="s">
        <v>1478</v>
      </c>
      <c r="M533" t="s">
        <v>35</v>
      </c>
      <c r="N533" t="s">
        <v>1479</v>
      </c>
      <c r="O533" t="s">
        <v>1480</v>
      </c>
      <c r="P533" t="s">
        <v>1481</v>
      </c>
      <c r="R533" t="s">
        <v>1487</v>
      </c>
      <c r="S533" t="s">
        <v>1488</v>
      </c>
      <c r="T533" t="s">
        <v>3135</v>
      </c>
      <c r="U533" t="s">
        <v>82</v>
      </c>
      <c r="V533" s="1">
        <v>43787</v>
      </c>
      <c r="W533">
        <v>0</v>
      </c>
      <c r="X533">
        <v>7</v>
      </c>
      <c r="AA533" t="s">
        <v>42</v>
      </c>
      <c r="AB533" t="s">
        <v>43</v>
      </c>
      <c r="AC533" t="s">
        <v>43</v>
      </c>
    </row>
    <row r="534" spans="1:29" x14ac:dyDescent="0.4">
      <c r="A534" t="s">
        <v>27</v>
      </c>
      <c r="B534">
        <v>77</v>
      </c>
      <c r="C534" t="s">
        <v>1481</v>
      </c>
      <c r="D534">
        <v>170</v>
      </c>
      <c r="E534" t="s">
        <v>195</v>
      </c>
      <c r="F534" t="s">
        <v>1475</v>
      </c>
      <c r="G534" t="s">
        <v>1476</v>
      </c>
      <c r="H534" t="s">
        <v>1477</v>
      </c>
      <c r="J534" t="s">
        <v>1164</v>
      </c>
      <c r="K534" t="s">
        <v>426</v>
      </c>
      <c r="L534" t="s">
        <v>1478</v>
      </c>
      <c r="M534" t="s">
        <v>35</v>
      </c>
      <c r="N534" t="s">
        <v>1479</v>
      </c>
      <c r="O534" t="s">
        <v>1480</v>
      </c>
      <c r="P534" t="s">
        <v>1481</v>
      </c>
      <c r="R534" t="s">
        <v>1487</v>
      </c>
      <c r="S534" t="s">
        <v>1488</v>
      </c>
      <c r="T534" t="s">
        <v>3135</v>
      </c>
      <c r="U534" t="s">
        <v>82</v>
      </c>
      <c r="V534" s="1">
        <v>43787</v>
      </c>
      <c r="W534">
        <v>0</v>
      </c>
      <c r="X534">
        <v>15</v>
      </c>
      <c r="AA534" t="s">
        <v>42</v>
      </c>
      <c r="AB534" t="s">
        <v>43</v>
      </c>
      <c r="AC534" t="s">
        <v>43</v>
      </c>
    </row>
    <row r="535" spans="1:29" x14ac:dyDescent="0.4">
      <c r="A535" t="s">
        <v>27</v>
      </c>
      <c r="B535">
        <v>77</v>
      </c>
      <c r="C535" t="s">
        <v>1481</v>
      </c>
      <c r="D535">
        <v>170</v>
      </c>
      <c r="E535" t="s">
        <v>195</v>
      </c>
      <c r="F535" t="s">
        <v>1475</v>
      </c>
      <c r="G535" t="s">
        <v>1476</v>
      </c>
      <c r="H535" t="s">
        <v>1477</v>
      </c>
      <c r="J535" t="s">
        <v>1164</v>
      </c>
      <c r="K535" t="s">
        <v>426</v>
      </c>
      <c r="L535" t="s">
        <v>1478</v>
      </c>
      <c r="M535" t="s">
        <v>35</v>
      </c>
      <c r="N535" t="s">
        <v>1479</v>
      </c>
      <c r="O535" t="s">
        <v>1480</v>
      </c>
      <c r="P535" t="s">
        <v>1481</v>
      </c>
      <c r="R535" t="s">
        <v>1487</v>
      </c>
      <c r="S535" t="s">
        <v>1488</v>
      </c>
      <c r="T535" t="s">
        <v>3135</v>
      </c>
      <c r="U535" t="s">
        <v>82</v>
      </c>
      <c r="V535" s="1">
        <v>43787</v>
      </c>
      <c r="W535">
        <v>0</v>
      </c>
      <c r="X535">
        <v>17</v>
      </c>
      <c r="AA535" t="s">
        <v>42</v>
      </c>
      <c r="AB535" t="s">
        <v>43</v>
      </c>
      <c r="AC535" t="s">
        <v>43</v>
      </c>
    </row>
    <row r="536" spans="1:29" x14ac:dyDescent="0.4">
      <c r="A536" t="s">
        <v>27</v>
      </c>
      <c r="B536">
        <v>77</v>
      </c>
      <c r="C536" t="s">
        <v>1481</v>
      </c>
      <c r="D536">
        <v>170</v>
      </c>
      <c r="E536" t="s">
        <v>195</v>
      </c>
      <c r="F536" t="s">
        <v>1475</v>
      </c>
      <c r="G536" t="s">
        <v>1476</v>
      </c>
      <c r="H536" t="s">
        <v>1477</v>
      </c>
      <c r="J536" t="s">
        <v>1164</v>
      </c>
      <c r="K536" t="s">
        <v>426</v>
      </c>
      <c r="L536" t="s">
        <v>1478</v>
      </c>
      <c r="M536" t="s">
        <v>35</v>
      </c>
      <c r="N536" t="s">
        <v>1479</v>
      </c>
      <c r="O536" t="s">
        <v>1480</v>
      </c>
      <c r="P536" t="s">
        <v>1481</v>
      </c>
      <c r="R536" t="s">
        <v>1487</v>
      </c>
      <c r="S536" t="s">
        <v>1488</v>
      </c>
      <c r="T536" t="s">
        <v>3135</v>
      </c>
      <c r="U536" t="s">
        <v>82</v>
      </c>
      <c r="V536" s="1">
        <v>43787</v>
      </c>
      <c r="W536">
        <v>0</v>
      </c>
      <c r="X536">
        <v>19</v>
      </c>
      <c r="AA536" t="s">
        <v>42</v>
      </c>
      <c r="AB536" t="s">
        <v>43</v>
      </c>
      <c r="AC536" t="s">
        <v>43</v>
      </c>
    </row>
    <row r="537" spans="1:29" x14ac:dyDescent="0.4">
      <c r="A537" t="s">
        <v>27</v>
      </c>
      <c r="B537">
        <v>553</v>
      </c>
      <c r="C537" t="s">
        <v>2868</v>
      </c>
      <c r="E537" t="s">
        <v>68</v>
      </c>
      <c r="F537" t="s">
        <v>535</v>
      </c>
      <c r="G537" t="s">
        <v>1489</v>
      </c>
      <c r="H537" t="s">
        <v>1490</v>
      </c>
      <c r="J537" t="s">
        <v>1491</v>
      </c>
      <c r="K537" t="s">
        <v>1492</v>
      </c>
      <c r="L537" t="s">
        <v>1493</v>
      </c>
      <c r="M537" t="s">
        <v>35</v>
      </c>
      <c r="N537">
        <v>1787228204</v>
      </c>
      <c r="O537" t="s">
        <v>1494</v>
      </c>
      <c r="P537" t="s">
        <v>1495</v>
      </c>
      <c r="R537" t="s">
        <v>1496</v>
      </c>
      <c r="S537" t="s">
        <v>1497</v>
      </c>
      <c r="T537" t="s">
        <v>1498</v>
      </c>
      <c r="U537" t="s">
        <v>40</v>
      </c>
      <c r="V537" s="1">
        <v>45625</v>
      </c>
      <c r="W537">
        <v>0</v>
      </c>
      <c r="X537">
        <v>0</v>
      </c>
      <c r="Y537" t="s">
        <v>59</v>
      </c>
      <c r="Z537" t="s">
        <v>135</v>
      </c>
      <c r="AA537" t="s">
        <v>42</v>
      </c>
      <c r="AB537" t="s">
        <v>43</v>
      </c>
      <c r="AC537" t="s">
        <v>42</v>
      </c>
    </row>
    <row r="538" spans="1:29" x14ac:dyDescent="0.4">
      <c r="A538" t="s">
        <v>27</v>
      </c>
      <c r="B538">
        <v>553</v>
      </c>
      <c r="C538" t="s">
        <v>2868</v>
      </c>
      <c r="E538" t="s">
        <v>68</v>
      </c>
      <c r="F538" t="s">
        <v>535</v>
      </c>
      <c r="G538" t="s">
        <v>1489</v>
      </c>
      <c r="H538" t="s">
        <v>1490</v>
      </c>
      <c r="J538" t="s">
        <v>1491</v>
      </c>
      <c r="K538" t="s">
        <v>1492</v>
      </c>
      <c r="L538" t="s">
        <v>1493</v>
      </c>
      <c r="M538" t="s">
        <v>35</v>
      </c>
      <c r="N538">
        <v>1787228204</v>
      </c>
      <c r="O538" t="s">
        <v>1494</v>
      </c>
      <c r="P538" t="s">
        <v>1495</v>
      </c>
      <c r="R538" t="s">
        <v>1496</v>
      </c>
      <c r="S538" t="s">
        <v>1497</v>
      </c>
      <c r="T538" t="s">
        <v>1498</v>
      </c>
      <c r="U538" t="s">
        <v>40</v>
      </c>
      <c r="V538" s="1">
        <v>45625</v>
      </c>
      <c r="W538">
        <v>0</v>
      </c>
      <c r="X538">
        <v>0</v>
      </c>
      <c r="Y538" t="s">
        <v>59</v>
      </c>
      <c r="Z538" t="s">
        <v>135</v>
      </c>
      <c r="AA538" t="s">
        <v>42</v>
      </c>
      <c r="AB538" t="s">
        <v>43</v>
      </c>
      <c r="AC538" t="s">
        <v>42</v>
      </c>
    </row>
    <row r="539" spans="1:29" x14ac:dyDescent="0.4">
      <c r="A539" t="s">
        <v>27</v>
      </c>
      <c r="B539">
        <v>553</v>
      </c>
      <c r="C539" t="s">
        <v>2868</v>
      </c>
      <c r="D539">
        <v>171</v>
      </c>
      <c r="E539" t="s">
        <v>68</v>
      </c>
      <c r="F539" t="s">
        <v>535</v>
      </c>
      <c r="G539" t="s">
        <v>1489</v>
      </c>
      <c r="H539" t="s">
        <v>1490</v>
      </c>
      <c r="J539" t="s">
        <v>1491</v>
      </c>
      <c r="K539" t="s">
        <v>1492</v>
      </c>
      <c r="L539" t="s">
        <v>1493</v>
      </c>
      <c r="M539" t="s">
        <v>35</v>
      </c>
      <c r="N539">
        <v>1787228204</v>
      </c>
      <c r="O539" t="s">
        <v>1494</v>
      </c>
      <c r="P539" t="s">
        <v>2868</v>
      </c>
      <c r="R539" t="s">
        <v>1499</v>
      </c>
      <c r="S539" t="s">
        <v>1500</v>
      </c>
      <c r="T539" t="s">
        <v>94</v>
      </c>
      <c r="U539" t="s">
        <v>82</v>
      </c>
      <c r="V539" s="1">
        <v>43741</v>
      </c>
      <c r="W539">
        <v>0</v>
      </c>
      <c r="X539">
        <v>4</v>
      </c>
      <c r="Y539" t="s">
        <v>65</v>
      </c>
      <c r="Z539" t="s">
        <v>135</v>
      </c>
      <c r="AA539" t="s">
        <v>42</v>
      </c>
      <c r="AB539" t="s">
        <v>43</v>
      </c>
      <c r="AC539" t="s">
        <v>42</v>
      </c>
    </row>
    <row r="540" spans="1:29" x14ac:dyDescent="0.4">
      <c r="A540" t="s">
        <v>27</v>
      </c>
      <c r="B540">
        <v>553</v>
      </c>
      <c r="C540" t="s">
        <v>2868</v>
      </c>
      <c r="D540">
        <v>172</v>
      </c>
      <c r="E540" t="s">
        <v>68</v>
      </c>
      <c r="F540" t="s">
        <v>535</v>
      </c>
      <c r="G540" t="s">
        <v>1489</v>
      </c>
      <c r="H540" t="s">
        <v>1490</v>
      </c>
      <c r="J540" t="s">
        <v>1491</v>
      </c>
      <c r="K540" t="s">
        <v>1492</v>
      </c>
      <c r="L540" t="s">
        <v>1493</v>
      </c>
      <c r="M540" t="s">
        <v>35</v>
      </c>
      <c r="N540">
        <v>1787228204</v>
      </c>
      <c r="O540" t="s">
        <v>1494</v>
      </c>
      <c r="P540" t="s">
        <v>2868</v>
      </c>
      <c r="R540" t="s">
        <v>1501</v>
      </c>
      <c r="S540" t="s">
        <v>1502</v>
      </c>
      <c r="T540" t="s">
        <v>58</v>
      </c>
      <c r="U540" t="s">
        <v>82</v>
      </c>
      <c r="V540" s="1">
        <v>44536</v>
      </c>
      <c r="W540">
        <v>0</v>
      </c>
      <c r="X540">
        <v>4</v>
      </c>
      <c r="Y540" t="s">
        <v>65</v>
      </c>
      <c r="Z540" t="s">
        <v>135</v>
      </c>
      <c r="AA540" t="s">
        <v>42</v>
      </c>
      <c r="AB540" t="s">
        <v>43</v>
      </c>
      <c r="AC540" t="s">
        <v>42</v>
      </c>
    </row>
    <row r="541" spans="1:29" x14ac:dyDescent="0.4">
      <c r="A541" t="s">
        <v>27</v>
      </c>
      <c r="B541">
        <v>553</v>
      </c>
      <c r="C541" t="s">
        <v>2868</v>
      </c>
      <c r="D541">
        <v>171</v>
      </c>
      <c r="E541" t="s">
        <v>68</v>
      </c>
      <c r="F541" t="s">
        <v>535</v>
      </c>
      <c r="G541" t="s">
        <v>1489</v>
      </c>
      <c r="H541" t="s">
        <v>1490</v>
      </c>
      <c r="J541" t="s">
        <v>1491</v>
      </c>
      <c r="K541" t="s">
        <v>1492</v>
      </c>
      <c r="L541" t="s">
        <v>1493</v>
      </c>
      <c r="M541" t="s">
        <v>35</v>
      </c>
      <c r="N541">
        <v>1787228204</v>
      </c>
      <c r="O541" t="s">
        <v>1494</v>
      </c>
      <c r="P541" t="s">
        <v>2868</v>
      </c>
      <c r="R541" t="s">
        <v>1499</v>
      </c>
      <c r="S541" t="s">
        <v>1500</v>
      </c>
      <c r="T541" t="s">
        <v>94</v>
      </c>
      <c r="U541" t="s">
        <v>82</v>
      </c>
      <c r="V541" s="1">
        <v>43741</v>
      </c>
      <c r="W541">
        <v>0</v>
      </c>
      <c r="X541">
        <v>5</v>
      </c>
      <c r="Y541" t="s">
        <v>66</v>
      </c>
      <c r="Z541" t="s">
        <v>135</v>
      </c>
      <c r="AA541" t="s">
        <v>42</v>
      </c>
      <c r="AB541" t="s">
        <v>43</v>
      </c>
      <c r="AC541" t="s">
        <v>42</v>
      </c>
    </row>
    <row r="542" spans="1:29" x14ac:dyDescent="0.4">
      <c r="A542" t="s">
        <v>27</v>
      </c>
      <c r="B542">
        <v>553</v>
      </c>
      <c r="C542" t="s">
        <v>2868</v>
      </c>
      <c r="D542">
        <v>172</v>
      </c>
      <c r="E542" t="s">
        <v>68</v>
      </c>
      <c r="F542" t="s">
        <v>535</v>
      </c>
      <c r="G542" t="s">
        <v>1489</v>
      </c>
      <c r="H542" t="s">
        <v>1490</v>
      </c>
      <c r="J542" t="s">
        <v>1491</v>
      </c>
      <c r="K542" t="s">
        <v>1492</v>
      </c>
      <c r="L542" t="s">
        <v>1493</v>
      </c>
      <c r="M542" t="s">
        <v>35</v>
      </c>
      <c r="N542">
        <v>1787228204</v>
      </c>
      <c r="O542" t="s">
        <v>1494</v>
      </c>
      <c r="P542" t="s">
        <v>2868</v>
      </c>
      <c r="R542" t="s">
        <v>1501</v>
      </c>
      <c r="S542" t="s">
        <v>1502</v>
      </c>
      <c r="T542" t="s">
        <v>58</v>
      </c>
      <c r="U542" t="s">
        <v>82</v>
      </c>
      <c r="V542" s="1">
        <v>44536</v>
      </c>
      <c r="W542">
        <v>0</v>
      </c>
      <c r="X542">
        <v>5</v>
      </c>
      <c r="Y542" t="s">
        <v>66</v>
      </c>
      <c r="Z542" t="s">
        <v>135</v>
      </c>
      <c r="AA542" t="s">
        <v>42</v>
      </c>
      <c r="AB542" t="s">
        <v>43</v>
      </c>
      <c r="AC542" t="s">
        <v>42</v>
      </c>
    </row>
    <row r="543" spans="1:29" x14ac:dyDescent="0.4">
      <c r="A543" t="s">
        <v>27</v>
      </c>
      <c r="B543">
        <v>553</v>
      </c>
      <c r="C543" t="s">
        <v>2868</v>
      </c>
      <c r="D543">
        <v>171</v>
      </c>
      <c r="E543" t="s">
        <v>68</v>
      </c>
      <c r="F543" t="s">
        <v>535</v>
      </c>
      <c r="G543" t="s">
        <v>1489</v>
      </c>
      <c r="H543" t="s">
        <v>1490</v>
      </c>
      <c r="J543" t="s">
        <v>1491</v>
      </c>
      <c r="K543" t="s">
        <v>1492</v>
      </c>
      <c r="L543" t="s">
        <v>1493</v>
      </c>
      <c r="M543" t="s">
        <v>35</v>
      </c>
      <c r="N543">
        <v>1787228204</v>
      </c>
      <c r="O543" t="s">
        <v>1494</v>
      </c>
      <c r="P543" t="s">
        <v>2868</v>
      </c>
      <c r="R543" t="s">
        <v>1499</v>
      </c>
      <c r="S543" t="s">
        <v>1500</v>
      </c>
      <c r="T543" t="s">
        <v>94</v>
      </c>
      <c r="U543" t="s">
        <v>82</v>
      </c>
      <c r="V543" s="1">
        <v>43741</v>
      </c>
      <c r="W543">
        <v>0</v>
      </c>
      <c r="X543">
        <v>13</v>
      </c>
      <c r="Z543" t="s">
        <v>135</v>
      </c>
      <c r="AA543" t="s">
        <v>42</v>
      </c>
      <c r="AB543" t="s">
        <v>43</v>
      </c>
      <c r="AC543" t="s">
        <v>42</v>
      </c>
    </row>
    <row r="544" spans="1:29" x14ac:dyDescent="0.4">
      <c r="A544" t="s">
        <v>27</v>
      </c>
      <c r="B544">
        <v>553</v>
      </c>
      <c r="C544" t="s">
        <v>2868</v>
      </c>
      <c r="D544">
        <v>172</v>
      </c>
      <c r="E544" t="s">
        <v>68</v>
      </c>
      <c r="F544" t="s">
        <v>535</v>
      </c>
      <c r="G544" t="s">
        <v>1489</v>
      </c>
      <c r="H544" t="s">
        <v>1490</v>
      </c>
      <c r="J544" t="s">
        <v>1491</v>
      </c>
      <c r="K544" t="s">
        <v>1492</v>
      </c>
      <c r="L544" t="s">
        <v>1493</v>
      </c>
      <c r="M544" t="s">
        <v>35</v>
      </c>
      <c r="N544">
        <v>1787228204</v>
      </c>
      <c r="O544" t="s">
        <v>1494</v>
      </c>
      <c r="P544" t="s">
        <v>2868</v>
      </c>
      <c r="R544" t="s">
        <v>1501</v>
      </c>
      <c r="S544" t="s">
        <v>1502</v>
      </c>
      <c r="T544" t="s">
        <v>58</v>
      </c>
      <c r="U544" t="s">
        <v>82</v>
      </c>
      <c r="V544" s="1">
        <v>44536</v>
      </c>
      <c r="W544">
        <v>0</v>
      </c>
      <c r="X544">
        <v>13</v>
      </c>
      <c r="Z544" t="s">
        <v>135</v>
      </c>
      <c r="AA544" t="s">
        <v>42</v>
      </c>
      <c r="AB544" t="s">
        <v>43</v>
      </c>
      <c r="AC544" t="s">
        <v>42</v>
      </c>
    </row>
    <row r="545" spans="1:29" x14ac:dyDescent="0.4">
      <c r="A545" t="s">
        <v>27</v>
      </c>
      <c r="B545">
        <v>553</v>
      </c>
      <c r="C545" t="s">
        <v>2868</v>
      </c>
      <c r="D545">
        <v>171</v>
      </c>
      <c r="E545" t="s">
        <v>68</v>
      </c>
      <c r="F545" t="s">
        <v>535</v>
      </c>
      <c r="G545" t="s">
        <v>1489</v>
      </c>
      <c r="H545" t="s">
        <v>1490</v>
      </c>
      <c r="J545" t="s">
        <v>1491</v>
      </c>
      <c r="K545" t="s">
        <v>1492</v>
      </c>
      <c r="L545" t="s">
        <v>1493</v>
      </c>
      <c r="M545" t="s">
        <v>35</v>
      </c>
      <c r="N545">
        <v>1787228204</v>
      </c>
      <c r="O545" t="s">
        <v>1494</v>
      </c>
      <c r="P545" t="s">
        <v>2868</v>
      </c>
      <c r="R545" t="s">
        <v>1499</v>
      </c>
      <c r="S545" t="s">
        <v>1500</v>
      </c>
      <c r="T545" t="s">
        <v>94</v>
      </c>
      <c r="U545" t="s">
        <v>82</v>
      </c>
      <c r="V545" s="1">
        <v>43741</v>
      </c>
      <c r="W545">
        <v>0</v>
      </c>
      <c r="X545">
        <v>15</v>
      </c>
      <c r="Z545" t="s">
        <v>135</v>
      </c>
      <c r="AA545" t="s">
        <v>42</v>
      </c>
      <c r="AB545" t="s">
        <v>43</v>
      </c>
      <c r="AC545" t="s">
        <v>42</v>
      </c>
    </row>
    <row r="546" spans="1:29" x14ac:dyDescent="0.4">
      <c r="A546" t="s">
        <v>27</v>
      </c>
      <c r="B546">
        <v>553</v>
      </c>
      <c r="C546" t="s">
        <v>2868</v>
      </c>
      <c r="D546">
        <v>172</v>
      </c>
      <c r="E546" t="s">
        <v>68</v>
      </c>
      <c r="F546" t="s">
        <v>535</v>
      </c>
      <c r="G546" t="s">
        <v>1489</v>
      </c>
      <c r="H546" t="s">
        <v>1490</v>
      </c>
      <c r="J546" t="s">
        <v>1491</v>
      </c>
      <c r="K546" t="s">
        <v>1492</v>
      </c>
      <c r="L546" t="s">
        <v>1493</v>
      </c>
      <c r="M546" t="s">
        <v>35</v>
      </c>
      <c r="N546">
        <v>1787228204</v>
      </c>
      <c r="O546" t="s">
        <v>1494</v>
      </c>
      <c r="P546" t="s">
        <v>2868</v>
      </c>
      <c r="R546" t="s">
        <v>1501</v>
      </c>
      <c r="S546" t="s">
        <v>1502</v>
      </c>
      <c r="T546" t="s">
        <v>58</v>
      </c>
      <c r="U546" t="s">
        <v>82</v>
      </c>
      <c r="V546" s="1">
        <v>44536</v>
      </c>
      <c r="W546">
        <v>0</v>
      </c>
      <c r="X546">
        <v>15</v>
      </c>
      <c r="Z546" t="s">
        <v>135</v>
      </c>
      <c r="AA546" t="s">
        <v>42</v>
      </c>
      <c r="AB546" t="s">
        <v>43</v>
      </c>
      <c r="AC546" t="s">
        <v>42</v>
      </c>
    </row>
    <row r="547" spans="1:29" x14ac:dyDescent="0.4">
      <c r="A547" t="s">
        <v>27</v>
      </c>
      <c r="B547">
        <v>6149</v>
      </c>
      <c r="C547" t="s">
        <v>2964</v>
      </c>
      <c r="D547">
        <v>173</v>
      </c>
      <c r="E547" t="s">
        <v>257</v>
      </c>
      <c r="F547" t="s">
        <v>1503</v>
      </c>
      <c r="G547" t="s">
        <v>1504</v>
      </c>
      <c r="H547" t="s">
        <v>1505</v>
      </c>
      <c r="I547" t="s">
        <v>504</v>
      </c>
      <c r="J547" t="s">
        <v>50</v>
      </c>
      <c r="K547" t="s">
        <v>51</v>
      </c>
      <c r="L547" t="s">
        <v>1506</v>
      </c>
      <c r="M547" t="s">
        <v>35</v>
      </c>
      <c r="N547">
        <v>7813467875</v>
      </c>
      <c r="O547" t="s">
        <v>1507</v>
      </c>
      <c r="P547" t="s">
        <v>2964</v>
      </c>
      <c r="R547" t="s">
        <v>1508</v>
      </c>
      <c r="S547" t="s">
        <v>1509</v>
      </c>
      <c r="T547" t="s">
        <v>1296</v>
      </c>
      <c r="U547" t="s">
        <v>40</v>
      </c>
      <c r="V547" s="1">
        <v>43813</v>
      </c>
      <c r="W547">
        <v>0</v>
      </c>
      <c r="X547">
        <v>8</v>
      </c>
      <c r="AA547" t="s">
        <v>42</v>
      </c>
      <c r="AB547" t="s">
        <v>43</v>
      </c>
      <c r="AC547" t="s">
        <v>42</v>
      </c>
    </row>
    <row r="548" spans="1:29" x14ac:dyDescent="0.4">
      <c r="A548" t="s">
        <v>27</v>
      </c>
      <c r="B548">
        <v>6149</v>
      </c>
      <c r="C548" t="s">
        <v>2964</v>
      </c>
      <c r="D548">
        <v>173</v>
      </c>
      <c r="E548" t="s">
        <v>257</v>
      </c>
      <c r="F548" t="s">
        <v>1503</v>
      </c>
      <c r="G548" t="s">
        <v>1504</v>
      </c>
      <c r="H548" t="s">
        <v>1505</v>
      </c>
      <c r="I548" t="s">
        <v>504</v>
      </c>
      <c r="J548" t="s">
        <v>50</v>
      </c>
      <c r="K548" t="s">
        <v>51</v>
      </c>
      <c r="L548" t="s">
        <v>1506</v>
      </c>
      <c r="M548" t="s">
        <v>35</v>
      </c>
      <c r="N548">
        <v>7813467875</v>
      </c>
      <c r="O548" t="s">
        <v>1507</v>
      </c>
      <c r="P548" t="s">
        <v>2964</v>
      </c>
      <c r="R548" t="s">
        <v>1508</v>
      </c>
      <c r="S548" t="s">
        <v>1509</v>
      </c>
      <c r="T548" t="s">
        <v>1296</v>
      </c>
      <c r="U548" t="s">
        <v>40</v>
      </c>
      <c r="V548" s="1">
        <v>43813</v>
      </c>
      <c r="W548">
        <v>0</v>
      </c>
      <c r="X548">
        <v>9</v>
      </c>
      <c r="AA548" t="s">
        <v>42</v>
      </c>
      <c r="AB548" t="s">
        <v>43</v>
      </c>
      <c r="AC548" t="s">
        <v>42</v>
      </c>
    </row>
    <row r="549" spans="1:29" x14ac:dyDescent="0.4">
      <c r="A549" t="s">
        <v>27</v>
      </c>
      <c r="B549">
        <v>6149</v>
      </c>
      <c r="C549" t="s">
        <v>2964</v>
      </c>
      <c r="D549">
        <v>173</v>
      </c>
      <c r="E549" t="s">
        <v>257</v>
      </c>
      <c r="F549" t="s">
        <v>1503</v>
      </c>
      <c r="G549" t="s">
        <v>1504</v>
      </c>
      <c r="H549" t="s">
        <v>1505</v>
      </c>
      <c r="I549" t="s">
        <v>504</v>
      </c>
      <c r="J549" t="s">
        <v>50</v>
      </c>
      <c r="K549" t="s">
        <v>51</v>
      </c>
      <c r="L549" t="s">
        <v>1506</v>
      </c>
      <c r="M549" t="s">
        <v>35</v>
      </c>
      <c r="N549">
        <v>7813467875</v>
      </c>
      <c r="O549" t="s">
        <v>1507</v>
      </c>
      <c r="P549" t="s">
        <v>2964</v>
      </c>
      <c r="R549" t="s">
        <v>1508</v>
      </c>
      <c r="S549" t="s">
        <v>1509</v>
      </c>
      <c r="T549" t="s">
        <v>1296</v>
      </c>
      <c r="U549" t="s">
        <v>40</v>
      </c>
      <c r="V549" s="1">
        <v>43813</v>
      </c>
      <c r="W549">
        <v>0</v>
      </c>
      <c r="X549">
        <v>10</v>
      </c>
      <c r="AA549" t="s">
        <v>42</v>
      </c>
      <c r="AB549" t="s">
        <v>43</v>
      </c>
      <c r="AC549" t="s">
        <v>42</v>
      </c>
    </row>
    <row r="550" spans="1:29" x14ac:dyDescent="0.4">
      <c r="A550" t="s">
        <v>27</v>
      </c>
      <c r="B550">
        <v>1025</v>
      </c>
      <c r="C550" t="s">
        <v>2965</v>
      </c>
      <c r="D550">
        <v>174</v>
      </c>
      <c r="E550" t="s">
        <v>257</v>
      </c>
      <c r="F550" t="s">
        <v>1510</v>
      </c>
      <c r="G550" t="s">
        <v>1511</v>
      </c>
      <c r="H550" t="s">
        <v>1512</v>
      </c>
      <c r="I550" t="s">
        <v>1513</v>
      </c>
      <c r="J550" t="s">
        <v>584</v>
      </c>
      <c r="K550" t="s">
        <v>242</v>
      </c>
      <c r="L550" t="s">
        <v>1514</v>
      </c>
      <c r="M550" t="s">
        <v>35</v>
      </c>
      <c r="N550" t="s">
        <v>1515</v>
      </c>
      <c r="O550" t="s">
        <v>1516</v>
      </c>
      <c r="P550" t="s">
        <v>2965</v>
      </c>
      <c r="R550" t="s">
        <v>3114</v>
      </c>
      <c r="S550" t="s">
        <v>1518</v>
      </c>
      <c r="T550" t="s">
        <v>58</v>
      </c>
      <c r="U550" t="s">
        <v>40</v>
      </c>
      <c r="V550" s="1">
        <v>44841</v>
      </c>
      <c r="W550">
        <v>0</v>
      </c>
      <c r="X550">
        <v>5</v>
      </c>
      <c r="Y550" t="s">
        <v>66</v>
      </c>
      <c r="AA550" t="s">
        <v>42</v>
      </c>
      <c r="AB550" t="s">
        <v>43</v>
      </c>
      <c r="AC550" t="s">
        <v>43</v>
      </c>
    </row>
    <row r="551" spans="1:29" x14ac:dyDescent="0.4">
      <c r="A551" t="s">
        <v>27</v>
      </c>
      <c r="B551">
        <v>1025</v>
      </c>
      <c r="C551" t="s">
        <v>2965</v>
      </c>
      <c r="D551">
        <v>174</v>
      </c>
      <c r="E551" t="s">
        <v>257</v>
      </c>
      <c r="F551" t="s">
        <v>1510</v>
      </c>
      <c r="G551" t="s">
        <v>1511</v>
      </c>
      <c r="H551" t="s">
        <v>1512</v>
      </c>
      <c r="I551" t="s">
        <v>1513</v>
      </c>
      <c r="J551" t="s">
        <v>584</v>
      </c>
      <c r="K551" t="s">
        <v>242</v>
      </c>
      <c r="L551" t="s">
        <v>1514</v>
      </c>
      <c r="M551" t="s">
        <v>35</v>
      </c>
      <c r="N551" t="s">
        <v>1515</v>
      </c>
      <c r="O551" t="s">
        <v>1516</v>
      </c>
      <c r="P551" t="s">
        <v>2965</v>
      </c>
      <c r="R551" t="s">
        <v>3114</v>
      </c>
      <c r="S551" t="s">
        <v>1518</v>
      </c>
      <c r="T551" t="s">
        <v>58</v>
      </c>
      <c r="U551" t="s">
        <v>40</v>
      </c>
      <c r="V551" s="1">
        <v>44841</v>
      </c>
      <c r="W551">
        <v>0</v>
      </c>
      <c r="X551">
        <v>6</v>
      </c>
      <c r="Y551" t="s">
        <v>83</v>
      </c>
      <c r="AA551" t="s">
        <v>42</v>
      </c>
      <c r="AB551" t="s">
        <v>43</v>
      </c>
      <c r="AC551" t="s">
        <v>43</v>
      </c>
    </row>
    <row r="552" spans="1:29" x14ac:dyDescent="0.4">
      <c r="A552" t="s">
        <v>27</v>
      </c>
      <c r="B552">
        <v>1025</v>
      </c>
      <c r="C552" t="s">
        <v>2965</v>
      </c>
      <c r="D552">
        <v>174</v>
      </c>
      <c r="E552" t="s">
        <v>257</v>
      </c>
      <c r="F552" t="s">
        <v>1510</v>
      </c>
      <c r="G552" t="s">
        <v>1511</v>
      </c>
      <c r="H552" t="s">
        <v>1512</v>
      </c>
      <c r="I552" t="s">
        <v>1513</v>
      </c>
      <c r="J552" t="s">
        <v>584</v>
      </c>
      <c r="K552" t="s">
        <v>242</v>
      </c>
      <c r="L552" t="s">
        <v>1514</v>
      </c>
      <c r="M552" t="s">
        <v>35</v>
      </c>
      <c r="N552" t="s">
        <v>1515</v>
      </c>
      <c r="O552" t="s">
        <v>1516</v>
      </c>
      <c r="P552" t="s">
        <v>2965</v>
      </c>
      <c r="R552" t="s">
        <v>3114</v>
      </c>
      <c r="S552" t="s">
        <v>1518</v>
      </c>
      <c r="T552" t="s">
        <v>58</v>
      </c>
      <c r="U552" t="s">
        <v>40</v>
      </c>
      <c r="V552" s="1">
        <v>44841</v>
      </c>
      <c r="W552">
        <v>0</v>
      </c>
      <c r="X552">
        <v>7</v>
      </c>
      <c r="AA552" t="s">
        <v>42</v>
      </c>
      <c r="AB552" t="s">
        <v>43</v>
      </c>
      <c r="AC552" t="s">
        <v>43</v>
      </c>
    </row>
    <row r="553" spans="1:29" x14ac:dyDescent="0.4">
      <c r="A553" t="s">
        <v>27</v>
      </c>
      <c r="B553">
        <v>1025</v>
      </c>
      <c r="C553" t="s">
        <v>2965</v>
      </c>
      <c r="D553">
        <v>174</v>
      </c>
      <c r="E553" t="s">
        <v>257</v>
      </c>
      <c r="F553" t="s">
        <v>1510</v>
      </c>
      <c r="G553" t="s">
        <v>1511</v>
      </c>
      <c r="H553" t="s">
        <v>1512</v>
      </c>
      <c r="I553" t="s">
        <v>1513</v>
      </c>
      <c r="J553" t="s">
        <v>584</v>
      </c>
      <c r="K553" t="s">
        <v>242</v>
      </c>
      <c r="L553" t="s">
        <v>1514</v>
      </c>
      <c r="M553" t="s">
        <v>35</v>
      </c>
      <c r="N553" t="s">
        <v>1515</v>
      </c>
      <c r="O553" t="s">
        <v>1516</v>
      </c>
      <c r="P553" t="s">
        <v>2965</v>
      </c>
      <c r="R553" t="s">
        <v>3114</v>
      </c>
      <c r="S553" t="s">
        <v>1518</v>
      </c>
      <c r="T553" t="s">
        <v>58</v>
      </c>
      <c r="U553" t="s">
        <v>40</v>
      </c>
      <c r="V553" s="1">
        <v>44841</v>
      </c>
      <c r="W553">
        <v>0</v>
      </c>
      <c r="X553">
        <v>14</v>
      </c>
      <c r="AA553" t="s">
        <v>42</v>
      </c>
      <c r="AB553" t="s">
        <v>43</v>
      </c>
      <c r="AC553" t="s">
        <v>43</v>
      </c>
    </row>
    <row r="554" spans="1:29" x14ac:dyDescent="0.4">
      <c r="A554" t="s">
        <v>27</v>
      </c>
      <c r="B554">
        <v>1025</v>
      </c>
      <c r="C554" t="s">
        <v>2965</v>
      </c>
      <c r="D554">
        <v>174</v>
      </c>
      <c r="E554" t="s">
        <v>257</v>
      </c>
      <c r="F554" t="s">
        <v>1510</v>
      </c>
      <c r="G554" t="s">
        <v>1511</v>
      </c>
      <c r="H554" t="s">
        <v>1512</v>
      </c>
      <c r="I554" t="s">
        <v>1513</v>
      </c>
      <c r="J554" t="s">
        <v>584</v>
      </c>
      <c r="K554" t="s">
        <v>242</v>
      </c>
      <c r="L554" t="s">
        <v>1514</v>
      </c>
      <c r="M554" t="s">
        <v>35</v>
      </c>
      <c r="N554" t="s">
        <v>1515</v>
      </c>
      <c r="O554" t="s">
        <v>1516</v>
      </c>
      <c r="P554" t="s">
        <v>2965</v>
      </c>
      <c r="R554" t="s">
        <v>3114</v>
      </c>
      <c r="S554" t="s">
        <v>1518</v>
      </c>
      <c r="T554" t="s">
        <v>58</v>
      </c>
      <c r="U554" t="s">
        <v>40</v>
      </c>
      <c r="V554" s="1">
        <v>44841</v>
      </c>
      <c r="W554">
        <v>0</v>
      </c>
      <c r="X554">
        <v>16</v>
      </c>
      <c r="AA554" t="s">
        <v>42</v>
      </c>
      <c r="AB554" t="s">
        <v>43</v>
      </c>
      <c r="AC554" t="s">
        <v>43</v>
      </c>
    </row>
    <row r="555" spans="1:29" x14ac:dyDescent="0.4">
      <c r="A555" t="s">
        <v>27</v>
      </c>
      <c r="B555">
        <v>1025</v>
      </c>
      <c r="C555" t="s">
        <v>2965</v>
      </c>
      <c r="D555">
        <v>174</v>
      </c>
      <c r="E555" t="s">
        <v>257</v>
      </c>
      <c r="F555" t="s">
        <v>1510</v>
      </c>
      <c r="G555" t="s">
        <v>1511</v>
      </c>
      <c r="H555" t="s">
        <v>1512</v>
      </c>
      <c r="I555" t="s">
        <v>1513</v>
      </c>
      <c r="J555" t="s">
        <v>584</v>
      </c>
      <c r="K555" t="s">
        <v>242</v>
      </c>
      <c r="L555" t="s">
        <v>1514</v>
      </c>
      <c r="M555" t="s">
        <v>35</v>
      </c>
      <c r="N555" t="s">
        <v>1515</v>
      </c>
      <c r="O555" t="s">
        <v>1516</v>
      </c>
      <c r="P555" t="s">
        <v>2965</v>
      </c>
      <c r="R555" t="s">
        <v>3114</v>
      </c>
      <c r="S555" t="s">
        <v>1518</v>
      </c>
      <c r="T555" t="s">
        <v>58</v>
      </c>
      <c r="U555" t="s">
        <v>40</v>
      </c>
      <c r="V555" s="1">
        <v>44841</v>
      </c>
      <c r="W555">
        <v>0</v>
      </c>
      <c r="X555">
        <v>18</v>
      </c>
      <c r="AA555" t="s">
        <v>42</v>
      </c>
      <c r="AB555" t="s">
        <v>43</v>
      </c>
      <c r="AC555" t="s">
        <v>43</v>
      </c>
    </row>
    <row r="556" spans="1:29" x14ac:dyDescent="0.4">
      <c r="A556" t="s">
        <v>27</v>
      </c>
      <c r="B556">
        <v>496</v>
      </c>
      <c r="C556" t="s">
        <v>2966</v>
      </c>
      <c r="D556">
        <v>175</v>
      </c>
      <c r="E556" t="s">
        <v>68</v>
      </c>
      <c r="F556" t="s">
        <v>535</v>
      </c>
      <c r="G556" t="s">
        <v>1519</v>
      </c>
      <c r="H556" t="s">
        <v>1520</v>
      </c>
      <c r="I556" t="s">
        <v>1521</v>
      </c>
      <c r="J556" t="s">
        <v>1522</v>
      </c>
      <c r="K556" t="s">
        <v>528</v>
      </c>
      <c r="L556" t="s">
        <v>1523</v>
      </c>
      <c r="M556" t="s">
        <v>35</v>
      </c>
      <c r="N556">
        <v>1903740367</v>
      </c>
      <c r="O556" t="s">
        <v>1524</v>
      </c>
      <c r="P556" t="s">
        <v>2966</v>
      </c>
      <c r="R556" t="s">
        <v>1525</v>
      </c>
      <c r="S556" t="s">
        <v>1526</v>
      </c>
      <c r="T556" t="s">
        <v>58</v>
      </c>
      <c r="U556" t="s">
        <v>40</v>
      </c>
      <c r="V556" s="1">
        <v>43494</v>
      </c>
      <c r="W556">
        <v>0</v>
      </c>
      <c r="X556">
        <v>5</v>
      </c>
      <c r="Y556" t="s">
        <v>66</v>
      </c>
      <c r="AA556" t="s">
        <v>42</v>
      </c>
      <c r="AB556" t="s">
        <v>43</v>
      </c>
      <c r="AC556" t="s">
        <v>42</v>
      </c>
    </row>
    <row r="557" spans="1:29" x14ac:dyDescent="0.4">
      <c r="A557" t="s">
        <v>27</v>
      </c>
      <c r="B557">
        <v>496</v>
      </c>
      <c r="C557" t="s">
        <v>2966</v>
      </c>
      <c r="D557">
        <v>175</v>
      </c>
      <c r="E557" t="s">
        <v>68</v>
      </c>
      <c r="F557" t="s">
        <v>535</v>
      </c>
      <c r="G557" t="s">
        <v>1519</v>
      </c>
      <c r="H557" t="s">
        <v>1520</v>
      </c>
      <c r="I557" t="s">
        <v>1521</v>
      </c>
      <c r="J557" t="s">
        <v>1522</v>
      </c>
      <c r="K557" t="s">
        <v>528</v>
      </c>
      <c r="L557" t="s">
        <v>1523</v>
      </c>
      <c r="M557" t="s">
        <v>35</v>
      </c>
      <c r="N557">
        <v>1903740367</v>
      </c>
      <c r="O557" t="s">
        <v>1524</v>
      </c>
      <c r="P557" t="s">
        <v>2966</v>
      </c>
      <c r="R557" t="s">
        <v>1525</v>
      </c>
      <c r="S557" t="s">
        <v>1526</v>
      </c>
      <c r="T557" t="s">
        <v>58</v>
      </c>
      <c r="U557" t="s">
        <v>40</v>
      </c>
      <c r="V557" s="1">
        <v>43494</v>
      </c>
      <c r="W557">
        <v>0</v>
      </c>
      <c r="X557">
        <v>6</v>
      </c>
      <c r="Y557" t="s">
        <v>83</v>
      </c>
      <c r="AA557" t="s">
        <v>42</v>
      </c>
      <c r="AB557" t="s">
        <v>43</v>
      </c>
      <c r="AC557" t="s">
        <v>42</v>
      </c>
    </row>
    <row r="558" spans="1:29" x14ac:dyDescent="0.4">
      <c r="A558" t="s">
        <v>27</v>
      </c>
      <c r="B558">
        <v>496</v>
      </c>
      <c r="C558" t="s">
        <v>2966</v>
      </c>
      <c r="D558">
        <v>175</v>
      </c>
      <c r="E558" t="s">
        <v>68</v>
      </c>
      <c r="F558" t="s">
        <v>535</v>
      </c>
      <c r="G558" t="s">
        <v>1519</v>
      </c>
      <c r="H558" t="s">
        <v>1520</v>
      </c>
      <c r="I558" t="s">
        <v>1521</v>
      </c>
      <c r="J558" t="s">
        <v>1522</v>
      </c>
      <c r="K558" t="s">
        <v>528</v>
      </c>
      <c r="L558" t="s">
        <v>1523</v>
      </c>
      <c r="M558" t="s">
        <v>35</v>
      </c>
      <c r="N558">
        <v>1903740367</v>
      </c>
      <c r="O558" t="s">
        <v>1524</v>
      </c>
      <c r="P558" t="s">
        <v>2966</v>
      </c>
      <c r="R558" t="s">
        <v>1525</v>
      </c>
      <c r="S558" t="s">
        <v>1526</v>
      </c>
      <c r="T558" t="s">
        <v>58</v>
      </c>
      <c r="U558" t="s">
        <v>40</v>
      </c>
      <c r="V558" s="1">
        <v>43494</v>
      </c>
      <c r="W558">
        <v>0</v>
      </c>
      <c r="X558">
        <v>14</v>
      </c>
      <c r="AA558" t="s">
        <v>42</v>
      </c>
      <c r="AB558" t="s">
        <v>43</v>
      </c>
      <c r="AC558" t="s">
        <v>42</v>
      </c>
    </row>
    <row r="559" spans="1:29" x14ac:dyDescent="0.4">
      <c r="A559" t="s">
        <v>27</v>
      </c>
      <c r="B559">
        <v>496</v>
      </c>
      <c r="C559" t="s">
        <v>2966</v>
      </c>
      <c r="D559">
        <v>175</v>
      </c>
      <c r="E559" t="s">
        <v>68</v>
      </c>
      <c r="F559" t="s">
        <v>535</v>
      </c>
      <c r="G559" t="s">
        <v>1519</v>
      </c>
      <c r="H559" t="s">
        <v>1520</v>
      </c>
      <c r="I559" t="s">
        <v>1521</v>
      </c>
      <c r="J559" t="s">
        <v>1522</v>
      </c>
      <c r="K559" t="s">
        <v>528</v>
      </c>
      <c r="L559" t="s">
        <v>1523</v>
      </c>
      <c r="M559" t="s">
        <v>35</v>
      </c>
      <c r="N559">
        <v>1903740367</v>
      </c>
      <c r="O559" t="s">
        <v>1524</v>
      </c>
      <c r="P559" t="s">
        <v>2966</v>
      </c>
      <c r="R559" t="s">
        <v>1525</v>
      </c>
      <c r="S559" t="s">
        <v>1526</v>
      </c>
      <c r="T559" t="s">
        <v>58</v>
      </c>
      <c r="U559" t="s">
        <v>40</v>
      </c>
      <c r="V559" s="1">
        <v>43494</v>
      </c>
      <c r="W559">
        <v>0</v>
      </c>
      <c r="X559">
        <v>16</v>
      </c>
      <c r="AA559" t="s">
        <v>42</v>
      </c>
      <c r="AB559" t="s">
        <v>43</v>
      </c>
      <c r="AC559" t="s">
        <v>42</v>
      </c>
    </row>
    <row r="560" spans="1:29" x14ac:dyDescent="0.4">
      <c r="A560" t="s">
        <v>27</v>
      </c>
      <c r="B560">
        <v>496</v>
      </c>
      <c r="C560" t="s">
        <v>2966</v>
      </c>
      <c r="E560" t="s">
        <v>68</v>
      </c>
      <c r="F560" t="s">
        <v>535</v>
      </c>
      <c r="G560" t="s">
        <v>1519</v>
      </c>
      <c r="H560" t="s">
        <v>1520</v>
      </c>
      <c r="I560" t="s">
        <v>1521</v>
      </c>
      <c r="J560" t="s">
        <v>1522</v>
      </c>
      <c r="K560" t="s">
        <v>528</v>
      </c>
      <c r="L560" t="s">
        <v>1523</v>
      </c>
      <c r="M560" t="s">
        <v>35</v>
      </c>
      <c r="N560">
        <v>1903740367</v>
      </c>
      <c r="O560" t="s">
        <v>1524</v>
      </c>
      <c r="R560" t="s">
        <v>1527</v>
      </c>
      <c r="S560" t="s">
        <v>1528</v>
      </c>
      <c r="T560" t="s">
        <v>58</v>
      </c>
      <c r="U560" t="s">
        <v>40</v>
      </c>
      <c r="V560" s="1">
        <v>41400</v>
      </c>
      <c r="W560">
        <v>0</v>
      </c>
      <c r="X560">
        <v>0</v>
      </c>
      <c r="Y560" t="s">
        <v>59</v>
      </c>
      <c r="AA560" t="s">
        <v>42</v>
      </c>
      <c r="AB560" t="s">
        <v>43</v>
      </c>
      <c r="AC560" t="s">
        <v>42</v>
      </c>
    </row>
    <row r="561" spans="1:30" x14ac:dyDescent="0.4">
      <c r="A561" t="s">
        <v>27</v>
      </c>
      <c r="B561">
        <v>496</v>
      </c>
      <c r="C561" t="s">
        <v>2966</v>
      </c>
      <c r="E561" t="s">
        <v>68</v>
      </c>
      <c r="F561" t="s">
        <v>535</v>
      </c>
      <c r="G561" t="s">
        <v>1519</v>
      </c>
      <c r="H561" t="s">
        <v>1520</v>
      </c>
      <c r="I561" t="s">
        <v>1521</v>
      </c>
      <c r="J561" t="s">
        <v>1522</v>
      </c>
      <c r="K561" t="s">
        <v>528</v>
      </c>
      <c r="L561" t="s">
        <v>1523</v>
      </c>
      <c r="M561" t="s">
        <v>35</v>
      </c>
      <c r="N561">
        <v>1903740367</v>
      </c>
      <c r="O561" t="s">
        <v>1524</v>
      </c>
      <c r="R561" t="s">
        <v>1527</v>
      </c>
      <c r="S561" t="s">
        <v>1528</v>
      </c>
      <c r="T561" t="s">
        <v>58</v>
      </c>
      <c r="U561" t="s">
        <v>40</v>
      </c>
      <c r="V561" s="1">
        <v>41400</v>
      </c>
      <c r="W561">
        <v>0</v>
      </c>
      <c r="X561">
        <v>0</v>
      </c>
      <c r="Y561" t="s">
        <v>59</v>
      </c>
      <c r="AA561" t="s">
        <v>42</v>
      </c>
      <c r="AB561" t="s">
        <v>43</v>
      </c>
      <c r="AC561" t="s">
        <v>42</v>
      </c>
    </row>
    <row r="562" spans="1:30" x14ac:dyDescent="0.4">
      <c r="A562" t="s">
        <v>27</v>
      </c>
      <c r="B562">
        <v>4913</v>
      </c>
      <c r="C562" t="s">
        <v>1534</v>
      </c>
      <c r="D562">
        <v>176</v>
      </c>
      <c r="E562" t="s">
        <v>68</v>
      </c>
      <c r="F562" t="s">
        <v>594</v>
      </c>
      <c r="G562" t="s">
        <v>1529</v>
      </c>
      <c r="H562" t="s">
        <v>1530</v>
      </c>
      <c r="J562" t="s">
        <v>1531</v>
      </c>
      <c r="K562" t="s">
        <v>426</v>
      </c>
      <c r="L562" t="s">
        <v>1532</v>
      </c>
      <c r="M562" t="s">
        <v>35</v>
      </c>
      <c r="N562">
        <v>7815289733</v>
      </c>
      <c r="O562" t="s">
        <v>1533</v>
      </c>
      <c r="P562" t="s">
        <v>1534</v>
      </c>
      <c r="R562" t="s">
        <v>1535</v>
      </c>
      <c r="S562" t="s">
        <v>1536</v>
      </c>
      <c r="T562" t="s">
        <v>3133</v>
      </c>
      <c r="U562" t="s">
        <v>40</v>
      </c>
      <c r="V562" s="1">
        <v>45059</v>
      </c>
      <c r="W562">
        <v>0</v>
      </c>
      <c r="X562">
        <v>5</v>
      </c>
      <c r="Y562" t="s">
        <v>66</v>
      </c>
      <c r="AA562" t="s">
        <v>42</v>
      </c>
      <c r="AB562" t="s">
        <v>43</v>
      </c>
      <c r="AC562" t="s">
        <v>43</v>
      </c>
    </row>
    <row r="563" spans="1:30" x14ac:dyDescent="0.4">
      <c r="A563" t="s">
        <v>27</v>
      </c>
      <c r="B563">
        <v>4913</v>
      </c>
      <c r="C563" t="s">
        <v>1534</v>
      </c>
      <c r="D563">
        <v>176</v>
      </c>
      <c r="E563" t="s">
        <v>68</v>
      </c>
      <c r="F563" t="s">
        <v>594</v>
      </c>
      <c r="G563" t="s">
        <v>1529</v>
      </c>
      <c r="H563" t="s">
        <v>1530</v>
      </c>
      <c r="J563" t="s">
        <v>1531</v>
      </c>
      <c r="K563" t="s">
        <v>426</v>
      </c>
      <c r="L563" t="s">
        <v>1532</v>
      </c>
      <c r="M563" t="s">
        <v>35</v>
      </c>
      <c r="N563">
        <v>7815289733</v>
      </c>
      <c r="O563" t="s">
        <v>1533</v>
      </c>
      <c r="P563" t="s">
        <v>1534</v>
      </c>
      <c r="R563" t="s">
        <v>1535</v>
      </c>
      <c r="S563" t="s">
        <v>1536</v>
      </c>
      <c r="T563" t="s">
        <v>3133</v>
      </c>
      <c r="U563" t="s">
        <v>40</v>
      </c>
      <c r="V563" s="1">
        <v>45059</v>
      </c>
      <c r="W563">
        <v>0</v>
      </c>
      <c r="X563">
        <v>6</v>
      </c>
      <c r="AA563" t="s">
        <v>42</v>
      </c>
      <c r="AB563" t="s">
        <v>43</v>
      </c>
      <c r="AC563" t="s">
        <v>43</v>
      </c>
    </row>
    <row r="564" spans="1:30" x14ac:dyDescent="0.4">
      <c r="A564" t="s">
        <v>27</v>
      </c>
      <c r="B564">
        <v>4913</v>
      </c>
      <c r="C564" t="s">
        <v>1534</v>
      </c>
      <c r="D564">
        <v>176</v>
      </c>
      <c r="E564" t="s">
        <v>68</v>
      </c>
      <c r="F564" t="s">
        <v>594</v>
      </c>
      <c r="G564" t="s">
        <v>1529</v>
      </c>
      <c r="H564" t="s">
        <v>1530</v>
      </c>
      <c r="J564" t="s">
        <v>1531</v>
      </c>
      <c r="K564" t="s">
        <v>426</v>
      </c>
      <c r="L564" t="s">
        <v>1532</v>
      </c>
      <c r="M564" t="s">
        <v>35</v>
      </c>
      <c r="N564">
        <v>7815289733</v>
      </c>
      <c r="O564" t="s">
        <v>1533</v>
      </c>
      <c r="P564" t="s">
        <v>1534</v>
      </c>
      <c r="R564" t="s">
        <v>1535</v>
      </c>
      <c r="S564" t="s">
        <v>1536</v>
      </c>
      <c r="T564" t="s">
        <v>3133</v>
      </c>
      <c r="U564" t="s">
        <v>40</v>
      </c>
      <c r="V564" s="1">
        <v>45059</v>
      </c>
      <c r="W564">
        <v>0</v>
      </c>
      <c r="X564">
        <v>14</v>
      </c>
      <c r="AA564" t="s">
        <v>42</v>
      </c>
      <c r="AB564" t="s">
        <v>43</v>
      </c>
      <c r="AC564" t="s">
        <v>43</v>
      </c>
    </row>
    <row r="565" spans="1:30" x14ac:dyDescent="0.4">
      <c r="A565" t="s">
        <v>27</v>
      </c>
      <c r="B565">
        <v>4913</v>
      </c>
      <c r="C565" t="s">
        <v>1534</v>
      </c>
      <c r="D565">
        <v>176</v>
      </c>
      <c r="E565" t="s">
        <v>68</v>
      </c>
      <c r="F565" t="s">
        <v>594</v>
      </c>
      <c r="G565" t="s">
        <v>1529</v>
      </c>
      <c r="H565" t="s">
        <v>1530</v>
      </c>
      <c r="J565" t="s">
        <v>1531</v>
      </c>
      <c r="K565" t="s">
        <v>426</v>
      </c>
      <c r="L565" t="s">
        <v>1532</v>
      </c>
      <c r="M565" t="s">
        <v>35</v>
      </c>
      <c r="N565">
        <v>7815289733</v>
      </c>
      <c r="O565" t="s">
        <v>1533</v>
      </c>
      <c r="P565" t="s">
        <v>1534</v>
      </c>
      <c r="R565" t="s">
        <v>1535</v>
      </c>
      <c r="S565" t="s">
        <v>1536</v>
      </c>
      <c r="T565" t="s">
        <v>3133</v>
      </c>
      <c r="U565" t="s">
        <v>40</v>
      </c>
      <c r="V565" s="1">
        <v>45059</v>
      </c>
      <c r="W565">
        <v>0</v>
      </c>
      <c r="X565">
        <v>16</v>
      </c>
      <c r="AA565" t="s">
        <v>42</v>
      </c>
      <c r="AB565" t="s">
        <v>43</v>
      </c>
      <c r="AC565" t="s">
        <v>43</v>
      </c>
    </row>
    <row r="566" spans="1:30" x14ac:dyDescent="0.4">
      <c r="A566" t="s">
        <v>27</v>
      </c>
      <c r="B566">
        <v>4913</v>
      </c>
      <c r="C566" t="s">
        <v>1534</v>
      </c>
      <c r="E566" t="s">
        <v>68</v>
      </c>
      <c r="F566" t="s">
        <v>594</v>
      </c>
      <c r="G566" t="s">
        <v>1529</v>
      </c>
      <c r="H566" t="s">
        <v>1530</v>
      </c>
      <c r="J566" t="s">
        <v>1531</v>
      </c>
      <c r="K566" t="s">
        <v>426</v>
      </c>
      <c r="L566" t="s">
        <v>1532</v>
      </c>
      <c r="M566" t="s">
        <v>35</v>
      </c>
      <c r="N566">
        <v>7815289733</v>
      </c>
      <c r="O566" t="s">
        <v>1533</v>
      </c>
      <c r="P566" t="s">
        <v>1534</v>
      </c>
      <c r="R566" t="s">
        <v>1537</v>
      </c>
      <c r="S566" t="s">
        <v>1538</v>
      </c>
      <c r="T566" t="s">
        <v>58</v>
      </c>
      <c r="U566" t="s">
        <v>40</v>
      </c>
      <c r="V566" s="1">
        <v>44367</v>
      </c>
      <c r="W566">
        <v>0</v>
      </c>
      <c r="X566">
        <v>0</v>
      </c>
      <c r="Y566" t="s">
        <v>59</v>
      </c>
      <c r="AA566" t="s">
        <v>42</v>
      </c>
      <c r="AB566" t="s">
        <v>43</v>
      </c>
      <c r="AC566" t="s">
        <v>43</v>
      </c>
    </row>
    <row r="567" spans="1:30" x14ac:dyDescent="0.4">
      <c r="A567" t="s">
        <v>27</v>
      </c>
      <c r="B567">
        <v>4913</v>
      </c>
      <c r="C567" t="s">
        <v>1534</v>
      </c>
      <c r="E567" t="s">
        <v>68</v>
      </c>
      <c r="F567" t="s">
        <v>594</v>
      </c>
      <c r="G567" t="s">
        <v>1529</v>
      </c>
      <c r="H567" t="s">
        <v>1530</v>
      </c>
      <c r="J567" t="s">
        <v>1531</v>
      </c>
      <c r="K567" t="s">
        <v>426</v>
      </c>
      <c r="L567" t="s">
        <v>1532</v>
      </c>
      <c r="M567" t="s">
        <v>35</v>
      </c>
      <c r="N567">
        <v>7815289733</v>
      </c>
      <c r="O567" t="s">
        <v>1533</v>
      </c>
      <c r="P567" t="s">
        <v>1534</v>
      </c>
      <c r="R567" t="s">
        <v>1537</v>
      </c>
      <c r="S567" t="s">
        <v>1538</v>
      </c>
      <c r="T567" t="s">
        <v>58</v>
      </c>
      <c r="U567" t="s">
        <v>40</v>
      </c>
      <c r="V567" s="1">
        <v>44367</v>
      </c>
      <c r="W567">
        <v>0</v>
      </c>
      <c r="X567">
        <v>0</v>
      </c>
      <c r="Y567" t="s">
        <v>59</v>
      </c>
      <c r="AA567" t="s">
        <v>42</v>
      </c>
      <c r="AB567" t="s">
        <v>43</v>
      </c>
      <c r="AC567" t="s">
        <v>43</v>
      </c>
    </row>
    <row r="568" spans="1:30" x14ac:dyDescent="0.4">
      <c r="A568" t="s">
        <v>27</v>
      </c>
      <c r="B568">
        <v>56</v>
      </c>
      <c r="C568" t="s">
        <v>2967</v>
      </c>
      <c r="D568">
        <v>177</v>
      </c>
      <c r="E568" t="s">
        <v>68</v>
      </c>
      <c r="F568" t="s">
        <v>1539</v>
      </c>
      <c r="G568" t="s">
        <v>1540</v>
      </c>
      <c r="H568" t="s">
        <v>1541</v>
      </c>
      <c r="J568" t="s">
        <v>348</v>
      </c>
      <c r="K568" t="s">
        <v>226</v>
      </c>
      <c r="L568" t="s">
        <v>1542</v>
      </c>
      <c r="M568" t="s">
        <v>35</v>
      </c>
      <c r="N568" t="s">
        <v>1543</v>
      </c>
      <c r="O568" t="s">
        <v>1544</v>
      </c>
      <c r="P568" t="s">
        <v>2967</v>
      </c>
      <c r="R568" t="s">
        <v>1545</v>
      </c>
      <c r="S568" t="s">
        <v>1546</v>
      </c>
      <c r="T568" t="s">
        <v>376</v>
      </c>
      <c r="U568" t="s">
        <v>40</v>
      </c>
      <c r="V568" s="1">
        <v>44444</v>
      </c>
      <c r="W568">
        <v>0</v>
      </c>
      <c r="X568">
        <v>4</v>
      </c>
      <c r="Y568" t="s">
        <v>65</v>
      </c>
      <c r="AA568" t="s">
        <v>42</v>
      </c>
      <c r="AB568" t="s">
        <v>43</v>
      </c>
      <c r="AC568" t="s">
        <v>43</v>
      </c>
      <c r="AD568" t="s">
        <v>1547</v>
      </c>
    </row>
    <row r="569" spans="1:30" x14ac:dyDescent="0.4">
      <c r="A569" t="s">
        <v>27</v>
      </c>
      <c r="B569">
        <v>56</v>
      </c>
      <c r="C569" t="s">
        <v>2967</v>
      </c>
      <c r="D569">
        <v>177</v>
      </c>
      <c r="E569" t="s">
        <v>68</v>
      </c>
      <c r="F569" t="s">
        <v>1539</v>
      </c>
      <c r="G569" t="s">
        <v>1540</v>
      </c>
      <c r="H569" t="s">
        <v>1541</v>
      </c>
      <c r="J569" t="s">
        <v>348</v>
      </c>
      <c r="K569" t="s">
        <v>226</v>
      </c>
      <c r="L569" t="s">
        <v>1542</v>
      </c>
      <c r="M569" t="s">
        <v>35</v>
      </c>
      <c r="N569" t="s">
        <v>1543</v>
      </c>
      <c r="O569" t="s">
        <v>1544</v>
      </c>
      <c r="P569" t="s">
        <v>2967</v>
      </c>
      <c r="R569" t="s">
        <v>1545</v>
      </c>
      <c r="S569" t="s">
        <v>1546</v>
      </c>
      <c r="T569" t="s">
        <v>376</v>
      </c>
      <c r="U569" t="s">
        <v>40</v>
      </c>
      <c r="V569" s="1">
        <v>44444</v>
      </c>
      <c r="W569">
        <v>0</v>
      </c>
      <c r="X569">
        <v>5</v>
      </c>
      <c r="Y569" t="s">
        <v>66</v>
      </c>
      <c r="AA569" t="s">
        <v>42</v>
      </c>
      <c r="AB569" t="s">
        <v>43</v>
      </c>
      <c r="AC569" t="s">
        <v>43</v>
      </c>
      <c r="AD569" t="s">
        <v>1547</v>
      </c>
    </row>
    <row r="570" spans="1:30" x14ac:dyDescent="0.4">
      <c r="A570" t="s">
        <v>27</v>
      </c>
      <c r="B570">
        <v>2038</v>
      </c>
      <c r="C570" t="s">
        <v>2968</v>
      </c>
      <c r="E570" t="s">
        <v>68</v>
      </c>
      <c r="F570" t="s">
        <v>238</v>
      </c>
      <c r="G570" t="s">
        <v>1548</v>
      </c>
      <c r="H570" t="s">
        <v>1549</v>
      </c>
      <c r="I570" t="s">
        <v>1550</v>
      </c>
      <c r="J570" t="s">
        <v>1448</v>
      </c>
      <c r="K570" t="s">
        <v>370</v>
      </c>
      <c r="L570" t="s">
        <v>1551</v>
      </c>
      <c r="M570" t="s">
        <v>35</v>
      </c>
      <c r="N570">
        <v>7733214095</v>
      </c>
      <c r="O570" t="s">
        <v>1552</v>
      </c>
      <c r="P570" t="s">
        <v>1553</v>
      </c>
      <c r="R570" t="s">
        <v>1554</v>
      </c>
      <c r="S570" t="s">
        <v>1555</v>
      </c>
      <c r="T570" t="s">
        <v>94</v>
      </c>
      <c r="U570" t="s">
        <v>40</v>
      </c>
      <c r="V570" s="1">
        <v>42284</v>
      </c>
      <c r="W570">
        <v>0</v>
      </c>
      <c r="X570">
        <v>0</v>
      </c>
      <c r="Y570" t="s">
        <v>59</v>
      </c>
      <c r="AA570" t="s">
        <v>42</v>
      </c>
      <c r="AB570" t="s">
        <v>43</v>
      </c>
      <c r="AC570" t="s">
        <v>43</v>
      </c>
    </row>
    <row r="571" spans="1:30" x14ac:dyDescent="0.4">
      <c r="A571" t="s">
        <v>27</v>
      </c>
      <c r="B571">
        <v>2038</v>
      </c>
      <c r="C571" t="s">
        <v>2968</v>
      </c>
      <c r="E571" t="s">
        <v>68</v>
      </c>
      <c r="F571" t="s">
        <v>238</v>
      </c>
      <c r="G571" t="s">
        <v>1548</v>
      </c>
      <c r="H571" t="s">
        <v>1549</v>
      </c>
      <c r="I571" t="s">
        <v>1550</v>
      </c>
      <c r="J571" t="s">
        <v>1448</v>
      </c>
      <c r="K571" t="s">
        <v>370</v>
      </c>
      <c r="L571" t="s">
        <v>1551</v>
      </c>
      <c r="M571" t="s">
        <v>35</v>
      </c>
      <c r="N571">
        <v>7733214095</v>
      </c>
      <c r="O571" t="s">
        <v>1552</v>
      </c>
      <c r="P571" t="s">
        <v>1553</v>
      </c>
      <c r="R571" t="s">
        <v>1554</v>
      </c>
      <c r="S571" t="s">
        <v>1555</v>
      </c>
      <c r="T571" t="s">
        <v>94</v>
      </c>
      <c r="U571" t="s">
        <v>40</v>
      </c>
      <c r="V571" s="1">
        <v>42284</v>
      </c>
      <c r="W571">
        <v>0</v>
      </c>
      <c r="X571">
        <v>0</v>
      </c>
      <c r="Y571" t="s">
        <v>59</v>
      </c>
      <c r="AA571" t="s">
        <v>42</v>
      </c>
      <c r="AB571" t="s">
        <v>43</v>
      </c>
      <c r="AC571" t="s">
        <v>43</v>
      </c>
    </row>
    <row r="572" spans="1:30" x14ac:dyDescent="0.4">
      <c r="A572" t="s">
        <v>27</v>
      </c>
      <c r="B572">
        <v>2038</v>
      </c>
      <c r="C572" t="s">
        <v>2968</v>
      </c>
      <c r="D572">
        <v>178</v>
      </c>
      <c r="E572" t="s">
        <v>68</v>
      </c>
      <c r="F572" t="s">
        <v>238</v>
      </c>
      <c r="G572" t="s">
        <v>1548</v>
      </c>
      <c r="H572" t="s">
        <v>1549</v>
      </c>
      <c r="I572" t="s">
        <v>1550</v>
      </c>
      <c r="J572" t="s">
        <v>1448</v>
      </c>
      <c r="K572" t="s">
        <v>370</v>
      </c>
      <c r="L572" t="s">
        <v>1551</v>
      </c>
      <c r="M572" t="s">
        <v>35</v>
      </c>
      <c r="N572">
        <v>7733214095</v>
      </c>
      <c r="O572" t="s">
        <v>1552</v>
      </c>
      <c r="P572" t="s">
        <v>2968</v>
      </c>
      <c r="R572" t="s">
        <v>1556</v>
      </c>
      <c r="S572" t="s">
        <v>1557</v>
      </c>
      <c r="T572" t="s">
        <v>376</v>
      </c>
      <c r="U572" t="s">
        <v>40</v>
      </c>
      <c r="V572" s="1">
        <v>44354</v>
      </c>
      <c r="W572">
        <v>0</v>
      </c>
      <c r="X572">
        <v>5</v>
      </c>
      <c r="Y572" t="s">
        <v>66</v>
      </c>
      <c r="AA572" t="s">
        <v>42</v>
      </c>
      <c r="AB572" t="s">
        <v>43</v>
      </c>
      <c r="AC572" t="s">
        <v>43</v>
      </c>
    </row>
    <row r="573" spans="1:30" x14ac:dyDescent="0.4">
      <c r="A573" t="s">
        <v>27</v>
      </c>
      <c r="B573">
        <v>2038</v>
      </c>
      <c r="C573" t="s">
        <v>2968</v>
      </c>
      <c r="D573">
        <v>178</v>
      </c>
      <c r="E573" t="s">
        <v>68</v>
      </c>
      <c r="F573" t="s">
        <v>238</v>
      </c>
      <c r="G573" t="s">
        <v>1548</v>
      </c>
      <c r="H573" t="s">
        <v>1549</v>
      </c>
      <c r="I573" t="s">
        <v>1550</v>
      </c>
      <c r="J573" t="s">
        <v>1448</v>
      </c>
      <c r="K573" t="s">
        <v>370</v>
      </c>
      <c r="L573" t="s">
        <v>1551</v>
      </c>
      <c r="M573" t="s">
        <v>35</v>
      </c>
      <c r="N573">
        <v>7733214095</v>
      </c>
      <c r="O573" t="s">
        <v>1552</v>
      </c>
      <c r="P573" t="s">
        <v>2968</v>
      </c>
      <c r="R573" t="s">
        <v>1556</v>
      </c>
      <c r="S573" t="s">
        <v>1557</v>
      </c>
      <c r="T573" t="s">
        <v>376</v>
      </c>
      <c r="U573" t="s">
        <v>40</v>
      </c>
      <c r="V573" s="1">
        <v>44354</v>
      </c>
      <c r="W573">
        <v>0</v>
      </c>
      <c r="X573">
        <v>14</v>
      </c>
      <c r="AA573" t="s">
        <v>42</v>
      </c>
      <c r="AB573" t="s">
        <v>43</v>
      </c>
      <c r="AC573" t="s">
        <v>43</v>
      </c>
    </row>
    <row r="574" spans="1:30" x14ac:dyDescent="0.4">
      <c r="A574" t="s">
        <v>27</v>
      </c>
      <c r="B574">
        <v>758</v>
      </c>
      <c r="C574" t="s">
        <v>2969</v>
      </c>
      <c r="D574">
        <v>179</v>
      </c>
      <c r="E574" t="s">
        <v>68</v>
      </c>
      <c r="F574" t="s">
        <v>1558</v>
      </c>
      <c r="G574" t="s">
        <v>1559</v>
      </c>
      <c r="H574" t="s">
        <v>1560</v>
      </c>
      <c r="J574" t="s">
        <v>1561</v>
      </c>
      <c r="K574" t="s">
        <v>215</v>
      </c>
      <c r="L574" t="s">
        <v>1562</v>
      </c>
      <c r="M574" t="s">
        <v>35</v>
      </c>
      <c r="N574">
        <v>7908842800</v>
      </c>
      <c r="O574" t="s">
        <v>1563</v>
      </c>
      <c r="P574" t="s">
        <v>2969</v>
      </c>
      <c r="R574" t="s">
        <v>1564</v>
      </c>
      <c r="S574" t="s">
        <v>1565</v>
      </c>
      <c r="T574" t="s">
        <v>58</v>
      </c>
      <c r="U574" t="s">
        <v>40</v>
      </c>
      <c r="V574" s="1">
        <v>43675</v>
      </c>
      <c r="W574">
        <v>0</v>
      </c>
      <c r="X574">
        <v>12</v>
      </c>
      <c r="AA574" t="s">
        <v>42</v>
      </c>
      <c r="AB574" t="s">
        <v>43</v>
      </c>
      <c r="AC574" t="s">
        <v>42</v>
      </c>
    </row>
    <row r="575" spans="1:30" x14ac:dyDescent="0.4">
      <c r="A575" t="s">
        <v>27</v>
      </c>
      <c r="B575">
        <v>758</v>
      </c>
      <c r="C575" t="s">
        <v>2969</v>
      </c>
      <c r="D575">
        <v>179</v>
      </c>
      <c r="E575" t="s">
        <v>68</v>
      </c>
      <c r="F575" t="s">
        <v>1558</v>
      </c>
      <c r="G575" t="s">
        <v>1559</v>
      </c>
      <c r="H575" t="s">
        <v>1560</v>
      </c>
      <c r="J575" t="s">
        <v>1561</v>
      </c>
      <c r="K575" t="s">
        <v>215</v>
      </c>
      <c r="L575" t="s">
        <v>1562</v>
      </c>
      <c r="M575" t="s">
        <v>35</v>
      </c>
      <c r="N575">
        <v>7908842800</v>
      </c>
      <c r="O575" t="s">
        <v>1563</v>
      </c>
      <c r="P575" t="s">
        <v>2969</v>
      </c>
      <c r="R575" t="s">
        <v>1564</v>
      </c>
      <c r="S575" t="s">
        <v>1565</v>
      </c>
      <c r="T575" t="s">
        <v>58</v>
      </c>
      <c r="U575" t="s">
        <v>40</v>
      </c>
      <c r="V575" s="1">
        <v>43675</v>
      </c>
      <c r="W575">
        <v>0</v>
      </c>
      <c r="X575">
        <v>14</v>
      </c>
      <c r="AA575" t="s">
        <v>42</v>
      </c>
      <c r="AB575" t="s">
        <v>43</v>
      </c>
      <c r="AC575" t="s">
        <v>42</v>
      </c>
    </row>
    <row r="576" spans="1:30" x14ac:dyDescent="0.4">
      <c r="A576" t="s">
        <v>27</v>
      </c>
      <c r="B576">
        <v>5893</v>
      </c>
      <c r="C576" t="s">
        <v>1572</v>
      </c>
      <c r="D576">
        <v>180</v>
      </c>
      <c r="E576" t="s">
        <v>195</v>
      </c>
      <c r="F576" t="s">
        <v>772</v>
      </c>
      <c r="G576" t="s">
        <v>1566</v>
      </c>
      <c r="H576" t="s">
        <v>1567</v>
      </c>
      <c r="I576" t="s">
        <v>1568</v>
      </c>
      <c r="J576" t="s">
        <v>1569</v>
      </c>
      <c r="K576" t="s">
        <v>51</v>
      </c>
      <c r="L576" t="s">
        <v>1570</v>
      </c>
      <c r="M576" t="s">
        <v>35</v>
      </c>
      <c r="N576">
        <v>7970530026</v>
      </c>
      <c r="O576" t="s">
        <v>1571</v>
      </c>
      <c r="P576" t="s">
        <v>1572</v>
      </c>
      <c r="R576" t="s">
        <v>1573</v>
      </c>
      <c r="S576" t="s">
        <v>1574</v>
      </c>
      <c r="T576" t="s">
        <v>3134</v>
      </c>
      <c r="U576" t="s">
        <v>82</v>
      </c>
      <c r="V576" s="1">
        <v>42752</v>
      </c>
      <c r="W576">
        <v>0</v>
      </c>
      <c r="X576">
        <v>3</v>
      </c>
      <c r="AA576" t="s">
        <v>42</v>
      </c>
      <c r="AB576" t="s">
        <v>43</v>
      </c>
      <c r="AC576" t="s">
        <v>43</v>
      </c>
    </row>
    <row r="577" spans="1:29" x14ac:dyDescent="0.4">
      <c r="A577" t="s">
        <v>27</v>
      </c>
      <c r="B577">
        <v>5893</v>
      </c>
      <c r="C577" t="s">
        <v>1572</v>
      </c>
      <c r="D577">
        <v>183</v>
      </c>
      <c r="E577" t="s">
        <v>195</v>
      </c>
      <c r="F577" t="s">
        <v>772</v>
      </c>
      <c r="G577" t="s">
        <v>1566</v>
      </c>
      <c r="H577" t="s">
        <v>1567</v>
      </c>
      <c r="I577" t="s">
        <v>1568</v>
      </c>
      <c r="J577" t="s">
        <v>1569</v>
      </c>
      <c r="K577" t="s">
        <v>51</v>
      </c>
      <c r="L577" t="s">
        <v>1570</v>
      </c>
      <c r="M577" t="s">
        <v>35</v>
      </c>
      <c r="N577">
        <v>7970530026</v>
      </c>
      <c r="O577" t="s">
        <v>1571</v>
      </c>
      <c r="P577" t="s">
        <v>1572</v>
      </c>
      <c r="R577" t="s">
        <v>1575</v>
      </c>
      <c r="S577" t="s">
        <v>1576</v>
      </c>
      <c r="T577" t="s">
        <v>3134</v>
      </c>
      <c r="U577" t="s">
        <v>82</v>
      </c>
      <c r="V577" s="1">
        <v>44400</v>
      </c>
      <c r="W577">
        <v>0</v>
      </c>
      <c r="X577">
        <v>3</v>
      </c>
      <c r="AA577" t="s">
        <v>42</v>
      </c>
      <c r="AB577" t="s">
        <v>43</v>
      </c>
      <c r="AC577" t="s">
        <v>43</v>
      </c>
    </row>
    <row r="578" spans="1:29" x14ac:dyDescent="0.4">
      <c r="A578" t="s">
        <v>27</v>
      </c>
      <c r="B578">
        <v>5893</v>
      </c>
      <c r="C578" t="s">
        <v>1572</v>
      </c>
      <c r="D578">
        <v>180</v>
      </c>
      <c r="E578" t="s">
        <v>195</v>
      </c>
      <c r="F578" t="s">
        <v>772</v>
      </c>
      <c r="G578" t="s">
        <v>1566</v>
      </c>
      <c r="H578" t="s">
        <v>1567</v>
      </c>
      <c r="I578" t="s">
        <v>1568</v>
      </c>
      <c r="J578" t="s">
        <v>1569</v>
      </c>
      <c r="K578" t="s">
        <v>51</v>
      </c>
      <c r="L578" t="s">
        <v>1570</v>
      </c>
      <c r="M578" t="s">
        <v>35</v>
      </c>
      <c r="N578">
        <v>7970530026</v>
      </c>
      <c r="O578" t="s">
        <v>1571</v>
      </c>
      <c r="P578" t="s">
        <v>1572</v>
      </c>
      <c r="R578" t="s">
        <v>1573</v>
      </c>
      <c r="S578" t="s">
        <v>1574</v>
      </c>
      <c r="T578" t="s">
        <v>3134</v>
      </c>
      <c r="U578" t="s">
        <v>82</v>
      </c>
      <c r="V578" s="1">
        <v>42752</v>
      </c>
      <c r="W578">
        <v>0</v>
      </c>
      <c r="X578">
        <v>11</v>
      </c>
      <c r="AA578" t="s">
        <v>42</v>
      </c>
      <c r="AB578" t="s">
        <v>43</v>
      </c>
      <c r="AC578" t="s">
        <v>43</v>
      </c>
    </row>
    <row r="579" spans="1:29" x14ac:dyDescent="0.4">
      <c r="A579" t="s">
        <v>27</v>
      </c>
      <c r="B579">
        <v>5893</v>
      </c>
      <c r="C579" t="s">
        <v>1572</v>
      </c>
      <c r="D579">
        <v>183</v>
      </c>
      <c r="E579" t="s">
        <v>195</v>
      </c>
      <c r="F579" t="s">
        <v>772</v>
      </c>
      <c r="G579" t="s">
        <v>1566</v>
      </c>
      <c r="H579" t="s">
        <v>1567</v>
      </c>
      <c r="I579" t="s">
        <v>1568</v>
      </c>
      <c r="J579" t="s">
        <v>1569</v>
      </c>
      <c r="K579" t="s">
        <v>51</v>
      </c>
      <c r="L579" t="s">
        <v>1570</v>
      </c>
      <c r="M579" t="s">
        <v>35</v>
      </c>
      <c r="N579">
        <v>7970530026</v>
      </c>
      <c r="O579" t="s">
        <v>1571</v>
      </c>
      <c r="P579" t="s">
        <v>1572</v>
      </c>
      <c r="R579" t="s">
        <v>1575</v>
      </c>
      <c r="S579" t="s">
        <v>1576</v>
      </c>
      <c r="T579" t="s">
        <v>3134</v>
      </c>
      <c r="U579" t="s">
        <v>82</v>
      </c>
      <c r="V579" s="1">
        <v>44400</v>
      </c>
      <c r="W579">
        <v>0</v>
      </c>
      <c r="X579">
        <v>11</v>
      </c>
      <c r="AA579" t="s">
        <v>42</v>
      </c>
      <c r="AB579" t="s">
        <v>43</v>
      </c>
      <c r="AC579" t="s">
        <v>43</v>
      </c>
    </row>
    <row r="580" spans="1:29" x14ac:dyDescent="0.4">
      <c r="A580" t="s">
        <v>27</v>
      </c>
      <c r="B580">
        <v>4538</v>
      </c>
      <c r="C580" t="s">
        <v>1584</v>
      </c>
      <c r="D580">
        <v>182</v>
      </c>
      <c r="E580" t="s">
        <v>68</v>
      </c>
      <c r="F580" t="s">
        <v>1577</v>
      </c>
      <c r="G580" t="s">
        <v>1566</v>
      </c>
      <c r="H580" t="s">
        <v>1578</v>
      </c>
      <c r="I580" t="s">
        <v>1579</v>
      </c>
      <c r="J580" t="s">
        <v>1580</v>
      </c>
      <c r="K580" t="s">
        <v>495</v>
      </c>
      <c r="L580" t="s">
        <v>1581</v>
      </c>
      <c r="M580" t="s">
        <v>35</v>
      </c>
      <c r="N580" t="s">
        <v>1582</v>
      </c>
      <c r="O580" t="s">
        <v>1583</v>
      </c>
      <c r="P580" t="s">
        <v>1584</v>
      </c>
      <c r="R580" t="s">
        <v>1585</v>
      </c>
      <c r="S580" t="s">
        <v>1586</v>
      </c>
      <c r="T580" t="s">
        <v>138</v>
      </c>
      <c r="U580" t="s">
        <v>82</v>
      </c>
      <c r="V580" s="1">
        <v>45064</v>
      </c>
      <c r="W580">
        <v>0</v>
      </c>
      <c r="X580">
        <v>4</v>
      </c>
      <c r="Y580" t="s">
        <v>65</v>
      </c>
      <c r="AA580" t="s">
        <v>42</v>
      </c>
      <c r="AB580" t="s">
        <v>43</v>
      </c>
      <c r="AC580" t="s">
        <v>43</v>
      </c>
    </row>
    <row r="581" spans="1:29" x14ac:dyDescent="0.4">
      <c r="A581" t="s">
        <v>27</v>
      </c>
      <c r="B581">
        <v>4538</v>
      </c>
      <c r="C581" t="s">
        <v>1584</v>
      </c>
      <c r="D581">
        <v>182</v>
      </c>
      <c r="E581" t="s">
        <v>68</v>
      </c>
      <c r="F581" t="s">
        <v>1577</v>
      </c>
      <c r="G581" t="s">
        <v>1566</v>
      </c>
      <c r="H581" t="s">
        <v>1578</v>
      </c>
      <c r="I581" t="s">
        <v>1579</v>
      </c>
      <c r="J581" t="s">
        <v>1580</v>
      </c>
      <c r="K581" t="s">
        <v>495</v>
      </c>
      <c r="L581" t="s">
        <v>1581</v>
      </c>
      <c r="M581" t="s">
        <v>35</v>
      </c>
      <c r="N581" t="s">
        <v>1582</v>
      </c>
      <c r="O581" t="s">
        <v>1583</v>
      </c>
      <c r="P581" t="s">
        <v>1584</v>
      </c>
      <c r="R581" t="s">
        <v>1585</v>
      </c>
      <c r="S581" t="s">
        <v>1586</v>
      </c>
      <c r="T581" t="s">
        <v>138</v>
      </c>
      <c r="U581" t="s">
        <v>82</v>
      </c>
      <c r="V581" s="1">
        <v>45064</v>
      </c>
      <c r="W581">
        <v>0</v>
      </c>
      <c r="X581">
        <v>5</v>
      </c>
      <c r="Y581" t="s">
        <v>66</v>
      </c>
      <c r="AA581" t="s">
        <v>42</v>
      </c>
      <c r="AB581" t="s">
        <v>43</v>
      </c>
      <c r="AC581" t="s">
        <v>43</v>
      </c>
    </row>
    <row r="582" spans="1:29" x14ac:dyDescent="0.4">
      <c r="A582" t="s">
        <v>27</v>
      </c>
      <c r="B582">
        <v>1766</v>
      </c>
      <c r="C582" t="s">
        <v>1592</v>
      </c>
      <c r="D582">
        <v>181</v>
      </c>
      <c r="E582" t="s">
        <v>68</v>
      </c>
      <c r="F582" t="s">
        <v>979</v>
      </c>
      <c r="G582" t="s">
        <v>1566</v>
      </c>
      <c r="H582" t="s">
        <v>1587</v>
      </c>
      <c r="I582" t="s">
        <v>1588</v>
      </c>
      <c r="J582" t="s">
        <v>1589</v>
      </c>
      <c r="K582" t="s">
        <v>426</v>
      </c>
      <c r="L582" t="s">
        <v>1590</v>
      </c>
      <c r="M582" t="s">
        <v>35</v>
      </c>
      <c r="N582">
        <v>1227832759</v>
      </c>
      <c r="O582" t="s">
        <v>1591</v>
      </c>
      <c r="P582" t="s">
        <v>1592</v>
      </c>
      <c r="R582" t="s">
        <v>1593</v>
      </c>
      <c r="S582" t="s">
        <v>1594</v>
      </c>
      <c r="T582" t="s">
        <v>94</v>
      </c>
      <c r="U582" t="s">
        <v>40</v>
      </c>
      <c r="V582" s="1">
        <v>42069</v>
      </c>
      <c r="W582">
        <v>0</v>
      </c>
      <c r="X582">
        <v>20</v>
      </c>
      <c r="AA582" t="s">
        <v>42</v>
      </c>
      <c r="AB582" t="s">
        <v>43</v>
      </c>
      <c r="AC582" t="s">
        <v>42</v>
      </c>
    </row>
    <row r="583" spans="1:29" x14ac:dyDescent="0.4">
      <c r="A583" t="s">
        <v>27</v>
      </c>
      <c r="B583">
        <v>3275</v>
      </c>
      <c r="C583" t="s">
        <v>2869</v>
      </c>
      <c r="E583" t="s">
        <v>68</v>
      </c>
      <c r="F583" t="s">
        <v>160</v>
      </c>
      <c r="G583" t="s">
        <v>1566</v>
      </c>
      <c r="H583" t="s">
        <v>1595</v>
      </c>
      <c r="J583" t="s">
        <v>1596</v>
      </c>
      <c r="K583" t="s">
        <v>1597</v>
      </c>
      <c r="L583" t="s">
        <v>1598</v>
      </c>
      <c r="M583" t="s">
        <v>35</v>
      </c>
      <c r="N583">
        <v>7724748246</v>
      </c>
      <c r="O583" t="s">
        <v>1599</v>
      </c>
      <c r="P583" t="s">
        <v>160</v>
      </c>
      <c r="R583" t="s">
        <v>1600</v>
      </c>
      <c r="S583" t="s">
        <v>1601</v>
      </c>
      <c r="T583" t="s">
        <v>356</v>
      </c>
      <c r="U583" t="s">
        <v>40</v>
      </c>
      <c r="V583" s="1">
        <v>43868</v>
      </c>
      <c r="W583">
        <v>0</v>
      </c>
      <c r="X583">
        <v>0</v>
      </c>
      <c r="Y583" t="s">
        <v>59</v>
      </c>
      <c r="Z583" t="s">
        <v>1602</v>
      </c>
      <c r="AA583" t="s">
        <v>42</v>
      </c>
      <c r="AB583" t="s">
        <v>43</v>
      </c>
      <c r="AC583" t="s">
        <v>42</v>
      </c>
    </row>
    <row r="584" spans="1:29" x14ac:dyDescent="0.4">
      <c r="A584" t="s">
        <v>27</v>
      </c>
      <c r="B584">
        <v>3275</v>
      </c>
      <c r="C584" t="s">
        <v>2869</v>
      </c>
      <c r="E584" t="s">
        <v>68</v>
      </c>
      <c r="F584" t="s">
        <v>160</v>
      </c>
      <c r="G584" t="s">
        <v>1566</v>
      </c>
      <c r="H584" t="s">
        <v>1595</v>
      </c>
      <c r="J584" t="s">
        <v>1596</v>
      </c>
      <c r="K584" t="s">
        <v>1597</v>
      </c>
      <c r="L584" t="s">
        <v>1598</v>
      </c>
      <c r="M584" t="s">
        <v>35</v>
      </c>
      <c r="N584">
        <v>7724748246</v>
      </c>
      <c r="O584" t="s">
        <v>1599</v>
      </c>
      <c r="P584" t="s">
        <v>160</v>
      </c>
      <c r="R584" t="s">
        <v>1600</v>
      </c>
      <c r="S584" t="s">
        <v>1601</v>
      </c>
      <c r="T584" t="s">
        <v>356</v>
      </c>
      <c r="U584" t="s">
        <v>40</v>
      </c>
      <c r="V584" s="1">
        <v>43868</v>
      </c>
      <c r="W584">
        <v>0</v>
      </c>
      <c r="X584">
        <v>0</v>
      </c>
      <c r="Y584" t="s">
        <v>59</v>
      </c>
      <c r="Z584" t="s">
        <v>1602</v>
      </c>
      <c r="AA584" t="s">
        <v>42</v>
      </c>
      <c r="AB584" t="s">
        <v>43</v>
      </c>
      <c r="AC584" t="s">
        <v>42</v>
      </c>
    </row>
    <row r="585" spans="1:29" x14ac:dyDescent="0.4">
      <c r="A585" t="s">
        <v>27</v>
      </c>
      <c r="B585">
        <v>3275</v>
      </c>
      <c r="C585" t="s">
        <v>2869</v>
      </c>
      <c r="E585" t="s">
        <v>68</v>
      </c>
      <c r="F585" t="s">
        <v>160</v>
      </c>
      <c r="G585" t="s">
        <v>1566</v>
      </c>
      <c r="H585" t="s">
        <v>1595</v>
      </c>
      <c r="J585" t="s">
        <v>1596</v>
      </c>
      <c r="K585" t="s">
        <v>1597</v>
      </c>
      <c r="L585" t="s">
        <v>1598</v>
      </c>
      <c r="M585" t="s">
        <v>35</v>
      </c>
      <c r="N585">
        <v>7724748246</v>
      </c>
      <c r="O585" t="s">
        <v>1599</v>
      </c>
      <c r="P585" t="s">
        <v>160</v>
      </c>
      <c r="R585" t="s">
        <v>1603</v>
      </c>
      <c r="S585" t="s">
        <v>1604</v>
      </c>
      <c r="U585" t="s">
        <v>82</v>
      </c>
      <c r="V585" s="1">
        <v>45364</v>
      </c>
      <c r="W585">
        <v>0</v>
      </c>
      <c r="X585">
        <v>0</v>
      </c>
      <c r="Y585" t="s">
        <v>59</v>
      </c>
      <c r="Z585" t="s">
        <v>1602</v>
      </c>
      <c r="AA585" t="s">
        <v>42</v>
      </c>
      <c r="AB585" t="s">
        <v>43</v>
      </c>
      <c r="AC585" t="s">
        <v>42</v>
      </c>
    </row>
    <row r="586" spans="1:29" x14ac:dyDescent="0.4">
      <c r="A586" t="s">
        <v>27</v>
      </c>
      <c r="B586">
        <v>3275</v>
      </c>
      <c r="C586" t="s">
        <v>2869</v>
      </c>
      <c r="E586" t="s">
        <v>68</v>
      </c>
      <c r="F586" t="s">
        <v>160</v>
      </c>
      <c r="G586" t="s">
        <v>1566</v>
      </c>
      <c r="H586" t="s">
        <v>1595</v>
      </c>
      <c r="J586" t="s">
        <v>1596</v>
      </c>
      <c r="K586" t="s">
        <v>1597</v>
      </c>
      <c r="L586" t="s">
        <v>1598</v>
      </c>
      <c r="M586" t="s">
        <v>35</v>
      </c>
      <c r="N586">
        <v>7724748246</v>
      </c>
      <c r="O586" t="s">
        <v>1599</v>
      </c>
      <c r="P586" t="s">
        <v>160</v>
      </c>
      <c r="R586" t="s">
        <v>1603</v>
      </c>
      <c r="S586" t="s">
        <v>1604</v>
      </c>
      <c r="U586" t="s">
        <v>82</v>
      </c>
      <c r="V586" s="1">
        <v>45364</v>
      </c>
      <c r="W586">
        <v>0</v>
      </c>
      <c r="X586">
        <v>0</v>
      </c>
      <c r="Y586" t="s">
        <v>59</v>
      </c>
      <c r="Z586" t="s">
        <v>1602</v>
      </c>
      <c r="AA586" t="s">
        <v>42</v>
      </c>
      <c r="AB586" t="s">
        <v>43</v>
      </c>
      <c r="AC586" t="s">
        <v>42</v>
      </c>
    </row>
    <row r="587" spans="1:29" x14ac:dyDescent="0.4">
      <c r="A587" t="s">
        <v>27</v>
      </c>
      <c r="B587">
        <v>6160</v>
      </c>
      <c r="C587" t="s">
        <v>2900</v>
      </c>
      <c r="D587">
        <v>184</v>
      </c>
      <c r="E587" t="s">
        <v>257</v>
      </c>
      <c r="F587" t="s">
        <v>384</v>
      </c>
      <c r="G587" t="s">
        <v>1605</v>
      </c>
      <c r="H587" t="s">
        <v>1606</v>
      </c>
      <c r="J587" t="s">
        <v>1607</v>
      </c>
      <c r="K587" t="s">
        <v>51</v>
      </c>
      <c r="L587" t="s">
        <v>1608</v>
      </c>
      <c r="M587" t="s">
        <v>35</v>
      </c>
      <c r="N587">
        <v>7815600317</v>
      </c>
      <c r="O587" t="s">
        <v>1609</v>
      </c>
      <c r="P587" t="s">
        <v>2900</v>
      </c>
      <c r="R587" t="s">
        <v>1610</v>
      </c>
      <c r="S587" t="s">
        <v>1611</v>
      </c>
      <c r="T587" t="s">
        <v>534</v>
      </c>
      <c r="U587" t="s">
        <v>82</v>
      </c>
      <c r="V587" s="1">
        <v>44851</v>
      </c>
      <c r="W587">
        <v>0</v>
      </c>
      <c r="X587">
        <v>1</v>
      </c>
      <c r="AA587" t="s">
        <v>42</v>
      </c>
      <c r="AB587" t="s">
        <v>43</v>
      </c>
      <c r="AC587" t="s">
        <v>43</v>
      </c>
    </row>
    <row r="588" spans="1:29" x14ac:dyDescent="0.4">
      <c r="A588" t="s">
        <v>27</v>
      </c>
      <c r="B588">
        <v>6160</v>
      </c>
      <c r="C588" t="s">
        <v>2900</v>
      </c>
      <c r="D588">
        <v>184</v>
      </c>
      <c r="E588" t="s">
        <v>257</v>
      </c>
      <c r="F588" t="s">
        <v>384</v>
      </c>
      <c r="G588" t="s">
        <v>1605</v>
      </c>
      <c r="H588" t="s">
        <v>1606</v>
      </c>
      <c r="J588" t="s">
        <v>1607</v>
      </c>
      <c r="K588" t="s">
        <v>51</v>
      </c>
      <c r="L588" t="s">
        <v>1608</v>
      </c>
      <c r="M588" t="s">
        <v>35</v>
      </c>
      <c r="N588">
        <v>7815600317</v>
      </c>
      <c r="O588" t="s">
        <v>1609</v>
      </c>
      <c r="P588" t="s">
        <v>2900</v>
      </c>
      <c r="R588" t="s">
        <v>1610</v>
      </c>
      <c r="S588" t="s">
        <v>1611</v>
      </c>
      <c r="T588" t="s">
        <v>534</v>
      </c>
      <c r="U588" t="s">
        <v>82</v>
      </c>
      <c r="V588" s="1">
        <v>44851</v>
      </c>
      <c r="W588">
        <v>0</v>
      </c>
      <c r="X588">
        <v>2</v>
      </c>
      <c r="AA588" t="s">
        <v>42</v>
      </c>
      <c r="AB588" t="s">
        <v>43</v>
      </c>
      <c r="AC588" t="s">
        <v>43</v>
      </c>
    </row>
    <row r="589" spans="1:29" x14ac:dyDescent="0.4">
      <c r="A589" t="s">
        <v>27</v>
      </c>
      <c r="B589">
        <v>6160</v>
      </c>
      <c r="C589" t="s">
        <v>2900</v>
      </c>
      <c r="D589">
        <v>184</v>
      </c>
      <c r="E589" t="s">
        <v>257</v>
      </c>
      <c r="F589" t="s">
        <v>384</v>
      </c>
      <c r="G589" t="s">
        <v>1605</v>
      </c>
      <c r="H589" t="s">
        <v>1606</v>
      </c>
      <c r="J589" t="s">
        <v>1607</v>
      </c>
      <c r="K589" t="s">
        <v>51</v>
      </c>
      <c r="L589" t="s">
        <v>1608</v>
      </c>
      <c r="M589" t="s">
        <v>35</v>
      </c>
      <c r="N589">
        <v>7815600317</v>
      </c>
      <c r="O589" t="s">
        <v>1609</v>
      </c>
      <c r="P589" t="s">
        <v>2900</v>
      </c>
      <c r="R589" t="s">
        <v>1610</v>
      </c>
      <c r="S589" t="s">
        <v>1611</v>
      </c>
      <c r="T589" t="s">
        <v>534</v>
      </c>
      <c r="U589" t="s">
        <v>82</v>
      </c>
      <c r="V589" s="1">
        <v>44851</v>
      </c>
      <c r="W589">
        <v>0</v>
      </c>
      <c r="X589">
        <v>3</v>
      </c>
      <c r="AA589" t="s">
        <v>42</v>
      </c>
      <c r="AB589" t="s">
        <v>43</v>
      </c>
      <c r="AC589" t="s">
        <v>43</v>
      </c>
    </row>
    <row r="590" spans="1:29" x14ac:dyDescent="0.4">
      <c r="A590" t="s">
        <v>27</v>
      </c>
      <c r="B590">
        <v>6160</v>
      </c>
      <c r="C590" t="s">
        <v>2900</v>
      </c>
      <c r="D590">
        <v>184</v>
      </c>
      <c r="E590" t="s">
        <v>257</v>
      </c>
      <c r="F590" t="s">
        <v>384</v>
      </c>
      <c r="G590" t="s">
        <v>1605</v>
      </c>
      <c r="H590" t="s">
        <v>1606</v>
      </c>
      <c r="J590" t="s">
        <v>1607</v>
      </c>
      <c r="K590" t="s">
        <v>51</v>
      </c>
      <c r="L590" t="s">
        <v>1608</v>
      </c>
      <c r="M590" t="s">
        <v>35</v>
      </c>
      <c r="N590">
        <v>7815600317</v>
      </c>
      <c r="O590" t="s">
        <v>1609</v>
      </c>
      <c r="P590" t="s">
        <v>2900</v>
      </c>
      <c r="R590" t="s">
        <v>1610</v>
      </c>
      <c r="S590" t="s">
        <v>1611</v>
      </c>
      <c r="T590" t="s">
        <v>534</v>
      </c>
      <c r="U590" t="s">
        <v>82</v>
      </c>
      <c r="V590" s="1">
        <v>44851</v>
      </c>
      <c r="W590">
        <v>0</v>
      </c>
      <c r="X590">
        <v>8</v>
      </c>
      <c r="AA590" t="s">
        <v>42</v>
      </c>
      <c r="AB590" t="s">
        <v>43</v>
      </c>
      <c r="AC590" t="s">
        <v>43</v>
      </c>
    </row>
    <row r="591" spans="1:29" x14ac:dyDescent="0.4">
      <c r="A591" t="s">
        <v>27</v>
      </c>
      <c r="B591">
        <v>6160</v>
      </c>
      <c r="C591" t="s">
        <v>2900</v>
      </c>
      <c r="D591">
        <v>184</v>
      </c>
      <c r="E591" t="s">
        <v>257</v>
      </c>
      <c r="F591" t="s">
        <v>384</v>
      </c>
      <c r="G591" t="s">
        <v>1605</v>
      </c>
      <c r="H591" t="s">
        <v>1606</v>
      </c>
      <c r="J591" t="s">
        <v>1607</v>
      </c>
      <c r="K591" t="s">
        <v>51</v>
      </c>
      <c r="L591" t="s">
        <v>1608</v>
      </c>
      <c r="M591" t="s">
        <v>35</v>
      </c>
      <c r="N591">
        <v>7815600317</v>
      </c>
      <c r="O591" t="s">
        <v>1609</v>
      </c>
      <c r="P591" t="s">
        <v>2900</v>
      </c>
      <c r="R591" t="s">
        <v>1610</v>
      </c>
      <c r="S591" t="s">
        <v>1611</v>
      </c>
      <c r="T591" t="s">
        <v>534</v>
      </c>
      <c r="U591" t="s">
        <v>82</v>
      </c>
      <c r="V591" s="1">
        <v>44851</v>
      </c>
      <c r="W591">
        <v>0</v>
      </c>
      <c r="X591">
        <v>9</v>
      </c>
      <c r="AA591" t="s">
        <v>42</v>
      </c>
      <c r="AB591" t="s">
        <v>43</v>
      </c>
      <c r="AC591" t="s">
        <v>43</v>
      </c>
    </row>
    <row r="592" spans="1:29" x14ac:dyDescent="0.4">
      <c r="A592" t="s">
        <v>27</v>
      </c>
      <c r="B592">
        <v>6160</v>
      </c>
      <c r="C592" t="s">
        <v>2900</v>
      </c>
      <c r="D592">
        <v>184</v>
      </c>
      <c r="E592" t="s">
        <v>257</v>
      </c>
      <c r="F592" t="s">
        <v>384</v>
      </c>
      <c r="G592" t="s">
        <v>1605</v>
      </c>
      <c r="H592" t="s">
        <v>1606</v>
      </c>
      <c r="J592" t="s">
        <v>1607</v>
      </c>
      <c r="K592" t="s">
        <v>51</v>
      </c>
      <c r="L592" t="s">
        <v>1608</v>
      </c>
      <c r="M592" t="s">
        <v>35</v>
      </c>
      <c r="N592">
        <v>7815600317</v>
      </c>
      <c r="O592" t="s">
        <v>1609</v>
      </c>
      <c r="P592" t="s">
        <v>2900</v>
      </c>
      <c r="R592" t="s">
        <v>1610</v>
      </c>
      <c r="S592" t="s">
        <v>1611</v>
      </c>
      <c r="T592" t="s">
        <v>534</v>
      </c>
      <c r="U592" t="s">
        <v>82</v>
      </c>
      <c r="V592" s="1">
        <v>44851</v>
      </c>
      <c r="W592">
        <v>0</v>
      </c>
      <c r="X592">
        <v>10</v>
      </c>
      <c r="AA592" t="s">
        <v>42</v>
      </c>
      <c r="AB592" t="s">
        <v>43</v>
      </c>
      <c r="AC592" t="s">
        <v>43</v>
      </c>
    </row>
    <row r="593" spans="1:31" x14ac:dyDescent="0.4">
      <c r="A593" t="s">
        <v>27</v>
      </c>
      <c r="B593">
        <v>1545</v>
      </c>
      <c r="C593" t="s">
        <v>2970</v>
      </c>
      <c r="D593">
        <v>186</v>
      </c>
      <c r="E593" t="s">
        <v>68</v>
      </c>
      <c r="F593" t="s">
        <v>47</v>
      </c>
      <c r="G593" t="s">
        <v>1612</v>
      </c>
      <c r="H593" t="s">
        <v>1613</v>
      </c>
      <c r="I593" t="s">
        <v>1614</v>
      </c>
      <c r="J593" t="s">
        <v>1615</v>
      </c>
      <c r="K593" t="s">
        <v>330</v>
      </c>
      <c r="L593" t="s">
        <v>1616</v>
      </c>
      <c r="M593" t="s">
        <v>35</v>
      </c>
      <c r="N593" t="s">
        <v>1617</v>
      </c>
      <c r="O593" t="s">
        <v>1618</v>
      </c>
      <c r="P593" t="s">
        <v>2970</v>
      </c>
      <c r="R593" t="s">
        <v>1619</v>
      </c>
      <c r="S593" t="s">
        <v>1620</v>
      </c>
      <c r="T593" t="s">
        <v>474</v>
      </c>
      <c r="U593" t="s">
        <v>40</v>
      </c>
      <c r="V593" s="1">
        <v>43948</v>
      </c>
      <c r="W593">
        <v>0</v>
      </c>
      <c r="X593">
        <v>11</v>
      </c>
      <c r="AA593" t="s">
        <v>42</v>
      </c>
      <c r="AB593" t="s">
        <v>43</v>
      </c>
      <c r="AC593" t="s">
        <v>42</v>
      </c>
      <c r="AE593" t="s">
        <v>1621</v>
      </c>
    </row>
    <row r="594" spans="1:31" x14ac:dyDescent="0.4">
      <c r="A594" t="s">
        <v>27</v>
      </c>
      <c r="B594">
        <v>1545</v>
      </c>
      <c r="C594" t="s">
        <v>2970</v>
      </c>
      <c r="D594">
        <v>185</v>
      </c>
      <c r="E594" t="s">
        <v>68</v>
      </c>
      <c r="F594" t="s">
        <v>47</v>
      </c>
      <c r="G594" t="s">
        <v>1612</v>
      </c>
      <c r="H594" t="s">
        <v>1613</v>
      </c>
      <c r="I594" t="s">
        <v>1614</v>
      </c>
      <c r="J594" t="s">
        <v>1615</v>
      </c>
      <c r="K594" t="s">
        <v>330</v>
      </c>
      <c r="L594" t="s">
        <v>1616</v>
      </c>
      <c r="M594" t="s">
        <v>35</v>
      </c>
      <c r="N594" t="s">
        <v>1617</v>
      </c>
      <c r="O594" t="s">
        <v>1618</v>
      </c>
      <c r="P594" t="s">
        <v>2970</v>
      </c>
      <c r="R594" t="s">
        <v>1622</v>
      </c>
      <c r="S594" t="s">
        <v>1623</v>
      </c>
      <c r="T594" t="s">
        <v>474</v>
      </c>
      <c r="U594" t="s">
        <v>40</v>
      </c>
      <c r="V594" s="1">
        <v>42510</v>
      </c>
      <c r="W594">
        <v>0</v>
      </c>
      <c r="X594">
        <v>12</v>
      </c>
      <c r="AA594" t="s">
        <v>42</v>
      </c>
      <c r="AB594" t="s">
        <v>43</v>
      </c>
      <c r="AC594" t="s">
        <v>42</v>
      </c>
      <c r="AE594" t="s">
        <v>1621</v>
      </c>
    </row>
    <row r="595" spans="1:31" x14ac:dyDescent="0.4">
      <c r="A595" t="s">
        <v>27</v>
      </c>
      <c r="B595">
        <v>1545</v>
      </c>
      <c r="C595" t="s">
        <v>2970</v>
      </c>
      <c r="D595">
        <v>185</v>
      </c>
      <c r="E595" t="s">
        <v>68</v>
      </c>
      <c r="F595" t="s">
        <v>47</v>
      </c>
      <c r="G595" t="s">
        <v>1612</v>
      </c>
      <c r="H595" t="s">
        <v>1613</v>
      </c>
      <c r="I595" t="s">
        <v>1614</v>
      </c>
      <c r="J595" t="s">
        <v>1615</v>
      </c>
      <c r="K595" t="s">
        <v>330</v>
      </c>
      <c r="L595" t="s">
        <v>1616</v>
      </c>
      <c r="M595" t="s">
        <v>35</v>
      </c>
      <c r="N595" t="s">
        <v>1617</v>
      </c>
      <c r="O595" t="s">
        <v>1618</v>
      </c>
      <c r="P595" t="s">
        <v>2970</v>
      </c>
      <c r="R595" t="s">
        <v>1622</v>
      </c>
      <c r="S595" t="s">
        <v>1623</v>
      </c>
      <c r="T595" t="s">
        <v>474</v>
      </c>
      <c r="U595" t="s">
        <v>40</v>
      </c>
      <c r="V595" s="1">
        <v>42510</v>
      </c>
      <c r="W595">
        <v>0</v>
      </c>
      <c r="X595">
        <v>14</v>
      </c>
      <c r="AA595" t="s">
        <v>42</v>
      </c>
      <c r="AB595" t="s">
        <v>43</v>
      </c>
      <c r="AC595" t="s">
        <v>42</v>
      </c>
      <c r="AE595" t="s">
        <v>1621</v>
      </c>
    </row>
    <row r="596" spans="1:31" x14ac:dyDescent="0.4">
      <c r="A596" t="s">
        <v>27</v>
      </c>
      <c r="B596">
        <v>1545</v>
      </c>
      <c r="C596" t="s">
        <v>2970</v>
      </c>
      <c r="D596">
        <v>185</v>
      </c>
      <c r="E596" t="s">
        <v>68</v>
      </c>
      <c r="F596" t="s">
        <v>47</v>
      </c>
      <c r="G596" t="s">
        <v>1612</v>
      </c>
      <c r="H596" t="s">
        <v>1613</v>
      </c>
      <c r="I596" t="s">
        <v>1614</v>
      </c>
      <c r="J596" t="s">
        <v>1615</v>
      </c>
      <c r="K596" t="s">
        <v>330</v>
      </c>
      <c r="L596" t="s">
        <v>1616</v>
      </c>
      <c r="M596" t="s">
        <v>35</v>
      </c>
      <c r="N596" t="s">
        <v>1617</v>
      </c>
      <c r="O596" t="s">
        <v>1618</v>
      </c>
      <c r="P596" t="s">
        <v>2970</v>
      </c>
      <c r="R596" t="s">
        <v>1622</v>
      </c>
      <c r="S596" t="s">
        <v>1623</v>
      </c>
      <c r="T596" t="s">
        <v>474</v>
      </c>
      <c r="U596" t="s">
        <v>40</v>
      </c>
      <c r="V596" s="1">
        <v>42510</v>
      </c>
      <c r="W596">
        <v>0</v>
      </c>
      <c r="X596">
        <v>16</v>
      </c>
      <c r="AA596" t="s">
        <v>42</v>
      </c>
      <c r="AB596" t="s">
        <v>43</v>
      </c>
      <c r="AC596" t="s">
        <v>42</v>
      </c>
      <c r="AE596" t="s">
        <v>1621</v>
      </c>
    </row>
    <row r="597" spans="1:31" x14ac:dyDescent="0.4">
      <c r="A597" t="s">
        <v>27</v>
      </c>
      <c r="B597">
        <v>4697</v>
      </c>
      <c r="C597" t="s">
        <v>2971</v>
      </c>
      <c r="D597">
        <v>187</v>
      </c>
      <c r="E597" t="s">
        <v>257</v>
      </c>
      <c r="F597" t="s">
        <v>1624</v>
      </c>
      <c r="G597" t="s">
        <v>1625</v>
      </c>
      <c r="H597" t="s">
        <v>1626</v>
      </c>
      <c r="I597" t="s">
        <v>1627</v>
      </c>
      <c r="J597" t="s">
        <v>1227</v>
      </c>
      <c r="K597" t="s">
        <v>1628</v>
      </c>
      <c r="L597" t="s">
        <v>1629</v>
      </c>
      <c r="M597" t="s">
        <v>35</v>
      </c>
      <c r="N597">
        <v>7810103919</v>
      </c>
      <c r="O597" t="s">
        <v>1630</v>
      </c>
      <c r="P597" t="s">
        <v>2971</v>
      </c>
      <c r="R597" t="s">
        <v>1632</v>
      </c>
      <c r="S597" t="s">
        <v>1633</v>
      </c>
      <c r="T597" t="s">
        <v>58</v>
      </c>
      <c r="U597" t="s">
        <v>40</v>
      </c>
      <c r="V597" s="1">
        <v>44841</v>
      </c>
      <c r="W597">
        <v>0</v>
      </c>
      <c r="X597">
        <v>4</v>
      </c>
      <c r="Y597" t="s">
        <v>65</v>
      </c>
      <c r="AA597" t="s">
        <v>42</v>
      </c>
      <c r="AB597" t="s">
        <v>43</v>
      </c>
      <c r="AC597" t="s">
        <v>43</v>
      </c>
    </row>
    <row r="598" spans="1:31" x14ac:dyDescent="0.4">
      <c r="A598" t="s">
        <v>27</v>
      </c>
      <c r="B598">
        <v>4697</v>
      </c>
      <c r="C598" t="s">
        <v>2971</v>
      </c>
      <c r="D598">
        <v>187</v>
      </c>
      <c r="E598" t="s">
        <v>257</v>
      </c>
      <c r="F598" t="s">
        <v>1624</v>
      </c>
      <c r="G598" t="s">
        <v>1625</v>
      </c>
      <c r="H598" t="s">
        <v>1626</v>
      </c>
      <c r="I598" t="s">
        <v>1627</v>
      </c>
      <c r="J598" t="s">
        <v>1227</v>
      </c>
      <c r="K598" t="s">
        <v>1628</v>
      </c>
      <c r="L598" t="s">
        <v>1629</v>
      </c>
      <c r="M598" t="s">
        <v>35</v>
      </c>
      <c r="N598">
        <v>7810103919</v>
      </c>
      <c r="O598" t="s">
        <v>1630</v>
      </c>
      <c r="P598" t="s">
        <v>2971</v>
      </c>
      <c r="R598" t="s">
        <v>1632</v>
      </c>
      <c r="S598" t="s">
        <v>1633</v>
      </c>
      <c r="T598" t="s">
        <v>58</v>
      </c>
      <c r="U598" t="s">
        <v>40</v>
      </c>
      <c r="V598" s="1">
        <v>44841</v>
      </c>
      <c r="W598">
        <v>0</v>
      </c>
      <c r="X598">
        <v>5</v>
      </c>
      <c r="Y598" t="s">
        <v>66</v>
      </c>
      <c r="AA598" t="s">
        <v>42</v>
      </c>
      <c r="AB598" t="s">
        <v>43</v>
      </c>
      <c r="AC598" t="s">
        <v>43</v>
      </c>
    </row>
    <row r="599" spans="1:31" x14ac:dyDescent="0.4">
      <c r="A599" t="s">
        <v>27</v>
      </c>
      <c r="B599">
        <v>4697</v>
      </c>
      <c r="C599" t="s">
        <v>2971</v>
      </c>
      <c r="D599">
        <v>188</v>
      </c>
      <c r="E599" t="s">
        <v>257</v>
      </c>
      <c r="F599" t="s">
        <v>1624</v>
      </c>
      <c r="G599" t="s">
        <v>1625</v>
      </c>
      <c r="H599" t="s">
        <v>1626</v>
      </c>
      <c r="I599" t="s">
        <v>1627</v>
      </c>
      <c r="J599" t="s">
        <v>1227</v>
      </c>
      <c r="K599" t="s">
        <v>1628</v>
      </c>
      <c r="L599" t="s">
        <v>1629</v>
      </c>
      <c r="M599" t="s">
        <v>35</v>
      </c>
      <c r="N599">
        <v>7810103919</v>
      </c>
      <c r="O599" t="s">
        <v>1630</v>
      </c>
      <c r="P599" t="s">
        <v>2971</v>
      </c>
      <c r="R599" t="s">
        <v>1634</v>
      </c>
      <c r="S599" t="s">
        <v>1635</v>
      </c>
      <c r="T599" t="s">
        <v>94</v>
      </c>
      <c r="U599" t="s">
        <v>40</v>
      </c>
      <c r="V599" s="1">
        <v>42963</v>
      </c>
      <c r="W599">
        <v>0</v>
      </c>
      <c r="X599">
        <v>6</v>
      </c>
      <c r="Y599" t="s">
        <v>83</v>
      </c>
      <c r="AA599" t="s">
        <v>42</v>
      </c>
      <c r="AB599" t="s">
        <v>43</v>
      </c>
      <c r="AC599" t="s">
        <v>43</v>
      </c>
    </row>
    <row r="600" spans="1:31" x14ac:dyDescent="0.4">
      <c r="A600" t="s">
        <v>27</v>
      </c>
      <c r="B600">
        <v>4697</v>
      </c>
      <c r="C600" t="s">
        <v>2971</v>
      </c>
      <c r="D600">
        <v>188</v>
      </c>
      <c r="E600" t="s">
        <v>257</v>
      </c>
      <c r="F600" t="s">
        <v>1624</v>
      </c>
      <c r="G600" t="s">
        <v>1625</v>
      </c>
      <c r="H600" t="s">
        <v>1626</v>
      </c>
      <c r="I600" t="s">
        <v>1627</v>
      </c>
      <c r="J600" t="s">
        <v>1227</v>
      </c>
      <c r="K600" t="s">
        <v>1628</v>
      </c>
      <c r="L600" t="s">
        <v>1629</v>
      </c>
      <c r="M600" t="s">
        <v>35</v>
      </c>
      <c r="N600">
        <v>7810103919</v>
      </c>
      <c r="O600" t="s">
        <v>1630</v>
      </c>
      <c r="P600" t="s">
        <v>2971</v>
      </c>
      <c r="R600" t="s">
        <v>1634</v>
      </c>
      <c r="S600" t="s">
        <v>1635</v>
      </c>
      <c r="T600" t="s">
        <v>94</v>
      </c>
      <c r="U600" t="s">
        <v>40</v>
      </c>
      <c r="V600" s="1">
        <v>42963</v>
      </c>
      <c r="W600">
        <v>0</v>
      </c>
      <c r="X600">
        <v>7</v>
      </c>
      <c r="AA600" t="s">
        <v>42</v>
      </c>
      <c r="AB600" t="s">
        <v>43</v>
      </c>
      <c r="AC600" t="s">
        <v>43</v>
      </c>
    </row>
    <row r="601" spans="1:31" x14ac:dyDescent="0.4">
      <c r="A601" t="s">
        <v>27</v>
      </c>
      <c r="B601">
        <v>4697</v>
      </c>
      <c r="C601" t="s">
        <v>2971</v>
      </c>
      <c r="E601" t="s">
        <v>257</v>
      </c>
      <c r="F601" t="s">
        <v>1624</v>
      </c>
      <c r="G601" t="s">
        <v>1625</v>
      </c>
      <c r="H601" t="s">
        <v>1626</v>
      </c>
      <c r="I601" t="s">
        <v>1627</v>
      </c>
      <c r="J601" t="s">
        <v>1227</v>
      </c>
      <c r="K601" t="s">
        <v>1628</v>
      </c>
      <c r="L601" t="s">
        <v>1629</v>
      </c>
      <c r="M601" t="s">
        <v>35</v>
      </c>
      <c r="N601">
        <v>7810103919</v>
      </c>
      <c r="O601" t="s">
        <v>1630</v>
      </c>
      <c r="P601" t="s">
        <v>1631</v>
      </c>
      <c r="R601" t="s">
        <v>1636</v>
      </c>
      <c r="S601" t="s">
        <v>1637</v>
      </c>
      <c r="T601" t="s">
        <v>1638</v>
      </c>
      <c r="U601" t="s">
        <v>82</v>
      </c>
      <c r="V601" s="1">
        <v>44380</v>
      </c>
      <c r="W601">
        <v>0</v>
      </c>
      <c r="X601">
        <v>0</v>
      </c>
      <c r="Y601" t="s">
        <v>59</v>
      </c>
      <c r="AA601" t="s">
        <v>42</v>
      </c>
      <c r="AB601" t="s">
        <v>43</v>
      </c>
      <c r="AC601" t="s">
        <v>43</v>
      </c>
    </row>
    <row r="602" spans="1:31" x14ac:dyDescent="0.4">
      <c r="A602" t="s">
        <v>27</v>
      </c>
      <c r="B602">
        <v>4697</v>
      </c>
      <c r="C602" t="s">
        <v>2971</v>
      </c>
      <c r="D602">
        <v>187</v>
      </c>
      <c r="E602" t="s">
        <v>257</v>
      </c>
      <c r="F602" t="s">
        <v>1624</v>
      </c>
      <c r="G602" t="s">
        <v>1625</v>
      </c>
      <c r="H602" t="s">
        <v>1626</v>
      </c>
      <c r="I602" t="s">
        <v>1627</v>
      </c>
      <c r="J602" t="s">
        <v>1227</v>
      </c>
      <c r="K602" t="s">
        <v>1628</v>
      </c>
      <c r="L602" t="s">
        <v>1629</v>
      </c>
      <c r="M602" t="s">
        <v>35</v>
      </c>
      <c r="N602">
        <v>7810103919</v>
      </c>
      <c r="O602" t="s">
        <v>1630</v>
      </c>
      <c r="P602" t="s">
        <v>2971</v>
      </c>
      <c r="R602" t="s">
        <v>1632</v>
      </c>
      <c r="S602" t="s">
        <v>1633</v>
      </c>
      <c r="T602" t="s">
        <v>58</v>
      </c>
      <c r="U602" t="s">
        <v>40</v>
      </c>
      <c r="V602" s="1">
        <v>44841</v>
      </c>
      <c r="W602">
        <v>0</v>
      </c>
      <c r="X602">
        <v>12</v>
      </c>
      <c r="AA602" t="s">
        <v>42</v>
      </c>
      <c r="AB602" t="s">
        <v>43</v>
      </c>
      <c r="AC602" t="s">
        <v>43</v>
      </c>
    </row>
    <row r="603" spans="1:31" x14ac:dyDescent="0.4">
      <c r="A603" t="s">
        <v>27</v>
      </c>
      <c r="B603">
        <v>4697</v>
      </c>
      <c r="C603" t="s">
        <v>2971</v>
      </c>
      <c r="D603">
        <v>187</v>
      </c>
      <c r="E603" t="s">
        <v>257</v>
      </c>
      <c r="F603" t="s">
        <v>1624</v>
      </c>
      <c r="G603" t="s">
        <v>1625</v>
      </c>
      <c r="H603" t="s">
        <v>1626</v>
      </c>
      <c r="I603" t="s">
        <v>1627</v>
      </c>
      <c r="J603" t="s">
        <v>1227</v>
      </c>
      <c r="K603" t="s">
        <v>1628</v>
      </c>
      <c r="L603" t="s">
        <v>1629</v>
      </c>
      <c r="M603" t="s">
        <v>35</v>
      </c>
      <c r="N603">
        <v>7810103919</v>
      </c>
      <c r="O603" t="s">
        <v>1630</v>
      </c>
      <c r="P603" t="s">
        <v>2971</v>
      </c>
      <c r="R603" t="s">
        <v>1632</v>
      </c>
      <c r="S603" t="s">
        <v>1633</v>
      </c>
      <c r="T603" t="s">
        <v>58</v>
      </c>
      <c r="U603" t="s">
        <v>40</v>
      </c>
      <c r="V603" s="1">
        <v>44841</v>
      </c>
      <c r="W603">
        <v>0</v>
      </c>
      <c r="X603">
        <v>14</v>
      </c>
      <c r="AA603" t="s">
        <v>42</v>
      </c>
      <c r="AB603" t="s">
        <v>43</v>
      </c>
      <c r="AC603" t="s">
        <v>43</v>
      </c>
    </row>
    <row r="604" spans="1:31" x14ac:dyDescent="0.4">
      <c r="A604" t="s">
        <v>27</v>
      </c>
      <c r="B604">
        <v>4697</v>
      </c>
      <c r="C604" t="s">
        <v>2971</v>
      </c>
      <c r="D604">
        <v>188</v>
      </c>
      <c r="E604" t="s">
        <v>257</v>
      </c>
      <c r="F604" t="s">
        <v>1624</v>
      </c>
      <c r="G604" t="s">
        <v>1625</v>
      </c>
      <c r="H604" t="s">
        <v>1626</v>
      </c>
      <c r="I604" t="s">
        <v>1627</v>
      </c>
      <c r="J604" t="s">
        <v>1227</v>
      </c>
      <c r="K604" t="s">
        <v>1628</v>
      </c>
      <c r="L604" t="s">
        <v>1629</v>
      </c>
      <c r="M604" t="s">
        <v>35</v>
      </c>
      <c r="N604">
        <v>7810103919</v>
      </c>
      <c r="O604" t="s">
        <v>1630</v>
      </c>
      <c r="P604" t="s">
        <v>2971</v>
      </c>
      <c r="R604" t="s">
        <v>1634</v>
      </c>
      <c r="S604" t="s">
        <v>1635</v>
      </c>
      <c r="T604" t="s">
        <v>94</v>
      </c>
      <c r="U604" t="s">
        <v>40</v>
      </c>
      <c r="V604" s="1">
        <v>42963</v>
      </c>
      <c r="W604">
        <v>0</v>
      </c>
      <c r="X604">
        <v>16</v>
      </c>
      <c r="AA604" t="s">
        <v>42</v>
      </c>
      <c r="AB604" t="s">
        <v>43</v>
      </c>
      <c r="AC604" t="s">
        <v>43</v>
      </c>
    </row>
    <row r="605" spans="1:31" x14ac:dyDescent="0.4">
      <c r="A605" t="s">
        <v>27</v>
      </c>
      <c r="B605">
        <v>4697</v>
      </c>
      <c r="C605" t="s">
        <v>2971</v>
      </c>
      <c r="D605">
        <v>188</v>
      </c>
      <c r="E605" t="s">
        <v>257</v>
      </c>
      <c r="F605" t="s">
        <v>1624</v>
      </c>
      <c r="G605" t="s">
        <v>1625</v>
      </c>
      <c r="H605" t="s">
        <v>1626</v>
      </c>
      <c r="I605" t="s">
        <v>1627</v>
      </c>
      <c r="J605" t="s">
        <v>1227</v>
      </c>
      <c r="K605" t="s">
        <v>1628</v>
      </c>
      <c r="L605" t="s">
        <v>1629</v>
      </c>
      <c r="M605" t="s">
        <v>35</v>
      </c>
      <c r="N605">
        <v>7810103919</v>
      </c>
      <c r="O605" t="s">
        <v>1630</v>
      </c>
      <c r="P605" t="s">
        <v>2971</v>
      </c>
      <c r="R605" t="s">
        <v>1634</v>
      </c>
      <c r="S605" t="s">
        <v>1635</v>
      </c>
      <c r="T605" t="s">
        <v>94</v>
      </c>
      <c r="U605" t="s">
        <v>40</v>
      </c>
      <c r="V605" s="1">
        <v>42963</v>
      </c>
      <c r="W605">
        <v>0</v>
      </c>
      <c r="X605">
        <v>18</v>
      </c>
      <c r="AA605" t="s">
        <v>42</v>
      </c>
      <c r="AB605" t="s">
        <v>43</v>
      </c>
      <c r="AC605" t="s">
        <v>43</v>
      </c>
    </row>
    <row r="606" spans="1:31" x14ac:dyDescent="0.4">
      <c r="A606" t="s">
        <v>27</v>
      </c>
      <c r="B606">
        <v>4697</v>
      </c>
      <c r="C606" t="s">
        <v>2971</v>
      </c>
      <c r="E606" t="s">
        <v>257</v>
      </c>
      <c r="F606" t="s">
        <v>1624</v>
      </c>
      <c r="G606" t="s">
        <v>1625</v>
      </c>
      <c r="H606" t="s">
        <v>1626</v>
      </c>
      <c r="I606" t="s">
        <v>1627</v>
      </c>
      <c r="J606" t="s">
        <v>1227</v>
      </c>
      <c r="K606" t="s">
        <v>1628</v>
      </c>
      <c r="L606" t="s">
        <v>1629</v>
      </c>
      <c r="M606" t="s">
        <v>35</v>
      </c>
      <c r="N606">
        <v>7810103919</v>
      </c>
      <c r="O606" t="s">
        <v>1630</v>
      </c>
      <c r="P606" t="s">
        <v>1631</v>
      </c>
      <c r="R606" t="s">
        <v>1636</v>
      </c>
      <c r="S606" t="s">
        <v>1637</v>
      </c>
      <c r="T606" t="s">
        <v>1638</v>
      </c>
      <c r="U606" t="s">
        <v>82</v>
      </c>
      <c r="V606" s="1">
        <v>44380</v>
      </c>
      <c r="W606">
        <v>0</v>
      </c>
      <c r="X606">
        <v>0</v>
      </c>
      <c r="Y606" t="s">
        <v>59</v>
      </c>
      <c r="AA606" t="s">
        <v>42</v>
      </c>
      <c r="AB606" t="s">
        <v>43</v>
      </c>
      <c r="AC606" t="s">
        <v>43</v>
      </c>
    </row>
    <row r="607" spans="1:31" x14ac:dyDescent="0.4">
      <c r="A607" t="s">
        <v>27</v>
      </c>
      <c r="B607">
        <v>4697</v>
      </c>
      <c r="C607" t="s">
        <v>2971</v>
      </c>
      <c r="E607" t="s">
        <v>257</v>
      </c>
      <c r="F607" t="s">
        <v>1624</v>
      </c>
      <c r="G607" t="s">
        <v>1625</v>
      </c>
      <c r="H607" t="s">
        <v>1626</v>
      </c>
      <c r="I607" t="s">
        <v>1627</v>
      </c>
      <c r="J607" t="s">
        <v>1227</v>
      </c>
      <c r="K607" t="s">
        <v>1628</v>
      </c>
      <c r="L607" t="s">
        <v>1629</v>
      </c>
      <c r="M607" t="s">
        <v>35</v>
      </c>
      <c r="N607">
        <v>7810103919</v>
      </c>
      <c r="O607" t="s">
        <v>1630</v>
      </c>
      <c r="P607" t="s">
        <v>1631</v>
      </c>
      <c r="R607" t="s">
        <v>1639</v>
      </c>
      <c r="S607" t="s">
        <v>1640</v>
      </c>
      <c r="T607" t="s">
        <v>94</v>
      </c>
      <c r="U607" t="s">
        <v>40</v>
      </c>
      <c r="V607" s="1">
        <v>41313</v>
      </c>
      <c r="W607">
        <v>0</v>
      </c>
      <c r="X607">
        <v>0</v>
      </c>
      <c r="Y607" t="s">
        <v>59</v>
      </c>
      <c r="AA607" t="s">
        <v>42</v>
      </c>
      <c r="AB607" t="s">
        <v>43</v>
      </c>
      <c r="AC607" t="s">
        <v>43</v>
      </c>
    </row>
    <row r="608" spans="1:31" x14ac:dyDescent="0.4">
      <c r="A608" t="s">
        <v>27</v>
      </c>
      <c r="B608">
        <v>4697</v>
      </c>
      <c r="C608" t="s">
        <v>2971</v>
      </c>
      <c r="E608" t="s">
        <v>257</v>
      </c>
      <c r="F608" t="s">
        <v>1624</v>
      </c>
      <c r="G608" t="s">
        <v>1625</v>
      </c>
      <c r="H608" t="s">
        <v>1626</v>
      </c>
      <c r="I608" t="s">
        <v>1627</v>
      </c>
      <c r="J608" t="s">
        <v>1227</v>
      </c>
      <c r="K608" t="s">
        <v>1628</v>
      </c>
      <c r="L608" t="s">
        <v>1629</v>
      </c>
      <c r="M608" t="s">
        <v>35</v>
      </c>
      <c r="N608">
        <v>7810103919</v>
      </c>
      <c r="O608" t="s">
        <v>1630</v>
      </c>
      <c r="P608" t="s">
        <v>1631</v>
      </c>
      <c r="R608" t="s">
        <v>1639</v>
      </c>
      <c r="S608" t="s">
        <v>1640</v>
      </c>
      <c r="T608" t="s">
        <v>94</v>
      </c>
      <c r="U608" t="s">
        <v>40</v>
      </c>
      <c r="V608" s="1">
        <v>41313</v>
      </c>
      <c r="W608">
        <v>0</v>
      </c>
      <c r="X608">
        <v>0</v>
      </c>
      <c r="Y608" t="s">
        <v>59</v>
      </c>
      <c r="AA608" t="s">
        <v>42</v>
      </c>
      <c r="AB608" t="s">
        <v>43</v>
      </c>
      <c r="AC608" t="s">
        <v>43</v>
      </c>
    </row>
    <row r="609" spans="1:31" x14ac:dyDescent="0.4">
      <c r="A609" t="s">
        <v>27</v>
      </c>
      <c r="B609">
        <v>1124</v>
      </c>
      <c r="C609" t="s">
        <v>2972</v>
      </c>
      <c r="D609">
        <v>189</v>
      </c>
      <c r="E609" t="s">
        <v>68</v>
      </c>
      <c r="F609" t="s">
        <v>1196</v>
      </c>
      <c r="G609" t="s">
        <v>1625</v>
      </c>
      <c r="H609" t="s">
        <v>1641</v>
      </c>
      <c r="I609" t="s">
        <v>1642</v>
      </c>
      <c r="J609" t="s">
        <v>1643</v>
      </c>
      <c r="K609" t="s">
        <v>73</v>
      </c>
      <c r="L609" t="s">
        <v>1644</v>
      </c>
      <c r="M609" t="s">
        <v>35</v>
      </c>
      <c r="N609">
        <v>1293862758</v>
      </c>
      <c r="O609" t="s">
        <v>1645</v>
      </c>
      <c r="P609" t="s">
        <v>2972</v>
      </c>
      <c r="R609" t="s">
        <v>1646</v>
      </c>
      <c r="S609" t="s">
        <v>1647</v>
      </c>
      <c r="T609" t="s">
        <v>555</v>
      </c>
      <c r="U609" t="s">
        <v>40</v>
      </c>
      <c r="V609" t="s">
        <v>1648</v>
      </c>
      <c r="W609">
        <v>0</v>
      </c>
      <c r="X609">
        <v>12</v>
      </c>
      <c r="AA609" t="s">
        <v>42</v>
      </c>
      <c r="AB609" t="s">
        <v>43</v>
      </c>
      <c r="AC609" t="s">
        <v>43</v>
      </c>
      <c r="AE609" t="s">
        <v>1649</v>
      </c>
    </row>
    <row r="610" spans="1:31" x14ac:dyDescent="0.4">
      <c r="A610" t="s">
        <v>27</v>
      </c>
      <c r="B610">
        <v>1124</v>
      </c>
      <c r="C610" t="s">
        <v>2972</v>
      </c>
      <c r="D610">
        <v>190</v>
      </c>
      <c r="E610" t="s">
        <v>68</v>
      </c>
      <c r="F610" t="s">
        <v>1196</v>
      </c>
      <c r="G610" t="s">
        <v>1625</v>
      </c>
      <c r="H610" t="s">
        <v>1641</v>
      </c>
      <c r="I610" t="s">
        <v>1642</v>
      </c>
      <c r="J610" t="s">
        <v>1643</v>
      </c>
      <c r="K610" t="s">
        <v>73</v>
      </c>
      <c r="L610" t="s">
        <v>1644</v>
      </c>
      <c r="M610" t="s">
        <v>35</v>
      </c>
      <c r="N610">
        <v>1293862758</v>
      </c>
      <c r="O610" t="s">
        <v>1645</v>
      </c>
      <c r="P610" t="s">
        <v>3068</v>
      </c>
      <c r="R610" t="s">
        <v>1650</v>
      </c>
      <c r="S610" t="s">
        <v>1651</v>
      </c>
      <c r="T610" t="s">
        <v>94</v>
      </c>
      <c r="U610" t="s">
        <v>40</v>
      </c>
      <c r="V610" s="1">
        <v>41327</v>
      </c>
      <c r="W610">
        <v>0</v>
      </c>
      <c r="X610">
        <v>16</v>
      </c>
      <c r="AA610" t="s">
        <v>42</v>
      </c>
      <c r="AB610" t="s">
        <v>43</v>
      </c>
      <c r="AC610" t="s">
        <v>43</v>
      </c>
      <c r="AE610" t="s">
        <v>1649</v>
      </c>
    </row>
    <row r="611" spans="1:31" x14ac:dyDescent="0.4">
      <c r="A611" t="s">
        <v>27</v>
      </c>
      <c r="B611">
        <v>377</v>
      </c>
      <c r="C611" t="s">
        <v>2973</v>
      </c>
      <c r="D611">
        <v>191</v>
      </c>
      <c r="E611" t="s">
        <v>68</v>
      </c>
      <c r="F611" t="s">
        <v>883</v>
      </c>
      <c r="G611" t="s">
        <v>1652</v>
      </c>
      <c r="H611" t="s">
        <v>1653</v>
      </c>
      <c r="J611" t="s">
        <v>1654</v>
      </c>
      <c r="K611" t="s">
        <v>1655</v>
      </c>
      <c r="L611" t="s">
        <v>1656</v>
      </c>
      <c r="M611" t="s">
        <v>35</v>
      </c>
      <c r="N611">
        <v>7973737124</v>
      </c>
      <c r="O611" t="s">
        <v>1657</v>
      </c>
      <c r="P611" t="s">
        <v>2973</v>
      </c>
      <c r="R611" t="s">
        <v>1658</v>
      </c>
      <c r="S611" t="s">
        <v>1659</v>
      </c>
      <c r="T611" t="s">
        <v>58</v>
      </c>
      <c r="U611" t="s">
        <v>82</v>
      </c>
      <c r="V611" s="1">
        <v>44109</v>
      </c>
      <c r="W611">
        <v>0</v>
      </c>
      <c r="X611">
        <v>15</v>
      </c>
      <c r="AA611" t="s">
        <v>42</v>
      </c>
      <c r="AB611" t="s">
        <v>43</v>
      </c>
      <c r="AC611" t="s">
        <v>42</v>
      </c>
    </row>
    <row r="612" spans="1:31" x14ac:dyDescent="0.4">
      <c r="A612" t="s">
        <v>27</v>
      </c>
      <c r="B612">
        <v>377</v>
      </c>
      <c r="C612" t="s">
        <v>2973</v>
      </c>
      <c r="D612">
        <v>191</v>
      </c>
      <c r="E612" t="s">
        <v>68</v>
      </c>
      <c r="F612" t="s">
        <v>883</v>
      </c>
      <c r="G612" t="s">
        <v>1652</v>
      </c>
      <c r="H612" t="s">
        <v>1653</v>
      </c>
      <c r="J612" t="s">
        <v>1654</v>
      </c>
      <c r="K612" t="s">
        <v>1655</v>
      </c>
      <c r="L612" t="s">
        <v>1656</v>
      </c>
      <c r="M612" t="s">
        <v>35</v>
      </c>
      <c r="N612">
        <v>7973737124</v>
      </c>
      <c r="O612" t="s">
        <v>1657</v>
      </c>
      <c r="P612" t="s">
        <v>2973</v>
      </c>
      <c r="R612" t="s">
        <v>1658</v>
      </c>
      <c r="S612" t="s">
        <v>1659</v>
      </c>
      <c r="T612" t="s">
        <v>58</v>
      </c>
      <c r="U612" t="s">
        <v>82</v>
      </c>
      <c r="V612" s="1">
        <v>44109</v>
      </c>
      <c r="W612">
        <v>0</v>
      </c>
      <c r="X612">
        <v>17</v>
      </c>
      <c r="AA612" t="s">
        <v>42</v>
      </c>
      <c r="AB612" t="s">
        <v>43</v>
      </c>
      <c r="AC612" t="s">
        <v>42</v>
      </c>
    </row>
    <row r="613" spans="1:31" x14ac:dyDescent="0.4">
      <c r="A613" t="s">
        <v>27</v>
      </c>
      <c r="B613">
        <v>377</v>
      </c>
      <c r="C613" t="s">
        <v>2973</v>
      </c>
      <c r="D613">
        <v>192</v>
      </c>
      <c r="E613" t="s">
        <v>68</v>
      </c>
      <c r="F613" t="s">
        <v>883</v>
      </c>
      <c r="G613" t="s">
        <v>1652</v>
      </c>
      <c r="H613" t="s">
        <v>1653</v>
      </c>
      <c r="J613" t="s">
        <v>1654</v>
      </c>
      <c r="K613" t="s">
        <v>1655</v>
      </c>
      <c r="L613" t="s">
        <v>1656</v>
      </c>
      <c r="M613" t="s">
        <v>35</v>
      </c>
      <c r="N613">
        <v>7973737124</v>
      </c>
      <c r="O613" t="s">
        <v>1657</v>
      </c>
      <c r="P613" t="s">
        <v>2973</v>
      </c>
      <c r="R613" t="s">
        <v>1660</v>
      </c>
      <c r="S613" t="s">
        <v>1661</v>
      </c>
      <c r="T613" t="s">
        <v>94</v>
      </c>
      <c r="U613" t="s">
        <v>82</v>
      </c>
      <c r="V613" s="1">
        <v>42662</v>
      </c>
      <c r="W613">
        <v>0</v>
      </c>
      <c r="X613">
        <v>19</v>
      </c>
      <c r="AA613" t="s">
        <v>42</v>
      </c>
      <c r="AB613" t="s">
        <v>43</v>
      </c>
      <c r="AC613" t="s">
        <v>42</v>
      </c>
    </row>
    <row r="614" spans="1:31" x14ac:dyDescent="0.4">
      <c r="A614" t="s">
        <v>27</v>
      </c>
      <c r="B614">
        <v>377</v>
      </c>
      <c r="C614" t="s">
        <v>2973</v>
      </c>
      <c r="D614">
        <v>192</v>
      </c>
      <c r="E614" t="s">
        <v>68</v>
      </c>
      <c r="F614" t="s">
        <v>883</v>
      </c>
      <c r="G614" t="s">
        <v>1652</v>
      </c>
      <c r="H614" t="s">
        <v>1653</v>
      </c>
      <c r="J614" t="s">
        <v>1654</v>
      </c>
      <c r="K614" t="s">
        <v>1655</v>
      </c>
      <c r="L614" t="s">
        <v>1656</v>
      </c>
      <c r="M614" t="s">
        <v>35</v>
      </c>
      <c r="N614">
        <v>7973737124</v>
      </c>
      <c r="O614" t="s">
        <v>1657</v>
      </c>
      <c r="P614" t="s">
        <v>2973</v>
      </c>
      <c r="R614" t="s">
        <v>1660</v>
      </c>
      <c r="S614" t="s">
        <v>1661</v>
      </c>
      <c r="T614" t="s">
        <v>94</v>
      </c>
      <c r="U614" t="s">
        <v>82</v>
      </c>
      <c r="V614" s="1">
        <v>42662</v>
      </c>
      <c r="W614">
        <v>0</v>
      </c>
      <c r="X614">
        <v>21</v>
      </c>
      <c r="AA614" t="s">
        <v>42</v>
      </c>
      <c r="AB614" t="s">
        <v>43</v>
      </c>
      <c r="AC614" t="s">
        <v>42</v>
      </c>
    </row>
    <row r="615" spans="1:31" x14ac:dyDescent="0.4">
      <c r="A615" t="s">
        <v>27</v>
      </c>
      <c r="B615">
        <v>1577</v>
      </c>
      <c r="C615" t="s">
        <v>1669</v>
      </c>
      <c r="D615">
        <v>193</v>
      </c>
      <c r="E615" t="s">
        <v>28</v>
      </c>
      <c r="F615" t="s">
        <v>1080</v>
      </c>
      <c r="G615" t="s">
        <v>1662</v>
      </c>
      <c r="H615" t="s">
        <v>1663</v>
      </c>
      <c r="I615" t="s">
        <v>1664</v>
      </c>
      <c r="J615" t="s">
        <v>1665</v>
      </c>
      <c r="K615" t="s">
        <v>1666</v>
      </c>
      <c r="L615" t="s">
        <v>1667</v>
      </c>
      <c r="M615" t="s">
        <v>35</v>
      </c>
      <c r="N615">
        <v>7793933194</v>
      </c>
      <c r="O615" t="s">
        <v>1668</v>
      </c>
      <c r="P615" t="s">
        <v>1669</v>
      </c>
      <c r="R615" t="s">
        <v>1670</v>
      </c>
      <c r="S615" t="s">
        <v>1671</v>
      </c>
      <c r="T615" t="s">
        <v>94</v>
      </c>
      <c r="U615" t="s">
        <v>40</v>
      </c>
      <c r="V615" s="1">
        <v>43062</v>
      </c>
      <c r="W615">
        <v>0</v>
      </c>
      <c r="X615">
        <v>20</v>
      </c>
      <c r="AA615" t="s">
        <v>42</v>
      </c>
      <c r="AB615" t="s">
        <v>43</v>
      </c>
      <c r="AC615" t="s">
        <v>43</v>
      </c>
    </row>
    <row r="616" spans="1:31" x14ac:dyDescent="0.4">
      <c r="A616" t="s">
        <v>27</v>
      </c>
      <c r="B616">
        <v>168</v>
      </c>
      <c r="C616" t="s">
        <v>2974</v>
      </c>
      <c r="D616">
        <v>194</v>
      </c>
      <c r="E616" t="s">
        <v>28</v>
      </c>
      <c r="F616" t="s">
        <v>1672</v>
      </c>
      <c r="G616" t="s">
        <v>1673</v>
      </c>
      <c r="H616" t="s">
        <v>1674</v>
      </c>
      <c r="J616" t="s">
        <v>1675</v>
      </c>
      <c r="K616" t="s">
        <v>1676</v>
      </c>
      <c r="L616" t="s">
        <v>1677</v>
      </c>
      <c r="M616" t="s">
        <v>35</v>
      </c>
      <c r="N616">
        <v>7534177163</v>
      </c>
      <c r="O616" t="s">
        <v>1678</v>
      </c>
      <c r="P616" t="s">
        <v>3081</v>
      </c>
      <c r="R616" t="s">
        <v>3115</v>
      </c>
      <c r="S616" t="s">
        <v>1681</v>
      </c>
      <c r="T616" t="s">
        <v>58</v>
      </c>
      <c r="U616" t="s">
        <v>82</v>
      </c>
      <c r="V616" s="1">
        <v>43887</v>
      </c>
      <c r="W616">
        <v>0</v>
      </c>
      <c r="X616">
        <v>6</v>
      </c>
      <c r="Y616" t="s">
        <v>83</v>
      </c>
      <c r="AA616" t="s">
        <v>42</v>
      </c>
      <c r="AB616" t="s">
        <v>43</v>
      </c>
      <c r="AC616" t="s">
        <v>43</v>
      </c>
    </row>
    <row r="617" spans="1:31" x14ac:dyDescent="0.4">
      <c r="A617" t="s">
        <v>27</v>
      </c>
      <c r="B617">
        <v>168</v>
      </c>
      <c r="C617" t="s">
        <v>2974</v>
      </c>
      <c r="D617">
        <v>194</v>
      </c>
      <c r="E617" t="s">
        <v>28</v>
      </c>
      <c r="F617" t="s">
        <v>1672</v>
      </c>
      <c r="G617" t="s">
        <v>1673</v>
      </c>
      <c r="H617" t="s">
        <v>1674</v>
      </c>
      <c r="J617" t="s">
        <v>1675</v>
      </c>
      <c r="K617" t="s">
        <v>1676</v>
      </c>
      <c r="L617" t="s">
        <v>1677</v>
      </c>
      <c r="M617" t="s">
        <v>35</v>
      </c>
      <c r="N617">
        <v>7534177163</v>
      </c>
      <c r="O617" t="s">
        <v>1678</v>
      </c>
      <c r="P617" t="s">
        <v>3081</v>
      </c>
      <c r="R617" t="s">
        <v>3115</v>
      </c>
      <c r="S617" t="s">
        <v>1681</v>
      </c>
      <c r="T617" t="s">
        <v>58</v>
      </c>
      <c r="U617" t="s">
        <v>82</v>
      </c>
      <c r="V617" s="1">
        <v>43887</v>
      </c>
      <c r="W617">
        <v>0</v>
      </c>
      <c r="X617">
        <v>17</v>
      </c>
      <c r="AA617" t="s">
        <v>42</v>
      </c>
      <c r="AB617" t="s">
        <v>43</v>
      </c>
      <c r="AC617" t="s">
        <v>43</v>
      </c>
    </row>
    <row r="618" spans="1:31" x14ac:dyDescent="0.4">
      <c r="A618" t="s">
        <v>27</v>
      </c>
      <c r="B618">
        <v>168</v>
      </c>
      <c r="C618" t="s">
        <v>2974</v>
      </c>
      <c r="E618" t="s">
        <v>28</v>
      </c>
      <c r="F618" t="s">
        <v>1672</v>
      </c>
      <c r="G618" t="s">
        <v>1673</v>
      </c>
      <c r="H618" t="s">
        <v>1674</v>
      </c>
      <c r="J618" t="s">
        <v>1675</v>
      </c>
      <c r="K618" t="s">
        <v>1676</v>
      </c>
      <c r="L618" t="s">
        <v>1677</v>
      </c>
      <c r="M618" t="s">
        <v>35</v>
      </c>
      <c r="N618">
        <v>7534177163</v>
      </c>
      <c r="O618" t="s">
        <v>1678</v>
      </c>
      <c r="P618" t="s">
        <v>1679</v>
      </c>
      <c r="R618" t="s">
        <v>1682</v>
      </c>
      <c r="S618" t="s">
        <v>1683</v>
      </c>
      <c r="T618" t="s">
        <v>1684</v>
      </c>
      <c r="U618" t="s">
        <v>82</v>
      </c>
      <c r="V618" s="1">
        <v>41807</v>
      </c>
      <c r="W618">
        <v>0</v>
      </c>
      <c r="X618">
        <v>0</v>
      </c>
      <c r="Y618" t="s">
        <v>59</v>
      </c>
      <c r="AA618" t="s">
        <v>42</v>
      </c>
      <c r="AB618" t="s">
        <v>43</v>
      </c>
      <c r="AC618" t="s">
        <v>43</v>
      </c>
    </row>
    <row r="619" spans="1:31" x14ac:dyDescent="0.4">
      <c r="A619" t="s">
        <v>27</v>
      </c>
      <c r="B619">
        <v>168</v>
      </c>
      <c r="C619" t="s">
        <v>2974</v>
      </c>
      <c r="E619" t="s">
        <v>28</v>
      </c>
      <c r="F619" t="s">
        <v>1672</v>
      </c>
      <c r="G619" t="s">
        <v>1673</v>
      </c>
      <c r="H619" t="s">
        <v>1674</v>
      </c>
      <c r="J619" t="s">
        <v>1675</v>
      </c>
      <c r="K619" t="s">
        <v>1676</v>
      </c>
      <c r="L619" t="s">
        <v>1677</v>
      </c>
      <c r="M619" t="s">
        <v>35</v>
      </c>
      <c r="N619">
        <v>7534177163</v>
      </c>
      <c r="O619" t="s">
        <v>1678</v>
      </c>
      <c r="P619" t="s">
        <v>1679</v>
      </c>
      <c r="R619" t="s">
        <v>1682</v>
      </c>
      <c r="S619" t="s">
        <v>1683</v>
      </c>
      <c r="T619" t="s">
        <v>1684</v>
      </c>
      <c r="U619" t="s">
        <v>82</v>
      </c>
      <c r="V619" s="1">
        <v>41807</v>
      </c>
      <c r="W619">
        <v>0</v>
      </c>
      <c r="X619">
        <v>0</v>
      </c>
      <c r="Y619" t="s">
        <v>59</v>
      </c>
      <c r="AA619" t="s">
        <v>42</v>
      </c>
      <c r="AB619" t="s">
        <v>43</v>
      </c>
      <c r="AC619" t="s">
        <v>43</v>
      </c>
    </row>
    <row r="620" spans="1:31" x14ac:dyDescent="0.4">
      <c r="A620" t="s">
        <v>27</v>
      </c>
      <c r="B620">
        <v>168</v>
      </c>
      <c r="C620" t="s">
        <v>2974</v>
      </c>
      <c r="E620" t="s">
        <v>28</v>
      </c>
      <c r="F620" t="s">
        <v>1672</v>
      </c>
      <c r="G620" t="s">
        <v>1673</v>
      </c>
      <c r="H620" t="s">
        <v>1674</v>
      </c>
      <c r="J620" t="s">
        <v>1675</v>
      </c>
      <c r="K620" t="s">
        <v>1676</v>
      </c>
      <c r="L620" t="s">
        <v>1677</v>
      </c>
      <c r="M620" t="s">
        <v>35</v>
      </c>
      <c r="N620">
        <v>7534177163</v>
      </c>
      <c r="O620" t="s">
        <v>1678</v>
      </c>
      <c r="P620" t="s">
        <v>1679</v>
      </c>
      <c r="R620" t="s">
        <v>1685</v>
      </c>
      <c r="S620" t="s">
        <v>1686</v>
      </c>
      <c r="T620" t="s">
        <v>1684</v>
      </c>
      <c r="U620" t="s">
        <v>82</v>
      </c>
      <c r="V620" s="1">
        <v>42215</v>
      </c>
      <c r="W620">
        <v>0</v>
      </c>
      <c r="X620">
        <v>0</v>
      </c>
      <c r="Y620" t="s">
        <v>59</v>
      </c>
      <c r="AA620" t="s">
        <v>42</v>
      </c>
      <c r="AB620" t="s">
        <v>43</v>
      </c>
      <c r="AC620" t="s">
        <v>43</v>
      </c>
    </row>
    <row r="621" spans="1:31" x14ac:dyDescent="0.4">
      <c r="A621" t="s">
        <v>27</v>
      </c>
      <c r="B621">
        <v>168</v>
      </c>
      <c r="C621" t="s">
        <v>2974</v>
      </c>
      <c r="E621" t="s">
        <v>28</v>
      </c>
      <c r="F621" t="s">
        <v>1672</v>
      </c>
      <c r="G621" t="s">
        <v>1673</v>
      </c>
      <c r="H621" t="s">
        <v>1674</v>
      </c>
      <c r="J621" t="s">
        <v>1675</v>
      </c>
      <c r="K621" t="s">
        <v>1676</v>
      </c>
      <c r="L621" t="s">
        <v>1677</v>
      </c>
      <c r="M621" t="s">
        <v>35</v>
      </c>
      <c r="N621">
        <v>7534177163</v>
      </c>
      <c r="O621" t="s">
        <v>1678</v>
      </c>
      <c r="P621" t="s">
        <v>1679</v>
      </c>
      <c r="R621" t="s">
        <v>1685</v>
      </c>
      <c r="S621" t="s">
        <v>1686</v>
      </c>
      <c r="T621" t="s">
        <v>1684</v>
      </c>
      <c r="U621" t="s">
        <v>82</v>
      </c>
      <c r="V621" s="1">
        <v>42215</v>
      </c>
      <c r="W621">
        <v>0</v>
      </c>
      <c r="X621">
        <v>0</v>
      </c>
      <c r="Y621" t="s">
        <v>59</v>
      </c>
      <c r="AA621" t="s">
        <v>42</v>
      </c>
      <c r="AB621" t="s">
        <v>43</v>
      </c>
      <c r="AC621" t="s">
        <v>43</v>
      </c>
    </row>
    <row r="622" spans="1:31" x14ac:dyDescent="0.4">
      <c r="A622" t="s">
        <v>27</v>
      </c>
      <c r="B622">
        <v>168</v>
      </c>
      <c r="C622" t="s">
        <v>2974</v>
      </c>
      <c r="E622" t="s">
        <v>28</v>
      </c>
      <c r="F622" t="s">
        <v>1672</v>
      </c>
      <c r="G622" t="s">
        <v>1673</v>
      </c>
      <c r="H622" t="s">
        <v>1674</v>
      </c>
      <c r="J622" t="s">
        <v>1675</v>
      </c>
      <c r="K622" t="s">
        <v>1676</v>
      </c>
      <c r="L622" t="s">
        <v>1677</v>
      </c>
      <c r="M622" t="s">
        <v>35</v>
      </c>
      <c r="N622">
        <v>7534177163</v>
      </c>
      <c r="O622" t="s">
        <v>1678</v>
      </c>
      <c r="P622" t="s">
        <v>1679</v>
      </c>
      <c r="R622" t="s">
        <v>1687</v>
      </c>
      <c r="S622" t="s">
        <v>1688</v>
      </c>
      <c r="T622" t="s">
        <v>1684</v>
      </c>
      <c r="U622" t="s">
        <v>82</v>
      </c>
      <c r="V622" s="1">
        <v>43342</v>
      </c>
      <c r="W622">
        <v>0</v>
      </c>
      <c r="X622">
        <v>0</v>
      </c>
      <c r="Y622" t="s">
        <v>59</v>
      </c>
      <c r="AA622" t="s">
        <v>42</v>
      </c>
      <c r="AB622" t="s">
        <v>43</v>
      </c>
      <c r="AC622" t="s">
        <v>43</v>
      </c>
    </row>
    <row r="623" spans="1:31" x14ac:dyDescent="0.4">
      <c r="A623" t="s">
        <v>27</v>
      </c>
      <c r="B623">
        <v>168</v>
      </c>
      <c r="C623" t="s">
        <v>2974</v>
      </c>
      <c r="E623" t="s">
        <v>28</v>
      </c>
      <c r="F623" t="s">
        <v>1672</v>
      </c>
      <c r="G623" t="s">
        <v>1673</v>
      </c>
      <c r="H623" t="s">
        <v>1674</v>
      </c>
      <c r="J623" t="s">
        <v>1675</v>
      </c>
      <c r="K623" t="s">
        <v>1676</v>
      </c>
      <c r="L623" t="s">
        <v>1677</v>
      </c>
      <c r="M623" t="s">
        <v>35</v>
      </c>
      <c r="N623">
        <v>7534177163</v>
      </c>
      <c r="O623" t="s">
        <v>1678</v>
      </c>
      <c r="P623" t="s">
        <v>1679</v>
      </c>
      <c r="R623" t="s">
        <v>1687</v>
      </c>
      <c r="S623" t="s">
        <v>1688</v>
      </c>
      <c r="T623" t="s">
        <v>1684</v>
      </c>
      <c r="U623" t="s">
        <v>82</v>
      </c>
      <c r="V623" s="1">
        <v>43342</v>
      </c>
      <c r="W623">
        <v>0</v>
      </c>
      <c r="X623">
        <v>0</v>
      </c>
      <c r="Y623" t="s">
        <v>59</v>
      </c>
      <c r="AA623" t="s">
        <v>42</v>
      </c>
      <c r="AB623" t="s">
        <v>43</v>
      </c>
      <c r="AC623" t="s">
        <v>43</v>
      </c>
    </row>
    <row r="624" spans="1:31" x14ac:dyDescent="0.4">
      <c r="A624" t="s">
        <v>27</v>
      </c>
      <c r="B624">
        <v>168</v>
      </c>
      <c r="C624" t="s">
        <v>2974</v>
      </c>
      <c r="E624" t="s">
        <v>28</v>
      </c>
      <c r="F624" t="s">
        <v>1672</v>
      </c>
      <c r="G624" t="s">
        <v>1673</v>
      </c>
      <c r="H624" t="s">
        <v>1674</v>
      </c>
      <c r="J624" t="s">
        <v>1675</v>
      </c>
      <c r="K624" t="s">
        <v>1676</v>
      </c>
      <c r="L624" t="s">
        <v>1677</v>
      </c>
      <c r="M624" t="s">
        <v>35</v>
      </c>
      <c r="N624">
        <v>7534177163</v>
      </c>
      <c r="O624" t="s">
        <v>1678</v>
      </c>
      <c r="P624" t="s">
        <v>1679</v>
      </c>
      <c r="R624" t="s">
        <v>1689</v>
      </c>
      <c r="S624" t="s">
        <v>1690</v>
      </c>
      <c r="T624" t="s">
        <v>1684</v>
      </c>
      <c r="U624" t="s">
        <v>82</v>
      </c>
      <c r="V624" s="1">
        <v>43968</v>
      </c>
      <c r="W624">
        <v>0</v>
      </c>
      <c r="X624">
        <v>0</v>
      </c>
      <c r="Y624" t="s">
        <v>59</v>
      </c>
      <c r="AA624" t="s">
        <v>42</v>
      </c>
      <c r="AB624" t="s">
        <v>43</v>
      </c>
      <c r="AC624" t="s">
        <v>43</v>
      </c>
    </row>
    <row r="625" spans="1:29" x14ac:dyDescent="0.4">
      <c r="A625" t="s">
        <v>27</v>
      </c>
      <c r="B625">
        <v>168</v>
      </c>
      <c r="C625" t="s">
        <v>2974</v>
      </c>
      <c r="E625" t="s">
        <v>28</v>
      </c>
      <c r="F625" t="s">
        <v>1672</v>
      </c>
      <c r="G625" t="s">
        <v>1673</v>
      </c>
      <c r="H625" t="s">
        <v>1674</v>
      </c>
      <c r="J625" t="s">
        <v>1675</v>
      </c>
      <c r="K625" t="s">
        <v>1676</v>
      </c>
      <c r="L625" t="s">
        <v>1677</v>
      </c>
      <c r="M625" t="s">
        <v>35</v>
      </c>
      <c r="N625">
        <v>7534177163</v>
      </c>
      <c r="O625" t="s">
        <v>1678</v>
      </c>
      <c r="P625" t="s">
        <v>1679</v>
      </c>
      <c r="R625" t="s">
        <v>1689</v>
      </c>
      <c r="S625" t="s">
        <v>1690</v>
      </c>
      <c r="T625" t="s">
        <v>1684</v>
      </c>
      <c r="U625" t="s">
        <v>82</v>
      </c>
      <c r="V625" s="1">
        <v>43968</v>
      </c>
      <c r="W625">
        <v>0</v>
      </c>
      <c r="X625">
        <v>0</v>
      </c>
      <c r="Y625" t="s">
        <v>59</v>
      </c>
      <c r="AA625" t="s">
        <v>42</v>
      </c>
      <c r="AB625" t="s">
        <v>43</v>
      </c>
      <c r="AC625" t="s">
        <v>43</v>
      </c>
    </row>
    <row r="626" spans="1:29" x14ac:dyDescent="0.4">
      <c r="A626" t="s">
        <v>27</v>
      </c>
      <c r="B626">
        <v>974</v>
      </c>
      <c r="C626" t="s">
        <v>1700</v>
      </c>
      <c r="D626">
        <v>195</v>
      </c>
      <c r="E626" t="s">
        <v>28</v>
      </c>
      <c r="F626" t="s">
        <v>1691</v>
      </c>
      <c r="G626" t="s">
        <v>1692</v>
      </c>
      <c r="H626" t="s">
        <v>1693</v>
      </c>
      <c r="I626" t="s">
        <v>1694</v>
      </c>
      <c r="J626" t="s">
        <v>1695</v>
      </c>
      <c r="K626" t="s">
        <v>1696</v>
      </c>
      <c r="L626" t="s">
        <v>1697</v>
      </c>
      <c r="M626" t="s">
        <v>35</v>
      </c>
      <c r="N626" t="s">
        <v>1698</v>
      </c>
      <c r="O626" t="s">
        <v>1699</v>
      </c>
      <c r="P626" t="s">
        <v>1700</v>
      </c>
      <c r="R626" t="s">
        <v>1701</v>
      </c>
      <c r="S626" t="s">
        <v>1702</v>
      </c>
      <c r="T626" t="s">
        <v>94</v>
      </c>
      <c r="U626" t="s">
        <v>40</v>
      </c>
      <c r="V626" s="1">
        <v>45038</v>
      </c>
      <c r="W626">
        <v>0</v>
      </c>
      <c r="X626">
        <v>12</v>
      </c>
      <c r="AA626" t="s">
        <v>42</v>
      </c>
      <c r="AB626" t="s">
        <v>43</v>
      </c>
      <c r="AC626" t="s">
        <v>43</v>
      </c>
    </row>
    <row r="627" spans="1:29" x14ac:dyDescent="0.4">
      <c r="A627" t="s">
        <v>27</v>
      </c>
      <c r="B627">
        <v>974</v>
      </c>
      <c r="C627" t="s">
        <v>1700</v>
      </c>
      <c r="D627">
        <v>195</v>
      </c>
      <c r="E627" t="s">
        <v>28</v>
      </c>
      <c r="F627" t="s">
        <v>1691</v>
      </c>
      <c r="G627" t="s">
        <v>1692</v>
      </c>
      <c r="H627" t="s">
        <v>1693</v>
      </c>
      <c r="I627" t="s">
        <v>1694</v>
      </c>
      <c r="J627" t="s">
        <v>1695</v>
      </c>
      <c r="K627" t="s">
        <v>1696</v>
      </c>
      <c r="L627" t="s">
        <v>1697</v>
      </c>
      <c r="M627" t="s">
        <v>35</v>
      </c>
      <c r="N627" t="s">
        <v>1698</v>
      </c>
      <c r="O627" t="s">
        <v>1699</v>
      </c>
      <c r="P627" t="s">
        <v>1700</v>
      </c>
      <c r="R627" t="s">
        <v>1701</v>
      </c>
      <c r="S627" t="s">
        <v>1702</v>
      </c>
      <c r="T627" t="s">
        <v>94</v>
      </c>
      <c r="U627" t="s">
        <v>40</v>
      </c>
      <c r="V627" s="1">
        <v>45038</v>
      </c>
      <c r="W627">
        <v>0</v>
      </c>
      <c r="X627">
        <v>14</v>
      </c>
      <c r="AA627" t="s">
        <v>42</v>
      </c>
      <c r="AB627" t="s">
        <v>43</v>
      </c>
      <c r="AC627" t="s">
        <v>43</v>
      </c>
    </row>
    <row r="628" spans="1:29" x14ac:dyDescent="0.4">
      <c r="A628" t="s">
        <v>27</v>
      </c>
      <c r="B628">
        <v>1340</v>
      </c>
      <c r="C628" t="s">
        <v>2870</v>
      </c>
      <c r="E628" t="s">
        <v>195</v>
      </c>
      <c r="F628" t="s">
        <v>858</v>
      </c>
      <c r="G628" t="s">
        <v>1703</v>
      </c>
      <c r="H628" t="s">
        <v>1704</v>
      </c>
      <c r="I628" t="s">
        <v>86</v>
      </c>
      <c r="J628" t="s">
        <v>1705</v>
      </c>
      <c r="K628" t="s">
        <v>1706</v>
      </c>
      <c r="L628" t="s">
        <v>1707</v>
      </c>
      <c r="M628" t="s">
        <v>35</v>
      </c>
      <c r="N628">
        <v>1922452976</v>
      </c>
      <c r="O628" t="s">
        <v>1708</v>
      </c>
      <c r="P628" t="s">
        <v>1709</v>
      </c>
      <c r="R628" t="s">
        <v>1710</v>
      </c>
      <c r="S628" t="s">
        <v>1711</v>
      </c>
      <c r="T628" t="s">
        <v>94</v>
      </c>
      <c r="U628" t="s">
        <v>82</v>
      </c>
      <c r="V628" s="1">
        <v>44809</v>
      </c>
      <c r="W628">
        <v>0</v>
      </c>
      <c r="X628">
        <v>0</v>
      </c>
      <c r="Y628" t="s">
        <v>59</v>
      </c>
      <c r="Z628" t="s">
        <v>135</v>
      </c>
      <c r="AA628" t="s">
        <v>42</v>
      </c>
      <c r="AB628" t="s">
        <v>43</v>
      </c>
      <c r="AC628" t="s">
        <v>43</v>
      </c>
    </row>
    <row r="629" spans="1:29" x14ac:dyDescent="0.4">
      <c r="A629" t="s">
        <v>27</v>
      </c>
      <c r="B629">
        <v>1340</v>
      </c>
      <c r="C629" t="s">
        <v>2870</v>
      </c>
      <c r="E629" t="s">
        <v>195</v>
      </c>
      <c r="F629" t="s">
        <v>858</v>
      </c>
      <c r="G629" t="s">
        <v>1703</v>
      </c>
      <c r="H629" t="s">
        <v>1704</v>
      </c>
      <c r="I629" t="s">
        <v>86</v>
      </c>
      <c r="J629" t="s">
        <v>1705</v>
      </c>
      <c r="K629" t="s">
        <v>1706</v>
      </c>
      <c r="L629" t="s">
        <v>1707</v>
      </c>
      <c r="M629" t="s">
        <v>35</v>
      </c>
      <c r="N629">
        <v>1922452976</v>
      </c>
      <c r="O629" t="s">
        <v>1708</v>
      </c>
      <c r="P629" t="s">
        <v>1709</v>
      </c>
      <c r="R629" t="s">
        <v>1712</v>
      </c>
      <c r="S629" t="s">
        <v>1713</v>
      </c>
      <c r="T629" t="s">
        <v>94</v>
      </c>
      <c r="U629" t="s">
        <v>40</v>
      </c>
      <c r="V629" s="1">
        <v>40726</v>
      </c>
      <c r="W629">
        <v>0</v>
      </c>
      <c r="X629">
        <v>0</v>
      </c>
      <c r="Y629" t="s">
        <v>59</v>
      </c>
      <c r="Z629" t="s">
        <v>135</v>
      </c>
      <c r="AA629" t="s">
        <v>42</v>
      </c>
      <c r="AB629" t="s">
        <v>43</v>
      </c>
      <c r="AC629" t="s">
        <v>43</v>
      </c>
    </row>
    <row r="630" spans="1:29" x14ac:dyDescent="0.4">
      <c r="A630" t="s">
        <v>27</v>
      </c>
      <c r="B630">
        <v>1340</v>
      </c>
      <c r="C630" t="s">
        <v>2870</v>
      </c>
      <c r="E630" t="s">
        <v>195</v>
      </c>
      <c r="F630" t="s">
        <v>858</v>
      </c>
      <c r="G630" t="s">
        <v>1703</v>
      </c>
      <c r="H630" t="s">
        <v>1704</v>
      </c>
      <c r="I630" t="s">
        <v>86</v>
      </c>
      <c r="J630" t="s">
        <v>1705</v>
      </c>
      <c r="K630" t="s">
        <v>1706</v>
      </c>
      <c r="L630" t="s">
        <v>1707</v>
      </c>
      <c r="M630" t="s">
        <v>35</v>
      </c>
      <c r="N630">
        <v>1922452976</v>
      </c>
      <c r="O630" t="s">
        <v>1708</v>
      </c>
      <c r="P630" t="s">
        <v>1709</v>
      </c>
      <c r="R630" t="s">
        <v>1712</v>
      </c>
      <c r="S630" t="s">
        <v>1713</v>
      </c>
      <c r="T630" t="s">
        <v>94</v>
      </c>
      <c r="U630" t="s">
        <v>40</v>
      </c>
      <c r="V630" s="1">
        <v>40726</v>
      </c>
      <c r="W630">
        <v>0</v>
      </c>
      <c r="X630">
        <v>0</v>
      </c>
      <c r="Y630" t="s">
        <v>59</v>
      </c>
      <c r="Z630" t="s">
        <v>135</v>
      </c>
      <c r="AA630" t="s">
        <v>42</v>
      </c>
      <c r="AB630" t="s">
        <v>43</v>
      </c>
      <c r="AC630" t="s">
        <v>43</v>
      </c>
    </row>
    <row r="631" spans="1:29" x14ac:dyDescent="0.4">
      <c r="A631" t="s">
        <v>27</v>
      </c>
      <c r="B631">
        <v>1340</v>
      </c>
      <c r="C631" t="s">
        <v>2870</v>
      </c>
      <c r="E631" t="s">
        <v>195</v>
      </c>
      <c r="F631" t="s">
        <v>858</v>
      </c>
      <c r="G631" t="s">
        <v>1703</v>
      </c>
      <c r="H631" t="s">
        <v>1704</v>
      </c>
      <c r="I631" t="s">
        <v>86</v>
      </c>
      <c r="J631" t="s">
        <v>1705</v>
      </c>
      <c r="K631" t="s">
        <v>1706</v>
      </c>
      <c r="L631" t="s">
        <v>1707</v>
      </c>
      <c r="M631" t="s">
        <v>35</v>
      </c>
      <c r="N631">
        <v>1922452976</v>
      </c>
      <c r="O631" t="s">
        <v>1708</v>
      </c>
      <c r="P631" t="s">
        <v>1709</v>
      </c>
      <c r="R631" t="s">
        <v>1710</v>
      </c>
      <c r="S631" t="s">
        <v>1711</v>
      </c>
      <c r="T631" t="s">
        <v>94</v>
      </c>
      <c r="U631" t="s">
        <v>82</v>
      </c>
      <c r="V631" s="1">
        <v>44809</v>
      </c>
      <c r="W631">
        <v>0</v>
      </c>
      <c r="X631">
        <v>0</v>
      </c>
      <c r="Y631" t="s">
        <v>59</v>
      </c>
      <c r="Z631" t="s">
        <v>135</v>
      </c>
      <c r="AA631" t="s">
        <v>42</v>
      </c>
      <c r="AB631" t="s">
        <v>43</v>
      </c>
      <c r="AC631" t="s">
        <v>43</v>
      </c>
    </row>
    <row r="632" spans="1:29" x14ac:dyDescent="0.4">
      <c r="A632" t="s">
        <v>27</v>
      </c>
      <c r="B632">
        <v>1340</v>
      </c>
      <c r="C632" t="s">
        <v>2870</v>
      </c>
      <c r="D632">
        <v>196</v>
      </c>
      <c r="E632" t="s">
        <v>195</v>
      </c>
      <c r="F632" t="s">
        <v>858</v>
      </c>
      <c r="G632" t="s">
        <v>1703</v>
      </c>
      <c r="H632" t="s">
        <v>1704</v>
      </c>
      <c r="I632" t="s">
        <v>86</v>
      </c>
      <c r="J632" t="s">
        <v>1705</v>
      </c>
      <c r="K632" t="s">
        <v>1706</v>
      </c>
      <c r="L632" t="s">
        <v>1707</v>
      </c>
      <c r="M632" t="s">
        <v>35</v>
      </c>
      <c r="N632">
        <v>1922452976</v>
      </c>
      <c r="O632" t="s">
        <v>1708</v>
      </c>
      <c r="P632" t="s">
        <v>2870</v>
      </c>
      <c r="R632" t="s">
        <v>1714</v>
      </c>
      <c r="S632" t="s">
        <v>1715</v>
      </c>
      <c r="T632" t="s">
        <v>94</v>
      </c>
      <c r="U632" t="s">
        <v>40</v>
      </c>
      <c r="V632" s="1">
        <v>43907</v>
      </c>
      <c r="W632">
        <v>0</v>
      </c>
      <c r="X632">
        <v>7</v>
      </c>
      <c r="Z632" t="s">
        <v>135</v>
      </c>
      <c r="AA632" t="s">
        <v>42</v>
      </c>
      <c r="AB632" t="s">
        <v>43</v>
      </c>
      <c r="AC632" t="s">
        <v>43</v>
      </c>
    </row>
    <row r="633" spans="1:29" x14ac:dyDescent="0.4">
      <c r="A633" t="s">
        <v>27</v>
      </c>
      <c r="B633">
        <v>1340</v>
      </c>
      <c r="C633" t="s">
        <v>2870</v>
      </c>
      <c r="D633">
        <v>196</v>
      </c>
      <c r="E633" t="s">
        <v>195</v>
      </c>
      <c r="F633" t="s">
        <v>858</v>
      </c>
      <c r="G633" t="s">
        <v>1703</v>
      </c>
      <c r="H633" t="s">
        <v>1704</v>
      </c>
      <c r="I633" t="s">
        <v>86</v>
      </c>
      <c r="J633" t="s">
        <v>1705</v>
      </c>
      <c r="K633" t="s">
        <v>1706</v>
      </c>
      <c r="L633" t="s">
        <v>1707</v>
      </c>
      <c r="M633" t="s">
        <v>35</v>
      </c>
      <c r="N633">
        <v>1922452976</v>
      </c>
      <c r="O633" t="s">
        <v>1708</v>
      </c>
      <c r="P633" t="s">
        <v>2870</v>
      </c>
      <c r="R633" t="s">
        <v>1714</v>
      </c>
      <c r="S633" t="s">
        <v>1715</v>
      </c>
      <c r="T633" t="s">
        <v>94</v>
      </c>
      <c r="U633" t="s">
        <v>40</v>
      </c>
      <c r="V633" s="1">
        <v>43907</v>
      </c>
      <c r="W633">
        <v>0</v>
      </c>
      <c r="X633">
        <v>18</v>
      </c>
      <c r="Z633" t="s">
        <v>135</v>
      </c>
      <c r="AA633" t="s">
        <v>42</v>
      </c>
      <c r="AB633" t="s">
        <v>43</v>
      </c>
      <c r="AC633" t="s">
        <v>43</v>
      </c>
    </row>
    <row r="634" spans="1:29" x14ac:dyDescent="0.4">
      <c r="A634" t="s">
        <v>27</v>
      </c>
      <c r="B634">
        <v>2584</v>
      </c>
      <c r="C634" t="s">
        <v>2871</v>
      </c>
      <c r="D634">
        <v>197</v>
      </c>
      <c r="E634" t="s">
        <v>68</v>
      </c>
      <c r="F634" t="s">
        <v>105</v>
      </c>
      <c r="G634" t="s">
        <v>1716</v>
      </c>
      <c r="H634" t="s">
        <v>1717</v>
      </c>
      <c r="J634" t="s">
        <v>1718</v>
      </c>
      <c r="K634" t="s">
        <v>73</v>
      </c>
      <c r="L634" t="s">
        <v>1719</v>
      </c>
      <c r="M634" t="s">
        <v>35</v>
      </c>
      <c r="N634" t="s">
        <v>1720</v>
      </c>
      <c r="O634" t="s">
        <v>1721</v>
      </c>
      <c r="P634" t="s">
        <v>2871</v>
      </c>
      <c r="R634" t="s">
        <v>1722</v>
      </c>
      <c r="S634" t="s">
        <v>1723</v>
      </c>
      <c r="T634" t="s">
        <v>94</v>
      </c>
      <c r="U634" t="s">
        <v>40</v>
      </c>
      <c r="V634" s="1">
        <v>45087</v>
      </c>
      <c r="W634">
        <v>0</v>
      </c>
      <c r="X634">
        <v>4</v>
      </c>
      <c r="Y634" t="s">
        <v>65</v>
      </c>
      <c r="Z634" t="s">
        <v>135</v>
      </c>
      <c r="AA634" t="s">
        <v>42</v>
      </c>
      <c r="AB634" t="s">
        <v>43</v>
      </c>
      <c r="AC634" t="s">
        <v>43</v>
      </c>
    </row>
    <row r="635" spans="1:29" x14ac:dyDescent="0.4">
      <c r="A635" t="s">
        <v>27</v>
      </c>
      <c r="B635">
        <v>2584</v>
      </c>
      <c r="C635" t="s">
        <v>2871</v>
      </c>
      <c r="D635">
        <v>198</v>
      </c>
      <c r="E635" t="s">
        <v>68</v>
      </c>
      <c r="F635" t="s">
        <v>105</v>
      </c>
      <c r="G635" t="s">
        <v>1716</v>
      </c>
      <c r="H635" t="s">
        <v>1717</v>
      </c>
      <c r="J635" t="s">
        <v>1718</v>
      </c>
      <c r="K635" t="s">
        <v>73</v>
      </c>
      <c r="L635" t="s">
        <v>1719</v>
      </c>
      <c r="M635" t="s">
        <v>35</v>
      </c>
      <c r="N635" t="s">
        <v>1720</v>
      </c>
      <c r="O635" t="s">
        <v>1721</v>
      </c>
      <c r="P635" t="s">
        <v>2871</v>
      </c>
      <c r="R635" t="s">
        <v>3116</v>
      </c>
      <c r="S635" t="s">
        <v>1725</v>
      </c>
      <c r="T635" t="s">
        <v>94</v>
      </c>
      <c r="U635" t="s">
        <v>40</v>
      </c>
      <c r="V635" s="1">
        <v>42129</v>
      </c>
      <c r="W635">
        <v>0</v>
      </c>
      <c r="X635">
        <v>5</v>
      </c>
      <c r="Y635" t="s">
        <v>66</v>
      </c>
      <c r="Z635" t="s">
        <v>135</v>
      </c>
      <c r="AA635" t="s">
        <v>42</v>
      </c>
      <c r="AB635" t="s">
        <v>43</v>
      </c>
      <c r="AC635" t="s">
        <v>43</v>
      </c>
    </row>
    <row r="636" spans="1:29" x14ac:dyDescent="0.4">
      <c r="A636" t="s">
        <v>27</v>
      </c>
      <c r="B636">
        <v>2584</v>
      </c>
      <c r="C636" t="s">
        <v>2871</v>
      </c>
      <c r="D636">
        <v>197</v>
      </c>
      <c r="E636" t="s">
        <v>68</v>
      </c>
      <c r="F636" t="s">
        <v>105</v>
      </c>
      <c r="G636" t="s">
        <v>1716</v>
      </c>
      <c r="H636" t="s">
        <v>1717</v>
      </c>
      <c r="J636" t="s">
        <v>1718</v>
      </c>
      <c r="K636" t="s">
        <v>73</v>
      </c>
      <c r="L636" t="s">
        <v>1719</v>
      </c>
      <c r="M636" t="s">
        <v>35</v>
      </c>
      <c r="N636" t="s">
        <v>1720</v>
      </c>
      <c r="O636" t="s">
        <v>1721</v>
      </c>
      <c r="P636" t="s">
        <v>2871</v>
      </c>
      <c r="R636" t="s">
        <v>1722</v>
      </c>
      <c r="S636" t="s">
        <v>1723</v>
      </c>
      <c r="T636" t="s">
        <v>94</v>
      </c>
      <c r="U636" t="s">
        <v>40</v>
      </c>
      <c r="V636" s="1">
        <v>45087</v>
      </c>
      <c r="W636">
        <v>0</v>
      </c>
      <c r="X636">
        <v>12</v>
      </c>
      <c r="Z636" t="s">
        <v>135</v>
      </c>
      <c r="AA636" t="s">
        <v>42</v>
      </c>
      <c r="AB636" t="s">
        <v>43</v>
      </c>
      <c r="AC636" t="s">
        <v>43</v>
      </c>
    </row>
    <row r="637" spans="1:29" x14ac:dyDescent="0.4">
      <c r="A637" t="s">
        <v>27</v>
      </c>
      <c r="B637">
        <v>2584</v>
      </c>
      <c r="C637" t="s">
        <v>2871</v>
      </c>
      <c r="D637">
        <v>198</v>
      </c>
      <c r="E637" t="s">
        <v>68</v>
      </c>
      <c r="F637" t="s">
        <v>105</v>
      </c>
      <c r="G637" t="s">
        <v>1716</v>
      </c>
      <c r="H637" t="s">
        <v>1717</v>
      </c>
      <c r="J637" t="s">
        <v>1718</v>
      </c>
      <c r="K637" t="s">
        <v>73</v>
      </c>
      <c r="L637" t="s">
        <v>1719</v>
      </c>
      <c r="M637" t="s">
        <v>35</v>
      </c>
      <c r="N637" t="s">
        <v>1720</v>
      </c>
      <c r="O637" t="s">
        <v>1721</v>
      </c>
      <c r="P637" t="s">
        <v>2871</v>
      </c>
      <c r="R637" t="s">
        <v>3116</v>
      </c>
      <c r="S637" t="s">
        <v>1725</v>
      </c>
      <c r="T637" t="s">
        <v>94</v>
      </c>
      <c r="U637" t="s">
        <v>40</v>
      </c>
      <c r="V637" s="1">
        <v>42129</v>
      </c>
      <c r="W637">
        <v>0</v>
      </c>
      <c r="X637">
        <v>14</v>
      </c>
      <c r="Z637" t="s">
        <v>135</v>
      </c>
      <c r="AA637" t="s">
        <v>42</v>
      </c>
      <c r="AB637" t="s">
        <v>43</v>
      </c>
      <c r="AC637" t="s">
        <v>43</v>
      </c>
    </row>
    <row r="638" spans="1:29" x14ac:dyDescent="0.4">
      <c r="A638" t="s">
        <v>27</v>
      </c>
      <c r="B638">
        <v>2052</v>
      </c>
      <c r="C638" t="s">
        <v>2975</v>
      </c>
      <c r="D638">
        <v>199</v>
      </c>
      <c r="E638" t="s">
        <v>257</v>
      </c>
      <c r="F638" t="s">
        <v>1726</v>
      </c>
      <c r="G638" t="s">
        <v>1727</v>
      </c>
      <c r="H638" t="s">
        <v>1717</v>
      </c>
      <c r="J638" t="s">
        <v>1718</v>
      </c>
      <c r="K638" t="s">
        <v>73</v>
      </c>
      <c r="L638" t="s">
        <v>1719</v>
      </c>
      <c r="M638" t="s">
        <v>35</v>
      </c>
      <c r="N638" t="s">
        <v>1720</v>
      </c>
      <c r="O638" t="s">
        <v>1721</v>
      </c>
      <c r="P638" t="s">
        <v>3044</v>
      </c>
      <c r="R638" t="s">
        <v>3052</v>
      </c>
      <c r="S638" t="s">
        <v>1729</v>
      </c>
      <c r="T638" t="s">
        <v>94</v>
      </c>
      <c r="U638" t="s">
        <v>40</v>
      </c>
      <c r="V638" s="1">
        <v>43199</v>
      </c>
      <c r="W638">
        <v>0</v>
      </c>
      <c r="X638">
        <v>4</v>
      </c>
      <c r="Y638" t="s">
        <v>65</v>
      </c>
      <c r="AA638" t="s">
        <v>42</v>
      </c>
      <c r="AB638" t="s">
        <v>43</v>
      </c>
      <c r="AC638" t="s">
        <v>43</v>
      </c>
    </row>
    <row r="639" spans="1:29" x14ac:dyDescent="0.4">
      <c r="A639" t="s">
        <v>27</v>
      </c>
      <c r="B639">
        <v>2052</v>
      </c>
      <c r="C639" t="s">
        <v>2975</v>
      </c>
      <c r="D639">
        <v>199</v>
      </c>
      <c r="E639" t="s">
        <v>257</v>
      </c>
      <c r="F639" t="s">
        <v>1726</v>
      </c>
      <c r="G639" t="s">
        <v>1727</v>
      </c>
      <c r="H639" t="s">
        <v>1717</v>
      </c>
      <c r="J639" t="s">
        <v>1718</v>
      </c>
      <c r="K639" t="s">
        <v>73</v>
      </c>
      <c r="L639" t="s">
        <v>1719</v>
      </c>
      <c r="M639" t="s">
        <v>35</v>
      </c>
      <c r="N639" t="s">
        <v>1720</v>
      </c>
      <c r="O639" t="s">
        <v>1721</v>
      </c>
      <c r="P639" t="s">
        <v>3044</v>
      </c>
      <c r="R639" t="s">
        <v>3052</v>
      </c>
      <c r="S639" t="s">
        <v>1729</v>
      </c>
      <c r="T639" t="s">
        <v>94</v>
      </c>
      <c r="U639" t="s">
        <v>40</v>
      </c>
      <c r="V639" s="1">
        <v>43199</v>
      </c>
      <c r="W639">
        <v>0</v>
      </c>
      <c r="X639">
        <v>5</v>
      </c>
      <c r="Y639" t="s">
        <v>66</v>
      </c>
      <c r="AA639" t="s">
        <v>42</v>
      </c>
      <c r="AB639" t="s">
        <v>43</v>
      </c>
      <c r="AC639" t="s">
        <v>43</v>
      </c>
    </row>
    <row r="640" spans="1:29" x14ac:dyDescent="0.4">
      <c r="A640" t="s">
        <v>27</v>
      </c>
      <c r="B640">
        <v>2052</v>
      </c>
      <c r="C640" t="s">
        <v>2975</v>
      </c>
      <c r="D640">
        <v>199</v>
      </c>
      <c r="E640" t="s">
        <v>257</v>
      </c>
      <c r="F640" t="s">
        <v>1726</v>
      </c>
      <c r="G640" t="s">
        <v>1727</v>
      </c>
      <c r="H640" t="s">
        <v>1717</v>
      </c>
      <c r="J640" t="s">
        <v>1718</v>
      </c>
      <c r="K640" t="s">
        <v>73</v>
      </c>
      <c r="L640" t="s">
        <v>1719</v>
      </c>
      <c r="M640" t="s">
        <v>35</v>
      </c>
      <c r="N640" t="s">
        <v>1720</v>
      </c>
      <c r="O640" t="s">
        <v>1721</v>
      </c>
      <c r="P640" t="s">
        <v>3044</v>
      </c>
      <c r="R640" t="s">
        <v>3052</v>
      </c>
      <c r="S640" t="s">
        <v>1729</v>
      </c>
      <c r="T640" t="s">
        <v>94</v>
      </c>
      <c r="U640" t="s">
        <v>40</v>
      </c>
      <c r="V640" s="1">
        <v>43199</v>
      </c>
      <c r="W640">
        <v>0</v>
      </c>
      <c r="X640">
        <v>12</v>
      </c>
      <c r="AA640" t="s">
        <v>42</v>
      </c>
      <c r="AB640" t="s">
        <v>43</v>
      </c>
      <c r="AC640" t="s">
        <v>43</v>
      </c>
    </row>
    <row r="641" spans="1:29" x14ac:dyDescent="0.4">
      <c r="A641" t="s">
        <v>27</v>
      </c>
      <c r="B641">
        <v>2052</v>
      </c>
      <c r="C641" t="s">
        <v>2975</v>
      </c>
      <c r="D641">
        <v>199</v>
      </c>
      <c r="E641" t="s">
        <v>257</v>
      </c>
      <c r="F641" t="s">
        <v>1726</v>
      </c>
      <c r="G641" t="s">
        <v>1727</v>
      </c>
      <c r="H641" t="s">
        <v>1717</v>
      </c>
      <c r="J641" t="s">
        <v>1718</v>
      </c>
      <c r="K641" t="s">
        <v>73</v>
      </c>
      <c r="L641" t="s">
        <v>1719</v>
      </c>
      <c r="M641" t="s">
        <v>35</v>
      </c>
      <c r="N641" t="s">
        <v>1720</v>
      </c>
      <c r="O641" t="s">
        <v>1721</v>
      </c>
      <c r="P641" t="s">
        <v>3044</v>
      </c>
      <c r="R641" t="s">
        <v>3052</v>
      </c>
      <c r="S641" t="s">
        <v>1729</v>
      </c>
      <c r="T641" t="s">
        <v>94</v>
      </c>
      <c r="U641" t="s">
        <v>40</v>
      </c>
      <c r="V641" s="1">
        <v>43199</v>
      </c>
      <c r="W641">
        <v>0</v>
      </c>
      <c r="X641">
        <v>14</v>
      </c>
      <c r="AA641" t="s">
        <v>42</v>
      </c>
      <c r="AB641" t="s">
        <v>43</v>
      </c>
      <c r="AC641" t="s">
        <v>43</v>
      </c>
    </row>
    <row r="642" spans="1:29" x14ac:dyDescent="0.4">
      <c r="A642" t="s">
        <v>27</v>
      </c>
      <c r="B642">
        <v>5405</v>
      </c>
      <c r="C642" t="s">
        <v>2872</v>
      </c>
      <c r="D642">
        <v>200</v>
      </c>
      <c r="E642" t="s">
        <v>195</v>
      </c>
      <c r="F642" t="s">
        <v>1577</v>
      </c>
      <c r="G642" t="s">
        <v>1730</v>
      </c>
      <c r="H642" t="s">
        <v>1731</v>
      </c>
      <c r="J642" t="s">
        <v>1732</v>
      </c>
      <c r="K642" t="s">
        <v>1733</v>
      </c>
      <c r="L642" t="s">
        <v>1734</v>
      </c>
      <c r="M642" t="s">
        <v>35</v>
      </c>
      <c r="N642">
        <v>7842075908</v>
      </c>
      <c r="O642" t="s">
        <v>1735</v>
      </c>
      <c r="P642" t="s">
        <v>2872</v>
      </c>
      <c r="R642" t="s">
        <v>1736</v>
      </c>
      <c r="S642" t="s">
        <v>1737</v>
      </c>
      <c r="T642" t="s">
        <v>376</v>
      </c>
      <c r="U642" t="s">
        <v>40</v>
      </c>
      <c r="V642" s="1">
        <v>44284</v>
      </c>
      <c r="W642">
        <v>0</v>
      </c>
      <c r="X642">
        <v>4</v>
      </c>
      <c r="Y642" t="s">
        <v>65</v>
      </c>
      <c r="Z642" t="s">
        <v>135</v>
      </c>
      <c r="AA642" t="s">
        <v>42</v>
      </c>
      <c r="AB642" t="s">
        <v>43</v>
      </c>
      <c r="AC642" t="s">
        <v>43</v>
      </c>
    </row>
    <row r="643" spans="1:29" x14ac:dyDescent="0.4">
      <c r="A643" t="s">
        <v>27</v>
      </c>
      <c r="B643">
        <v>5405</v>
      </c>
      <c r="C643" t="s">
        <v>2872</v>
      </c>
      <c r="D643">
        <v>200</v>
      </c>
      <c r="E643" t="s">
        <v>195</v>
      </c>
      <c r="F643" t="s">
        <v>1577</v>
      </c>
      <c r="G643" t="s">
        <v>1730</v>
      </c>
      <c r="H643" t="s">
        <v>1731</v>
      </c>
      <c r="J643" t="s">
        <v>1732</v>
      </c>
      <c r="K643" t="s">
        <v>1733</v>
      </c>
      <c r="L643" t="s">
        <v>1734</v>
      </c>
      <c r="M643" t="s">
        <v>35</v>
      </c>
      <c r="N643">
        <v>7842075908</v>
      </c>
      <c r="O643" t="s">
        <v>1735</v>
      </c>
      <c r="P643" t="s">
        <v>2872</v>
      </c>
      <c r="R643" t="s">
        <v>1736</v>
      </c>
      <c r="S643" t="s">
        <v>1737</v>
      </c>
      <c r="T643" t="s">
        <v>376</v>
      </c>
      <c r="U643" t="s">
        <v>40</v>
      </c>
      <c r="V643" s="1">
        <v>44284</v>
      </c>
      <c r="W643">
        <v>0</v>
      </c>
      <c r="X643">
        <v>5</v>
      </c>
      <c r="Y643" t="s">
        <v>66</v>
      </c>
      <c r="Z643" t="s">
        <v>135</v>
      </c>
      <c r="AA643" t="s">
        <v>42</v>
      </c>
      <c r="AB643" t="s">
        <v>43</v>
      </c>
      <c r="AC643" t="s">
        <v>43</v>
      </c>
    </row>
    <row r="644" spans="1:29" x14ac:dyDescent="0.4">
      <c r="A644" t="s">
        <v>27</v>
      </c>
      <c r="B644">
        <v>5405</v>
      </c>
      <c r="C644" t="s">
        <v>2872</v>
      </c>
      <c r="D644">
        <v>200</v>
      </c>
      <c r="E644" t="s">
        <v>195</v>
      </c>
      <c r="F644" t="s">
        <v>1577</v>
      </c>
      <c r="G644" t="s">
        <v>1730</v>
      </c>
      <c r="H644" t="s">
        <v>1731</v>
      </c>
      <c r="J644" t="s">
        <v>1732</v>
      </c>
      <c r="K644" t="s">
        <v>1733</v>
      </c>
      <c r="L644" t="s">
        <v>1734</v>
      </c>
      <c r="M644" t="s">
        <v>35</v>
      </c>
      <c r="N644">
        <v>7842075908</v>
      </c>
      <c r="O644" t="s">
        <v>1735</v>
      </c>
      <c r="P644" t="s">
        <v>2872</v>
      </c>
      <c r="R644" t="s">
        <v>1736</v>
      </c>
      <c r="S644" t="s">
        <v>1737</v>
      </c>
      <c r="T644" t="s">
        <v>376</v>
      </c>
      <c r="U644" t="s">
        <v>40</v>
      </c>
      <c r="V644" s="1">
        <v>44284</v>
      </c>
      <c r="W644">
        <v>0</v>
      </c>
      <c r="X644">
        <v>12</v>
      </c>
      <c r="Z644" t="s">
        <v>135</v>
      </c>
      <c r="AA644" t="s">
        <v>42</v>
      </c>
      <c r="AB644" t="s">
        <v>43</v>
      </c>
      <c r="AC644" t="s">
        <v>43</v>
      </c>
    </row>
    <row r="645" spans="1:29" x14ac:dyDescent="0.4">
      <c r="A645" t="s">
        <v>27</v>
      </c>
      <c r="B645">
        <v>5405</v>
      </c>
      <c r="C645" t="s">
        <v>2872</v>
      </c>
      <c r="D645">
        <v>200</v>
      </c>
      <c r="E645" t="s">
        <v>195</v>
      </c>
      <c r="F645" t="s">
        <v>1577</v>
      </c>
      <c r="G645" t="s">
        <v>1730</v>
      </c>
      <c r="H645" t="s">
        <v>1731</v>
      </c>
      <c r="J645" t="s">
        <v>1732</v>
      </c>
      <c r="K645" t="s">
        <v>1733</v>
      </c>
      <c r="L645" t="s">
        <v>1734</v>
      </c>
      <c r="M645" t="s">
        <v>35</v>
      </c>
      <c r="N645">
        <v>7842075908</v>
      </c>
      <c r="O645" t="s">
        <v>1735</v>
      </c>
      <c r="P645" t="s">
        <v>2872</v>
      </c>
      <c r="R645" t="s">
        <v>1736</v>
      </c>
      <c r="S645" t="s">
        <v>1737</v>
      </c>
      <c r="T645" t="s">
        <v>376</v>
      </c>
      <c r="U645" t="s">
        <v>40</v>
      </c>
      <c r="V645" s="1">
        <v>44284</v>
      </c>
      <c r="W645">
        <v>0</v>
      </c>
      <c r="X645">
        <v>14</v>
      </c>
      <c r="Z645" t="s">
        <v>135</v>
      </c>
      <c r="AA645" t="s">
        <v>42</v>
      </c>
      <c r="AB645" t="s">
        <v>43</v>
      </c>
      <c r="AC645" t="s">
        <v>43</v>
      </c>
    </row>
    <row r="646" spans="1:29" x14ac:dyDescent="0.4">
      <c r="A646" t="s">
        <v>27</v>
      </c>
      <c r="B646">
        <v>1066</v>
      </c>
      <c r="C646" t="s">
        <v>2976</v>
      </c>
      <c r="D646">
        <v>201</v>
      </c>
      <c r="E646" t="s">
        <v>68</v>
      </c>
      <c r="F646" t="s">
        <v>47</v>
      </c>
      <c r="G646" t="s">
        <v>1738</v>
      </c>
      <c r="H646" t="s">
        <v>1739</v>
      </c>
      <c r="I646" t="s">
        <v>1740</v>
      </c>
      <c r="J646" t="s">
        <v>1741</v>
      </c>
      <c r="K646" t="s">
        <v>73</v>
      </c>
      <c r="L646" t="s">
        <v>1742</v>
      </c>
      <c r="M646" t="s">
        <v>35</v>
      </c>
      <c r="N646" t="s">
        <v>1743</v>
      </c>
      <c r="O646" t="s">
        <v>1744</v>
      </c>
      <c r="P646" t="s">
        <v>2976</v>
      </c>
      <c r="R646" t="s">
        <v>1745</v>
      </c>
      <c r="S646" t="s">
        <v>1746</v>
      </c>
      <c r="T646" t="s">
        <v>1747</v>
      </c>
      <c r="U646" t="s">
        <v>82</v>
      </c>
      <c r="V646" s="1">
        <v>44638</v>
      </c>
      <c r="W646">
        <v>0</v>
      </c>
      <c r="X646">
        <v>11</v>
      </c>
      <c r="AA646" t="s">
        <v>42</v>
      </c>
      <c r="AB646" t="s">
        <v>43</v>
      </c>
      <c r="AC646" t="s">
        <v>43</v>
      </c>
    </row>
    <row r="647" spans="1:29" x14ac:dyDescent="0.4">
      <c r="A647" t="s">
        <v>27</v>
      </c>
      <c r="B647">
        <v>5695</v>
      </c>
      <c r="C647" t="s">
        <v>1756</v>
      </c>
      <c r="D647">
        <v>202</v>
      </c>
      <c r="E647" t="s">
        <v>28</v>
      </c>
      <c r="F647" t="s">
        <v>1748</v>
      </c>
      <c r="G647" t="s">
        <v>1749</v>
      </c>
      <c r="H647" t="s">
        <v>1750</v>
      </c>
      <c r="I647" t="s">
        <v>1751</v>
      </c>
      <c r="J647" t="s">
        <v>1752</v>
      </c>
      <c r="K647" t="s">
        <v>1753</v>
      </c>
      <c r="L647" t="s">
        <v>1754</v>
      </c>
      <c r="M647" t="s">
        <v>35</v>
      </c>
      <c r="N647">
        <v>7845059975</v>
      </c>
      <c r="O647" t="s">
        <v>1755</v>
      </c>
      <c r="P647" t="s">
        <v>1756</v>
      </c>
      <c r="R647" t="s">
        <v>1757</v>
      </c>
      <c r="S647" t="s">
        <v>1758</v>
      </c>
      <c r="T647" t="s">
        <v>1759</v>
      </c>
      <c r="U647" t="s">
        <v>40</v>
      </c>
      <c r="V647" s="1">
        <v>41489</v>
      </c>
      <c r="W647">
        <v>0</v>
      </c>
      <c r="X647">
        <v>8</v>
      </c>
      <c r="AA647" t="s">
        <v>42</v>
      </c>
      <c r="AB647" t="s">
        <v>43</v>
      </c>
      <c r="AC647" t="s">
        <v>43</v>
      </c>
    </row>
    <row r="648" spans="1:29" x14ac:dyDescent="0.4">
      <c r="A648" t="s">
        <v>27</v>
      </c>
      <c r="B648">
        <v>5695</v>
      </c>
      <c r="C648" t="s">
        <v>1756</v>
      </c>
      <c r="D648">
        <v>202</v>
      </c>
      <c r="E648" t="s">
        <v>28</v>
      </c>
      <c r="F648" t="s">
        <v>1748</v>
      </c>
      <c r="G648" t="s">
        <v>1749</v>
      </c>
      <c r="H648" t="s">
        <v>1750</v>
      </c>
      <c r="I648" t="s">
        <v>1751</v>
      </c>
      <c r="J648" t="s">
        <v>1752</v>
      </c>
      <c r="K648" t="s">
        <v>1753</v>
      </c>
      <c r="L648" t="s">
        <v>1754</v>
      </c>
      <c r="M648" t="s">
        <v>35</v>
      </c>
      <c r="N648">
        <v>7845059975</v>
      </c>
      <c r="O648" t="s">
        <v>1755</v>
      </c>
      <c r="P648" t="s">
        <v>1756</v>
      </c>
      <c r="R648" t="s">
        <v>1757</v>
      </c>
      <c r="S648" t="s">
        <v>1758</v>
      </c>
      <c r="T648" t="s">
        <v>1759</v>
      </c>
      <c r="U648" t="s">
        <v>40</v>
      </c>
      <c r="V648" s="1">
        <v>41489</v>
      </c>
      <c r="W648">
        <v>0</v>
      </c>
      <c r="X648">
        <v>10</v>
      </c>
      <c r="AA648" t="s">
        <v>42</v>
      </c>
      <c r="AB648" t="s">
        <v>43</v>
      </c>
      <c r="AC648" t="s">
        <v>43</v>
      </c>
    </row>
    <row r="649" spans="1:29" x14ac:dyDescent="0.4">
      <c r="A649" t="s">
        <v>27</v>
      </c>
      <c r="B649">
        <v>3020</v>
      </c>
      <c r="C649" t="s">
        <v>2977</v>
      </c>
      <c r="E649" t="s">
        <v>195</v>
      </c>
      <c r="F649" t="s">
        <v>481</v>
      </c>
      <c r="G649" t="s">
        <v>1760</v>
      </c>
      <c r="H649" t="s">
        <v>1381</v>
      </c>
      <c r="I649" t="s">
        <v>1382</v>
      </c>
      <c r="J649" t="s">
        <v>1383</v>
      </c>
      <c r="K649" t="s">
        <v>426</v>
      </c>
      <c r="L649" t="s">
        <v>1384</v>
      </c>
      <c r="M649" t="s">
        <v>35</v>
      </c>
      <c r="N649" t="s">
        <v>1761</v>
      </c>
      <c r="O649" t="s">
        <v>1385</v>
      </c>
      <c r="P649" t="s">
        <v>1762</v>
      </c>
      <c r="R649" t="s">
        <v>1763</v>
      </c>
      <c r="S649" t="s">
        <v>1764</v>
      </c>
      <c r="T649" t="s">
        <v>413</v>
      </c>
      <c r="U649" t="s">
        <v>40</v>
      </c>
      <c r="V649" s="1">
        <v>45476</v>
      </c>
      <c r="W649">
        <v>0</v>
      </c>
      <c r="X649">
        <v>0</v>
      </c>
      <c r="Y649" t="s">
        <v>59</v>
      </c>
      <c r="AA649" t="s">
        <v>42</v>
      </c>
      <c r="AB649" t="s">
        <v>43</v>
      </c>
      <c r="AC649" t="s">
        <v>43</v>
      </c>
    </row>
    <row r="650" spans="1:29" x14ac:dyDescent="0.4">
      <c r="A650" t="s">
        <v>27</v>
      </c>
      <c r="B650">
        <v>3020</v>
      </c>
      <c r="C650" t="s">
        <v>2977</v>
      </c>
      <c r="E650" t="s">
        <v>195</v>
      </c>
      <c r="F650" t="s">
        <v>481</v>
      </c>
      <c r="G650" t="s">
        <v>1760</v>
      </c>
      <c r="H650" t="s">
        <v>1381</v>
      </c>
      <c r="I650" t="s">
        <v>1382</v>
      </c>
      <c r="J650" t="s">
        <v>1383</v>
      </c>
      <c r="K650" t="s">
        <v>426</v>
      </c>
      <c r="L650" t="s">
        <v>1384</v>
      </c>
      <c r="M650" t="s">
        <v>35</v>
      </c>
      <c r="N650" t="s">
        <v>1761</v>
      </c>
      <c r="O650" t="s">
        <v>1385</v>
      </c>
      <c r="P650" t="s">
        <v>1762</v>
      </c>
      <c r="R650" t="s">
        <v>1763</v>
      </c>
      <c r="S650" t="s">
        <v>1764</v>
      </c>
      <c r="T650" t="s">
        <v>413</v>
      </c>
      <c r="U650" t="s">
        <v>40</v>
      </c>
      <c r="V650" s="1">
        <v>45476</v>
      </c>
      <c r="W650">
        <v>0</v>
      </c>
      <c r="X650">
        <v>0</v>
      </c>
      <c r="Y650" t="s">
        <v>59</v>
      </c>
      <c r="AA650" t="s">
        <v>42</v>
      </c>
      <c r="AB650" t="s">
        <v>43</v>
      </c>
      <c r="AC650" t="s">
        <v>43</v>
      </c>
    </row>
    <row r="651" spans="1:29" x14ac:dyDescent="0.4">
      <c r="A651" t="s">
        <v>27</v>
      </c>
      <c r="B651">
        <v>3020</v>
      </c>
      <c r="C651" t="s">
        <v>2977</v>
      </c>
      <c r="E651" t="s">
        <v>195</v>
      </c>
      <c r="F651" t="s">
        <v>481</v>
      </c>
      <c r="G651" t="s">
        <v>1760</v>
      </c>
      <c r="H651" t="s">
        <v>1381</v>
      </c>
      <c r="I651" t="s">
        <v>1382</v>
      </c>
      <c r="J651" t="s">
        <v>1383</v>
      </c>
      <c r="K651" t="s">
        <v>426</v>
      </c>
      <c r="L651" t="s">
        <v>1384</v>
      </c>
      <c r="M651" t="s">
        <v>35</v>
      </c>
      <c r="N651" t="s">
        <v>1761</v>
      </c>
      <c r="O651" t="s">
        <v>1385</v>
      </c>
      <c r="P651" t="s">
        <v>1762</v>
      </c>
      <c r="R651" t="s">
        <v>1765</v>
      </c>
      <c r="S651" t="s">
        <v>1766</v>
      </c>
      <c r="T651" t="s">
        <v>1767</v>
      </c>
      <c r="U651" t="s">
        <v>40</v>
      </c>
      <c r="V651" s="1">
        <v>42625</v>
      </c>
      <c r="W651">
        <v>0</v>
      </c>
      <c r="X651">
        <v>0</v>
      </c>
      <c r="Y651" t="s">
        <v>59</v>
      </c>
      <c r="AA651" t="s">
        <v>42</v>
      </c>
      <c r="AB651" t="s">
        <v>43</v>
      </c>
      <c r="AC651" t="s">
        <v>43</v>
      </c>
    </row>
    <row r="652" spans="1:29" x14ac:dyDescent="0.4">
      <c r="A652" t="s">
        <v>27</v>
      </c>
      <c r="B652">
        <v>3020</v>
      </c>
      <c r="C652" t="s">
        <v>2977</v>
      </c>
      <c r="E652" t="s">
        <v>195</v>
      </c>
      <c r="F652" t="s">
        <v>481</v>
      </c>
      <c r="G652" t="s">
        <v>1760</v>
      </c>
      <c r="H652" t="s">
        <v>1381</v>
      </c>
      <c r="I652" t="s">
        <v>1382</v>
      </c>
      <c r="J652" t="s">
        <v>1383</v>
      </c>
      <c r="K652" t="s">
        <v>426</v>
      </c>
      <c r="L652" t="s">
        <v>1384</v>
      </c>
      <c r="M652" t="s">
        <v>35</v>
      </c>
      <c r="N652" t="s">
        <v>1761</v>
      </c>
      <c r="O652" t="s">
        <v>1385</v>
      </c>
      <c r="P652" t="s">
        <v>1762</v>
      </c>
      <c r="R652" t="s">
        <v>1765</v>
      </c>
      <c r="S652" t="s">
        <v>1766</v>
      </c>
      <c r="T652" t="s">
        <v>1767</v>
      </c>
      <c r="U652" t="s">
        <v>40</v>
      </c>
      <c r="V652" s="1">
        <v>42625</v>
      </c>
      <c r="W652">
        <v>0</v>
      </c>
      <c r="X652">
        <v>0</v>
      </c>
      <c r="Y652" t="s">
        <v>59</v>
      </c>
      <c r="AA652" t="s">
        <v>42</v>
      </c>
      <c r="AB652" t="s">
        <v>43</v>
      </c>
      <c r="AC652" t="s">
        <v>43</v>
      </c>
    </row>
    <row r="653" spans="1:29" x14ac:dyDescent="0.4">
      <c r="A653" t="s">
        <v>27</v>
      </c>
      <c r="B653">
        <v>3020</v>
      </c>
      <c r="C653" t="s">
        <v>2977</v>
      </c>
      <c r="E653" t="s">
        <v>195</v>
      </c>
      <c r="F653" t="s">
        <v>481</v>
      </c>
      <c r="G653" t="s">
        <v>1760</v>
      </c>
      <c r="H653" t="s">
        <v>1381</v>
      </c>
      <c r="I653" t="s">
        <v>1382</v>
      </c>
      <c r="J653" t="s">
        <v>1383</v>
      </c>
      <c r="K653" t="s">
        <v>426</v>
      </c>
      <c r="L653" t="s">
        <v>1384</v>
      </c>
      <c r="M653" t="s">
        <v>35</v>
      </c>
      <c r="N653" t="s">
        <v>1761</v>
      </c>
      <c r="O653" t="s">
        <v>1385</v>
      </c>
      <c r="P653" t="s">
        <v>1762</v>
      </c>
      <c r="R653" t="s">
        <v>1768</v>
      </c>
      <c r="S653" t="s">
        <v>1769</v>
      </c>
      <c r="T653" t="s">
        <v>580</v>
      </c>
      <c r="U653" t="s">
        <v>40</v>
      </c>
      <c r="V653" s="1">
        <v>43277</v>
      </c>
      <c r="W653">
        <v>0</v>
      </c>
      <c r="X653">
        <v>0</v>
      </c>
      <c r="Y653" t="s">
        <v>59</v>
      </c>
      <c r="AA653" t="s">
        <v>42</v>
      </c>
      <c r="AB653" t="s">
        <v>43</v>
      </c>
      <c r="AC653" t="s">
        <v>43</v>
      </c>
    </row>
    <row r="654" spans="1:29" x14ac:dyDescent="0.4">
      <c r="A654" t="s">
        <v>27</v>
      </c>
      <c r="B654">
        <v>3020</v>
      </c>
      <c r="C654" t="s">
        <v>2977</v>
      </c>
      <c r="E654" t="s">
        <v>195</v>
      </c>
      <c r="F654" t="s">
        <v>481</v>
      </c>
      <c r="G654" t="s">
        <v>1760</v>
      </c>
      <c r="H654" t="s">
        <v>1381</v>
      </c>
      <c r="I654" t="s">
        <v>1382</v>
      </c>
      <c r="J654" t="s">
        <v>1383</v>
      </c>
      <c r="K654" t="s">
        <v>426</v>
      </c>
      <c r="L654" t="s">
        <v>1384</v>
      </c>
      <c r="M654" t="s">
        <v>35</v>
      </c>
      <c r="N654" t="s">
        <v>1761</v>
      </c>
      <c r="O654" t="s">
        <v>1385</v>
      </c>
      <c r="P654" t="s">
        <v>1762</v>
      </c>
      <c r="R654" t="s">
        <v>1768</v>
      </c>
      <c r="S654" t="s">
        <v>1769</v>
      </c>
      <c r="T654" t="s">
        <v>580</v>
      </c>
      <c r="U654" t="s">
        <v>40</v>
      </c>
      <c r="V654" s="1">
        <v>43277</v>
      </c>
      <c r="W654">
        <v>0</v>
      </c>
      <c r="X654">
        <v>0</v>
      </c>
      <c r="Y654" t="s">
        <v>59</v>
      </c>
      <c r="AA654" t="s">
        <v>42</v>
      </c>
      <c r="AB654" t="s">
        <v>43</v>
      </c>
      <c r="AC654" t="s">
        <v>43</v>
      </c>
    </row>
    <row r="655" spans="1:29" x14ac:dyDescent="0.4">
      <c r="A655" t="s">
        <v>27</v>
      </c>
      <c r="B655">
        <v>633</v>
      </c>
      <c r="C655" t="s">
        <v>2978</v>
      </c>
      <c r="D655">
        <v>204</v>
      </c>
      <c r="E655" t="s">
        <v>68</v>
      </c>
      <c r="F655" t="s">
        <v>858</v>
      </c>
      <c r="G655" t="s">
        <v>1770</v>
      </c>
      <c r="H655" t="s">
        <v>1771</v>
      </c>
      <c r="I655" t="s">
        <v>1772</v>
      </c>
      <c r="J655" t="s">
        <v>1773</v>
      </c>
      <c r="K655" t="s">
        <v>242</v>
      </c>
      <c r="L655" t="s">
        <v>1774</v>
      </c>
      <c r="M655" t="s">
        <v>35</v>
      </c>
      <c r="N655" t="s">
        <v>1775</v>
      </c>
      <c r="O655" t="s">
        <v>1776</v>
      </c>
      <c r="P655" t="s">
        <v>2978</v>
      </c>
      <c r="R655" t="s">
        <v>1777</v>
      </c>
      <c r="S655" t="s">
        <v>1778</v>
      </c>
      <c r="T655" t="s">
        <v>58</v>
      </c>
      <c r="U655" t="s">
        <v>82</v>
      </c>
      <c r="V655" s="1">
        <v>45353</v>
      </c>
      <c r="W655">
        <v>0</v>
      </c>
      <c r="X655">
        <v>4</v>
      </c>
      <c r="Y655" t="s">
        <v>65</v>
      </c>
      <c r="AA655" t="s">
        <v>42</v>
      </c>
      <c r="AB655" t="s">
        <v>43</v>
      </c>
      <c r="AC655" t="s">
        <v>43</v>
      </c>
    </row>
    <row r="656" spans="1:29" x14ac:dyDescent="0.4">
      <c r="A656" t="s">
        <v>27</v>
      </c>
      <c r="B656">
        <v>633</v>
      </c>
      <c r="C656" t="s">
        <v>2978</v>
      </c>
      <c r="D656">
        <v>205</v>
      </c>
      <c r="E656" t="s">
        <v>68</v>
      </c>
      <c r="F656" t="s">
        <v>858</v>
      </c>
      <c r="G656" t="s">
        <v>1770</v>
      </c>
      <c r="H656" t="s">
        <v>1771</v>
      </c>
      <c r="I656" t="s">
        <v>1772</v>
      </c>
      <c r="J656" t="s">
        <v>1773</v>
      </c>
      <c r="K656" t="s">
        <v>242</v>
      </c>
      <c r="L656" t="s">
        <v>1774</v>
      </c>
      <c r="M656" t="s">
        <v>35</v>
      </c>
      <c r="N656" t="s">
        <v>1775</v>
      </c>
      <c r="O656" t="s">
        <v>1776</v>
      </c>
      <c r="P656" t="s">
        <v>2978</v>
      </c>
      <c r="R656" t="s">
        <v>1779</v>
      </c>
      <c r="S656" t="s">
        <v>1780</v>
      </c>
      <c r="T656" t="s">
        <v>58</v>
      </c>
      <c r="U656" t="s">
        <v>40</v>
      </c>
      <c r="V656" s="1">
        <v>43954</v>
      </c>
      <c r="W656">
        <v>0</v>
      </c>
      <c r="X656">
        <v>5</v>
      </c>
      <c r="Y656" t="s">
        <v>66</v>
      </c>
      <c r="AA656" t="s">
        <v>42</v>
      </c>
      <c r="AB656" t="s">
        <v>43</v>
      </c>
      <c r="AC656" t="s">
        <v>43</v>
      </c>
    </row>
    <row r="657" spans="1:30" x14ac:dyDescent="0.4">
      <c r="A657" t="s">
        <v>27</v>
      </c>
      <c r="B657">
        <v>633</v>
      </c>
      <c r="C657" t="s">
        <v>2978</v>
      </c>
      <c r="D657">
        <v>206</v>
      </c>
      <c r="E657" t="s">
        <v>68</v>
      </c>
      <c r="F657" t="s">
        <v>858</v>
      </c>
      <c r="G657" t="s">
        <v>1770</v>
      </c>
      <c r="H657" t="s">
        <v>1771</v>
      </c>
      <c r="I657" t="s">
        <v>1772</v>
      </c>
      <c r="J657" t="s">
        <v>1773</v>
      </c>
      <c r="K657" t="s">
        <v>242</v>
      </c>
      <c r="L657" t="s">
        <v>1774</v>
      </c>
      <c r="M657" t="s">
        <v>35</v>
      </c>
      <c r="N657" t="s">
        <v>1775</v>
      </c>
      <c r="O657" t="s">
        <v>1776</v>
      </c>
      <c r="P657" t="s">
        <v>2978</v>
      </c>
      <c r="R657" t="s">
        <v>1781</v>
      </c>
      <c r="S657" t="s">
        <v>1782</v>
      </c>
      <c r="T657" t="s">
        <v>58</v>
      </c>
      <c r="U657" t="s">
        <v>82</v>
      </c>
      <c r="V657" s="1">
        <v>43954</v>
      </c>
      <c r="W657">
        <v>0</v>
      </c>
      <c r="X657">
        <v>5</v>
      </c>
      <c r="Y657" t="s">
        <v>66</v>
      </c>
      <c r="AA657" t="s">
        <v>42</v>
      </c>
      <c r="AB657" t="s">
        <v>43</v>
      </c>
      <c r="AC657" t="s">
        <v>43</v>
      </c>
    </row>
    <row r="658" spans="1:30" x14ac:dyDescent="0.4">
      <c r="A658" t="s">
        <v>27</v>
      </c>
      <c r="B658">
        <v>633</v>
      </c>
      <c r="C658" t="s">
        <v>2978</v>
      </c>
      <c r="D658">
        <v>203</v>
      </c>
      <c r="E658" t="s">
        <v>68</v>
      </c>
      <c r="F658" t="s">
        <v>858</v>
      </c>
      <c r="G658" t="s">
        <v>1770</v>
      </c>
      <c r="H658" t="s">
        <v>1771</v>
      </c>
      <c r="I658" t="s">
        <v>1772</v>
      </c>
      <c r="J658" t="s">
        <v>1773</v>
      </c>
      <c r="K658" t="s">
        <v>242</v>
      </c>
      <c r="L658" t="s">
        <v>1774</v>
      </c>
      <c r="M658" t="s">
        <v>35</v>
      </c>
      <c r="N658" t="s">
        <v>1775</v>
      </c>
      <c r="O658" t="s">
        <v>1776</v>
      </c>
      <c r="P658" t="s">
        <v>2978</v>
      </c>
      <c r="R658" t="s">
        <v>1783</v>
      </c>
      <c r="S658" t="s">
        <v>1784</v>
      </c>
      <c r="T658" t="s">
        <v>58</v>
      </c>
      <c r="U658" t="s">
        <v>82</v>
      </c>
      <c r="V658" s="1">
        <v>43108</v>
      </c>
      <c r="W658">
        <v>0</v>
      </c>
      <c r="X658">
        <v>7</v>
      </c>
      <c r="AA658" t="s">
        <v>42</v>
      </c>
      <c r="AB658" t="s">
        <v>43</v>
      </c>
      <c r="AC658" t="s">
        <v>43</v>
      </c>
    </row>
    <row r="659" spans="1:30" x14ac:dyDescent="0.4">
      <c r="A659" t="s">
        <v>27</v>
      </c>
      <c r="B659">
        <v>633</v>
      </c>
      <c r="C659" t="s">
        <v>2978</v>
      </c>
      <c r="D659">
        <v>204</v>
      </c>
      <c r="E659" t="s">
        <v>68</v>
      </c>
      <c r="F659" t="s">
        <v>858</v>
      </c>
      <c r="G659" t="s">
        <v>1770</v>
      </c>
      <c r="H659" t="s">
        <v>1771</v>
      </c>
      <c r="I659" t="s">
        <v>1772</v>
      </c>
      <c r="J659" t="s">
        <v>1773</v>
      </c>
      <c r="K659" t="s">
        <v>242</v>
      </c>
      <c r="L659" t="s">
        <v>1774</v>
      </c>
      <c r="M659" t="s">
        <v>35</v>
      </c>
      <c r="N659" t="s">
        <v>1775</v>
      </c>
      <c r="O659" t="s">
        <v>1776</v>
      </c>
      <c r="P659" t="s">
        <v>2978</v>
      </c>
      <c r="R659" t="s">
        <v>1777</v>
      </c>
      <c r="S659" t="s">
        <v>1778</v>
      </c>
      <c r="T659" t="s">
        <v>58</v>
      </c>
      <c r="U659" t="s">
        <v>82</v>
      </c>
      <c r="V659" s="1">
        <v>45353</v>
      </c>
      <c r="W659">
        <v>0</v>
      </c>
      <c r="X659">
        <v>13</v>
      </c>
      <c r="AA659" t="s">
        <v>42</v>
      </c>
      <c r="AB659" t="s">
        <v>43</v>
      </c>
      <c r="AC659" t="s">
        <v>43</v>
      </c>
    </row>
    <row r="660" spans="1:30" x14ac:dyDescent="0.4">
      <c r="A660" t="s">
        <v>27</v>
      </c>
      <c r="B660">
        <v>633</v>
      </c>
      <c r="C660" t="s">
        <v>2978</v>
      </c>
      <c r="D660">
        <v>205</v>
      </c>
      <c r="E660" t="s">
        <v>68</v>
      </c>
      <c r="F660" t="s">
        <v>858</v>
      </c>
      <c r="G660" t="s">
        <v>1770</v>
      </c>
      <c r="H660" t="s">
        <v>1771</v>
      </c>
      <c r="I660" t="s">
        <v>1772</v>
      </c>
      <c r="J660" t="s">
        <v>1773</v>
      </c>
      <c r="K660" t="s">
        <v>242</v>
      </c>
      <c r="L660" t="s">
        <v>1774</v>
      </c>
      <c r="M660" t="s">
        <v>35</v>
      </c>
      <c r="N660" t="s">
        <v>1775</v>
      </c>
      <c r="O660" t="s">
        <v>1776</v>
      </c>
      <c r="P660" t="s">
        <v>2978</v>
      </c>
      <c r="R660" t="s">
        <v>1779</v>
      </c>
      <c r="S660" t="s">
        <v>1780</v>
      </c>
      <c r="T660" t="s">
        <v>58</v>
      </c>
      <c r="U660" t="s">
        <v>40</v>
      </c>
      <c r="V660" s="1">
        <v>43954</v>
      </c>
      <c r="W660">
        <v>0</v>
      </c>
      <c r="X660">
        <v>14</v>
      </c>
      <c r="AA660" t="s">
        <v>42</v>
      </c>
      <c r="AB660" t="s">
        <v>43</v>
      </c>
      <c r="AC660" t="s">
        <v>43</v>
      </c>
    </row>
    <row r="661" spans="1:30" x14ac:dyDescent="0.4">
      <c r="A661" t="s">
        <v>27</v>
      </c>
      <c r="B661">
        <v>633</v>
      </c>
      <c r="C661" t="s">
        <v>2978</v>
      </c>
      <c r="D661">
        <v>206</v>
      </c>
      <c r="E661" t="s">
        <v>68</v>
      </c>
      <c r="F661" t="s">
        <v>858</v>
      </c>
      <c r="G661" t="s">
        <v>1770</v>
      </c>
      <c r="H661" t="s">
        <v>1771</v>
      </c>
      <c r="I661" t="s">
        <v>1772</v>
      </c>
      <c r="J661" t="s">
        <v>1773</v>
      </c>
      <c r="K661" t="s">
        <v>242</v>
      </c>
      <c r="L661" t="s">
        <v>1774</v>
      </c>
      <c r="M661" t="s">
        <v>35</v>
      </c>
      <c r="N661" t="s">
        <v>1775</v>
      </c>
      <c r="O661" t="s">
        <v>1776</v>
      </c>
      <c r="P661" t="s">
        <v>2978</v>
      </c>
      <c r="R661" t="s">
        <v>1781</v>
      </c>
      <c r="S661" t="s">
        <v>1782</v>
      </c>
      <c r="T661" t="s">
        <v>58</v>
      </c>
      <c r="U661" t="s">
        <v>82</v>
      </c>
      <c r="V661" s="1">
        <v>43954</v>
      </c>
      <c r="W661">
        <v>0</v>
      </c>
      <c r="X661">
        <v>15</v>
      </c>
      <c r="AA661" t="s">
        <v>42</v>
      </c>
      <c r="AB661" t="s">
        <v>43</v>
      </c>
      <c r="AC661" t="s">
        <v>43</v>
      </c>
    </row>
    <row r="662" spans="1:30" x14ac:dyDescent="0.4">
      <c r="A662" t="s">
        <v>27</v>
      </c>
      <c r="B662">
        <v>633</v>
      </c>
      <c r="C662" t="s">
        <v>2978</v>
      </c>
      <c r="D662">
        <v>203</v>
      </c>
      <c r="E662" t="s">
        <v>68</v>
      </c>
      <c r="F662" t="s">
        <v>858</v>
      </c>
      <c r="G662" t="s">
        <v>1770</v>
      </c>
      <c r="H662" t="s">
        <v>1771</v>
      </c>
      <c r="I662" t="s">
        <v>1772</v>
      </c>
      <c r="J662" t="s">
        <v>1773</v>
      </c>
      <c r="K662" t="s">
        <v>242</v>
      </c>
      <c r="L662" t="s">
        <v>1774</v>
      </c>
      <c r="M662" t="s">
        <v>35</v>
      </c>
      <c r="N662" t="s">
        <v>1775</v>
      </c>
      <c r="O662" t="s">
        <v>1776</v>
      </c>
      <c r="P662" t="s">
        <v>2978</v>
      </c>
      <c r="R662" t="s">
        <v>1783</v>
      </c>
      <c r="S662" t="s">
        <v>1784</v>
      </c>
      <c r="T662" t="s">
        <v>58</v>
      </c>
      <c r="U662" t="s">
        <v>82</v>
      </c>
      <c r="V662" s="1">
        <v>43108</v>
      </c>
      <c r="W662">
        <v>0</v>
      </c>
      <c r="X662">
        <v>19</v>
      </c>
      <c r="AA662" t="s">
        <v>42</v>
      </c>
      <c r="AB662" t="s">
        <v>43</v>
      </c>
      <c r="AC662" t="s">
        <v>43</v>
      </c>
    </row>
    <row r="663" spans="1:30" x14ac:dyDescent="0.4">
      <c r="A663" t="s">
        <v>27</v>
      </c>
      <c r="B663">
        <v>5874</v>
      </c>
      <c r="C663" t="s">
        <v>1790</v>
      </c>
      <c r="D663">
        <v>207</v>
      </c>
      <c r="E663" t="s">
        <v>28</v>
      </c>
      <c r="F663" t="s">
        <v>1785</v>
      </c>
      <c r="G663" t="s">
        <v>1786</v>
      </c>
      <c r="H663" t="s">
        <v>1787</v>
      </c>
      <c r="J663" t="s">
        <v>559</v>
      </c>
      <c r="K663" t="s">
        <v>51</v>
      </c>
      <c r="L663" t="s">
        <v>1788</v>
      </c>
      <c r="M663" t="s">
        <v>35</v>
      </c>
      <c r="N663">
        <v>7917033788</v>
      </c>
      <c r="O663" t="s">
        <v>1789</v>
      </c>
      <c r="P663" t="s">
        <v>1790</v>
      </c>
      <c r="R663" t="s">
        <v>1791</v>
      </c>
      <c r="S663" t="s">
        <v>1792</v>
      </c>
      <c r="U663" t="s">
        <v>40</v>
      </c>
      <c r="V663" s="1">
        <v>43569</v>
      </c>
      <c r="W663">
        <v>0</v>
      </c>
      <c r="X663">
        <v>9</v>
      </c>
      <c r="AA663" t="s">
        <v>42</v>
      </c>
      <c r="AB663" t="s">
        <v>43</v>
      </c>
      <c r="AC663" t="s">
        <v>43</v>
      </c>
    </row>
    <row r="664" spans="1:30" x14ac:dyDescent="0.4">
      <c r="A664" t="s">
        <v>27</v>
      </c>
      <c r="B664">
        <v>5874</v>
      </c>
      <c r="C664" t="s">
        <v>1790</v>
      </c>
      <c r="D664">
        <v>207</v>
      </c>
      <c r="E664" t="s">
        <v>28</v>
      </c>
      <c r="F664" t="s">
        <v>1785</v>
      </c>
      <c r="G664" t="s">
        <v>1786</v>
      </c>
      <c r="H664" t="s">
        <v>1787</v>
      </c>
      <c r="J664" t="s">
        <v>559</v>
      </c>
      <c r="K664" t="s">
        <v>51</v>
      </c>
      <c r="L664" t="s">
        <v>1788</v>
      </c>
      <c r="M664" t="s">
        <v>35</v>
      </c>
      <c r="N664">
        <v>7917033788</v>
      </c>
      <c r="O664" t="s">
        <v>1789</v>
      </c>
      <c r="P664" t="s">
        <v>1790</v>
      </c>
      <c r="R664" t="s">
        <v>1791</v>
      </c>
      <c r="S664" t="s">
        <v>1792</v>
      </c>
      <c r="U664" t="s">
        <v>40</v>
      </c>
      <c r="V664" s="1">
        <v>43569</v>
      </c>
      <c r="W664">
        <v>0</v>
      </c>
      <c r="X664">
        <v>10</v>
      </c>
      <c r="AA664" t="s">
        <v>42</v>
      </c>
      <c r="AB664" t="s">
        <v>43</v>
      </c>
      <c r="AC664" t="s">
        <v>43</v>
      </c>
    </row>
    <row r="665" spans="1:30" x14ac:dyDescent="0.4">
      <c r="A665" t="s">
        <v>27</v>
      </c>
      <c r="B665">
        <v>5874</v>
      </c>
      <c r="C665" t="s">
        <v>1790</v>
      </c>
      <c r="D665">
        <v>207</v>
      </c>
      <c r="E665" t="s">
        <v>28</v>
      </c>
      <c r="F665" t="s">
        <v>1785</v>
      </c>
      <c r="G665" t="s">
        <v>1786</v>
      </c>
      <c r="H665" t="s">
        <v>1787</v>
      </c>
      <c r="J665" t="s">
        <v>559</v>
      </c>
      <c r="K665" t="s">
        <v>51</v>
      </c>
      <c r="L665" t="s">
        <v>1788</v>
      </c>
      <c r="M665" t="s">
        <v>35</v>
      </c>
      <c r="N665">
        <v>7917033788</v>
      </c>
      <c r="O665" t="s">
        <v>1789</v>
      </c>
      <c r="P665" t="s">
        <v>1790</v>
      </c>
      <c r="R665" t="s">
        <v>1791</v>
      </c>
      <c r="S665" t="s">
        <v>1792</v>
      </c>
      <c r="U665" t="s">
        <v>40</v>
      </c>
      <c r="V665" s="1">
        <v>43569</v>
      </c>
      <c r="W665">
        <v>0</v>
      </c>
      <c r="X665">
        <v>11</v>
      </c>
      <c r="AA665" t="s">
        <v>42</v>
      </c>
      <c r="AB665" t="s">
        <v>43</v>
      </c>
      <c r="AC665" t="s">
        <v>43</v>
      </c>
    </row>
    <row r="666" spans="1:30" x14ac:dyDescent="0.4">
      <c r="A666" t="s">
        <v>27</v>
      </c>
      <c r="B666">
        <v>6078</v>
      </c>
      <c r="C666" t="s">
        <v>2901</v>
      </c>
      <c r="D666">
        <v>209</v>
      </c>
      <c r="E666" t="s">
        <v>195</v>
      </c>
      <c r="F666" t="s">
        <v>1793</v>
      </c>
      <c r="G666" t="s">
        <v>1794</v>
      </c>
      <c r="H666" t="s">
        <v>1795</v>
      </c>
      <c r="I666" t="s">
        <v>1796</v>
      </c>
      <c r="J666" t="s">
        <v>50</v>
      </c>
      <c r="K666" t="s">
        <v>51</v>
      </c>
      <c r="L666" t="s">
        <v>1797</v>
      </c>
      <c r="M666" t="s">
        <v>35</v>
      </c>
      <c r="N666">
        <v>7769677841</v>
      </c>
      <c r="O666" t="s">
        <v>1798</v>
      </c>
      <c r="P666" t="s">
        <v>2905</v>
      </c>
      <c r="R666" t="s">
        <v>1799</v>
      </c>
      <c r="S666" t="s">
        <v>1800</v>
      </c>
      <c r="T666" t="s">
        <v>169</v>
      </c>
      <c r="U666" t="s">
        <v>40</v>
      </c>
      <c r="V666" s="1">
        <v>44158</v>
      </c>
      <c r="W666">
        <v>0</v>
      </c>
      <c r="X666">
        <v>1</v>
      </c>
      <c r="AA666" t="s">
        <v>42</v>
      </c>
      <c r="AB666" t="s">
        <v>43</v>
      </c>
      <c r="AC666" t="s">
        <v>43</v>
      </c>
    </row>
    <row r="667" spans="1:30" x14ac:dyDescent="0.4">
      <c r="A667" t="s">
        <v>27</v>
      </c>
      <c r="B667">
        <v>6078</v>
      </c>
      <c r="C667" t="s">
        <v>2901</v>
      </c>
      <c r="D667">
        <v>209</v>
      </c>
      <c r="E667" t="s">
        <v>195</v>
      </c>
      <c r="F667" t="s">
        <v>1793</v>
      </c>
      <c r="G667" t="s">
        <v>1794</v>
      </c>
      <c r="H667" t="s">
        <v>1795</v>
      </c>
      <c r="I667" t="s">
        <v>1796</v>
      </c>
      <c r="J667" t="s">
        <v>50</v>
      </c>
      <c r="K667" t="s">
        <v>51</v>
      </c>
      <c r="L667" t="s">
        <v>1797</v>
      </c>
      <c r="M667" t="s">
        <v>35</v>
      </c>
      <c r="N667">
        <v>7769677841</v>
      </c>
      <c r="O667" t="s">
        <v>1798</v>
      </c>
      <c r="P667" t="s">
        <v>2901</v>
      </c>
      <c r="R667" t="s">
        <v>1799</v>
      </c>
      <c r="S667" t="s">
        <v>1800</v>
      </c>
      <c r="T667" t="s">
        <v>169</v>
      </c>
      <c r="U667" t="s">
        <v>40</v>
      </c>
      <c r="V667" s="1">
        <v>44158</v>
      </c>
      <c r="W667">
        <v>0</v>
      </c>
      <c r="X667">
        <v>2</v>
      </c>
      <c r="AA667" t="s">
        <v>42</v>
      </c>
      <c r="AB667" t="s">
        <v>43</v>
      </c>
      <c r="AC667" t="s">
        <v>43</v>
      </c>
    </row>
    <row r="668" spans="1:30" x14ac:dyDescent="0.4">
      <c r="A668" t="s">
        <v>27</v>
      </c>
      <c r="B668">
        <v>6078</v>
      </c>
      <c r="C668" t="s">
        <v>2901</v>
      </c>
      <c r="D668">
        <v>209</v>
      </c>
      <c r="E668" t="s">
        <v>195</v>
      </c>
      <c r="F668" t="s">
        <v>1793</v>
      </c>
      <c r="G668" t="s">
        <v>1794</v>
      </c>
      <c r="H668" t="s">
        <v>1795</v>
      </c>
      <c r="I668" t="s">
        <v>1796</v>
      </c>
      <c r="J668" t="s">
        <v>50</v>
      </c>
      <c r="K668" t="s">
        <v>51</v>
      </c>
      <c r="L668" t="s">
        <v>1797</v>
      </c>
      <c r="M668" t="s">
        <v>35</v>
      </c>
      <c r="N668">
        <v>7769677841</v>
      </c>
      <c r="O668" t="s">
        <v>1798</v>
      </c>
      <c r="P668" t="s">
        <v>2901</v>
      </c>
      <c r="R668" t="s">
        <v>1799</v>
      </c>
      <c r="S668" t="s">
        <v>1800</v>
      </c>
      <c r="T668" t="s">
        <v>169</v>
      </c>
      <c r="U668" t="s">
        <v>40</v>
      </c>
      <c r="V668" s="1">
        <v>44158</v>
      </c>
      <c r="W668">
        <v>0</v>
      </c>
      <c r="X668">
        <v>8</v>
      </c>
      <c r="AA668" t="s">
        <v>42</v>
      </c>
      <c r="AB668" t="s">
        <v>43</v>
      </c>
      <c r="AC668" t="s">
        <v>43</v>
      </c>
    </row>
    <row r="669" spans="1:30" x14ac:dyDescent="0.4">
      <c r="A669" t="s">
        <v>27</v>
      </c>
      <c r="B669">
        <v>6078</v>
      </c>
      <c r="C669" t="s">
        <v>2901</v>
      </c>
      <c r="D669">
        <v>209</v>
      </c>
      <c r="E669" t="s">
        <v>195</v>
      </c>
      <c r="F669" t="s">
        <v>1793</v>
      </c>
      <c r="G669" t="s">
        <v>1794</v>
      </c>
      <c r="H669" t="s">
        <v>1795</v>
      </c>
      <c r="I669" t="s">
        <v>1796</v>
      </c>
      <c r="J669" t="s">
        <v>50</v>
      </c>
      <c r="K669" t="s">
        <v>51</v>
      </c>
      <c r="L669" t="s">
        <v>1797</v>
      </c>
      <c r="M669" t="s">
        <v>35</v>
      </c>
      <c r="N669">
        <v>7769677841</v>
      </c>
      <c r="O669" t="s">
        <v>1798</v>
      </c>
      <c r="P669" t="s">
        <v>2901</v>
      </c>
      <c r="R669" t="s">
        <v>1799</v>
      </c>
      <c r="S669" t="s">
        <v>1800</v>
      </c>
      <c r="T669" t="s">
        <v>169</v>
      </c>
      <c r="U669" t="s">
        <v>40</v>
      </c>
      <c r="V669" s="1">
        <v>44158</v>
      </c>
      <c r="W669">
        <v>0</v>
      </c>
      <c r="X669">
        <v>9</v>
      </c>
      <c r="AA669" t="s">
        <v>42</v>
      </c>
      <c r="AB669" t="s">
        <v>43</v>
      </c>
      <c r="AC669" t="s">
        <v>43</v>
      </c>
    </row>
    <row r="670" spans="1:30" x14ac:dyDescent="0.4">
      <c r="A670" t="s">
        <v>27</v>
      </c>
      <c r="B670">
        <v>4711</v>
      </c>
      <c r="C670" t="s">
        <v>2979</v>
      </c>
      <c r="D670">
        <v>210</v>
      </c>
      <c r="E670" t="s">
        <v>68</v>
      </c>
      <c r="F670" t="s">
        <v>950</v>
      </c>
      <c r="G670" t="s">
        <v>1801</v>
      </c>
      <c r="H670" t="s">
        <v>1802</v>
      </c>
      <c r="I670" t="s">
        <v>1803</v>
      </c>
      <c r="J670" t="s">
        <v>1804</v>
      </c>
      <c r="K670" t="s">
        <v>426</v>
      </c>
      <c r="L670" t="s">
        <v>1805</v>
      </c>
      <c r="M670" t="s">
        <v>35</v>
      </c>
      <c r="N670">
        <v>7801499913</v>
      </c>
      <c r="O670" t="s">
        <v>1806</v>
      </c>
      <c r="P670" t="s">
        <v>1807</v>
      </c>
      <c r="R670" t="s">
        <v>1808</v>
      </c>
      <c r="S670" t="s">
        <v>1809</v>
      </c>
      <c r="T670" t="s">
        <v>555</v>
      </c>
      <c r="U670" t="s">
        <v>82</v>
      </c>
      <c r="V670" s="1">
        <v>43182</v>
      </c>
      <c r="W670">
        <v>0</v>
      </c>
      <c r="X670">
        <v>2</v>
      </c>
      <c r="AA670" t="s">
        <v>42</v>
      </c>
      <c r="AB670" t="s">
        <v>43</v>
      </c>
      <c r="AC670" t="s">
        <v>43</v>
      </c>
      <c r="AD670" t="s">
        <v>1810</v>
      </c>
    </row>
    <row r="671" spans="1:30" x14ac:dyDescent="0.4">
      <c r="A671" t="s">
        <v>27</v>
      </c>
      <c r="B671">
        <v>4711</v>
      </c>
      <c r="C671" t="s">
        <v>2979</v>
      </c>
      <c r="D671">
        <v>210</v>
      </c>
      <c r="E671" t="s">
        <v>68</v>
      </c>
      <c r="F671" t="s">
        <v>950</v>
      </c>
      <c r="G671" t="s">
        <v>1801</v>
      </c>
      <c r="H671" t="s">
        <v>1802</v>
      </c>
      <c r="I671" t="s">
        <v>1803</v>
      </c>
      <c r="J671" t="s">
        <v>1804</v>
      </c>
      <c r="K671" t="s">
        <v>426</v>
      </c>
      <c r="L671" t="s">
        <v>1805</v>
      </c>
      <c r="M671" t="s">
        <v>35</v>
      </c>
      <c r="N671">
        <v>7801499913</v>
      </c>
      <c r="O671" t="s">
        <v>1806</v>
      </c>
      <c r="P671" t="s">
        <v>1807</v>
      </c>
      <c r="R671" t="s">
        <v>1808</v>
      </c>
      <c r="S671" t="s">
        <v>1809</v>
      </c>
      <c r="T671" t="s">
        <v>555</v>
      </c>
      <c r="U671" t="s">
        <v>82</v>
      </c>
      <c r="V671" s="1">
        <v>43182</v>
      </c>
      <c r="W671">
        <v>0</v>
      </c>
      <c r="X671">
        <v>3</v>
      </c>
      <c r="AA671" t="s">
        <v>42</v>
      </c>
      <c r="AB671" t="s">
        <v>43</v>
      </c>
      <c r="AC671" t="s">
        <v>43</v>
      </c>
      <c r="AD671" t="s">
        <v>1810</v>
      </c>
    </row>
    <row r="672" spans="1:30" x14ac:dyDescent="0.4">
      <c r="A672" t="s">
        <v>27</v>
      </c>
      <c r="B672">
        <v>5484</v>
      </c>
      <c r="C672" t="s">
        <v>2980</v>
      </c>
      <c r="D672">
        <v>211</v>
      </c>
      <c r="E672" t="s">
        <v>28</v>
      </c>
      <c r="F672" t="s">
        <v>1811</v>
      </c>
      <c r="G672" t="s">
        <v>1812</v>
      </c>
      <c r="H672" t="s">
        <v>1813</v>
      </c>
      <c r="J672" t="s">
        <v>775</v>
      </c>
      <c r="K672" t="s">
        <v>51</v>
      </c>
      <c r="L672" t="s">
        <v>1814</v>
      </c>
      <c r="M672" t="s">
        <v>35</v>
      </c>
      <c r="N672">
        <v>7809202699</v>
      </c>
      <c r="O672" t="s">
        <v>1815</v>
      </c>
      <c r="P672" t="s">
        <v>2980</v>
      </c>
      <c r="R672" t="s">
        <v>1816</v>
      </c>
      <c r="S672" t="s">
        <v>1817</v>
      </c>
      <c r="T672" t="s">
        <v>1818</v>
      </c>
      <c r="U672" t="s">
        <v>82</v>
      </c>
      <c r="V672" s="1">
        <v>45362</v>
      </c>
      <c r="W672">
        <v>0</v>
      </c>
      <c r="X672">
        <v>9</v>
      </c>
      <c r="AA672" t="s">
        <v>42</v>
      </c>
      <c r="AB672" t="s">
        <v>43</v>
      </c>
      <c r="AC672" t="s">
        <v>43</v>
      </c>
    </row>
    <row r="673" spans="1:30" x14ac:dyDescent="0.4">
      <c r="A673" t="s">
        <v>27</v>
      </c>
      <c r="B673">
        <v>5484</v>
      </c>
      <c r="C673" t="s">
        <v>2980</v>
      </c>
      <c r="D673">
        <v>211</v>
      </c>
      <c r="E673" t="s">
        <v>28</v>
      </c>
      <c r="F673" t="s">
        <v>1811</v>
      </c>
      <c r="G673" t="s">
        <v>1812</v>
      </c>
      <c r="H673" t="s">
        <v>1813</v>
      </c>
      <c r="J673" t="s">
        <v>775</v>
      </c>
      <c r="K673" t="s">
        <v>51</v>
      </c>
      <c r="L673" t="s">
        <v>1814</v>
      </c>
      <c r="M673" t="s">
        <v>35</v>
      </c>
      <c r="N673">
        <v>7809202699</v>
      </c>
      <c r="O673" t="s">
        <v>1815</v>
      </c>
      <c r="P673" t="s">
        <v>2980</v>
      </c>
      <c r="R673" t="s">
        <v>1816</v>
      </c>
      <c r="S673" t="s">
        <v>1817</v>
      </c>
      <c r="T673" t="s">
        <v>1818</v>
      </c>
      <c r="U673" t="s">
        <v>82</v>
      </c>
      <c r="V673" s="1">
        <v>45362</v>
      </c>
      <c r="W673">
        <v>0</v>
      </c>
      <c r="X673">
        <v>8</v>
      </c>
      <c r="AA673" t="s">
        <v>42</v>
      </c>
      <c r="AB673" t="s">
        <v>43</v>
      </c>
      <c r="AC673" t="s">
        <v>43</v>
      </c>
    </row>
    <row r="674" spans="1:30" x14ac:dyDescent="0.4">
      <c r="A674" t="s">
        <v>27</v>
      </c>
      <c r="B674">
        <v>520</v>
      </c>
      <c r="C674" t="s">
        <v>2981</v>
      </c>
      <c r="D674">
        <v>212</v>
      </c>
      <c r="E674" t="s">
        <v>68</v>
      </c>
      <c r="F674" t="s">
        <v>1062</v>
      </c>
      <c r="G674" t="s">
        <v>1819</v>
      </c>
      <c r="H674" t="s">
        <v>1820</v>
      </c>
      <c r="J674" t="s">
        <v>1004</v>
      </c>
      <c r="K674" t="s">
        <v>1821</v>
      </c>
      <c r="L674" t="s">
        <v>1822</v>
      </c>
      <c r="M674" t="s">
        <v>35</v>
      </c>
      <c r="N674" t="s">
        <v>1823</v>
      </c>
      <c r="O674" t="s">
        <v>1824</v>
      </c>
      <c r="P674" t="s">
        <v>2981</v>
      </c>
      <c r="R674" t="s">
        <v>1825</v>
      </c>
      <c r="S674" t="s">
        <v>1826</v>
      </c>
      <c r="T674" t="s">
        <v>284</v>
      </c>
      <c r="U674" t="s">
        <v>40</v>
      </c>
      <c r="V674" s="1">
        <v>45013</v>
      </c>
      <c r="W674">
        <v>0</v>
      </c>
      <c r="X674">
        <v>12</v>
      </c>
      <c r="AA674" t="s">
        <v>42</v>
      </c>
      <c r="AB674" t="s">
        <v>43</v>
      </c>
      <c r="AC674" t="s">
        <v>42</v>
      </c>
      <c r="AD674" t="s">
        <v>1827</v>
      </c>
    </row>
    <row r="675" spans="1:30" x14ac:dyDescent="0.4">
      <c r="A675" t="s">
        <v>27</v>
      </c>
      <c r="B675">
        <v>520</v>
      </c>
      <c r="C675" t="s">
        <v>2981</v>
      </c>
      <c r="D675">
        <v>212</v>
      </c>
      <c r="E675" t="s">
        <v>68</v>
      </c>
      <c r="F675" t="s">
        <v>1062</v>
      </c>
      <c r="G675" t="s">
        <v>1819</v>
      </c>
      <c r="H675" t="s">
        <v>1820</v>
      </c>
      <c r="J675" t="s">
        <v>1004</v>
      </c>
      <c r="K675" t="s">
        <v>1821</v>
      </c>
      <c r="L675" t="s">
        <v>1822</v>
      </c>
      <c r="M675" t="s">
        <v>35</v>
      </c>
      <c r="N675" t="s">
        <v>1823</v>
      </c>
      <c r="O675" t="s">
        <v>1824</v>
      </c>
      <c r="P675" t="s">
        <v>2981</v>
      </c>
      <c r="R675" t="s">
        <v>1825</v>
      </c>
      <c r="S675" t="s">
        <v>1826</v>
      </c>
      <c r="T675" t="s">
        <v>284</v>
      </c>
      <c r="U675" t="s">
        <v>40</v>
      </c>
      <c r="V675" s="1">
        <v>45013</v>
      </c>
      <c r="W675">
        <v>0</v>
      </c>
      <c r="X675">
        <v>14</v>
      </c>
      <c r="AA675" t="s">
        <v>42</v>
      </c>
      <c r="AB675" t="s">
        <v>43</v>
      </c>
      <c r="AC675" t="s">
        <v>42</v>
      </c>
      <c r="AD675" t="s">
        <v>1827</v>
      </c>
    </row>
    <row r="676" spans="1:30" x14ac:dyDescent="0.4">
      <c r="A676" t="s">
        <v>27</v>
      </c>
      <c r="B676">
        <v>520</v>
      </c>
      <c r="C676" t="s">
        <v>2981</v>
      </c>
      <c r="D676">
        <v>213</v>
      </c>
      <c r="E676" t="s">
        <v>68</v>
      </c>
      <c r="F676" t="s">
        <v>1062</v>
      </c>
      <c r="G676" t="s">
        <v>1819</v>
      </c>
      <c r="H676" t="s">
        <v>1820</v>
      </c>
      <c r="J676" t="s">
        <v>1004</v>
      </c>
      <c r="K676" t="s">
        <v>1821</v>
      </c>
      <c r="L676" t="s">
        <v>1822</v>
      </c>
      <c r="M676" t="s">
        <v>35</v>
      </c>
      <c r="N676" t="s">
        <v>1823</v>
      </c>
      <c r="O676" t="s">
        <v>1824</v>
      </c>
      <c r="P676" t="s">
        <v>2981</v>
      </c>
      <c r="R676" t="s">
        <v>1828</v>
      </c>
      <c r="S676" t="s">
        <v>1829</v>
      </c>
      <c r="T676" t="s">
        <v>284</v>
      </c>
      <c r="U676" t="s">
        <v>82</v>
      </c>
      <c r="V676" s="1">
        <v>43532</v>
      </c>
      <c r="W676">
        <v>0</v>
      </c>
      <c r="X676">
        <v>17</v>
      </c>
      <c r="AA676" t="s">
        <v>42</v>
      </c>
      <c r="AB676" t="s">
        <v>43</v>
      </c>
      <c r="AC676" t="s">
        <v>42</v>
      </c>
      <c r="AD676" t="s">
        <v>1827</v>
      </c>
    </row>
    <row r="677" spans="1:30" x14ac:dyDescent="0.4">
      <c r="A677" t="s">
        <v>27</v>
      </c>
      <c r="B677">
        <v>738</v>
      </c>
      <c r="C677" t="s">
        <v>1837</v>
      </c>
      <c r="D677">
        <v>214</v>
      </c>
      <c r="E677" t="s">
        <v>68</v>
      </c>
      <c r="F677" t="s">
        <v>1830</v>
      </c>
      <c r="G677" t="s">
        <v>1831</v>
      </c>
      <c r="H677" t="s">
        <v>1832</v>
      </c>
      <c r="J677" t="s">
        <v>1833</v>
      </c>
      <c r="K677" t="s">
        <v>813</v>
      </c>
      <c r="L677" t="s">
        <v>1834</v>
      </c>
      <c r="M677" t="s">
        <v>35</v>
      </c>
      <c r="N677" t="s">
        <v>1835</v>
      </c>
      <c r="O677" t="s">
        <v>1836</v>
      </c>
      <c r="P677" t="s">
        <v>3043</v>
      </c>
      <c r="R677" t="s">
        <v>1838</v>
      </c>
      <c r="S677" t="s">
        <v>1839</v>
      </c>
      <c r="T677" t="s">
        <v>284</v>
      </c>
      <c r="U677" t="s">
        <v>40</v>
      </c>
      <c r="V677" s="1">
        <v>44680</v>
      </c>
      <c r="W677">
        <v>0</v>
      </c>
      <c r="X677">
        <v>4</v>
      </c>
      <c r="Y677" t="s">
        <v>65</v>
      </c>
      <c r="AA677" t="s">
        <v>42</v>
      </c>
      <c r="AB677" t="s">
        <v>43</v>
      </c>
      <c r="AC677" t="s">
        <v>42</v>
      </c>
    </row>
    <row r="678" spans="1:30" x14ac:dyDescent="0.4">
      <c r="A678" t="s">
        <v>27</v>
      </c>
      <c r="B678">
        <v>738</v>
      </c>
      <c r="C678" t="s">
        <v>1837</v>
      </c>
      <c r="D678">
        <v>214</v>
      </c>
      <c r="E678" t="s">
        <v>68</v>
      </c>
      <c r="F678" t="s">
        <v>1830</v>
      </c>
      <c r="G678" t="s">
        <v>1831</v>
      </c>
      <c r="H678" t="s">
        <v>1832</v>
      </c>
      <c r="J678" t="s">
        <v>1833</v>
      </c>
      <c r="K678" t="s">
        <v>813</v>
      </c>
      <c r="L678" t="s">
        <v>1834</v>
      </c>
      <c r="M678" t="s">
        <v>35</v>
      </c>
      <c r="N678" t="s">
        <v>1835</v>
      </c>
      <c r="O678" t="s">
        <v>1836</v>
      </c>
      <c r="P678" t="s">
        <v>3043</v>
      </c>
      <c r="R678" t="s">
        <v>1838</v>
      </c>
      <c r="S678" t="s">
        <v>1839</v>
      </c>
      <c r="T678" t="s">
        <v>284</v>
      </c>
      <c r="U678" t="s">
        <v>40</v>
      </c>
      <c r="V678" s="1">
        <v>44680</v>
      </c>
      <c r="W678">
        <v>0</v>
      </c>
      <c r="X678">
        <v>5</v>
      </c>
      <c r="Y678" t="s">
        <v>66</v>
      </c>
      <c r="AA678" t="s">
        <v>42</v>
      </c>
      <c r="AB678" t="s">
        <v>43</v>
      </c>
      <c r="AC678" t="s">
        <v>42</v>
      </c>
    </row>
    <row r="679" spans="1:30" x14ac:dyDescent="0.4">
      <c r="A679" t="s">
        <v>27</v>
      </c>
      <c r="B679">
        <v>3792</v>
      </c>
      <c r="C679" t="s">
        <v>2982</v>
      </c>
      <c r="D679">
        <v>215</v>
      </c>
      <c r="E679" t="s">
        <v>68</v>
      </c>
      <c r="F679" t="s">
        <v>1840</v>
      </c>
      <c r="G679" t="s">
        <v>1841</v>
      </c>
      <c r="H679" t="s">
        <v>1842</v>
      </c>
      <c r="J679" t="s">
        <v>1843</v>
      </c>
      <c r="K679" t="s">
        <v>528</v>
      </c>
      <c r="L679" t="s">
        <v>1844</v>
      </c>
      <c r="M679" t="s">
        <v>35</v>
      </c>
      <c r="N679" t="s">
        <v>1845</v>
      </c>
      <c r="O679" t="s">
        <v>1846</v>
      </c>
      <c r="P679" t="s">
        <v>3042</v>
      </c>
      <c r="R679" t="s">
        <v>1847</v>
      </c>
      <c r="S679" t="s">
        <v>1848</v>
      </c>
      <c r="T679" t="s">
        <v>169</v>
      </c>
      <c r="U679" t="s">
        <v>40</v>
      </c>
      <c r="V679" s="1">
        <v>44159</v>
      </c>
      <c r="W679">
        <v>0</v>
      </c>
      <c r="X679">
        <v>4</v>
      </c>
      <c r="Y679" t="s">
        <v>65</v>
      </c>
      <c r="AA679" t="s">
        <v>42</v>
      </c>
      <c r="AB679" t="s">
        <v>43</v>
      </c>
      <c r="AC679" t="s">
        <v>43</v>
      </c>
    </row>
    <row r="680" spans="1:30" x14ac:dyDescent="0.4">
      <c r="A680" t="s">
        <v>27</v>
      </c>
      <c r="B680">
        <v>3792</v>
      </c>
      <c r="C680" t="s">
        <v>2982</v>
      </c>
      <c r="D680">
        <v>215</v>
      </c>
      <c r="E680" t="s">
        <v>68</v>
      </c>
      <c r="F680" t="s">
        <v>1840</v>
      </c>
      <c r="G680" t="s">
        <v>1841</v>
      </c>
      <c r="H680" t="s">
        <v>1842</v>
      </c>
      <c r="J680" t="s">
        <v>1843</v>
      </c>
      <c r="K680" t="s">
        <v>528</v>
      </c>
      <c r="L680" t="s">
        <v>1844</v>
      </c>
      <c r="M680" t="s">
        <v>35</v>
      </c>
      <c r="N680" t="s">
        <v>1845</v>
      </c>
      <c r="O680" t="s">
        <v>1846</v>
      </c>
      <c r="P680" t="s">
        <v>3042</v>
      </c>
      <c r="R680" t="s">
        <v>1847</v>
      </c>
      <c r="S680" t="s">
        <v>1848</v>
      </c>
      <c r="T680" t="s">
        <v>169</v>
      </c>
      <c r="U680" t="s">
        <v>40</v>
      </c>
      <c r="V680" s="1">
        <v>44159</v>
      </c>
      <c r="W680">
        <v>0</v>
      </c>
      <c r="X680">
        <v>5</v>
      </c>
      <c r="Y680" t="s">
        <v>66</v>
      </c>
      <c r="AA680" t="s">
        <v>42</v>
      </c>
      <c r="AB680" t="s">
        <v>43</v>
      </c>
      <c r="AC680" t="s">
        <v>43</v>
      </c>
    </row>
    <row r="681" spans="1:30" x14ac:dyDescent="0.4">
      <c r="A681" t="s">
        <v>27</v>
      </c>
      <c r="B681">
        <v>3792</v>
      </c>
      <c r="C681" t="s">
        <v>2982</v>
      </c>
      <c r="D681">
        <v>215</v>
      </c>
      <c r="E681" t="s">
        <v>68</v>
      </c>
      <c r="F681" t="s">
        <v>1840</v>
      </c>
      <c r="G681" t="s">
        <v>1841</v>
      </c>
      <c r="H681" t="s">
        <v>1842</v>
      </c>
      <c r="J681" t="s">
        <v>1843</v>
      </c>
      <c r="K681" t="s">
        <v>528</v>
      </c>
      <c r="L681" t="s">
        <v>1844</v>
      </c>
      <c r="M681" t="s">
        <v>35</v>
      </c>
      <c r="N681" t="s">
        <v>1845</v>
      </c>
      <c r="O681" t="s">
        <v>1846</v>
      </c>
      <c r="P681" t="s">
        <v>3042</v>
      </c>
      <c r="R681" t="s">
        <v>1847</v>
      </c>
      <c r="S681" t="s">
        <v>1848</v>
      </c>
      <c r="T681" t="s">
        <v>169</v>
      </c>
      <c r="U681" t="s">
        <v>40</v>
      </c>
      <c r="V681" s="1">
        <v>44159</v>
      </c>
      <c r="W681">
        <v>0</v>
      </c>
      <c r="X681">
        <v>12</v>
      </c>
      <c r="AA681" t="s">
        <v>42</v>
      </c>
      <c r="AB681" t="s">
        <v>43</v>
      </c>
      <c r="AC681" t="s">
        <v>43</v>
      </c>
    </row>
    <row r="682" spans="1:30" x14ac:dyDescent="0.4">
      <c r="A682" t="s">
        <v>27</v>
      </c>
      <c r="B682">
        <v>3792</v>
      </c>
      <c r="C682" t="s">
        <v>2982</v>
      </c>
      <c r="D682">
        <v>215</v>
      </c>
      <c r="E682" t="s">
        <v>68</v>
      </c>
      <c r="F682" t="s">
        <v>1840</v>
      </c>
      <c r="G682" t="s">
        <v>1841</v>
      </c>
      <c r="H682" t="s">
        <v>1842</v>
      </c>
      <c r="J682" t="s">
        <v>1843</v>
      </c>
      <c r="K682" t="s">
        <v>528</v>
      </c>
      <c r="L682" t="s">
        <v>1844</v>
      </c>
      <c r="M682" t="s">
        <v>35</v>
      </c>
      <c r="N682" t="s">
        <v>1845</v>
      </c>
      <c r="O682" t="s">
        <v>1846</v>
      </c>
      <c r="P682" t="s">
        <v>3042</v>
      </c>
      <c r="R682" t="s">
        <v>1847</v>
      </c>
      <c r="S682" t="s">
        <v>1848</v>
      </c>
      <c r="T682" t="s">
        <v>169</v>
      </c>
      <c r="U682" t="s">
        <v>40</v>
      </c>
      <c r="V682" s="1">
        <v>44159</v>
      </c>
      <c r="W682">
        <v>0</v>
      </c>
      <c r="X682">
        <v>14</v>
      </c>
      <c r="AA682" t="s">
        <v>42</v>
      </c>
      <c r="AB682" t="s">
        <v>43</v>
      </c>
      <c r="AC682" t="s">
        <v>43</v>
      </c>
    </row>
    <row r="683" spans="1:30" x14ac:dyDescent="0.4">
      <c r="A683" t="s">
        <v>27</v>
      </c>
      <c r="B683">
        <v>6280</v>
      </c>
      <c r="C683" t="s">
        <v>2983</v>
      </c>
      <c r="D683">
        <v>216</v>
      </c>
      <c r="E683" t="s">
        <v>28</v>
      </c>
      <c r="F683" t="s">
        <v>1849</v>
      </c>
      <c r="G683" t="s">
        <v>1850</v>
      </c>
      <c r="H683" t="s">
        <v>1851</v>
      </c>
      <c r="J683" t="s">
        <v>623</v>
      </c>
      <c r="K683" t="s">
        <v>1852</v>
      </c>
      <c r="L683" t="s">
        <v>1853</v>
      </c>
      <c r="M683" t="s">
        <v>35</v>
      </c>
      <c r="N683">
        <v>7859050081</v>
      </c>
      <c r="O683" t="s">
        <v>1854</v>
      </c>
      <c r="P683" t="s">
        <v>2983</v>
      </c>
      <c r="R683" t="s">
        <v>3117</v>
      </c>
      <c r="S683" t="s">
        <v>1856</v>
      </c>
      <c r="T683" t="s">
        <v>1857</v>
      </c>
      <c r="U683" t="s">
        <v>40</v>
      </c>
      <c r="V683" s="1">
        <v>44797</v>
      </c>
      <c r="W683">
        <v>0</v>
      </c>
      <c r="X683">
        <v>9</v>
      </c>
      <c r="AA683" t="s">
        <v>42</v>
      </c>
      <c r="AB683" t="s">
        <v>43</v>
      </c>
      <c r="AC683" t="s">
        <v>42</v>
      </c>
    </row>
    <row r="684" spans="1:30" x14ac:dyDescent="0.4">
      <c r="A684" t="s">
        <v>27</v>
      </c>
      <c r="B684">
        <v>6280</v>
      </c>
      <c r="C684" t="s">
        <v>2983</v>
      </c>
      <c r="D684">
        <v>216</v>
      </c>
      <c r="E684" t="s">
        <v>28</v>
      </c>
      <c r="F684" t="s">
        <v>1849</v>
      </c>
      <c r="G684" t="s">
        <v>1850</v>
      </c>
      <c r="H684" t="s">
        <v>1851</v>
      </c>
      <c r="J684" t="s">
        <v>623</v>
      </c>
      <c r="K684" t="s">
        <v>1852</v>
      </c>
      <c r="L684" t="s">
        <v>1853</v>
      </c>
      <c r="M684" t="s">
        <v>35</v>
      </c>
      <c r="N684">
        <v>7859050081</v>
      </c>
      <c r="O684" t="s">
        <v>1854</v>
      </c>
      <c r="P684" t="s">
        <v>2983</v>
      </c>
      <c r="R684" t="s">
        <v>3117</v>
      </c>
      <c r="S684" t="s">
        <v>1856</v>
      </c>
      <c r="T684" t="s">
        <v>1857</v>
      </c>
      <c r="U684" t="s">
        <v>40</v>
      </c>
      <c r="V684" s="1">
        <v>44797</v>
      </c>
      <c r="W684">
        <v>0</v>
      </c>
      <c r="X684">
        <v>10</v>
      </c>
      <c r="AA684" t="s">
        <v>42</v>
      </c>
      <c r="AB684" t="s">
        <v>43</v>
      </c>
      <c r="AC684" t="s">
        <v>42</v>
      </c>
    </row>
    <row r="685" spans="1:30" x14ac:dyDescent="0.4">
      <c r="A685" t="s">
        <v>27</v>
      </c>
      <c r="B685">
        <v>1439</v>
      </c>
      <c r="C685" t="s">
        <v>83</v>
      </c>
      <c r="D685">
        <v>217</v>
      </c>
      <c r="E685" t="s">
        <v>68</v>
      </c>
      <c r="F685" t="s">
        <v>896</v>
      </c>
      <c r="G685" t="s">
        <v>1858</v>
      </c>
      <c r="H685" t="s">
        <v>1859</v>
      </c>
      <c r="I685" t="s">
        <v>1860</v>
      </c>
      <c r="J685" t="s">
        <v>200</v>
      </c>
      <c r="K685" t="s">
        <v>201</v>
      </c>
      <c r="L685" t="s">
        <v>1861</v>
      </c>
      <c r="M685" t="s">
        <v>35</v>
      </c>
      <c r="N685" t="s">
        <v>1862</v>
      </c>
      <c r="O685" t="s">
        <v>1863</v>
      </c>
      <c r="P685" t="s">
        <v>83</v>
      </c>
      <c r="R685" t="s">
        <v>1864</v>
      </c>
      <c r="S685" t="s">
        <v>1865</v>
      </c>
      <c r="T685" t="s">
        <v>376</v>
      </c>
      <c r="U685" t="s">
        <v>40</v>
      </c>
      <c r="V685" s="1">
        <v>44128</v>
      </c>
      <c r="W685">
        <v>0</v>
      </c>
      <c r="X685">
        <v>20</v>
      </c>
      <c r="AA685" t="s">
        <v>42</v>
      </c>
      <c r="AB685" t="s">
        <v>43</v>
      </c>
      <c r="AC685" t="s">
        <v>42</v>
      </c>
    </row>
    <row r="686" spans="1:30" x14ac:dyDescent="0.4">
      <c r="A686" t="s">
        <v>27</v>
      </c>
      <c r="B686">
        <v>1439</v>
      </c>
      <c r="C686" t="s">
        <v>83</v>
      </c>
      <c r="D686">
        <v>218</v>
      </c>
      <c r="E686" t="s">
        <v>68</v>
      </c>
      <c r="F686" t="s">
        <v>896</v>
      </c>
      <c r="G686" t="s">
        <v>1858</v>
      </c>
      <c r="H686" t="s">
        <v>1859</v>
      </c>
      <c r="I686" t="s">
        <v>1860</v>
      </c>
      <c r="J686" t="s">
        <v>200</v>
      </c>
      <c r="K686" t="s">
        <v>201</v>
      </c>
      <c r="L686" t="s">
        <v>1861</v>
      </c>
      <c r="M686" t="s">
        <v>35</v>
      </c>
      <c r="N686" t="s">
        <v>1862</v>
      </c>
      <c r="O686" t="s">
        <v>1863</v>
      </c>
      <c r="P686" t="s">
        <v>83</v>
      </c>
      <c r="R686" t="s">
        <v>1866</v>
      </c>
      <c r="S686" t="s">
        <v>1867</v>
      </c>
      <c r="T686" t="s">
        <v>58</v>
      </c>
      <c r="U686" t="s">
        <v>82</v>
      </c>
      <c r="V686" s="1">
        <v>42681</v>
      </c>
      <c r="W686">
        <v>0</v>
      </c>
      <c r="X686">
        <v>21</v>
      </c>
      <c r="AA686" t="s">
        <v>42</v>
      </c>
      <c r="AB686" t="s">
        <v>43</v>
      </c>
      <c r="AC686" t="s">
        <v>42</v>
      </c>
    </row>
    <row r="687" spans="1:30" x14ac:dyDescent="0.4">
      <c r="A687" t="s">
        <v>27</v>
      </c>
      <c r="B687">
        <v>1752</v>
      </c>
      <c r="C687" t="s">
        <v>2984</v>
      </c>
      <c r="D687">
        <v>219</v>
      </c>
      <c r="E687" t="s">
        <v>28</v>
      </c>
      <c r="F687" t="s">
        <v>47</v>
      </c>
      <c r="G687" t="s">
        <v>1868</v>
      </c>
      <c r="H687" t="s">
        <v>1869</v>
      </c>
      <c r="I687" t="s">
        <v>1870</v>
      </c>
      <c r="J687" t="s">
        <v>752</v>
      </c>
      <c r="K687" t="s">
        <v>370</v>
      </c>
      <c r="L687" t="s">
        <v>1871</v>
      </c>
      <c r="M687" t="s">
        <v>35</v>
      </c>
      <c r="N687" t="s">
        <v>1872</v>
      </c>
      <c r="O687" t="s">
        <v>1873</v>
      </c>
      <c r="P687" t="s">
        <v>2984</v>
      </c>
      <c r="R687" t="s">
        <v>1875</v>
      </c>
      <c r="S687" t="s">
        <v>1876</v>
      </c>
      <c r="T687" t="s">
        <v>534</v>
      </c>
      <c r="U687" t="s">
        <v>82</v>
      </c>
      <c r="V687" s="1">
        <v>44723</v>
      </c>
      <c r="W687">
        <v>0</v>
      </c>
      <c r="X687">
        <v>4</v>
      </c>
      <c r="Y687" t="s">
        <v>65</v>
      </c>
      <c r="AA687" t="s">
        <v>42</v>
      </c>
      <c r="AB687" t="s">
        <v>43</v>
      </c>
      <c r="AC687" t="s">
        <v>43</v>
      </c>
    </row>
    <row r="688" spans="1:30" x14ac:dyDescent="0.4">
      <c r="A688" t="s">
        <v>27</v>
      </c>
      <c r="B688">
        <v>1752</v>
      </c>
      <c r="C688" t="s">
        <v>2984</v>
      </c>
      <c r="D688">
        <v>219</v>
      </c>
      <c r="E688" t="s">
        <v>28</v>
      </c>
      <c r="F688" t="s">
        <v>47</v>
      </c>
      <c r="G688" t="s">
        <v>1868</v>
      </c>
      <c r="H688" t="s">
        <v>1869</v>
      </c>
      <c r="I688" t="s">
        <v>1870</v>
      </c>
      <c r="J688" t="s">
        <v>752</v>
      </c>
      <c r="K688" t="s">
        <v>370</v>
      </c>
      <c r="L688" t="s">
        <v>1871</v>
      </c>
      <c r="M688" t="s">
        <v>35</v>
      </c>
      <c r="N688" t="s">
        <v>1872</v>
      </c>
      <c r="O688" t="s">
        <v>1873</v>
      </c>
      <c r="P688" t="s">
        <v>2984</v>
      </c>
      <c r="R688" t="s">
        <v>1875</v>
      </c>
      <c r="S688" t="s">
        <v>1876</v>
      </c>
      <c r="T688" t="s">
        <v>534</v>
      </c>
      <c r="U688" t="s">
        <v>82</v>
      </c>
      <c r="V688" s="1">
        <v>44723</v>
      </c>
      <c r="W688">
        <v>0</v>
      </c>
      <c r="X688">
        <v>5</v>
      </c>
      <c r="Y688" t="s">
        <v>66</v>
      </c>
      <c r="AA688" t="s">
        <v>42</v>
      </c>
      <c r="AB688" t="s">
        <v>43</v>
      </c>
      <c r="AC688" t="s">
        <v>43</v>
      </c>
    </row>
    <row r="689" spans="1:29" x14ac:dyDescent="0.4">
      <c r="A689" t="s">
        <v>27</v>
      </c>
      <c r="B689">
        <v>1752</v>
      </c>
      <c r="C689" t="s">
        <v>2984</v>
      </c>
      <c r="D689">
        <v>219</v>
      </c>
      <c r="E689" t="s">
        <v>28</v>
      </c>
      <c r="F689" t="s">
        <v>47</v>
      </c>
      <c r="G689" t="s">
        <v>1868</v>
      </c>
      <c r="H689" t="s">
        <v>1869</v>
      </c>
      <c r="I689" t="s">
        <v>1870</v>
      </c>
      <c r="J689" t="s">
        <v>752</v>
      </c>
      <c r="K689" t="s">
        <v>370</v>
      </c>
      <c r="L689" t="s">
        <v>1871</v>
      </c>
      <c r="M689" t="s">
        <v>35</v>
      </c>
      <c r="N689" t="s">
        <v>1872</v>
      </c>
      <c r="O689" t="s">
        <v>1873</v>
      </c>
      <c r="P689" t="s">
        <v>2984</v>
      </c>
      <c r="R689" t="s">
        <v>1875</v>
      </c>
      <c r="S689" t="s">
        <v>1876</v>
      </c>
      <c r="T689" t="s">
        <v>534</v>
      </c>
      <c r="U689" t="s">
        <v>82</v>
      </c>
      <c r="V689" s="1">
        <v>44723</v>
      </c>
      <c r="W689">
        <v>0</v>
      </c>
      <c r="X689">
        <v>13</v>
      </c>
      <c r="AA689" t="s">
        <v>42</v>
      </c>
      <c r="AB689" t="s">
        <v>43</v>
      </c>
      <c r="AC689" t="s">
        <v>43</v>
      </c>
    </row>
    <row r="690" spans="1:29" x14ac:dyDescent="0.4">
      <c r="A690" t="s">
        <v>27</v>
      </c>
      <c r="B690">
        <v>1752</v>
      </c>
      <c r="C690" t="s">
        <v>2984</v>
      </c>
      <c r="D690">
        <v>219</v>
      </c>
      <c r="E690" t="s">
        <v>28</v>
      </c>
      <c r="F690" t="s">
        <v>47</v>
      </c>
      <c r="G690" t="s">
        <v>1868</v>
      </c>
      <c r="H690" t="s">
        <v>1869</v>
      </c>
      <c r="I690" t="s">
        <v>1870</v>
      </c>
      <c r="J690" t="s">
        <v>752</v>
      </c>
      <c r="K690" t="s">
        <v>370</v>
      </c>
      <c r="L690" t="s">
        <v>1871</v>
      </c>
      <c r="M690" t="s">
        <v>35</v>
      </c>
      <c r="N690" t="s">
        <v>1872</v>
      </c>
      <c r="O690" t="s">
        <v>1873</v>
      </c>
      <c r="P690" t="s">
        <v>2984</v>
      </c>
      <c r="R690" t="s">
        <v>1875</v>
      </c>
      <c r="S690" t="s">
        <v>1876</v>
      </c>
      <c r="T690" t="s">
        <v>534</v>
      </c>
      <c r="U690" t="s">
        <v>82</v>
      </c>
      <c r="V690" s="1">
        <v>44723</v>
      </c>
      <c r="W690">
        <v>0</v>
      </c>
      <c r="X690">
        <v>15</v>
      </c>
      <c r="AA690" t="s">
        <v>42</v>
      </c>
      <c r="AB690" t="s">
        <v>43</v>
      </c>
      <c r="AC690" t="s">
        <v>43</v>
      </c>
    </row>
    <row r="691" spans="1:29" x14ac:dyDescent="0.4">
      <c r="A691" t="s">
        <v>27</v>
      </c>
      <c r="B691">
        <v>1752</v>
      </c>
      <c r="C691" t="s">
        <v>2984</v>
      </c>
      <c r="E691" t="s">
        <v>28</v>
      </c>
      <c r="F691" t="s">
        <v>47</v>
      </c>
      <c r="G691" t="s">
        <v>1868</v>
      </c>
      <c r="H691" t="s">
        <v>1869</v>
      </c>
      <c r="I691" t="s">
        <v>1870</v>
      </c>
      <c r="J691" t="s">
        <v>752</v>
      </c>
      <c r="K691" t="s">
        <v>370</v>
      </c>
      <c r="L691" t="s">
        <v>1871</v>
      </c>
      <c r="M691" t="s">
        <v>35</v>
      </c>
      <c r="N691" t="s">
        <v>1872</v>
      </c>
      <c r="O691" t="s">
        <v>1873</v>
      </c>
      <c r="P691" t="s">
        <v>1874</v>
      </c>
      <c r="R691" t="s">
        <v>1877</v>
      </c>
      <c r="S691" t="s">
        <v>1878</v>
      </c>
      <c r="T691" t="s">
        <v>94</v>
      </c>
      <c r="U691" t="s">
        <v>82</v>
      </c>
      <c r="V691" s="1">
        <v>43270</v>
      </c>
      <c r="W691">
        <v>0</v>
      </c>
      <c r="X691">
        <v>0</v>
      </c>
      <c r="Y691" t="s">
        <v>59</v>
      </c>
      <c r="AA691" t="s">
        <v>42</v>
      </c>
      <c r="AB691" t="s">
        <v>43</v>
      </c>
      <c r="AC691" t="s">
        <v>43</v>
      </c>
    </row>
    <row r="692" spans="1:29" x14ac:dyDescent="0.4">
      <c r="A692" t="s">
        <v>27</v>
      </c>
      <c r="B692">
        <v>1752</v>
      </c>
      <c r="C692" t="s">
        <v>2984</v>
      </c>
      <c r="E692" t="s">
        <v>28</v>
      </c>
      <c r="F692" t="s">
        <v>47</v>
      </c>
      <c r="G692" t="s">
        <v>1868</v>
      </c>
      <c r="H692" t="s">
        <v>1869</v>
      </c>
      <c r="I692" t="s">
        <v>1870</v>
      </c>
      <c r="J692" t="s">
        <v>752</v>
      </c>
      <c r="K692" t="s">
        <v>370</v>
      </c>
      <c r="L692" t="s">
        <v>1871</v>
      </c>
      <c r="M692" t="s">
        <v>35</v>
      </c>
      <c r="N692" t="s">
        <v>1872</v>
      </c>
      <c r="O692" t="s">
        <v>1873</v>
      </c>
      <c r="P692" t="s">
        <v>1874</v>
      </c>
      <c r="R692" t="s">
        <v>1879</v>
      </c>
      <c r="S692" t="s">
        <v>1880</v>
      </c>
      <c r="T692" t="s">
        <v>376</v>
      </c>
      <c r="U692" t="s">
        <v>40</v>
      </c>
      <c r="V692" s="1">
        <v>41683</v>
      </c>
      <c r="W692">
        <v>0</v>
      </c>
      <c r="X692">
        <v>0</v>
      </c>
      <c r="Y692" t="s">
        <v>59</v>
      </c>
      <c r="AA692" t="s">
        <v>42</v>
      </c>
      <c r="AB692" t="s">
        <v>43</v>
      </c>
      <c r="AC692" t="s">
        <v>43</v>
      </c>
    </row>
    <row r="693" spans="1:29" x14ac:dyDescent="0.4">
      <c r="A693" t="s">
        <v>27</v>
      </c>
      <c r="B693">
        <v>1752</v>
      </c>
      <c r="C693" t="s">
        <v>2984</v>
      </c>
      <c r="E693" t="s">
        <v>28</v>
      </c>
      <c r="F693" t="s">
        <v>47</v>
      </c>
      <c r="G693" t="s">
        <v>1868</v>
      </c>
      <c r="H693" t="s">
        <v>1869</v>
      </c>
      <c r="I693" t="s">
        <v>1870</v>
      </c>
      <c r="J693" t="s">
        <v>752</v>
      </c>
      <c r="K693" t="s">
        <v>370</v>
      </c>
      <c r="L693" t="s">
        <v>1871</v>
      </c>
      <c r="M693" t="s">
        <v>35</v>
      </c>
      <c r="N693" t="s">
        <v>1872</v>
      </c>
      <c r="O693" t="s">
        <v>1873</v>
      </c>
      <c r="P693" t="s">
        <v>1874</v>
      </c>
      <c r="R693" t="s">
        <v>1877</v>
      </c>
      <c r="S693" t="s">
        <v>1878</v>
      </c>
      <c r="T693" t="s">
        <v>94</v>
      </c>
      <c r="U693" t="s">
        <v>82</v>
      </c>
      <c r="V693" s="1">
        <v>43270</v>
      </c>
      <c r="W693">
        <v>0</v>
      </c>
      <c r="X693">
        <v>0</v>
      </c>
      <c r="Y693" t="s">
        <v>59</v>
      </c>
      <c r="AA693" t="s">
        <v>42</v>
      </c>
      <c r="AB693" t="s">
        <v>43</v>
      </c>
      <c r="AC693" t="s">
        <v>43</v>
      </c>
    </row>
    <row r="694" spans="1:29" x14ac:dyDescent="0.4">
      <c r="A694" t="s">
        <v>27</v>
      </c>
      <c r="B694">
        <v>1752</v>
      </c>
      <c r="C694" t="s">
        <v>2984</v>
      </c>
      <c r="E694" t="s">
        <v>28</v>
      </c>
      <c r="F694" t="s">
        <v>47</v>
      </c>
      <c r="G694" t="s">
        <v>1868</v>
      </c>
      <c r="H694" t="s">
        <v>1869</v>
      </c>
      <c r="I694" t="s">
        <v>1870</v>
      </c>
      <c r="J694" t="s">
        <v>752</v>
      </c>
      <c r="K694" t="s">
        <v>370</v>
      </c>
      <c r="L694" t="s">
        <v>1871</v>
      </c>
      <c r="M694" t="s">
        <v>35</v>
      </c>
      <c r="N694" t="s">
        <v>1872</v>
      </c>
      <c r="O694" t="s">
        <v>1873</v>
      </c>
      <c r="P694" t="s">
        <v>1874</v>
      </c>
      <c r="R694" t="s">
        <v>1879</v>
      </c>
      <c r="S694" t="s">
        <v>1880</v>
      </c>
      <c r="T694" t="s">
        <v>376</v>
      </c>
      <c r="U694" t="s">
        <v>40</v>
      </c>
      <c r="V694" s="1">
        <v>41683</v>
      </c>
      <c r="W694">
        <v>0</v>
      </c>
      <c r="X694">
        <v>0</v>
      </c>
      <c r="Y694" t="s">
        <v>59</v>
      </c>
      <c r="AA694" t="s">
        <v>42</v>
      </c>
      <c r="AB694" t="s">
        <v>43</v>
      </c>
      <c r="AC694" t="s">
        <v>43</v>
      </c>
    </row>
    <row r="695" spans="1:29" x14ac:dyDescent="0.4">
      <c r="A695" t="s">
        <v>27</v>
      </c>
      <c r="B695">
        <v>682</v>
      </c>
      <c r="C695" t="s">
        <v>2985</v>
      </c>
      <c r="D695">
        <v>220</v>
      </c>
      <c r="E695" t="s">
        <v>68</v>
      </c>
      <c r="F695" t="s">
        <v>1881</v>
      </c>
      <c r="G695" t="s">
        <v>1882</v>
      </c>
      <c r="H695" t="s">
        <v>1883</v>
      </c>
      <c r="I695" t="s">
        <v>1884</v>
      </c>
      <c r="J695" t="s">
        <v>1885</v>
      </c>
      <c r="K695" t="s">
        <v>1886</v>
      </c>
      <c r="L695" t="s">
        <v>1887</v>
      </c>
      <c r="M695" t="s">
        <v>35</v>
      </c>
      <c r="N695" t="s">
        <v>1888</v>
      </c>
      <c r="O695" t="s">
        <v>1889</v>
      </c>
      <c r="P695" t="s">
        <v>3082</v>
      </c>
      <c r="R695" t="s">
        <v>3118</v>
      </c>
      <c r="S695" t="s">
        <v>1891</v>
      </c>
      <c r="T695" t="s">
        <v>94</v>
      </c>
      <c r="U695" t="s">
        <v>40</v>
      </c>
      <c r="V695" s="1">
        <v>43337</v>
      </c>
      <c r="W695">
        <v>0</v>
      </c>
      <c r="X695">
        <v>20</v>
      </c>
      <c r="AA695" t="s">
        <v>42</v>
      </c>
      <c r="AB695" t="s">
        <v>43</v>
      </c>
      <c r="AC695" t="s">
        <v>43</v>
      </c>
    </row>
    <row r="696" spans="1:29" x14ac:dyDescent="0.4">
      <c r="A696" t="s">
        <v>27</v>
      </c>
      <c r="B696">
        <v>1316</v>
      </c>
      <c r="C696" t="s">
        <v>2986</v>
      </c>
      <c r="E696" t="s">
        <v>257</v>
      </c>
      <c r="F696" t="s">
        <v>1893</v>
      </c>
      <c r="G696" t="s">
        <v>1882</v>
      </c>
      <c r="H696" t="s">
        <v>1883</v>
      </c>
      <c r="I696" t="s">
        <v>1884</v>
      </c>
      <c r="J696" t="s">
        <v>1885</v>
      </c>
      <c r="K696" t="s">
        <v>1886</v>
      </c>
      <c r="L696" t="s">
        <v>1887</v>
      </c>
      <c r="M696" t="s">
        <v>35</v>
      </c>
      <c r="N696" t="s">
        <v>1888</v>
      </c>
      <c r="O696" t="s">
        <v>1889</v>
      </c>
      <c r="P696" t="s">
        <v>1894</v>
      </c>
      <c r="R696" t="s">
        <v>1895</v>
      </c>
      <c r="S696" t="s">
        <v>1896</v>
      </c>
      <c r="T696" t="s">
        <v>1892</v>
      </c>
      <c r="U696" t="s">
        <v>40</v>
      </c>
      <c r="V696" s="1">
        <v>41130</v>
      </c>
      <c r="W696">
        <v>0</v>
      </c>
      <c r="X696">
        <v>0</v>
      </c>
      <c r="Y696" t="s">
        <v>59</v>
      </c>
      <c r="AA696" t="s">
        <v>42</v>
      </c>
      <c r="AB696" t="s">
        <v>43</v>
      </c>
      <c r="AC696" t="s">
        <v>43</v>
      </c>
    </row>
    <row r="697" spans="1:29" x14ac:dyDescent="0.4">
      <c r="A697" t="s">
        <v>27</v>
      </c>
      <c r="B697">
        <v>4670</v>
      </c>
      <c r="C697" t="s">
        <v>2987</v>
      </c>
      <c r="D697">
        <v>221</v>
      </c>
      <c r="E697" t="s">
        <v>68</v>
      </c>
      <c r="F697" t="s">
        <v>979</v>
      </c>
      <c r="G697" t="s">
        <v>1016</v>
      </c>
      <c r="H697" t="s">
        <v>1897</v>
      </c>
      <c r="I697" t="s">
        <v>1898</v>
      </c>
      <c r="J697" t="s">
        <v>50</v>
      </c>
      <c r="K697" t="s">
        <v>51</v>
      </c>
      <c r="L697" t="s">
        <v>1899</v>
      </c>
      <c r="M697" t="s">
        <v>35</v>
      </c>
      <c r="N697">
        <v>7962925771</v>
      </c>
      <c r="O697" t="s">
        <v>1900</v>
      </c>
      <c r="P697" t="s">
        <v>2987</v>
      </c>
      <c r="R697" t="s">
        <v>3119</v>
      </c>
      <c r="S697" t="s">
        <v>1902</v>
      </c>
      <c r="T697" t="s">
        <v>1903</v>
      </c>
      <c r="U697" t="s">
        <v>82</v>
      </c>
      <c r="V697" s="1">
        <v>43007</v>
      </c>
      <c r="W697">
        <v>0</v>
      </c>
      <c r="X697">
        <v>2</v>
      </c>
      <c r="AA697" t="s">
        <v>42</v>
      </c>
      <c r="AB697" t="s">
        <v>43</v>
      </c>
      <c r="AC697" t="s">
        <v>43</v>
      </c>
    </row>
    <row r="698" spans="1:29" x14ac:dyDescent="0.4">
      <c r="A698" t="s">
        <v>27</v>
      </c>
      <c r="B698">
        <v>4670</v>
      </c>
      <c r="C698" t="s">
        <v>2987</v>
      </c>
      <c r="D698">
        <v>222</v>
      </c>
      <c r="E698" t="s">
        <v>68</v>
      </c>
      <c r="F698" t="s">
        <v>979</v>
      </c>
      <c r="G698" t="s">
        <v>1016</v>
      </c>
      <c r="H698" t="s">
        <v>1897</v>
      </c>
      <c r="I698" t="s">
        <v>1898</v>
      </c>
      <c r="J698" t="s">
        <v>50</v>
      </c>
      <c r="K698" t="s">
        <v>51</v>
      </c>
      <c r="L698" t="s">
        <v>1899</v>
      </c>
      <c r="M698" t="s">
        <v>35</v>
      </c>
      <c r="N698">
        <v>7962925771</v>
      </c>
      <c r="O698" t="s">
        <v>1900</v>
      </c>
      <c r="P698" t="s">
        <v>2987</v>
      </c>
      <c r="R698" t="s">
        <v>1904</v>
      </c>
      <c r="S698" t="s">
        <v>1905</v>
      </c>
      <c r="T698" t="s">
        <v>1903</v>
      </c>
      <c r="U698" t="s">
        <v>82</v>
      </c>
      <c r="V698" s="1">
        <v>44440</v>
      </c>
      <c r="W698">
        <v>0</v>
      </c>
      <c r="X698">
        <v>2</v>
      </c>
      <c r="AA698" t="s">
        <v>42</v>
      </c>
      <c r="AB698" t="s">
        <v>43</v>
      </c>
      <c r="AC698" t="s">
        <v>43</v>
      </c>
    </row>
    <row r="699" spans="1:29" x14ac:dyDescent="0.4">
      <c r="A699" t="s">
        <v>27</v>
      </c>
      <c r="B699">
        <v>4670</v>
      </c>
      <c r="C699" t="s">
        <v>2987</v>
      </c>
      <c r="D699">
        <v>221</v>
      </c>
      <c r="E699" t="s">
        <v>68</v>
      </c>
      <c r="F699" t="s">
        <v>979</v>
      </c>
      <c r="G699" t="s">
        <v>1016</v>
      </c>
      <c r="H699" t="s">
        <v>1897</v>
      </c>
      <c r="I699" t="s">
        <v>1898</v>
      </c>
      <c r="J699" t="s">
        <v>50</v>
      </c>
      <c r="K699" t="s">
        <v>51</v>
      </c>
      <c r="L699" t="s">
        <v>1899</v>
      </c>
      <c r="M699" t="s">
        <v>35</v>
      </c>
      <c r="N699">
        <v>7962925771</v>
      </c>
      <c r="O699" t="s">
        <v>1900</v>
      </c>
      <c r="P699" t="s">
        <v>2987</v>
      </c>
      <c r="R699" t="s">
        <v>3119</v>
      </c>
      <c r="S699" t="s">
        <v>1902</v>
      </c>
      <c r="T699" t="s">
        <v>1903</v>
      </c>
      <c r="U699" t="s">
        <v>82</v>
      </c>
      <c r="V699" s="1">
        <v>43007</v>
      </c>
      <c r="W699">
        <v>0</v>
      </c>
      <c r="X699">
        <v>8</v>
      </c>
      <c r="AA699" t="s">
        <v>42</v>
      </c>
      <c r="AB699" t="s">
        <v>43</v>
      </c>
      <c r="AC699" t="s">
        <v>43</v>
      </c>
    </row>
    <row r="700" spans="1:29" x14ac:dyDescent="0.4">
      <c r="A700" t="s">
        <v>27</v>
      </c>
      <c r="B700">
        <v>4670</v>
      </c>
      <c r="C700" t="s">
        <v>2987</v>
      </c>
      <c r="D700">
        <v>222</v>
      </c>
      <c r="E700" t="s">
        <v>68</v>
      </c>
      <c r="F700" t="s">
        <v>979</v>
      </c>
      <c r="G700" t="s">
        <v>1016</v>
      </c>
      <c r="H700" t="s">
        <v>1897</v>
      </c>
      <c r="I700" t="s">
        <v>1898</v>
      </c>
      <c r="J700" t="s">
        <v>50</v>
      </c>
      <c r="K700" t="s">
        <v>51</v>
      </c>
      <c r="L700" t="s">
        <v>1899</v>
      </c>
      <c r="M700" t="s">
        <v>35</v>
      </c>
      <c r="N700">
        <v>7962925771</v>
      </c>
      <c r="O700" t="s">
        <v>1900</v>
      </c>
      <c r="P700" t="s">
        <v>2987</v>
      </c>
      <c r="R700" t="s">
        <v>1904</v>
      </c>
      <c r="S700" t="s">
        <v>1905</v>
      </c>
      <c r="T700" t="s">
        <v>1903</v>
      </c>
      <c r="U700" t="s">
        <v>82</v>
      </c>
      <c r="V700" s="1">
        <v>44440</v>
      </c>
      <c r="W700">
        <v>0</v>
      </c>
      <c r="X700">
        <v>8</v>
      </c>
      <c r="AA700" t="s">
        <v>42</v>
      </c>
      <c r="AB700" t="s">
        <v>43</v>
      </c>
      <c r="AC700" t="s">
        <v>43</v>
      </c>
    </row>
    <row r="701" spans="1:29" x14ac:dyDescent="0.4">
      <c r="A701" t="s">
        <v>27</v>
      </c>
      <c r="B701">
        <v>4670</v>
      </c>
      <c r="C701" t="s">
        <v>2987</v>
      </c>
      <c r="D701">
        <v>221</v>
      </c>
      <c r="E701" t="s">
        <v>68</v>
      </c>
      <c r="F701" t="s">
        <v>979</v>
      </c>
      <c r="G701" t="s">
        <v>1016</v>
      </c>
      <c r="H701" t="s">
        <v>1897</v>
      </c>
      <c r="I701" t="s">
        <v>1898</v>
      </c>
      <c r="J701" t="s">
        <v>50</v>
      </c>
      <c r="K701" t="s">
        <v>51</v>
      </c>
      <c r="L701" t="s">
        <v>1899</v>
      </c>
      <c r="M701" t="s">
        <v>35</v>
      </c>
      <c r="N701">
        <v>7962925771</v>
      </c>
      <c r="O701" t="s">
        <v>1900</v>
      </c>
      <c r="P701" t="s">
        <v>2987</v>
      </c>
      <c r="R701" t="s">
        <v>3119</v>
      </c>
      <c r="S701" t="s">
        <v>1902</v>
      </c>
      <c r="T701" t="s">
        <v>1903</v>
      </c>
      <c r="U701" t="s">
        <v>82</v>
      </c>
      <c r="V701" s="1">
        <v>43007</v>
      </c>
      <c r="W701">
        <v>0</v>
      </c>
      <c r="X701">
        <v>10</v>
      </c>
      <c r="AA701" t="s">
        <v>42</v>
      </c>
      <c r="AB701" t="s">
        <v>43</v>
      </c>
      <c r="AC701" t="s">
        <v>43</v>
      </c>
    </row>
    <row r="702" spans="1:29" x14ac:dyDescent="0.4">
      <c r="A702" t="s">
        <v>27</v>
      </c>
      <c r="B702">
        <v>4670</v>
      </c>
      <c r="C702" t="s">
        <v>2987</v>
      </c>
      <c r="D702">
        <v>222</v>
      </c>
      <c r="E702" t="s">
        <v>68</v>
      </c>
      <c r="F702" t="s">
        <v>979</v>
      </c>
      <c r="G702" t="s">
        <v>1016</v>
      </c>
      <c r="H702" t="s">
        <v>1897</v>
      </c>
      <c r="I702" t="s">
        <v>1898</v>
      </c>
      <c r="J702" t="s">
        <v>50</v>
      </c>
      <c r="K702" t="s">
        <v>51</v>
      </c>
      <c r="L702" t="s">
        <v>1899</v>
      </c>
      <c r="M702" t="s">
        <v>35</v>
      </c>
      <c r="N702">
        <v>7962925771</v>
      </c>
      <c r="O702" t="s">
        <v>1900</v>
      </c>
      <c r="P702" t="s">
        <v>2987</v>
      </c>
      <c r="R702" t="s">
        <v>1904</v>
      </c>
      <c r="S702" t="s">
        <v>1905</v>
      </c>
      <c r="T702" t="s">
        <v>1903</v>
      </c>
      <c r="U702" t="s">
        <v>82</v>
      </c>
      <c r="V702" s="1">
        <v>44440</v>
      </c>
      <c r="W702">
        <v>0</v>
      </c>
      <c r="X702">
        <v>10</v>
      </c>
      <c r="AA702" t="s">
        <v>42</v>
      </c>
      <c r="AB702" t="s">
        <v>43</v>
      </c>
      <c r="AC702" t="s">
        <v>43</v>
      </c>
    </row>
    <row r="703" spans="1:29" x14ac:dyDescent="0.4">
      <c r="A703" t="s">
        <v>27</v>
      </c>
      <c r="B703">
        <v>5027</v>
      </c>
      <c r="C703" t="s">
        <v>2988</v>
      </c>
      <c r="D703">
        <v>223</v>
      </c>
      <c r="E703" t="s">
        <v>68</v>
      </c>
      <c r="F703" t="s">
        <v>300</v>
      </c>
      <c r="G703" t="s">
        <v>1906</v>
      </c>
      <c r="H703" t="s">
        <v>1907</v>
      </c>
      <c r="J703" t="s">
        <v>458</v>
      </c>
      <c r="K703" t="s">
        <v>73</v>
      </c>
      <c r="L703" t="s">
        <v>1908</v>
      </c>
      <c r="M703" t="s">
        <v>35</v>
      </c>
      <c r="N703" t="s">
        <v>1909</v>
      </c>
      <c r="O703" t="s">
        <v>1910</v>
      </c>
      <c r="P703" t="s">
        <v>2988</v>
      </c>
      <c r="R703" t="s">
        <v>1911</v>
      </c>
      <c r="S703" t="s">
        <v>1912</v>
      </c>
      <c r="T703" t="s">
        <v>58</v>
      </c>
      <c r="U703" t="s">
        <v>82</v>
      </c>
      <c r="V703" s="1">
        <v>43886</v>
      </c>
      <c r="W703">
        <v>0</v>
      </c>
      <c r="X703">
        <v>4</v>
      </c>
      <c r="Y703" t="s">
        <v>65</v>
      </c>
      <c r="AA703" t="s">
        <v>42</v>
      </c>
      <c r="AB703" t="s">
        <v>43</v>
      </c>
      <c r="AC703" t="s">
        <v>43</v>
      </c>
    </row>
    <row r="704" spans="1:29" x14ac:dyDescent="0.4">
      <c r="A704" t="s">
        <v>27</v>
      </c>
      <c r="B704">
        <v>5027</v>
      </c>
      <c r="C704" t="s">
        <v>2988</v>
      </c>
      <c r="D704">
        <v>223</v>
      </c>
      <c r="E704" t="s">
        <v>68</v>
      </c>
      <c r="F704" t="s">
        <v>300</v>
      </c>
      <c r="G704" t="s">
        <v>1906</v>
      </c>
      <c r="H704" t="s">
        <v>1907</v>
      </c>
      <c r="J704" t="s">
        <v>458</v>
      </c>
      <c r="K704" t="s">
        <v>73</v>
      </c>
      <c r="L704" t="s">
        <v>1908</v>
      </c>
      <c r="M704" t="s">
        <v>35</v>
      </c>
      <c r="N704" t="s">
        <v>1909</v>
      </c>
      <c r="O704" t="s">
        <v>1910</v>
      </c>
      <c r="P704" t="s">
        <v>2988</v>
      </c>
      <c r="R704" t="s">
        <v>1911</v>
      </c>
      <c r="S704" t="s">
        <v>1912</v>
      </c>
      <c r="T704" t="s">
        <v>58</v>
      </c>
      <c r="U704" t="s">
        <v>82</v>
      </c>
      <c r="V704" s="1">
        <v>43886</v>
      </c>
      <c r="W704">
        <v>0</v>
      </c>
      <c r="X704">
        <v>5</v>
      </c>
      <c r="Y704" t="s">
        <v>66</v>
      </c>
      <c r="AA704" t="s">
        <v>42</v>
      </c>
      <c r="AB704" t="s">
        <v>43</v>
      </c>
      <c r="AC704" t="s">
        <v>43</v>
      </c>
    </row>
    <row r="705" spans="1:31" x14ac:dyDescent="0.4">
      <c r="A705" t="s">
        <v>27</v>
      </c>
      <c r="B705">
        <v>3188</v>
      </c>
      <c r="C705" t="s">
        <v>2989</v>
      </c>
      <c r="D705">
        <v>225</v>
      </c>
      <c r="E705" t="s">
        <v>257</v>
      </c>
      <c r="F705" t="s">
        <v>1913</v>
      </c>
      <c r="G705" t="s">
        <v>1914</v>
      </c>
      <c r="H705" t="s">
        <v>1915</v>
      </c>
      <c r="J705" t="s">
        <v>1916</v>
      </c>
      <c r="K705" t="s">
        <v>189</v>
      </c>
      <c r="L705" t="s">
        <v>1917</v>
      </c>
      <c r="M705" t="s">
        <v>35</v>
      </c>
      <c r="N705">
        <v>7525124905</v>
      </c>
      <c r="O705" t="s">
        <v>1918</v>
      </c>
      <c r="P705" t="s">
        <v>2989</v>
      </c>
      <c r="R705" t="s">
        <v>3053</v>
      </c>
      <c r="S705" t="s">
        <v>1920</v>
      </c>
      <c r="T705" t="s">
        <v>58</v>
      </c>
      <c r="U705" t="s">
        <v>82</v>
      </c>
      <c r="V705" s="1">
        <v>45310</v>
      </c>
      <c r="W705">
        <v>0</v>
      </c>
      <c r="X705">
        <v>4</v>
      </c>
      <c r="Y705" t="s">
        <v>65</v>
      </c>
      <c r="AA705" t="s">
        <v>42</v>
      </c>
      <c r="AB705" t="s">
        <v>43</v>
      </c>
      <c r="AC705" t="s">
        <v>43</v>
      </c>
    </row>
    <row r="706" spans="1:31" x14ac:dyDescent="0.4">
      <c r="A706" t="s">
        <v>27</v>
      </c>
      <c r="B706">
        <v>3188</v>
      </c>
      <c r="C706" t="s">
        <v>2989</v>
      </c>
      <c r="D706">
        <v>225</v>
      </c>
      <c r="E706" t="s">
        <v>257</v>
      </c>
      <c r="F706" t="s">
        <v>1913</v>
      </c>
      <c r="G706" t="s">
        <v>1914</v>
      </c>
      <c r="H706" t="s">
        <v>1915</v>
      </c>
      <c r="J706" t="s">
        <v>1916</v>
      </c>
      <c r="K706" t="s">
        <v>189</v>
      </c>
      <c r="L706" t="s">
        <v>1917</v>
      </c>
      <c r="M706" t="s">
        <v>35</v>
      </c>
      <c r="N706">
        <v>7525124905</v>
      </c>
      <c r="O706" t="s">
        <v>1918</v>
      </c>
      <c r="P706" t="s">
        <v>2989</v>
      </c>
      <c r="R706" t="s">
        <v>3053</v>
      </c>
      <c r="S706" t="s">
        <v>1920</v>
      </c>
      <c r="T706" t="s">
        <v>58</v>
      </c>
      <c r="U706" t="s">
        <v>82</v>
      </c>
      <c r="V706" s="1">
        <v>45310</v>
      </c>
      <c r="W706">
        <v>0</v>
      </c>
      <c r="X706">
        <v>5</v>
      </c>
      <c r="Y706" t="s">
        <v>66</v>
      </c>
      <c r="AA706" t="s">
        <v>42</v>
      </c>
      <c r="AB706" t="s">
        <v>43</v>
      </c>
      <c r="AC706" t="s">
        <v>43</v>
      </c>
    </row>
    <row r="707" spans="1:31" x14ac:dyDescent="0.4">
      <c r="A707" t="s">
        <v>27</v>
      </c>
      <c r="B707">
        <v>3188</v>
      </c>
      <c r="C707" t="s">
        <v>2989</v>
      </c>
      <c r="D707">
        <v>224</v>
      </c>
      <c r="E707" t="s">
        <v>257</v>
      </c>
      <c r="F707" t="s">
        <v>1913</v>
      </c>
      <c r="G707" t="s">
        <v>1914</v>
      </c>
      <c r="H707" t="s">
        <v>1915</v>
      </c>
      <c r="J707" t="s">
        <v>1916</v>
      </c>
      <c r="K707" t="s">
        <v>189</v>
      </c>
      <c r="L707" t="s">
        <v>1917</v>
      </c>
      <c r="M707" t="s">
        <v>35</v>
      </c>
      <c r="N707">
        <v>7525124905</v>
      </c>
      <c r="O707" t="s">
        <v>1918</v>
      </c>
      <c r="P707" t="s">
        <v>2989</v>
      </c>
      <c r="R707" t="s">
        <v>1921</v>
      </c>
      <c r="S707" t="s">
        <v>1922</v>
      </c>
      <c r="T707" t="s">
        <v>58</v>
      </c>
      <c r="U707" t="s">
        <v>82</v>
      </c>
      <c r="V707" s="1">
        <v>43790</v>
      </c>
      <c r="W707">
        <v>0</v>
      </c>
      <c r="X707">
        <v>7</v>
      </c>
      <c r="AA707" t="s">
        <v>42</v>
      </c>
      <c r="AB707" t="s">
        <v>43</v>
      </c>
      <c r="AC707" t="s">
        <v>43</v>
      </c>
    </row>
    <row r="708" spans="1:31" x14ac:dyDescent="0.4">
      <c r="A708" t="s">
        <v>27</v>
      </c>
      <c r="B708">
        <v>3188</v>
      </c>
      <c r="C708" t="s">
        <v>2989</v>
      </c>
      <c r="D708">
        <v>226</v>
      </c>
      <c r="E708" t="s">
        <v>257</v>
      </c>
      <c r="F708" t="s">
        <v>1913</v>
      </c>
      <c r="G708" t="s">
        <v>1914</v>
      </c>
      <c r="H708" t="s">
        <v>1915</v>
      </c>
      <c r="J708" t="s">
        <v>1916</v>
      </c>
      <c r="K708" t="s">
        <v>189</v>
      </c>
      <c r="L708" t="s">
        <v>1917</v>
      </c>
      <c r="M708" t="s">
        <v>35</v>
      </c>
      <c r="N708">
        <v>7525124905</v>
      </c>
      <c r="O708" t="s">
        <v>1918</v>
      </c>
      <c r="P708" t="s">
        <v>2989</v>
      </c>
      <c r="R708" t="s">
        <v>1923</v>
      </c>
      <c r="S708" t="s">
        <v>1924</v>
      </c>
      <c r="T708" t="s">
        <v>58</v>
      </c>
      <c r="U708" t="s">
        <v>82</v>
      </c>
      <c r="V708" s="1">
        <v>42557</v>
      </c>
      <c r="W708">
        <v>0</v>
      </c>
      <c r="X708">
        <v>7</v>
      </c>
      <c r="AA708" t="s">
        <v>42</v>
      </c>
      <c r="AB708" t="s">
        <v>43</v>
      </c>
      <c r="AC708" t="s">
        <v>43</v>
      </c>
    </row>
    <row r="709" spans="1:31" x14ac:dyDescent="0.4">
      <c r="A709" t="s">
        <v>27</v>
      </c>
      <c r="B709">
        <v>3188</v>
      </c>
      <c r="C709" t="s">
        <v>2989</v>
      </c>
      <c r="D709">
        <v>225</v>
      </c>
      <c r="E709" t="s">
        <v>257</v>
      </c>
      <c r="F709" t="s">
        <v>1913</v>
      </c>
      <c r="G709" t="s">
        <v>1914</v>
      </c>
      <c r="H709" t="s">
        <v>1915</v>
      </c>
      <c r="J709" t="s">
        <v>1916</v>
      </c>
      <c r="K709" t="s">
        <v>189</v>
      </c>
      <c r="L709" t="s">
        <v>1917</v>
      </c>
      <c r="M709" t="s">
        <v>35</v>
      </c>
      <c r="N709">
        <v>7525124905</v>
      </c>
      <c r="O709" t="s">
        <v>1918</v>
      </c>
      <c r="P709" t="s">
        <v>2989</v>
      </c>
      <c r="R709" t="s">
        <v>3053</v>
      </c>
      <c r="S709" t="s">
        <v>1920</v>
      </c>
      <c r="T709" t="s">
        <v>58</v>
      </c>
      <c r="U709" t="s">
        <v>82</v>
      </c>
      <c r="V709" s="1">
        <v>45310</v>
      </c>
      <c r="W709">
        <v>0</v>
      </c>
      <c r="X709">
        <v>13</v>
      </c>
      <c r="AA709" t="s">
        <v>42</v>
      </c>
      <c r="AB709" t="s">
        <v>43</v>
      </c>
      <c r="AC709" t="s">
        <v>43</v>
      </c>
    </row>
    <row r="710" spans="1:31" x14ac:dyDescent="0.4">
      <c r="A710" t="s">
        <v>27</v>
      </c>
      <c r="B710">
        <v>3188</v>
      </c>
      <c r="C710" t="s">
        <v>2989</v>
      </c>
      <c r="D710">
        <v>225</v>
      </c>
      <c r="E710" t="s">
        <v>257</v>
      </c>
      <c r="F710" t="s">
        <v>1913</v>
      </c>
      <c r="G710" t="s">
        <v>1914</v>
      </c>
      <c r="H710" t="s">
        <v>1915</v>
      </c>
      <c r="J710" t="s">
        <v>1916</v>
      </c>
      <c r="K710" t="s">
        <v>189</v>
      </c>
      <c r="L710" t="s">
        <v>1917</v>
      </c>
      <c r="M710" t="s">
        <v>35</v>
      </c>
      <c r="N710">
        <v>7525124905</v>
      </c>
      <c r="O710" t="s">
        <v>1918</v>
      </c>
      <c r="P710" t="s">
        <v>2989</v>
      </c>
      <c r="R710" t="s">
        <v>3053</v>
      </c>
      <c r="S710" t="s">
        <v>1920</v>
      </c>
      <c r="T710" t="s">
        <v>58</v>
      </c>
      <c r="U710" t="s">
        <v>82</v>
      </c>
      <c r="V710" s="1">
        <v>45310</v>
      </c>
      <c r="W710">
        <v>0</v>
      </c>
      <c r="X710">
        <v>15</v>
      </c>
      <c r="AA710" t="s">
        <v>42</v>
      </c>
      <c r="AB710" t="s">
        <v>43</v>
      </c>
      <c r="AC710" t="s">
        <v>43</v>
      </c>
    </row>
    <row r="711" spans="1:31" x14ac:dyDescent="0.4">
      <c r="A711" t="s">
        <v>27</v>
      </c>
      <c r="B711">
        <v>3188</v>
      </c>
      <c r="C711" t="s">
        <v>2989</v>
      </c>
      <c r="D711">
        <v>224</v>
      </c>
      <c r="E711" t="s">
        <v>257</v>
      </c>
      <c r="F711" t="s">
        <v>1913</v>
      </c>
      <c r="G711" t="s">
        <v>1914</v>
      </c>
      <c r="H711" t="s">
        <v>1915</v>
      </c>
      <c r="J711" t="s">
        <v>1916</v>
      </c>
      <c r="K711" t="s">
        <v>189</v>
      </c>
      <c r="L711" t="s">
        <v>1917</v>
      </c>
      <c r="M711" t="s">
        <v>35</v>
      </c>
      <c r="N711">
        <v>7525124905</v>
      </c>
      <c r="O711" t="s">
        <v>1918</v>
      </c>
      <c r="P711" t="s">
        <v>2989</v>
      </c>
      <c r="R711" t="s">
        <v>1921</v>
      </c>
      <c r="S711" t="s">
        <v>1922</v>
      </c>
      <c r="T711" t="s">
        <v>58</v>
      </c>
      <c r="U711" t="s">
        <v>82</v>
      </c>
      <c r="V711" s="1">
        <v>43790</v>
      </c>
      <c r="W711">
        <v>0</v>
      </c>
      <c r="X711">
        <v>19</v>
      </c>
      <c r="AA711" t="s">
        <v>42</v>
      </c>
      <c r="AB711" t="s">
        <v>43</v>
      </c>
      <c r="AC711" t="s">
        <v>43</v>
      </c>
    </row>
    <row r="712" spans="1:31" x14ac:dyDescent="0.4">
      <c r="A712" t="s">
        <v>27</v>
      </c>
      <c r="B712">
        <v>3188</v>
      </c>
      <c r="C712" t="s">
        <v>2989</v>
      </c>
      <c r="D712">
        <v>226</v>
      </c>
      <c r="E712" t="s">
        <v>257</v>
      </c>
      <c r="F712" t="s">
        <v>1913</v>
      </c>
      <c r="G712" t="s">
        <v>1914</v>
      </c>
      <c r="H712" t="s">
        <v>1915</v>
      </c>
      <c r="J712" t="s">
        <v>1916</v>
      </c>
      <c r="K712" t="s">
        <v>189</v>
      </c>
      <c r="L712" t="s">
        <v>1917</v>
      </c>
      <c r="M712" t="s">
        <v>35</v>
      </c>
      <c r="N712">
        <v>7525124905</v>
      </c>
      <c r="O712" t="s">
        <v>1918</v>
      </c>
      <c r="P712" t="s">
        <v>2989</v>
      </c>
      <c r="R712" t="s">
        <v>1923</v>
      </c>
      <c r="S712" t="s">
        <v>1924</v>
      </c>
      <c r="T712" t="s">
        <v>58</v>
      </c>
      <c r="U712" t="s">
        <v>82</v>
      </c>
      <c r="V712" s="1">
        <v>42557</v>
      </c>
      <c r="W712">
        <v>0</v>
      </c>
      <c r="X712">
        <v>21</v>
      </c>
      <c r="AA712" t="s">
        <v>42</v>
      </c>
      <c r="AB712" t="s">
        <v>43</v>
      </c>
      <c r="AC712" t="s">
        <v>43</v>
      </c>
    </row>
    <row r="713" spans="1:31" x14ac:dyDescent="0.4">
      <c r="A713" t="s">
        <v>27</v>
      </c>
      <c r="B713">
        <v>4545</v>
      </c>
      <c r="C713" t="s">
        <v>2990</v>
      </c>
      <c r="E713" t="s">
        <v>257</v>
      </c>
      <c r="F713" t="s">
        <v>1096</v>
      </c>
      <c r="G713" t="s">
        <v>1925</v>
      </c>
      <c r="H713" t="s">
        <v>1926</v>
      </c>
      <c r="J713" t="s">
        <v>850</v>
      </c>
      <c r="K713" t="s">
        <v>330</v>
      </c>
      <c r="L713" t="s">
        <v>1927</v>
      </c>
      <c r="M713" t="s">
        <v>35</v>
      </c>
      <c r="N713">
        <v>2380255329</v>
      </c>
      <c r="O713" t="s">
        <v>1928</v>
      </c>
      <c r="P713" t="s">
        <v>1929</v>
      </c>
      <c r="R713" t="s">
        <v>1930</v>
      </c>
      <c r="S713" t="s">
        <v>1931</v>
      </c>
      <c r="T713" t="s">
        <v>1111</v>
      </c>
      <c r="U713" t="s">
        <v>82</v>
      </c>
      <c r="V713" s="1">
        <v>45351</v>
      </c>
      <c r="W713">
        <v>0</v>
      </c>
      <c r="X713">
        <v>0</v>
      </c>
      <c r="Y713" t="s">
        <v>59</v>
      </c>
      <c r="AA713" t="s">
        <v>42</v>
      </c>
      <c r="AB713" t="s">
        <v>43</v>
      </c>
      <c r="AC713" t="s">
        <v>43</v>
      </c>
      <c r="AD713" t="s">
        <v>1932</v>
      </c>
    </row>
    <row r="714" spans="1:31" x14ac:dyDescent="0.4">
      <c r="A714" t="s">
        <v>27</v>
      </c>
      <c r="B714">
        <v>4545</v>
      </c>
      <c r="C714" t="s">
        <v>2990</v>
      </c>
      <c r="D714">
        <v>230</v>
      </c>
      <c r="E714" t="s">
        <v>257</v>
      </c>
      <c r="F714" t="s">
        <v>1096</v>
      </c>
      <c r="G714" t="s">
        <v>1925</v>
      </c>
      <c r="H714" t="s">
        <v>1926</v>
      </c>
      <c r="J714" t="s">
        <v>850</v>
      </c>
      <c r="K714" t="s">
        <v>330</v>
      </c>
      <c r="L714" t="s">
        <v>1927</v>
      </c>
      <c r="M714" t="s">
        <v>35</v>
      </c>
      <c r="N714">
        <v>2380255329</v>
      </c>
      <c r="O714" t="s">
        <v>1928</v>
      </c>
      <c r="P714" t="s">
        <v>3066</v>
      </c>
      <c r="R714" t="s">
        <v>1933</v>
      </c>
      <c r="S714" t="s">
        <v>1934</v>
      </c>
      <c r="T714" t="s">
        <v>94</v>
      </c>
      <c r="U714" t="s">
        <v>82</v>
      </c>
      <c r="V714" s="1">
        <v>42743</v>
      </c>
      <c r="W714">
        <v>0</v>
      </c>
      <c r="X714">
        <v>5</v>
      </c>
      <c r="Y714" t="s">
        <v>66</v>
      </c>
      <c r="AA714" t="s">
        <v>42</v>
      </c>
      <c r="AB714" t="s">
        <v>43</v>
      </c>
      <c r="AC714" t="s">
        <v>43</v>
      </c>
      <c r="AE714" t="s">
        <v>1932</v>
      </c>
    </row>
    <row r="715" spans="1:31" x14ac:dyDescent="0.4">
      <c r="A715" t="s">
        <v>27</v>
      </c>
      <c r="B715">
        <v>4545</v>
      </c>
      <c r="C715" t="s">
        <v>2990</v>
      </c>
      <c r="D715">
        <v>230</v>
      </c>
      <c r="E715" t="s">
        <v>257</v>
      </c>
      <c r="F715" t="s">
        <v>1096</v>
      </c>
      <c r="G715" t="s">
        <v>1925</v>
      </c>
      <c r="H715" t="s">
        <v>1926</v>
      </c>
      <c r="J715" t="s">
        <v>850</v>
      </c>
      <c r="K715" t="s">
        <v>330</v>
      </c>
      <c r="L715" t="s">
        <v>1927</v>
      </c>
      <c r="M715" t="s">
        <v>35</v>
      </c>
      <c r="N715">
        <v>2380255329</v>
      </c>
      <c r="O715" t="s">
        <v>1928</v>
      </c>
      <c r="P715" t="s">
        <v>3066</v>
      </c>
      <c r="R715" t="s">
        <v>1933</v>
      </c>
      <c r="S715" t="s">
        <v>1934</v>
      </c>
      <c r="T715" t="s">
        <v>94</v>
      </c>
      <c r="U715" t="s">
        <v>82</v>
      </c>
      <c r="V715" s="1">
        <v>42743</v>
      </c>
      <c r="W715">
        <v>0</v>
      </c>
      <c r="X715">
        <v>6</v>
      </c>
      <c r="Y715" t="s">
        <v>83</v>
      </c>
      <c r="AA715" t="s">
        <v>42</v>
      </c>
      <c r="AB715" t="s">
        <v>43</v>
      </c>
      <c r="AC715" t="s">
        <v>43</v>
      </c>
      <c r="AE715" t="s">
        <v>1932</v>
      </c>
    </row>
    <row r="716" spans="1:31" x14ac:dyDescent="0.4">
      <c r="A716" t="s">
        <v>27</v>
      </c>
      <c r="B716">
        <v>4545</v>
      </c>
      <c r="C716" t="s">
        <v>2990</v>
      </c>
      <c r="D716">
        <v>230</v>
      </c>
      <c r="E716" t="s">
        <v>257</v>
      </c>
      <c r="F716" t="s">
        <v>1096</v>
      </c>
      <c r="G716" t="s">
        <v>1925</v>
      </c>
      <c r="H716" t="s">
        <v>1926</v>
      </c>
      <c r="J716" t="s">
        <v>850</v>
      </c>
      <c r="K716" t="s">
        <v>330</v>
      </c>
      <c r="L716" t="s">
        <v>1927</v>
      </c>
      <c r="M716" t="s">
        <v>35</v>
      </c>
      <c r="N716">
        <v>2380255329</v>
      </c>
      <c r="O716" t="s">
        <v>1928</v>
      </c>
      <c r="P716" t="s">
        <v>3066</v>
      </c>
      <c r="R716" t="s">
        <v>1933</v>
      </c>
      <c r="S716" t="s">
        <v>1934</v>
      </c>
      <c r="T716" t="s">
        <v>94</v>
      </c>
      <c r="U716" t="s">
        <v>82</v>
      </c>
      <c r="V716" s="1">
        <v>42743</v>
      </c>
      <c r="W716">
        <v>0</v>
      </c>
      <c r="X716">
        <v>7</v>
      </c>
      <c r="AA716" t="s">
        <v>42</v>
      </c>
      <c r="AB716" t="s">
        <v>43</v>
      </c>
      <c r="AC716" t="s">
        <v>43</v>
      </c>
      <c r="AE716" t="s">
        <v>1932</v>
      </c>
    </row>
    <row r="717" spans="1:31" x14ac:dyDescent="0.4">
      <c r="A717" t="s">
        <v>27</v>
      </c>
      <c r="B717">
        <v>4545</v>
      </c>
      <c r="C717" t="s">
        <v>2990</v>
      </c>
      <c r="E717" t="s">
        <v>257</v>
      </c>
      <c r="F717" t="s">
        <v>1096</v>
      </c>
      <c r="G717" t="s">
        <v>1925</v>
      </c>
      <c r="H717" t="s">
        <v>1926</v>
      </c>
      <c r="J717" t="s">
        <v>850</v>
      </c>
      <c r="K717" t="s">
        <v>330</v>
      </c>
      <c r="L717" t="s">
        <v>1927</v>
      </c>
      <c r="M717" t="s">
        <v>35</v>
      </c>
      <c r="N717">
        <v>2380255329</v>
      </c>
      <c r="O717" t="s">
        <v>1928</v>
      </c>
      <c r="P717" t="s">
        <v>1929</v>
      </c>
      <c r="R717" t="s">
        <v>1930</v>
      </c>
      <c r="S717" t="s">
        <v>1931</v>
      </c>
      <c r="T717" t="s">
        <v>1111</v>
      </c>
      <c r="U717" t="s">
        <v>82</v>
      </c>
      <c r="V717" s="1">
        <v>45351</v>
      </c>
      <c r="W717">
        <v>0</v>
      </c>
      <c r="X717">
        <v>0</v>
      </c>
      <c r="Y717" t="s">
        <v>59</v>
      </c>
      <c r="AA717" t="s">
        <v>42</v>
      </c>
      <c r="AB717" t="s">
        <v>43</v>
      </c>
      <c r="AC717" t="s">
        <v>43</v>
      </c>
      <c r="AE717" t="s">
        <v>1932</v>
      </c>
    </row>
    <row r="718" spans="1:31" x14ac:dyDescent="0.4">
      <c r="A718" t="s">
        <v>27</v>
      </c>
      <c r="B718">
        <v>4545</v>
      </c>
      <c r="C718" t="s">
        <v>2990</v>
      </c>
      <c r="D718">
        <v>230</v>
      </c>
      <c r="E718" t="s">
        <v>257</v>
      </c>
      <c r="F718" t="s">
        <v>1096</v>
      </c>
      <c r="G718" t="s">
        <v>1925</v>
      </c>
      <c r="H718" t="s">
        <v>1926</v>
      </c>
      <c r="J718" t="s">
        <v>850</v>
      </c>
      <c r="K718" t="s">
        <v>330</v>
      </c>
      <c r="L718" t="s">
        <v>1927</v>
      </c>
      <c r="M718" t="s">
        <v>35</v>
      </c>
      <c r="N718">
        <v>2380255329</v>
      </c>
      <c r="O718" t="s">
        <v>1928</v>
      </c>
      <c r="P718" t="s">
        <v>3066</v>
      </c>
      <c r="R718" t="s">
        <v>1933</v>
      </c>
      <c r="S718" t="s">
        <v>1934</v>
      </c>
      <c r="T718" t="s">
        <v>94</v>
      </c>
      <c r="U718" t="s">
        <v>82</v>
      </c>
      <c r="V718" s="1">
        <v>42743</v>
      </c>
      <c r="W718">
        <v>0</v>
      </c>
      <c r="X718">
        <v>15</v>
      </c>
      <c r="AA718" t="s">
        <v>42</v>
      </c>
      <c r="AB718" t="s">
        <v>43</v>
      </c>
      <c r="AC718" t="s">
        <v>43</v>
      </c>
      <c r="AE718" t="s">
        <v>1932</v>
      </c>
    </row>
    <row r="719" spans="1:31" x14ac:dyDescent="0.4">
      <c r="A719" t="s">
        <v>27</v>
      </c>
      <c r="B719">
        <v>4545</v>
      </c>
      <c r="C719" t="s">
        <v>2990</v>
      </c>
      <c r="D719">
        <v>230</v>
      </c>
      <c r="E719" t="s">
        <v>257</v>
      </c>
      <c r="F719" t="s">
        <v>1096</v>
      </c>
      <c r="G719" t="s">
        <v>1925</v>
      </c>
      <c r="H719" t="s">
        <v>1926</v>
      </c>
      <c r="J719" t="s">
        <v>850</v>
      </c>
      <c r="K719" t="s">
        <v>330</v>
      </c>
      <c r="L719" t="s">
        <v>1927</v>
      </c>
      <c r="M719" t="s">
        <v>35</v>
      </c>
      <c r="N719">
        <v>2380255329</v>
      </c>
      <c r="O719" t="s">
        <v>1928</v>
      </c>
      <c r="P719" t="s">
        <v>3066</v>
      </c>
      <c r="R719" t="s">
        <v>1933</v>
      </c>
      <c r="S719" t="s">
        <v>1934</v>
      </c>
      <c r="T719" t="s">
        <v>94</v>
      </c>
      <c r="U719" t="s">
        <v>82</v>
      </c>
      <c r="V719" s="1">
        <v>42743</v>
      </c>
      <c r="W719">
        <v>0</v>
      </c>
      <c r="X719">
        <v>19</v>
      </c>
      <c r="AA719" t="s">
        <v>42</v>
      </c>
      <c r="AB719" t="s">
        <v>43</v>
      </c>
      <c r="AC719" t="s">
        <v>43</v>
      </c>
      <c r="AE719" t="s">
        <v>1932</v>
      </c>
    </row>
    <row r="720" spans="1:31" x14ac:dyDescent="0.4">
      <c r="A720" t="s">
        <v>27</v>
      </c>
      <c r="B720">
        <v>4544</v>
      </c>
      <c r="C720" t="s">
        <v>2991</v>
      </c>
      <c r="E720" t="s">
        <v>68</v>
      </c>
      <c r="F720" t="s">
        <v>836</v>
      </c>
      <c r="G720" t="s">
        <v>1935</v>
      </c>
      <c r="H720" t="s">
        <v>1926</v>
      </c>
      <c r="J720" t="s">
        <v>850</v>
      </c>
      <c r="K720" t="s">
        <v>330</v>
      </c>
      <c r="L720" t="s">
        <v>1927</v>
      </c>
      <c r="M720" t="s">
        <v>35</v>
      </c>
      <c r="N720">
        <v>2380255329</v>
      </c>
      <c r="O720" t="s">
        <v>1928</v>
      </c>
      <c r="P720" t="s">
        <v>1936</v>
      </c>
      <c r="R720" t="s">
        <v>1937</v>
      </c>
      <c r="S720" t="s">
        <v>1938</v>
      </c>
      <c r="T720" t="s">
        <v>58</v>
      </c>
      <c r="U720" t="s">
        <v>82</v>
      </c>
      <c r="V720" s="1">
        <v>42201</v>
      </c>
      <c r="W720">
        <v>0</v>
      </c>
      <c r="X720">
        <v>0</v>
      </c>
      <c r="Y720" t="s">
        <v>59</v>
      </c>
      <c r="AA720" t="s">
        <v>42</v>
      </c>
      <c r="AB720" t="s">
        <v>43</v>
      </c>
      <c r="AC720" t="s">
        <v>43</v>
      </c>
      <c r="AE720" t="s">
        <v>1939</v>
      </c>
    </row>
    <row r="721" spans="1:31" x14ac:dyDescent="0.4">
      <c r="A721" t="s">
        <v>27</v>
      </c>
      <c r="B721">
        <v>4544</v>
      </c>
      <c r="C721" t="s">
        <v>2991</v>
      </c>
      <c r="D721">
        <v>227</v>
      </c>
      <c r="E721" t="s">
        <v>68</v>
      </c>
      <c r="F721" t="s">
        <v>836</v>
      </c>
      <c r="G721" t="s">
        <v>1935</v>
      </c>
      <c r="H721" t="s">
        <v>1926</v>
      </c>
      <c r="J721" t="s">
        <v>850</v>
      </c>
      <c r="K721" t="s">
        <v>330</v>
      </c>
      <c r="L721" t="s">
        <v>1927</v>
      </c>
      <c r="M721" t="s">
        <v>35</v>
      </c>
      <c r="N721">
        <v>2380255329</v>
      </c>
      <c r="O721" t="s">
        <v>1928</v>
      </c>
      <c r="P721" t="s">
        <v>2991</v>
      </c>
      <c r="R721" t="s">
        <v>1940</v>
      </c>
      <c r="S721" t="s">
        <v>1941</v>
      </c>
      <c r="T721" t="s">
        <v>169</v>
      </c>
      <c r="U721" t="s">
        <v>40</v>
      </c>
      <c r="V721" s="1">
        <v>43792</v>
      </c>
      <c r="W721">
        <v>0</v>
      </c>
      <c r="X721">
        <v>4</v>
      </c>
      <c r="Y721" t="s">
        <v>65</v>
      </c>
      <c r="AA721" t="s">
        <v>42</v>
      </c>
      <c r="AB721" t="s">
        <v>43</v>
      </c>
      <c r="AC721" t="s">
        <v>43</v>
      </c>
      <c r="AE721" t="s">
        <v>1939</v>
      </c>
    </row>
    <row r="722" spans="1:31" x14ac:dyDescent="0.4">
      <c r="A722" t="s">
        <v>27</v>
      </c>
      <c r="B722">
        <v>4544</v>
      </c>
      <c r="C722" t="s">
        <v>2991</v>
      </c>
      <c r="D722">
        <v>227</v>
      </c>
      <c r="E722" t="s">
        <v>68</v>
      </c>
      <c r="F722" t="s">
        <v>836</v>
      </c>
      <c r="G722" t="s">
        <v>1935</v>
      </c>
      <c r="H722" t="s">
        <v>1926</v>
      </c>
      <c r="J722" t="s">
        <v>850</v>
      </c>
      <c r="K722" t="s">
        <v>330</v>
      </c>
      <c r="L722" t="s">
        <v>1927</v>
      </c>
      <c r="M722" t="s">
        <v>35</v>
      </c>
      <c r="N722">
        <v>2380255329</v>
      </c>
      <c r="O722" t="s">
        <v>1928</v>
      </c>
      <c r="P722" t="s">
        <v>2991</v>
      </c>
      <c r="R722" t="s">
        <v>1940</v>
      </c>
      <c r="S722" t="s">
        <v>1941</v>
      </c>
      <c r="T722" t="s">
        <v>169</v>
      </c>
      <c r="U722" t="s">
        <v>40</v>
      </c>
      <c r="V722" s="1">
        <v>43792</v>
      </c>
      <c r="W722">
        <v>0</v>
      </c>
      <c r="X722">
        <v>5</v>
      </c>
      <c r="Y722" t="s">
        <v>66</v>
      </c>
      <c r="AA722" t="s">
        <v>42</v>
      </c>
      <c r="AB722" t="s">
        <v>43</v>
      </c>
      <c r="AC722" t="s">
        <v>43</v>
      </c>
      <c r="AE722" t="s">
        <v>1939</v>
      </c>
    </row>
    <row r="723" spans="1:31" x14ac:dyDescent="0.4">
      <c r="A723" t="s">
        <v>27</v>
      </c>
      <c r="B723">
        <v>4544</v>
      </c>
      <c r="C723" t="s">
        <v>2991</v>
      </c>
      <c r="E723" t="s">
        <v>68</v>
      </c>
      <c r="F723" t="s">
        <v>836</v>
      </c>
      <c r="G723" t="s">
        <v>1935</v>
      </c>
      <c r="H723" t="s">
        <v>1926</v>
      </c>
      <c r="J723" t="s">
        <v>850</v>
      </c>
      <c r="K723" t="s">
        <v>330</v>
      </c>
      <c r="L723" t="s">
        <v>1927</v>
      </c>
      <c r="M723" t="s">
        <v>35</v>
      </c>
      <c r="N723">
        <v>2380255329</v>
      </c>
      <c r="O723" t="s">
        <v>1928</v>
      </c>
      <c r="P723" t="s">
        <v>1936</v>
      </c>
      <c r="R723" t="s">
        <v>1937</v>
      </c>
      <c r="S723" t="s">
        <v>1938</v>
      </c>
      <c r="T723" t="s">
        <v>58</v>
      </c>
      <c r="U723" t="s">
        <v>82</v>
      </c>
      <c r="V723" s="1">
        <v>42201</v>
      </c>
      <c r="W723">
        <v>0</v>
      </c>
      <c r="X723">
        <v>0</v>
      </c>
      <c r="Y723" t="s">
        <v>59</v>
      </c>
      <c r="AA723" t="s">
        <v>42</v>
      </c>
      <c r="AB723" t="s">
        <v>43</v>
      </c>
      <c r="AC723" t="s">
        <v>43</v>
      </c>
      <c r="AE723" t="s">
        <v>1939</v>
      </c>
    </row>
    <row r="724" spans="1:31" x14ac:dyDescent="0.4">
      <c r="A724" t="s">
        <v>27</v>
      </c>
      <c r="B724">
        <v>4544</v>
      </c>
      <c r="C724" t="s">
        <v>2991</v>
      </c>
      <c r="D724">
        <v>227</v>
      </c>
      <c r="E724" t="s">
        <v>68</v>
      </c>
      <c r="F724" t="s">
        <v>836</v>
      </c>
      <c r="G724" t="s">
        <v>1935</v>
      </c>
      <c r="H724" t="s">
        <v>1926</v>
      </c>
      <c r="J724" t="s">
        <v>850</v>
      </c>
      <c r="K724" t="s">
        <v>330</v>
      </c>
      <c r="L724" t="s">
        <v>1927</v>
      </c>
      <c r="M724" t="s">
        <v>35</v>
      </c>
      <c r="N724">
        <v>2380255329</v>
      </c>
      <c r="O724" t="s">
        <v>1928</v>
      </c>
      <c r="P724" t="s">
        <v>2991</v>
      </c>
      <c r="R724" t="s">
        <v>1940</v>
      </c>
      <c r="S724" t="s">
        <v>1941</v>
      </c>
      <c r="T724" t="s">
        <v>169</v>
      </c>
      <c r="U724" t="s">
        <v>40</v>
      </c>
      <c r="V724" s="1">
        <v>43792</v>
      </c>
      <c r="W724">
        <v>0</v>
      </c>
      <c r="X724">
        <v>12</v>
      </c>
      <c r="AA724" t="s">
        <v>42</v>
      </c>
      <c r="AB724" t="s">
        <v>43</v>
      </c>
      <c r="AC724" t="s">
        <v>43</v>
      </c>
      <c r="AE724" t="s">
        <v>1939</v>
      </c>
    </row>
    <row r="725" spans="1:31" x14ac:dyDescent="0.4">
      <c r="A725" t="s">
        <v>27</v>
      </c>
      <c r="B725">
        <v>4544</v>
      </c>
      <c r="C725" t="s">
        <v>2991</v>
      </c>
      <c r="D725">
        <v>227</v>
      </c>
      <c r="E725" t="s">
        <v>68</v>
      </c>
      <c r="F725" t="s">
        <v>836</v>
      </c>
      <c r="G725" t="s">
        <v>1935</v>
      </c>
      <c r="H725" t="s">
        <v>1926</v>
      </c>
      <c r="J725" t="s">
        <v>850</v>
      </c>
      <c r="K725" t="s">
        <v>330</v>
      </c>
      <c r="L725" t="s">
        <v>1927</v>
      </c>
      <c r="M725" t="s">
        <v>35</v>
      </c>
      <c r="N725">
        <v>2380255329</v>
      </c>
      <c r="O725" t="s">
        <v>1928</v>
      </c>
      <c r="P725" t="s">
        <v>2991</v>
      </c>
      <c r="R725" t="s">
        <v>1940</v>
      </c>
      <c r="S725" t="s">
        <v>1941</v>
      </c>
      <c r="T725" t="s">
        <v>169</v>
      </c>
      <c r="U725" t="s">
        <v>40</v>
      </c>
      <c r="V725" s="1">
        <v>43792</v>
      </c>
      <c r="W725">
        <v>0</v>
      </c>
      <c r="X725">
        <v>14</v>
      </c>
      <c r="AA725" t="s">
        <v>42</v>
      </c>
      <c r="AB725" t="s">
        <v>43</v>
      </c>
      <c r="AC725" t="s">
        <v>43</v>
      </c>
      <c r="AE725" t="s">
        <v>1939</v>
      </c>
    </row>
    <row r="726" spans="1:31" x14ac:dyDescent="0.4">
      <c r="A726" t="s">
        <v>27</v>
      </c>
      <c r="B726">
        <v>4498</v>
      </c>
      <c r="C726" t="s">
        <v>2992</v>
      </c>
      <c r="D726">
        <v>228</v>
      </c>
      <c r="E726" t="s">
        <v>1039</v>
      </c>
      <c r="F726" t="s">
        <v>1942</v>
      </c>
      <c r="G726" t="s">
        <v>1935</v>
      </c>
      <c r="H726" t="s">
        <v>1943</v>
      </c>
      <c r="J726" t="s">
        <v>1944</v>
      </c>
      <c r="K726" t="s">
        <v>426</v>
      </c>
      <c r="L726" t="s">
        <v>1945</v>
      </c>
      <c r="M726" t="s">
        <v>35</v>
      </c>
      <c r="N726" t="s">
        <v>1946</v>
      </c>
      <c r="O726" t="s">
        <v>1947</v>
      </c>
      <c r="P726" t="s">
        <v>2992</v>
      </c>
      <c r="R726" t="s">
        <v>1948</v>
      </c>
      <c r="S726" t="s">
        <v>1949</v>
      </c>
      <c r="T726" t="s">
        <v>58</v>
      </c>
      <c r="U726" t="s">
        <v>82</v>
      </c>
      <c r="V726" s="1">
        <v>43480</v>
      </c>
      <c r="W726">
        <v>0</v>
      </c>
      <c r="X726">
        <v>19</v>
      </c>
      <c r="AA726" t="s">
        <v>42</v>
      </c>
      <c r="AB726" t="s">
        <v>43</v>
      </c>
      <c r="AC726" t="s">
        <v>42</v>
      </c>
    </row>
    <row r="727" spans="1:31" x14ac:dyDescent="0.4">
      <c r="A727" t="s">
        <v>27</v>
      </c>
      <c r="B727">
        <v>4498</v>
      </c>
      <c r="C727" t="s">
        <v>2992</v>
      </c>
      <c r="D727">
        <v>229</v>
      </c>
      <c r="E727" t="s">
        <v>1039</v>
      </c>
      <c r="F727" t="s">
        <v>1942</v>
      </c>
      <c r="G727" t="s">
        <v>1935</v>
      </c>
      <c r="H727" t="s">
        <v>1943</v>
      </c>
      <c r="J727" t="s">
        <v>1944</v>
      </c>
      <c r="K727" t="s">
        <v>426</v>
      </c>
      <c r="L727" t="s">
        <v>1945</v>
      </c>
      <c r="M727" t="s">
        <v>35</v>
      </c>
      <c r="N727" t="s">
        <v>1946</v>
      </c>
      <c r="O727" t="s">
        <v>1947</v>
      </c>
      <c r="P727" t="s">
        <v>2992</v>
      </c>
      <c r="R727" t="s">
        <v>1950</v>
      </c>
      <c r="S727" t="s">
        <v>1951</v>
      </c>
      <c r="T727" t="s">
        <v>58</v>
      </c>
      <c r="U727" t="s">
        <v>82</v>
      </c>
      <c r="V727" s="1">
        <v>42036</v>
      </c>
      <c r="W727">
        <v>0</v>
      </c>
      <c r="X727">
        <v>19</v>
      </c>
      <c r="AA727" t="s">
        <v>42</v>
      </c>
      <c r="AB727" t="s">
        <v>43</v>
      </c>
      <c r="AC727" t="s">
        <v>42</v>
      </c>
    </row>
    <row r="728" spans="1:31" x14ac:dyDescent="0.4">
      <c r="A728" t="s">
        <v>27</v>
      </c>
      <c r="B728">
        <v>4498</v>
      </c>
      <c r="C728" t="s">
        <v>2992</v>
      </c>
      <c r="D728">
        <v>228</v>
      </c>
      <c r="E728" t="s">
        <v>1039</v>
      </c>
      <c r="F728" t="s">
        <v>1942</v>
      </c>
      <c r="G728" t="s">
        <v>1935</v>
      </c>
      <c r="H728" t="s">
        <v>1943</v>
      </c>
      <c r="J728" t="s">
        <v>1944</v>
      </c>
      <c r="K728" t="s">
        <v>426</v>
      </c>
      <c r="L728" t="s">
        <v>1945</v>
      </c>
      <c r="M728" t="s">
        <v>35</v>
      </c>
      <c r="N728" t="s">
        <v>1946</v>
      </c>
      <c r="O728" t="s">
        <v>1947</v>
      </c>
      <c r="P728" t="s">
        <v>2992</v>
      </c>
      <c r="R728" t="s">
        <v>1948</v>
      </c>
      <c r="S728" t="s">
        <v>1949</v>
      </c>
      <c r="T728" t="s">
        <v>58</v>
      </c>
      <c r="U728" t="s">
        <v>82</v>
      </c>
      <c r="V728" s="1">
        <v>43480</v>
      </c>
      <c r="W728">
        <v>0</v>
      </c>
      <c r="X728">
        <v>21</v>
      </c>
      <c r="AA728" t="s">
        <v>42</v>
      </c>
      <c r="AB728" t="s">
        <v>43</v>
      </c>
      <c r="AC728" t="s">
        <v>42</v>
      </c>
    </row>
    <row r="729" spans="1:31" x14ac:dyDescent="0.4">
      <c r="A729" t="s">
        <v>27</v>
      </c>
      <c r="B729">
        <v>4498</v>
      </c>
      <c r="C729" t="s">
        <v>2992</v>
      </c>
      <c r="D729">
        <v>229</v>
      </c>
      <c r="E729" t="s">
        <v>1039</v>
      </c>
      <c r="F729" t="s">
        <v>1942</v>
      </c>
      <c r="G729" t="s">
        <v>1935</v>
      </c>
      <c r="H729" t="s">
        <v>1943</v>
      </c>
      <c r="J729" t="s">
        <v>1944</v>
      </c>
      <c r="K729" t="s">
        <v>426</v>
      </c>
      <c r="L729" t="s">
        <v>1945</v>
      </c>
      <c r="M729" t="s">
        <v>35</v>
      </c>
      <c r="N729" t="s">
        <v>1946</v>
      </c>
      <c r="O729" t="s">
        <v>1947</v>
      </c>
      <c r="P729" t="s">
        <v>2992</v>
      </c>
      <c r="R729" t="s">
        <v>1950</v>
      </c>
      <c r="S729" t="s">
        <v>1951</v>
      </c>
      <c r="T729" t="s">
        <v>58</v>
      </c>
      <c r="U729" t="s">
        <v>82</v>
      </c>
      <c r="V729" s="1">
        <v>42036</v>
      </c>
      <c r="W729">
        <v>0</v>
      </c>
      <c r="X729">
        <v>21</v>
      </c>
      <c r="AA729" t="s">
        <v>42</v>
      </c>
      <c r="AB729" t="s">
        <v>43</v>
      </c>
      <c r="AC729" t="s">
        <v>42</v>
      </c>
    </row>
    <row r="730" spans="1:31" x14ac:dyDescent="0.4">
      <c r="A730" t="s">
        <v>27</v>
      </c>
      <c r="B730">
        <v>5023</v>
      </c>
      <c r="C730" t="s">
        <v>2993</v>
      </c>
      <c r="D730">
        <v>231</v>
      </c>
      <c r="E730" t="s">
        <v>195</v>
      </c>
      <c r="F730" t="s">
        <v>238</v>
      </c>
      <c r="G730" t="s">
        <v>1952</v>
      </c>
      <c r="H730" t="s">
        <v>1953</v>
      </c>
      <c r="J730" t="s">
        <v>633</v>
      </c>
      <c r="K730" t="s">
        <v>1753</v>
      </c>
      <c r="L730" t="s">
        <v>1954</v>
      </c>
      <c r="M730" t="s">
        <v>35</v>
      </c>
      <c r="N730">
        <v>7871306533</v>
      </c>
      <c r="O730" t="s">
        <v>1955</v>
      </c>
      <c r="P730" t="s">
        <v>2993</v>
      </c>
      <c r="R730" t="s">
        <v>1956</v>
      </c>
      <c r="S730" t="s">
        <v>1957</v>
      </c>
      <c r="T730" t="s">
        <v>94</v>
      </c>
      <c r="U730" t="s">
        <v>82</v>
      </c>
      <c r="V730" s="1">
        <v>42082</v>
      </c>
      <c r="W730">
        <v>0</v>
      </c>
      <c r="X730">
        <v>4</v>
      </c>
      <c r="Y730" t="s">
        <v>65</v>
      </c>
      <c r="AA730" t="s">
        <v>42</v>
      </c>
      <c r="AB730" t="s">
        <v>43</v>
      </c>
      <c r="AC730" t="s">
        <v>43</v>
      </c>
    </row>
    <row r="731" spans="1:31" x14ac:dyDescent="0.4">
      <c r="A731" t="s">
        <v>27</v>
      </c>
      <c r="B731">
        <v>5023</v>
      </c>
      <c r="C731" t="s">
        <v>2993</v>
      </c>
      <c r="D731">
        <v>232</v>
      </c>
      <c r="E731" t="s">
        <v>195</v>
      </c>
      <c r="F731" t="s">
        <v>238</v>
      </c>
      <c r="G731" t="s">
        <v>1952</v>
      </c>
      <c r="H731" t="s">
        <v>1953</v>
      </c>
      <c r="J731" t="s">
        <v>633</v>
      </c>
      <c r="K731" t="s">
        <v>1753</v>
      </c>
      <c r="L731" t="s">
        <v>1954</v>
      </c>
      <c r="M731" t="s">
        <v>35</v>
      </c>
      <c r="N731">
        <v>7871306533</v>
      </c>
      <c r="O731" t="s">
        <v>1955</v>
      </c>
      <c r="P731" t="s">
        <v>2993</v>
      </c>
      <c r="R731" t="s">
        <v>1958</v>
      </c>
      <c r="S731" t="s">
        <v>1959</v>
      </c>
      <c r="T731" t="s">
        <v>94</v>
      </c>
      <c r="U731" t="s">
        <v>40</v>
      </c>
      <c r="V731" s="1">
        <v>45030</v>
      </c>
      <c r="W731">
        <v>0</v>
      </c>
      <c r="X731">
        <v>4</v>
      </c>
      <c r="Y731" t="s">
        <v>65</v>
      </c>
      <c r="AA731" t="s">
        <v>42</v>
      </c>
      <c r="AB731" t="s">
        <v>43</v>
      </c>
      <c r="AC731" t="s">
        <v>43</v>
      </c>
    </row>
    <row r="732" spans="1:31" x14ac:dyDescent="0.4">
      <c r="A732" t="s">
        <v>27</v>
      </c>
      <c r="B732">
        <v>6111</v>
      </c>
      <c r="C732" t="s">
        <v>1965</v>
      </c>
      <c r="D732">
        <v>234</v>
      </c>
      <c r="E732" t="s">
        <v>28</v>
      </c>
      <c r="F732" t="s">
        <v>524</v>
      </c>
      <c r="G732" t="s">
        <v>1960</v>
      </c>
      <c r="H732" t="s">
        <v>1961</v>
      </c>
      <c r="I732" t="s">
        <v>1962</v>
      </c>
      <c r="J732" t="s">
        <v>1962</v>
      </c>
      <c r="K732" t="s">
        <v>528</v>
      </c>
      <c r="L732" t="s">
        <v>1963</v>
      </c>
      <c r="M732" t="s">
        <v>35</v>
      </c>
      <c r="N732">
        <v>7502412357</v>
      </c>
      <c r="O732" t="s">
        <v>1964</v>
      </c>
      <c r="P732" t="s">
        <v>1965</v>
      </c>
      <c r="R732" t="s">
        <v>1966</v>
      </c>
      <c r="S732" t="s">
        <v>1967</v>
      </c>
      <c r="T732" t="s">
        <v>3136</v>
      </c>
      <c r="U732" t="s">
        <v>40</v>
      </c>
      <c r="V732" s="1">
        <v>45050</v>
      </c>
      <c r="W732">
        <v>0</v>
      </c>
      <c r="X732">
        <v>11</v>
      </c>
      <c r="AA732" t="s">
        <v>42</v>
      </c>
      <c r="AB732" t="s">
        <v>43</v>
      </c>
      <c r="AC732" t="s">
        <v>43</v>
      </c>
    </row>
    <row r="733" spans="1:31" x14ac:dyDescent="0.4">
      <c r="A733" t="s">
        <v>27</v>
      </c>
      <c r="B733">
        <v>6467</v>
      </c>
      <c r="C733" t="s">
        <v>1970</v>
      </c>
      <c r="D733">
        <v>235</v>
      </c>
      <c r="E733" t="s">
        <v>257</v>
      </c>
      <c r="F733" t="s">
        <v>1968</v>
      </c>
      <c r="G733" t="s">
        <v>1960</v>
      </c>
      <c r="H733" t="s">
        <v>1961</v>
      </c>
      <c r="J733" t="s">
        <v>1962</v>
      </c>
      <c r="K733" t="s">
        <v>528</v>
      </c>
      <c r="L733" t="s">
        <v>1963</v>
      </c>
      <c r="M733" t="s">
        <v>35</v>
      </c>
      <c r="N733">
        <v>7412710041</v>
      </c>
      <c r="O733" t="s">
        <v>1969</v>
      </c>
      <c r="P733" t="s">
        <v>1970</v>
      </c>
      <c r="R733" t="s">
        <v>1971</v>
      </c>
      <c r="S733" t="s">
        <v>1972</v>
      </c>
      <c r="T733" t="s">
        <v>376</v>
      </c>
      <c r="U733" t="s">
        <v>82</v>
      </c>
      <c r="V733" s="1">
        <v>43550</v>
      </c>
      <c r="W733">
        <v>0</v>
      </c>
      <c r="X733">
        <v>8</v>
      </c>
      <c r="AA733" t="s">
        <v>42</v>
      </c>
      <c r="AB733" t="s">
        <v>43</v>
      </c>
      <c r="AC733" t="s">
        <v>43</v>
      </c>
    </row>
    <row r="734" spans="1:31" x14ac:dyDescent="0.4">
      <c r="A734" t="s">
        <v>27</v>
      </c>
      <c r="B734">
        <v>6467</v>
      </c>
      <c r="C734" t="s">
        <v>1970</v>
      </c>
      <c r="D734">
        <v>235</v>
      </c>
      <c r="E734" t="s">
        <v>257</v>
      </c>
      <c r="F734" t="s">
        <v>1968</v>
      </c>
      <c r="G734" t="s">
        <v>1960</v>
      </c>
      <c r="H734" t="s">
        <v>1961</v>
      </c>
      <c r="J734" t="s">
        <v>1962</v>
      </c>
      <c r="K734" t="s">
        <v>528</v>
      </c>
      <c r="L734" t="s">
        <v>1963</v>
      </c>
      <c r="M734" t="s">
        <v>35</v>
      </c>
      <c r="N734">
        <v>7412710041</v>
      </c>
      <c r="O734" t="s">
        <v>1969</v>
      </c>
      <c r="P734" t="s">
        <v>1970</v>
      </c>
      <c r="R734" t="s">
        <v>1971</v>
      </c>
      <c r="S734" t="s">
        <v>1972</v>
      </c>
      <c r="T734" t="s">
        <v>376</v>
      </c>
      <c r="U734" t="s">
        <v>82</v>
      </c>
      <c r="V734" s="1">
        <v>43550</v>
      </c>
      <c r="W734">
        <v>0</v>
      </c>
      <c r="X734">
        <v>10</v>
      </c>
      <c r="AA734" t="s">
        <v>42</v>
      </c>
      <c r="AB734" t="s">
        <v>43</v>
      </c>
      <c r="AC734" t="s">
        <v>43</v>
      </c>
    </row>
    <row r="735" spans="1:31" x14ac:dyDescent="0.4">
      <c r="A735" t="s">
        <v>27</v>
      </c>
      <c r="B735">
        <v>5924</v>
      </c>
      <c r="C735" t="s">
        <v>2994</v>
      </c>
      <c r="D735">
        <v>233</v>
      </c>
      <c r="E735" t="s">
        <v>68</v>
      </c>
      <c r="F735" t="s">
        <v>1341</v>
      </c>
      <c r="G735" t="s">
        <v>1973</v>
      </c>
      <c r="H735" t="s">
        <v>1974</v>
      </c>
      <c r="I735" t="s">
        <v>1975</v>
      </c>
      <c r="J735" t="s">
        <v>1004</v>
      </c>
      <c r="K735" t="s">
        <v>495</v>
      </c>
      <c r="L735" t="s">
        <v>1976</v>
      </c>
      <c r="M735" t="s">
        <v>35</v>
      </c>
      <c r="N735" t="s">
        <v>1977</v>
      </c>
      <c r="O735" t="s">
        <v>1978</v>
      </c>
      <c r="P735" t="s">
        <v>2994</v>
      </c>
      <c r="R735" t="s">
        <v>1979</v>
      </c>
      <c r="S735" t="s">
        <v>1980</v>
      </c>
      <c r="T735" t="s">
        <v>58</v>
      </c>
      <c r="U735" t="s">
        <v>82</v>
      </c>
      <c r="V735" s="1">
        <v>44166</v>
      </c>
      <c r="W735">
        <v>0</v>
      </c>
      <c r="X735">
        <v>7</v>
      </c>
      <c r="AA735" t="s">
        <v>42</v>
      </c>
      <c r="AB735" t="s">
        <v>43</v>
      </c>
      <c r="AC735" t="s">
        <v>43</v>
      </c>
    </row>
    <row r="736" spans="1:31" x14ac:dyDescent="0.4">
      <c r="A736" t="s">
        <v>27</v>
      </c>
      <c r="B736">
        <v>5924</v>
      </c>
      <c r="C736" t="s">
        <v>2994</v>
      </c>
      <c r="D736">
        <v>233</v>
      </c>
      <c r="E736" t="s">
        <v>68</v>
      </c>
      <c r="F736" t="s">
        <v>1341</v>
      </c>
      <c r="G736" t="s">
        <v>1973</v>
      </c>
      <c r="H736" t="s">
        <v>1974</v>
      </c>
      <c r="I736" t="s">
        <v>1975</v>
      </c>
      <c r="J736" t="s">
        <v>1004</v>
      </c>
      <c r="K736" t="s">
        <v>495</v>
      </c>
      <c r="L736" t="s">
        <v>1976</v>
      </c>
      <c r="M736" t="s">
        <v>35</v>
      </c>
      <c r="N736" t="s">
        <v>1977</v>
      </c>
      <c r="O736" t="s">
        <v>1978</v>
      </c>
      <c r="P736" t="s">
        <v>2994</v>
      </c>
      <c r="R736" t="s">
        <v>1979</v>
      </c>
      <c r="S736" t="s">
        <v>1980</v>
      </c>
      <c r="T736" t="s">
        <v>58</v>
      </c>
      <c r="U736" t="s">
        <v>82</v>
      </c>
      <c r="V736" s="1">
        <v>44166</v>
      </c>
      <c r="W736">
        <v>0</v>
      </c>
      <c r="X736">
        <v>19</v>
      </c>
      <c r="AA736" t="s">
        <v>42</v>
      </c>
      <c r="AB736" t="s">
        <v>43</v>
      </c>
      <c r="AC736" t="s">
        <v>43</v>
      </c>
    </row>
    <row r="737" spans="1:31" x14ac:dyDescent="0.4">
      <c r="A737" t="s">
        <v>27</v>
      </c>
      <c r="B737">
        <v>5924</v>
      </c>
      <c r="C737" t="s">
        <v>2994</v>
      </c>
      <c r="D737">
        <v>233</v>
      </c>
      <c r="E737" t="s">
        <v>68</v>
      </c>
      <c r="F737" t="s">
        <v>1341</v>
      </c>
      <c r="G737" t="s">
        <v>1973</v>
      </c>
      <c r="H737" t="s">
        <v>1974</v>
      </c>
      <c r="I737" t="s">
        <v>1975</v>
      </c>
      <c r="J737" t="s">
        <v>1004</v>
      </c>
      <c r="K737" t="s">
        <v>495</v>
      </c>
      <c r="L737" t="s">
        <v>1976</v>
      </c>
      <c r="M737" t="s">
        <v>35</v>
      </c>
      <c r="N737" t="s">
        <v>1977</v>
      </c>
      <c r="O737" t="s">
        <v>1978</v>
      </c>
      <c r="P737" t="s">
        <v>2994</v>
      </c>
      <c r="R737" t="s">
        <v>1979</v>
      </c>
      <c r="S737" t="s">
        <v>1980</v>
      </c>
      <c r="T737" t="s">
        <v>58</v>
      </c>
      <c r="U737" t="s">
        <v>82</v>
      </c>
      <c r="V737" s="1">
        <v>44166</v>
      </c>
      <c r="W737">
        <v>0</v>
      </c>
      <c r="X737">
        <v>21</v>
      </c>
      <c r="AA737" t="s">
        <v>42</v>
      </c>
      <c r="AB737" t="s">
        <v>43</v>
      </c>
      <c r="AC737" t="s">
        <v>43</v>
      </c>
    </row>
    <row r="738" spans="1:31" x14ac:dyDescent="0.4">
      <c r="A738" t="s">
        <v>27</v>
      </c>
      <c r="B738">
        <v>202</v>
      </c>
      <c r="C738" t="s">
        <v>2873</v>
      </c>
      <c r="E738" t="s">
        <v>195</v>
      </c>
      <c r="F738" t="s">
        <v>160</v>
      </c>
      <c r="G738" t="s">
        <v>1981</v>
      </c>
      <c r="H738" t="s">
        <v>1982</v>
      </c>
      <c r="J738" t="s">
        <v>175</v>
      </c>
      <c r="K738" t="s">
        <v>215</v>
      </c>
      <c r="L738" t="s">
        <v>1983</v>
      </c>
      <c r="M738" t="s">
        <v>35</v>
      </c>
      <c r="N738">
        <v>1494445004</v>
      </c>
      <c r="O738" t="s">
        <v>1984</v>
      </c>
      <c r="P738" t="s">
        <v>1985</v>
      </c>
      <c r="R738" t="s">
        <v>1986</v>
      </c>
      <c r="S738" t="s">
        <v>1987</v>
      </c>
      <c r="T738" t="s">
        <v>376</v>
      </c>
      <c r="U738" t="s">
        <v>40</v>
      </c>
      <c r="V738" s="1">
        <v>43301</v>
      </c>
      <c r="W738">
        <v>0</v>
      </c>
      <c r="X738">
        <v>0</v>
      </c>
      <c r="Y738" t="s">
        <v>59</v>
      </c>
      <c r="Z738" t="s">
        <v>464</v>
      </c>
      <c r="AA738" t="s">
        <v>42</v>
      </c>
      <c r="AB738" t="s">
        <v>43</v>
      </c>
      <c r="AC738" t="s">
        <v>42</v>
      </c>
    </row>
    <row r="739" spans="1:31" x14ac:dyDescent="0.4">
      <c r="A739" t="s">
        <v>27</v>
      </c>
      <c r="B739">
        <v>202</v>
      </c>
      <c r="C739" t="s">
        <v>2873</v>
      </c>
      <c r="E739" t="s">
        <v>195</v>
      </c>
      <c r="F739" t="s">
        <v>160</v>
      </c>
      <c r="G739" t="s">
        <v>1981</v>
      </c>
      <c r="H739" t="s">
        <v>1982</v>
      </c>
      <c r="J739" t="s">
        <v>175</v>
      </c>
      <c r="K739" t="s">
        <v>215</v>
      </c>
      <c r="L739" t="s">
        <v>1983</v>
      </c>
      <c r="M739" t="s">
        <v>35</v>
      </c>
      <c r="N739">
        <v>1494445004</v>
      </c>
      <c r="O739" t="s">
        <v>1984</v>
      </c>
      <c r="P739" t="s">
        <v>1985</v>
      </c>
      <c r="R739" t="s">
        <v>1986</v>
      </c>
      <c r="S739" t="s">
        <v>1987</v>
      </c>
      <c r="T739" t="s">
        <v>376</v>
      </c>
      <c r="U739" t="s">
        <v>40</v>
      </c>
      <c r="V739" s="1">
        <v>43301</v>
      </c>
      <c r="W739">
        <v>0</v>
      </c>
      <c r="X739">
        <v>0</v>
      </c>
      <c r="Y739" t="s">
        <v>59</v>
      </c>
      <c r="Z739" t="s">
        <v>464</v>
      </c>
      <c r="AA739" t="s">
        <v>42</v>
      </c>
      <c r="AB739" t="s">
        <v>43</v>
      </c>
      <c r="AC739" t="s">
        <v>42</v>
      </c>
    </row>
    <row r="740" spans="1:31" x14ac:dyDescent="0.4">
      <c r="A740" t="s">
        <v>27</v>
      </c>
      <c r="B740">
        <v>202</v>
      </c>
      <c r="C740" t="s">
        <v>2873</v>
      </c>
      <c r="E740" t="s">
        <v>195</v>
      </c>
      <c r="F740" t="s">
        <v>160</v>
      </c>
      <c r="G740" t="s">
        <v>1981</v>
      </c>
      <c r="H740" t="s">
        <v>1982</v>
      </c>
      <c r="J740" t="s">
        <v>175</v>
      </c>
      <c r="K740" t="s">
        <v>215</v>
      </c>
      <c r="L740" t="s">
        <v>1983</v>
      </c>
      <c r="M740" t="s">
        <v>35</v>
      </c>
      <c r="N740">
        <v>1494445004</v>
      </c>
      <c r="O740" t="s">
        <v>1984</v>
      </c>
      <c r="P740" t="s">
        <v>1985</v>
      </c>
      <c r="R740" t="s">
        <v>1988</v>
      </c>
      <c r="S740" t="s">
        <v>1989</v>
      </c>
      <c r="T740" t="s">
        <v>58</v>
      </c>
      <c r="U740" t="s">
        <v>82</v>
      </c>
      <c r="V740" s="1">
        <v>41218</v>
      </c>
      <c r="W740">
        <v>0</v>
      </c>
      <c r="X740">
        <v>0</v>
      </c>
      <c r="Y740" t="s">
        <v>59</v>
      </c>
      <c r="Z740" t="s">
        <v>464</v>
      </c>
      <c r="AA740" t="s">
        <v>42</v>
      </c>
      <c r="AB740" t="s">
        <v>43</v>
      </c>
      <c r="AC740" t="s">
        <v>42</v>
      </c>
    </row>
    <row r="741" spans="1:31" x14ac:dyDescent="0.4">
      <c r="A741" t="s">
        <v>27</v>
      </c>
      <c r="B741">
        <v>202</v>
      </c>
      <c r="C741" t="s">
        <v>2873</v>
      </c>
      <c r="E741" t="s">
        <v>195</v>
      </c>
      <c r="F741" t="s">
        <v>160</v>
      </c>
      <c r="G741" t="s">
        <v>1981</v>
      </c>
      <c r="H741" t="s">
        <v>1982</v>
      </c>
      <c r="J741" t="s">
        <v>175</v>
      </c>
      <c r="K741" t="s">
        <v>215</v>
      </c>
      <c r="L741" t="s">
        <v>1983</v>
      </c>
      <c r="M741" t="s">
        <v>35</v>
      </c>
      <c r="N741">
        <v>1494445004</v>
      </c>
      <c r="O741" t="s">
        <v>1984</v>
      </c>
      <c r="P741" t="s">
        <v>1985</v>
      </c>
      <c r="R741" t="s">
        <v>1988</v>
      </c>
      <c r="S741" t="s">
        <v>1989</v>
      </c>
      <c r="T741" t="s">
        <v>58</v>
      </c>
      <c r="U741" t="s">
        <v>82</v>
      </c>
      <c r="V741" s="1">
        <v>41218</v>
      </c>
      <c r="W741">
        <v>0</v>
      </c>
      <c r="X741">
        <v>0</v>
      </c>
      <c r="Y741" t="s">
        <v>59</v>
      </c>
      <c r="Z741" t="s">
        <v>464</v>
      </c>
      <c r="AA741" t="s">
        <v>42</v>
      </c>
      <c r="AB741" t="s">
        <v>43</v>
      </c>
      <c r="AC741" t="s">
        <v>42</v>
      </c>
    </row>
    <row r="742" spans="1:31" x14ac:dyDescent="0.4">
      <c r="A742" t="s">
        <v>27</v>
      </c>
      <c r="B742">
        <v>202</v>
      </c>
      <c r="C742" t="s">
        <v>2873</v>
      </c>
      <c r="D742">
        <v>237</v>
      </c>
      <c r="E742" t="s">
        <v>195</v>
      </c>
      <c r="F742" t="s">
        <v>160</v>
      </c>
      <c r="G742" t="s">
        <v>1981</v>
      </c>
      <c r="H742" t="s">
        <v>1982</v>
      </c>
      <c r="J742" t="s">
        <v>175</v>
      </c>
      <c r="K742" t="s">
        <v>215</v>
      </c>
      <c r="L742" t="s">
        <v>1983</v>
      </c>
      <c r="M742" t="s">
        <v>35</v>
      </c>
      <c r="N742">
        <v>1494445004</v>
      </c>
      <c r="O742" t="s">
        <v>1984</v>
      </c>
      <c r="P742" t="s">
        <v>2873</v>
      </c>
      <c r="R742" t="s">
        <v>1990</v>
      </c>
      <c r="S742" t="s">
        <v>1991</v>
      </c>
      <c r="T742" t="s">
        <v>94</v>
      </c>
      <c r="U742" t="s">
        <v>82</v>
      </c>
      <c r="V742" s="1">
        <v>44690</v>
      </c>
      <c r="W742">
        <v>0</v>
      </c>
      <c r="X742">
        <v>4</v>
      </c>
      <c r="Y742" t="s">
        <v>65</v>
      </c>
      <c r="Z742" t="s">
        <v>464</v>
      </c>
      <c r="AA742" t="s">
        <v>42</v>
      </c>
      <c r="AB742" t="s">
        <v>43</v>
      </c>
      <c r="AC742" t="s">
        <v>42</v>
      </c>
    </row>
    <row r="743" spans="1:31" x14ac:dyDescent="0.4">
      <c r="A743" t="s">
        <v>27</v>
      </c>
      <c r="B743">
        <v>202</v>
      </c>
      <c r="C743" t="s">
        <v>2873</v>
      </c>
      <c r="D743">
        <v>237</v>
      </c>
      <c r="E743" t="s">
        <v>195</v>
      </c>
      <c r="F743" t="s">
        <v>160</v>
      </c>
      <c r="G743" t="s">
        <v>1981</v>
      </c>
      <c r="H743" t="s">
        <v>1982</v>
      </c>
      <c r="J743" t="s">
        <v>175</v>
      </c>
      <c r="K743" t="s">
        <v>215</v>
      </c>
      <c r="L743" t="s">
        <v>1983</v>
      </c>
      <c r="M743" t="s">
        <v>35</v>
      </c>
      <c r="N743">
        <v>1494445004</v>
      </c>
      <c r="O743" t="s">
        <v>1984</v>
      </c>
      <c r="P743" t="s">
        <v>2873</v>
      </c>
      <c r="R743" t="s">
        <v>1990</v>
      </c>
      <c r="S743" t="s">
        <v>1991</v>
      </c>
      <c r="T743" t="s">
        <v>94</v>
      </c>
      <c r="U743" t="s">
        <v>82</v>
      </c>
      <c r="V743" s="1">
        <v>44690</v>
      </c>
      <c r="W743">
        <v>0</v>
      </c>
      <c r="X743">
        <v>13</v>
      </c>
      <c r="Z743" t="s">
        <v>464</v>
      </c>
      <c r="AA743" t="s">
        <v>42</v>
      </c>
      <c r="AB743" t="s">
        <v>43</v>
      </c>
      <c r="AC743" t="s">
        <v>42</v>
      </c>
    </row>
    <row r="744" spans="1:31" x14ac:dyDescent="0.4">
      <c r="A744" t="s">
        <v>27</v>
      </c>
      <c r="B744">
        <v>202</v>
      </c>
      <c r="C744" t="s">
        <v>2873</v>
      </c>
      <c r="D744">
        <v>236</v>
      </c>
      <c r="E744" t="s">
        <v>195</v>
      </c>
      <c r="F744" t="s">
        <v>160</v>
      </c>
      <c r="G744" t="s">
        <v>1981</v>
      </c>
      <c r="H744" t="s">
        <v>1982</v>
      </c>
      <c r="J744" t="s">
        <v>175</v>
      </c>
      <c r="K744" t="s">
        <v>215</v>
      </c>
      <c r="L744" t="s">
        <v>1983</v>
      </c>
      <c r="M744" t="s">
        <v>35</v>
      </c>
      <c r="N744">
        <v>1494445004</v>
      </c>
      <c r="O744" t="s">
        <v>1984</v>
      </c>
      <c r="P744" t="s">
        <v>2873</v>
      </c>
      <c r="R744" t="s">
        <v>1992</v>
      </c>
      <c r="S744" t="s">
        <v>1993</v>
      </c>
      <c r="T744" t="s">
        <v>94</v>
      </c>
      <c r="U744" t="s">
        <v>82</v>
      </c>
      <c r="V744" s="1">
        <v>43116</v>
      </c>
      <c r="W744">
        <v>0</v>
      </c>
      <c r="X744">
        <v>6</v>
      </c>
      <c r="Y744" t="s">
        <v>83</v>
      </c>
      <c r="Z744" t="s">
        <v>464</v>
      </c>
      <c r="AA744" t="s">
        <v>42</v>
      </c>
      <c r="AB744" t="s">
        <v>43</v>
      </c>
      <c r="AC744" t="s">
        <v>42</v>
      </c>
    </row>
    <row r="745" spans="1:31" x14ac:dyDescent="0.4">
      <c r="A745" t="s">
        <v>27</v>
      </c>
      <c r="B745">
        <v>202</v>
      </c>
      <c r="C745" t="s">
        <v>2873</v>
      </c>
      <c r="D745">
        <v>236</v>
      </c>
      <c r="E745" t="s">
        <v>195</v>
      </c>
      <c r="F745" t="s">
        <v>160</v>
      </c>
      <c r="G745" t="s">
        <v>1981</v>
      </c>
      <c r="H745" t="s">
        <v>1982</v>
      </c>
      <c r="J745" t="s">
        <v>175</v>
      </c>
      <c r="K745" t="s">
        <v>215</v>
      </c>
      <c r="L745" t="s">
        <v>1983</v>
      </c>
      <c r="M745" t="s">
        <v>35</v>
      </c>
      <c r="N745">
        <v>1494445004</v>
      </c>
      <c r="O745" t="s">
        <v>1984</v>
      </c>
      <c r="P745" t="s">
        <v>2873</v>
      </c>
      <c r="R745" t="s">
        <v>1992</v>
      </c>
      <c r="S745" t="s">
        <v>1993</v>
      </c>
      <c r="T745" t="s">
        <v>94</v>
      </c>
      <c r="U745" t="s">
        <v>82</v>
      </c>
      <c r="V745" s="1">
        <v>43116</v>
      </c>
      <c r="W745">
        <v>0</v>
      </c>
      <c r="X745">
        <v>17</v>
      </c>
      <c r="Z745" t="s">
        <v>464</v>
      </c>
      <c r="AA745" t="s">
        <v>42</v>
      </c>
      <c r="AB745" t="s">
        <v>43</v>
      </c>
      <c r="AC745" t="s">
        <v>42</v>
      </c>
    </row>
    <row r="746" spans="1:31" x14ac:dyDescent="0.4">
      <c r="A746" t="s">
        <v>27</v>
      </c>
      <c r="B746">
        <v>711</v>
      </c>
      <c r="C746" t="s">
        <v>1999</v>
      </c>
      <c r="D746">
        <v>238</v>
      </c>
      <c r="E746" t="s">
        <v>68</v>
      </c>
      <c r="F746" t="s">
        <v>1994</v>
      </c>
      <c r="G746" t="s">
        <v>1995</v>
      </c>
      <c r="H746" t="s">
        <v>1996</v>
      </c>
      <c r="J746" t="s">
        <v>623</v>
      </c>
      <c r="K746" t="s">
        <v>33</v>
      </c>
      <c r="L746" t="s">
        <v>1997</v>
      </c>
      <c r="M746" t="s">
        <v>35</v>
      </c>
      <c r="N746">
        <v>7825777279</v>
      </c>
      <c r="O746" t="s">
        <v>1998</v>
      </c>
      <c r="P746" t="s">
        <v>1999</v>
      </c>
      <c r="R746" t="s">
        <v>2000</v>
      </c>
      <c r="S746" t="s">
        <v>2001</v>
      </c>
      <c r="T746" t="s">
        <v>3063</v>
      </c>
      <c r="U746" t="s">
        <v>82</v>
      </c>
      <c r="V746" s="1">
        <v>44785</v>
      </c>
      <c r="W746">
        <v>0</v>
      </c>
      <c r="X746">
        <v>2</v>
      </c>
      <c r="AA746" t="s">
        <v>42</v>
      </c>
      <c r="AB746" t="s">
        <v>43</v>
      </c>
      <c r="AC746" t="s">
        <v>43</v>
      </c>
      <c r="AE746" t="s">
        <v>2002</v>
      </c>
    </row>
    <row r="747" spans="1:31" x14ac:dyDescent="0.4">
      <c r="A747" t="s">
        <v>27</v>
      </c>
      <c r="B747">
        <v>711</v>
      </c>
      <c r="C747" t="s">
        <v>1999</v>
      </c>
      <c r="E747" t="s">
        <v>68</v>
      </c>
      <c r="F747" t="s">
        <v>1994</v>
      </c>
      <c r="G747" t="s">
        <v>1995</v>
      </c>
      <c r="H747" t="s">
        <v>1996</v>
      </c>
      <c r="J747" t="s">
        <v>623</v>
      </c>
      <c r="K747" t="s">
        <v>33</v>
      </c>
      <c r="L747" t="s">
        <v>1997</v>
      </c>
      <c r="M747" t="s">
        <v>35</v>
      </c>
      <c r="N747">
        <v>7825777279</v>
      </c>
      <c r="O747" t="s">
        <v>1998</v>
      </c>
      <c r="P747" t="s">
        <v>1999</v>
      </c>
      <c r="R747" t="s">
        <v>2003</v>
      </c>
      <c r="S747" t="s">
        <v>2004</v>
      </c>
      <c r="T747" t="s">
        <v>2005</v>
      </c>
      <c r="U747" t="s">
        <v>82</v>
      </c>
      <c r="V747" s="1">
        <v>45711</v>
      </c>
      <c r="W747">
        <v>0</v>
      </c>
      <c r="X747">
        <v>0</v>
      </c>
      <c r="Y747" t="s">
        <v>59</v>
      </c>
      <c r="AA747" t="s">
        <v>42</v>
      </c>
      <c r="AB747" t="s">
        <v>43</v>
      </c>
      <c r="AC747" t="s">
        <v>43</v>
      </c>
      <c r="AE747" t="s">
        <v>2002</v>
      </c>
    </row>
    <row r="748" spans="1:31" x14ac:dyDescent="0.4">
      <c r="A748" t="s">
        <v>27</v>
      </c>
      <c r="B748">
        <v>711</v>
      </c>
      <c r="C748" t="s">
        <v>1999</v>
      </c>
      <c r="D748">
        <v>238</v>
      </c>
      <c r="E748" t="s">
        <v>68</v>
      </c>
      <c r="F748" t="s">
        <v>1994</v>
      </c>
      <c r="G748" t="s">
        <v>1995</v>
      </c>
      <c r="H748" t="s">
        <v>1996</v>
      </c>
      <c r="J748" t="s">
        <v>623</v>
      </c>
      <c r="K748" t="s">
        <v>33</v>
      </c>
      <c r="L748" t="s">
        <v>1997</v>
      </c>
      <c r="M748" t="s">
        <v>35</v>
      </c>
      <c r="N748">
        <v>7825777279</v>
      </c>
      <c r="O748" t="s">
        <v>1998</v>
      </c>
      <c r="P748" t="s">
        <v>1999</v>
      </c>
      <c r="R748" t="s">
        <v>2000</v>
      </c>
      <c r="S748" t="s">
        <v>2001</v>
      </c>
      <c r="T748" t="s">
        <v>3063</v>
      </c>
      <c r="U748" t="s">
        <v>82</v>
      </c>
      <c r="V748" s="1">
        <v>44785</v>
      </c>
      <c r="W748">
        <v>0</v>
      </c>
      <c r="X748">
        <v>3</v>
      </c>
      <c r="AA748" t="s">
        <v>42</v>
      </c>
      <c r="AB748" t="s">
        <v>43</v>
      </c>
      <c r="AC748" t="s">
        <v>43</v>
      </c>
      <c r="AE748" t="s">
        <v>2002</v>
      </c>
    </row>
    <row r="749" spans="1:31" x14ac:dyDescent="0.4">
      <c r="A749" t="s">
        <v>27</v>
      </c>
      <c r="B749">
        <v>711</v>
      </c>
      <c r="C749" t="s">
        <v>1999</v>
      </c>
      <c r="E749" t="s">
        <v>68</v>
      </c>
      <c r="F749" t="s">
        <v>1994</v>
      </c>
      <c r="G749" t="s">
        <v>1995</v>
      </c>
      <c r="H749" t="s">
        <v>1996</v>
      </c>
      <c r="J749" t="s">
        <v>623</v>
      </c>
      <c r="K749" t="s">
        <v>33</v>
      </c>
      <c r="L749" t="s">
        <v>1997</v>
      </c>
      <c r="M749" t="s">
        <v>35</v>
      </c>
      <c r="N749">
        <v>7825777279</v>
      </c>
      <c r="O749" t="s">
        <v>1998</v>
      </c>
      <c r="P749" t="s">
        <v>1999</v>
      </c>
      <c r="R749" t="s">
        <v>2003</v>
      </c>
      <c r="S749" t="s">
        <v>2004</v>
      </c>
      <c r="T749" t="s">
        <v>2005</v>
      </c>
      <c r="U749" t="s">
        <v>82</v>
      </c>
      <c r="V749" s="1">
        <v>45711</v>
      </c>
      <c r="W749">
        <v>0</v>
      </c>
      <c r="X749">
        <v>0</v>
      </c>
      <c r="Y749" t="s">
        <v>59</v>
      </c>
      <c r="AA749" t="s">
        <v>42</v>
      </c>
      <c r="AB749" t="s">
        <v>43</v>
      </c>
      <c r="AC749" t="s">
        <v>43</v>
      </c>
      <c r="AD749" t="s">
        <v>2002</v>
      </c>
    </row>
    <row r="750" spans="1:31" x14ac:dyDescent="0.4">
      <c r="A750" t="s">
        <v>27</v>
      </c>
      <c r="B750">
        <v>711</v>
      </c>
      <c r="C750" t="s">
        <v>1999</v>
      </c>
      <c r="E750" t="s">
        <v>68</v>
      </c>
      <c r="F750" t="s">
        <v>1994</v>
      </c>
      <c r="G750" t="s">
        <v>1995</v>
      </c>
      <c r="H750" t="s">
        <v>1996</v>
      </c>
      <c r="J750" t="s">
        <v>623</v>
      </c>
      <c r="K750" t="s">
        <v>33</v>
      </c>
      <c r="L750" t="s">
        <v>1997</v>
      </c>
      <c r="M750" t="s">
        <v>35</v>
      </c>
      <c r="N750">
        <v>7825777279</v>
      </c>
      <c r="O750" t="s">
        <v>1998</v>
      </c>
      <c r="P750" t="s">
        <v>1999</v>
      </c>
      <c r="R750" t="s">
        <v>2000</v>
      </c>
      <c r="S750" t="s">
        <v>2001</v>
      </c>
      <c r="T750" t="s">
        <v>3063</v>
      </c>
      <c r="U750" t="s">
        <v>82</v>
      </c>
      <c r="V750" s="1">
        <v>44785</v>
      </c>
      <c r="W750">
        <v>0</v>
      </c>
      <c r="X750">
        <v>0</v>
      </c>
      <c r="Y750" t="s">
        <v>59</v>
      </c>
      <c r="AA750" t="s">
        <v>42</v>
      </c>
      <c r="AB750" t="s">
        <v>43</v>
      </c>
      <c r="AC750" t="s">
        <v>43</v>
      </c>
      <c r="AD750" t="s">
        <v>2002</v>
      </c>
    </row>
    <row r="751" spans="1:31" x14ac:dyDescent="0.4">
      <c r="A751" t="s">
        <v>27</v>
      </c>
      <c r="B751">
        <v>2375</v>
      </c>
      <c r="C751" t="s">
        <v>2995</v>
      </c>
      <c r="D751">
        <v>239</v>
      </c>
      <c r="E751" t="s">
        <v>257</v>
      </c>
      <c r="F751" t="s">
        <v>2006</v>
      </c>
      <c r="G751" t="s">
        <v>2007</v>
      </c>
      <c r="H751" t="s">
        <v>2008</v>
      </c>
      <c r="J751" t="s">
        <v>2009</v>
      </c>
      <c r="K751" t="s">
        <v>2010</v>
      </c>
      <c r="L751" t="s">
        <v>2011</v>
      </c>
      <c r="M751" t="s">
        <v>35</v>
      </c>
      <c r="N751">
        <v>1932348810</v>
      </c>
      <c r="O751" t="s">
        <v>2012</v>
      </c>
      <c r="P751" t="s">
        <v>2013</v>
      </c>
      <c r="R751" t="s">
        <v>2014</v>
      </c>
      <c r="S751" t="s">
        <v>2015</v>
      </c>
      <c r="T751" t="s">
        <v>169</v>
      </c>
      <c r="U751" t="s">
        <v>82</v>
      </c>
      <c r="V751" s="1">
        <v>44066</v>
      </c>
      <c r="W751">
        <v>0</v>
      </c>
      <c r="X751">
        <v>5</v>
      </c>
      <c r="Y751" t="s">
        <v>66</v>
      </c>
      <c r="AA751" t="s">
        <v>42</v>
      </c>
      <c r="AB751" t="s">
        <v>43</v>
      </c>
      <c r="AC751" t="s">
        <v>43</v>
      </c>
    </row>
    <row r="752" spans="1:31" x14ac:dyDescent="0.4">
      <c r="A752" t="s">
        <v>27</v>
      </c>
      <c r="B752">
        <v>2375</v>
      </c>
      <c r="C752" t="s">
        <v>2995</v>
      </c>
      <c r="D752">
        <v>239</v>
      </c>
      <c r="E752" t="s">
        <v>257</v>
      </c>
      <c r="F752" t="s">
        <v>2006</v>
      </c>
      <c r="G752" t="s">
        <v>2007</v>
      </c>
      <c r="H752" t="s">
        <v>2008</v>
      </c>
      <c r="J752" t="s">
        <v>2009</v>
      </c>
      <c r="K752" t="s">
        <v>2010</v>
      </c>
      <c r="L752" t="s">
        <v>2011</v>
      </c>
      <c r="M752" t="s">
        <v>35</v>
      </c>
      <c r="N752">
        <v>1932348810</v>
      </c>
      <c r="O752" t="s">
        <v>2012</v>
      </c>
      <c r="P752" t="s">
        <v>2013</v>
      </c>
      <c r="R752" t="s">
        <v>2014</v>
      </c>
      <c r="S752" t="s">
        <v>2015</v>
      </c>
      <c r="T752" t="s">
        <v>169</v>
      </c>
      <c r="U752" t="s">
        <v>82</v>
      </c>
      <c r="V752" s="1">
        <v>44066</v>
      </c>
      <c r="W752">
        <v>0</v>
      </c>
      <c r="X752">
        <v>6</v>
      </c>
      <c r="Y752" t="s">
        <v>83</v>
      </c>
      <c r="AA752" t="s">
        <v>42</v>
      </c>
      <c r="AB752" t="s">
        <v>43</v>
      </c>
      <c r="AC752" t="s">
        <v>43</v>
      </c>
    </row>
    <row r="753" spans="1:29" x14ac:dyDescent="0.4">
      <c r="A753" t="s">
        <v>27</v>
      </c>
      <c r="B753">
        <v>2375</v>
      </c>
      <c r="C753" t="s">
        <v>2995</v>
      </c>
      <c r="D753">
        <v>239</v>
      </c>
      <c r="E753" t="s">
        <v>257</v>
      </c>
      <c r="F753" t="s">
        <v>2006</v>
      </c>
      <c r="G753" t="s">
        <v>2007</v>
      </c>
      <c r="H753" t="s">
        <v>2008</v>
      </c>
      <c r="J753" t="s">
        <v>2009</v>
      </c>
      <c r="K753" t="s">
        <v>2010</v>
      </c>
      <c r="L753" t="s">
        <v>2011</v>
      </c>
      <c r="M753" t="s">
        <v>35</v>
      </c>
      <c r="N753">
        <v>1932348810</v>
      </c>
      <c r="O753" t="s">
        <v>2012</v>
      </c>
      <c r="P753" t="s">
        <v>2013</v>
      </c>
      <c r="R753" t="s">
        <v>2014</v>
      </c>
      <c r="S753" t="s">
        <v>2015</v>
      </c>
      <c r="T753" t="s">
        <v>169</v>
      </c>
      <c r="U753" t="s">
        <v>82</v>
      </c>
      <c r="V753" s="1">
        <v>44066</v>
      </c>
      <c r="W753">
        <v>0</v>
      </c>
      <c r="X753">
        <v>15</v>
      </c>
      <c r="AA753" t="s">
        <v>42</v>
      </c>
      <c r="AB753" t="s">
        <v>43</v>
      </c>
      <c r="AC753" t="s">
        <v>43</v>
      </c>
    </row>
    <row r="754" spans="1:29" x14ac:dyDescent="0.4">
      <c r="A754" t="s">
        <v>27</v>
      </c>
      <c r="B754">
        <v>2375</v>
      </c>
      <c r="C754" t="s">
        <v>2995</v>
      </c>
      <c r="D754">
        <v>239</v>
      </c>
      <c r="E754" t="s">
        <v>257</v>
      </c>
      <c r="F754" t="s">
        <v>2006</v>
      </c>
      <c r="G754" t="s">
        <v>2007</v>
      </c>
      <c r="H754" t="s">
        <v>2008</v>
      </c>
      <c r="J754" t="s">
        <v>2009</v>
      </c>
      <c r="K754" t="s">
        <v>2010</v>
      </c>
      <c r="L754" t="s">
        <v>2011</v>
      </c>
      <c r="M754" t="s">
        <v>35</v>
      </c>
      <c r="N754">
        <v>1932348810</v>
      </c>
      <c r="O754" t="s">
        <v>2012</v>
      </c>
      <c r="P754" t="s">
        <v>2013</v>
      </c>
      <c r="R754" t="s">
        <v>2014</v>
      </c>
      <c r="S754" t="s">
        <v>2015</v>
      </c>
      <c r="T754" t="s">
        <v>169</v>
      </c>
      <c r="U754" t="s">
        <v>82</v>
      </c>
      <c r="V754" s="1">
        <v>44066</v>
      </c>
      <c r="W754">
        <v>0</v>
      </c>
      <c r="X754">
        <v>17</v>
      </c>
      <c r="AA754" t="s">
        <v>42</v>
      </c>
      <c r="AB754" t="s">
        <v>43</v>
      </c>
      <c r="AC754" t="s">
        <v>43</v>
      </c>
    </row>
    <row r="755" spans="1:29" x14ac:dyDescent="0.4">
      <c r="A755" t="s">
        <v>27</v>
      </c>
      <c r="B755">
        <v>680</v>
      </c>
      <c r="C755" t="s">
        <v>2996</v>
      </c>
      <c r="E755" t="s">
        <v>28</v>
      </c>
      <c r="F755" t="s">
        <v>2016</v>
      </c>
      <c r="G755" t="s">
        <v>2017</v>
      </c>
      <c r="H755" t="s">
        <v>2018</v>
      </c>
      <c r="J755" t="s">
        <v>623</v>
      </c>
      <c r="K755" t="s">
        <v>33</v>
      </c>
      <c r="L755" t="s">
        <v>2019</v>
      </c>
      <c r="M755" t="s">
        <v>35</v>
      </c>
      <c r="N755" t="s">
        <v>2020</v>
      </c>
      <c r="O755" t="s">
        <v>2021</v>
      </c>
      <c r="P755" t="s">
        <v>2022</v>
      </c>
      <c r="R755" t="s">
        <v>2023</v>
      </c>
      <c r="S755" t="s">
        <v>2024</v>
      </c>
      <c r="T755" t="s">
        <v>356</v>
      </c>
      <c r="U755" t="s">
        <v>82</v>
      </c>
      <c r="V755" s="1">
        <v>43492</v>
      </c>
      <c r="W755">
        <v>0</v>
      </c>
      <c r="X755">
        <v>0</v>
      </c>
      <c r="Y755" t="s">
        <v>59</v>
      </c>
      <c r="AA755" t="s">
        <v>42</v>
      </c>
      <c r="AB755" t="s">
        <v>43</v>
      </c>
      <c r="AC755" t="s">
        <v>43</v>
      </c>
    </row>
    <row r="756" spans="1:29" x14ac:dyDescent="0.4">
      <c r="A756" t="s">
        <v>27</v>
      </c>
      <c r="B756">
        <v>680</v>
      </c>
      <c r="C756" t="s">
        <v>2996</v>
      </c>
      <c r="E756" t="s">
        <v>28</v>
      </c>
      <c r="F756" t="s">
        <v>2016</v>
      </c>
      <c r="G756" t="s">
        <v>2017</v>
      </c>
      <c r="H756" t="s">
        <v>2018</v>
      </c>
      <c r="J756" t="s">
        <v>623</v>
      </c>
      <c r="K756" t="s">
        <v>33</v>
      </c>
      <c r="L756" t="s">
        <v>2019</v>
      </c>
      <c r="M756" t="s">
        <v>35</v>
      </c>
      <c r="N756" t="s">
        <v>2020</v>
      </c>
      <c r="O756" t="s">
        <v>2021</v>
      </c>
      <c r="P756" t="s">
        <v>2022</v>
      </c>
      <c r="R756" t="s">
        <v>2025</v>
      </c>
      <c r="S756" t="s">
        <v>2026</v>
      </c>
      <c r="T756" t="s">
        <v>356</v>
      </c>
      <c r="U756" t="s">
        <v>40</v>
      </c>
      <c r="V756" s="1">
        <v>42210</v>
      </c>
      <c r="W756">
        <v>0</v>
      </c>
      <c r="X756">
        <v>0</v>
      </c>
      <c r="Y756" t="s">
        <v>59</v>
      </c>
      <c r="AA756" t="s">
        <v>42</v>
      </c>
      <c r="AB756" t="s">
        <v>43</v>
      </c>
      <c r="AC756" t="s">
        <v>43</v>
      </c>
    </row>
    <row r="757" spans="1:29" x14ac:dyDescent="0.4">
      <c r="A757" t="s">
        <v>27</v>
      </c>
      <c r="B757">
        <v>680</v>
      </c>
      <c r="C757" t="s">
        <v>2996</v>
      </c>
      <c r="E757" t="s">
        <v>28</v>
      </c>
      <c r="F757" t="s">
        <v>2016</v>
      </c>
      <c r="G757" t="s">
        <v>2017</v>
      </c>
      <c r="H757" t="s">
        <v>2018</v>
      </c>
      <c r="J757" t="s">
        <v>623</v>
      </c>
      <c r="K757" t="s">
        <v>33</v>
      </c>
      <c r="L757" t="s">
        <v>2019</v>
      </c>
      <c r="M757" t="s">
        <v>35</v>
      </c>
      <c r="N757" t="s">
        <v>2020</v>
      </c>
      <c r="O757" t="s">
        <v>2021</v>
      </c>
      <c r="P757" t="s">
        <v>2022</v>
      </c>
      <c r="R757" t="s">
        <v>2027</v>
      </c>
      <c r="S757" t="s">
        <v>2028</v>
      </c>
      <c r="T757" t="s">
        <v>500</v>
      </c>
      <c r="U757" t="s">
        <v>82</v>
      </c>
      <c r="V757" s="1">
        <v>41418</v>
      </c>
      <c r="W757">
        <v>0</v>
      </c>
      <c r="X757">
        <v>0</v>
      </c>
      <c r="Y757" t="s">
        <v>59</v>
      </c>
      <c r="AA757" t="s">
        <v>42</v>
      </c>
      <c r="AB757" t="s">
        <v>43</v>
      </c>
      <c r="AC757" t="s">
        <v>43</v>
      </c>
    </row>
    <row r="758" spans="1:29" x14ac:dyDescent="0.4">
      <c r="A758" t="s">
        <v>27</v>
      </c>
      <c r="B758">
        <v>680</v>
      </c>
      <c r="C758" t="s">
        <v>2996</v>
      </c>
      <c r="E758" t="s">
        <v>28</v>
      </c>
      <c r="F758" t="s">
        <v>2016</v>
      </c>
      <c r="G758" t="s">
        <v>2017</v>
      </c>
      <c r="H758" t="s">
        <v>2018</v>
      </c>
      <c r="J758" t="s">
        <v>623</v>
      </c>
      <c r="K758" t="s">
        <v>33</v>
      </c>
      <c r="L758" t="s">
        <v>2019</v>
      </c>
      <c r="M758" t="s">
        <v>35</v>
      </c>
      <c r="N758" t="s">
        <v>2020</v>
      </c>
      <c r="O758" t="s">
        <v>2021</v>
      </c>
      <c r="P758" t="s">
        <v>2022</v>
      </c>
      <c r="R758" t="s">
        <v>2023</v>
      </c>
      <c r="S758" t="s">
        <v>2024</v>
      </c>
      <c r="T758" t="s">
        <v>356</v>
      </c>
      <c r="U758" t="s">
        <v>82</v>
      </c>
      <c r="V758" s="1">
        <v>43492</v>
      </c>
      <c r="W758">
        <v>0</v>
      </c>
      <c r="X758">
        <v>0</v>
      </c>
      <c r="Y758" t="s">
        <v>59</v>
      </c>
      <c r="AA758" t="s">
        <v>42</v>
      </c>
      <c r="AB758" t="s">
        <v>43</v>
      </c>
      <c r="AC758" t="s">
        <v>43</v>
      </c>
    </row>
    <row r="759" spans="1:29" x14ac:dyDescent="0.4">
      <c r="A759" t="s">
        <v>27</v>
      </c>
      <c r="B759">
        <v>680</v>
      </c>
      <c r="C759" t="s">
        <v>2996</v>
      </c>
      <c r="E759" t="s">
        <v>28</v>
      </c>
      <c r="F759" t="s">
        <v>2016</v>
      </c>
      <c r="G759" t="s">
        <v>2017</v>
      </c>
      <c r="H759" t="s">
        <v>2018</v>
      </c>
      <c r="J759" t="s">
        <v>623</v>
      </c>
      <c r="K759" t="s">
        <v>33</v>
      </c>
      <c r="L759" t="s">
        <v>2019</v>
      </c>
      <c r="M759" t="s">
        <v>35</v>
      </c>
      <c r="N759" t="s">
        <v>2020</v>
      </c>
      <c r="O759" t="s">
        <v>2021</v>
      </c>
      <c r="P759" t="s">
        <v>2022</v>
      </c>
      <c r="R759" t="s">
        <v>2025</v>
      </c>
      <c r="S759" t="s">
        <v>2026</v>
      </c>
      <c r="T759" t="s">
        <v>356</v>
      </c>
      <c r="U759" t="s">
        <v>40</v>
      </c>
      <c r="V759" s="1">
        <v>42210</v>
      </c>
      <c r="W759">
        <v>0</v>
      </c>
      <c r="X759">
        <v>0</v>
      </c>
      <c r="Y759" t="s">
        <v>59</v>
      </c>
      <c r="AA759" t="s">
        <v>42</v>
      </c>
      <c r="AB759" t="s">
        <v>43</v>
      </c>
      <c r="AC759" t="s">
        <v>43</v>
      </c>
    </row>
    <row r="760" spans="1:29" x14ac:dyDescent="0.4">
      <c r="A760" t="s">
        <v>27</v>
      </c>
      <c r="B760">
        <v>680</v>
      </c>
      <c r="C760" t="s">
        <v>2996</v>
      </c>
      <c r="E760" t="s">
        <v>28</v>
      </c>
      <c r="F760" t="s">
        <v>2016</v>
      </c>
      <c r="G760" t="s">
        <v>2017</v>
      </c>
      <c r="H760" t="s">
        <v>2018</v>
      </c>
      <c r="J760" t="s">
        <v>623</v>
      </c>
      <c r="K760" t="s">
        <v>33</v>
      </c>
      <c r="L760" t="s">
        <v>2019</v>
      </c>
      <c r="M760" t="s">
        <v>35</v>
      </c>
      <c r="N760" t="s">
        <v>2020</v>
      </c>
      <c r="O760" t="s">
        <v>2021</v>
      </c>
      <c r="P760" t="s">
        <v>2022</v>
      </c>
      <c r="R760" t="s">
        <v>2027</v>
      </c>
      <c r="S760" t="s">
        <v>2028</v>
      </c>
      <c r="T760" t="s">
        <v>500</v>
      </c>
      <c r="U760" t="s">
        <v>82</v>
      </c>
      <c r="V760" s="1">
        <v>41418</v>
      </c>
      <c r="W760">
        <v>0</v>
      </c>
      <c r="X760">
        <v>0</v>
      </c>
      <c r="Y760" t="s">
        <v>59</v>
      </c>
      <c r="AA760" t="s">
        <v>42</v>
      </c>
      <c r="AB760" t="s">
        <v>43</v>
      </c>
      <c r="AC760" t="s">
        <v>43</v>
      </c>
    </row>
    <row r="761" spans="1:29" x14ac:dyDescent="0.4">
      <c r="A761" t="s">
        <v>27</v>
      </c>
      <c r="B761">
        <v>2518</v>
      </c>
      <c r="C761" t="s">
        <v>2997</v>
      </c>
      <c r="D761">
        <v>240</v>
      </c>
      <c r="E761" t="s">
        <v>257</v>
      </c>
      <c r="F761" t="s">
        <v>2029</v>
      </c>
      <c r="G761" t="s">
        <v>2030</v>
      </c>
      <c r="H761" t="s">
        <v>2031</v>
      </c>
      <c r="J761" t="s">
        <v>2032</v>
      </c>
      <c r="K761" t="s">
        <v>2033</v>
      </c>
      <c r="L761" t="s">
        <v>2034</v>
      </c>
      <c r="M761" t="s">
        <v>35</v>
      </c>
      <c r="N761" t="s">
        <v>2035</v>
      </c>
      <c r="O761" t="s">
        <v>2036</v>
      </c>
      <c r="P761" t="s">
        <v>2997</v>
      </c>
      <c r="R761" t="s">
        <v>2037</v>
      </c>
      <c r="S761" t="s">
        <v>2038</v>
      </c>
      <c r="T761" t="s">
        <v>284</v>
      </c>
      <c r="U761" t="s">
        <v>40</v>
      </c>
      <c r="V761" s="1">
        <v>43665</v>
      </c>
      <c r="W761">
        <v>0</v>
      </c>
      <c r="X761">
        <v>20</v>
      </c>
      <c r="AA761" t="s">
        <v>42</v>
      </c>
      <c r="AB761" t="s">
        <v>43</v>
      </c>
      <c r="AC761" t="s">
        <v>43</v>
      </c>
    </row>
    <row r="762" spans="1:29" x14ac:dyDescent="0.4">
      <c r="A762" t="s">
        <v>27</v>
      </c>
      <c r="B762">
        <v>1795</v>
      </c>
      <c r="C762" t="s">
        <v>2045</v>
      </c>
      <c r="D762">
        <v>241</v>
      </c>
      <c r="E762" t="s">
        <v>68</v>
      </c>
      <c r="F762" t="s">
        <v>896</v>
      </c>
      <c r="G762" t="s">
        <v>2039</v>
      </c>
      <c r="H762" t="s">
        <v>2040</v>
      </c>
      <c r="J762" t="s">
        <v>2041</v>
      </c>
      <c r="K762" t="s">
        <v>495</v>
      </c>
      <c r="L762" t="s">
        <v>2042</v>
      </c>
      <c r="M762" t="s">
        <v>35</v>
      </c>
      <c r="N762" t="s">
        <v>2043</v>
      </c>
      <c r="O762" t="s">
        <v>2044</v>
      </c>
      <c r="P762" t="s">
        <v>2045</v>
      </c>
      <c r="R762" t="s">
        <v>2046</v>
      </c>
      <c r="S762" t="s">
        <v>2047</v>
      </c>
      <c r="T762" t="s">
        <v>169</v>
      </c>
      <c r="U762" t="s">
        <v>82</v>
      </c>
      <c r="V762" s="1">
        <v>42635</v>
      </c>
      <c r="W762">
        <v>0</v>
      </c>
      <c r="X762">
        <v>13</v>
      </c>
      <c r="AA762" t="s">
        <v>42</v>
      </c>
      <c r="AB762" t="s">
        <v>43</v>
      </c>
      <c r="AC762" t="s">
        <v>42</v>
      </c>
    </row>
    <row r="763" spans="1:29" x14ac:dyDescent="0.4">
      <c r="A763" t="s">
        <v>27</v>
      </c>
      <c r="B763">
        <v>1795</v>
      </c>
      <c r="C763" t="s">
        <v>2045</v>
      </c>
      <c r="D763">
        <v>241</v>
      </c>
      <c r="E763" t="s">
        <v>68</v>
      </c>
      <c r="F763" t="s">
        <v>896</v>
      </c>
      <c r="G763" t="s">
        <v>2039</v>
      </c>
      <c r="H763" t="s">
        <v>2040</v>
      </c>
      <c r="J763" t="s">
        <v>2041</v>
      </c>
      <c r="K763" t="s">
        <v>495</v>
      </c>
      <c r="L763" t="s">
        <v>2042</v>
      </c>
      <c r="M763" t="s">
        <v>35</v>
      </c>
      <c r="N763" t="s">
        <v>2043</v>
      </c>
      <c r="O763" t="s">
        <v>2044</v>
      </c>
      <c r="P763" t="s">
        <v>2045</v>
      </c>
      <c r="R763" t="s">
        <v>2046</v>
      </c>
      <c r="S763" t="s">
        <v>2047</v>
      </c>
      <c r="T763" t="s">
        <v>169</v>
      </c>
      <c r="U763" t="s">
        <v>82</v>
      </c>
      <c r="V763" s="1">
        <v>42635</v>
      </c>
      <c r="W763">
        <v>0</v>
      </c>
      <c r="X763">
        <v>15</v>
      </c>
      <c r="AA763" t="s">
        <v>42</v>
      </c>
      <c r="AB763" t="s">
        <v>43</v>
      </c>
      <c r="AC763" t="s">
        <v>42</v>
      </c>
    </row>
    <row r="764" spans="1:29" x14ac:dyDescent="0.4">
      <c r="A764" t="s">
        <v>27</v>
      </c>
      <c r="B764">
        <v>1795</v>
      </c>
      <c r="C764" t="s">
        <v>2045</v>
      </c>
      <c r="E764" t="s">
        <v>68</v>
      </c>
      <c r="F764" t="s">
        <v>896</v>
      </c>
      <c r="G764" t="s">
        <v>2039</v>
      </c>
      <c r="H764" t="s">
        <v>2040</v>
      </c>
      <c r="J764" t="s">
        <v>2041</v>
      </c>
      <c r="K764" t="s">
        <v>495</v>
      </c>
      <c r="L764" t="s">
        <v>2042</v>
      </c>
      <c r="M764" t="s">
        <v>35</v>
      </c>
      <c r="N764" t="s">
        <v>2043</v>
      </c>
      <c r="O764" t="s">
        <v>2044</v>
      </c>
      <c r="P764" t="s">
        <v>2045</v>
      </c>
      <c r="R764" t="s">
        <v>2048</v>
      </c>
      <c r="S764" t="s">
        <v>2049</v>
      </c>
      <c r="T764" t="s">
        <v>169</v>
      </c>
      <c r="U764" t="s">
        <v>82</v>
      </c>
      <c r="V764" s="1">
        <v>40912</v>
      </c>
      <c r="W764">
        <v>0</v>
      </c>
      <c r="X764">
        <v>0</v>
      </c>
      <c r="Y764" t="s">
        <v>59</v>
      </c>
      <c r="AA764" t="s">
        <v>42</v>
      </c>
      <c r="AB764" t="s">
        <v>43</v>
      </c>
      <c r="AC764" t="s">
        <v>42</v>
      </c>
    </row>
    <row r="765" spans="1:29" x14ac:dyDescent="0.4">
      <c r="A765" t="s">
        <v>27</v>
      </c>
      <c r="B765">
        <v>1795</v>
      </c>
      <c r="C765" t="s">
        <v>2045</v>
      </c>
      <c r="E765" t="s">
        <v>68</v>
      </c>
      <c r="F765" t="s">
        <v>896</v>
      </c>
      <c r="G765" t="s">
        <v>2039</v>
      </c>
      <c r="H765" t="s">
        <v>2040</v>
      </c>
      <c r="J765" t="s">
        <v>2041</v>
      </c>
      <c r="K765" t="s">
        <v>495</v>
      </c>
      <c r="L765" t="s">
        <v>2042</v>
      </c>
      <c r="M765" t="s">
        <v>35</v>
      </c>
      <c r="N765" t="s">
        <v>2043</v>
      </c>
      <c r="O765" t="s">
        <v>2044</v>
      </c>
      <c r="P765" t="s">
        <v>2045</v>
      </c>
      <c r="R765" t="s">
        <v>2050</v>
      </c>
      <c r="S765" t="s">
        <v>2051</v>
      </c>
      <c r="T765" t="s">
        <v>169</v>
      </c>
      <c r="U765" t="s">
        <v>82</v>
      </c>
      <c r="V765" s="1">
        <v>44737</v>
      </c>
      <c r="W765">
        <v>0</v>
      </c>
      <c r="X765">
        <v>0</v>
      </c>
      <c r="Y765" t="s">
        <v>59</v>
      </c>
      <c r="AA765" t="s">
        <v>42</v>
      </c>
      <c r="AB765" t="s">
        <v>43</v>
      </c>
      <c r="AC765" t="s">
        <v>42</v>
      </c>
    </row>
    <row r="766" spans="1:29" x14ac:dyDescent="0.4">
      <c r="A766" t="s">
        <v>27</v>
      </c>
      <c r="B766">
        <v>3907</v>
      </c>
      <c r="C766" t="s">
        <v>2058</v>
      </c>
      <c r="D766">
        <v>242</v>
      </c>
      <c r="E766" t="s">
        <v>28</v>
      </c>
      <c r="F766" t="s">
        <v>2052</v>
      </c>
      <c r="G766" t="s">
        <v>2053</v>
      </c>
      <c r="H766" t="s">
        <v>2054</v>
      </c>
      <c r="J766" t="s">
        <v>623</v>
      </c>
      <c r="K766" t="s">
        <v>33</v>
      </c>
      <c r="L766" t="s">
        <v>2055</v>
      </c>
      <c r="M766" t="s">
        <v>35</v>
      </c>
      <c r="N766" t="s">
        <v>2056</v>
      </c>
      <c r="O766" t="s">
        <v>2057</v>
      </c>
      <c r="P766" t="s">
        <v>2058</v>
      </c>
      <c r="R766" t="s">
        <v>3056</v>
      </c>
      <c r="S766" t="s">
        <v>2060</v>
      </c>
      <c r="T766" t="s">
        <v>2061</v>
      </c>
      <c r="U766" t="s">
        <v>40</v>
      </c>
      <c r="V766" s="1">
        <v>44463</v>
      </c>
      <c r="W766">
        <v>0</v>
      </c>
      <c r="X766">
        <v>4</v>
      </c>
      <c r="Y766" t="s">
        <v>65</v>
      </c>
      <c r="AA766" t="s">
        <v>42</v>
      </c>
      <c r="AB766" t="s">
        <v>43</v>
      </c>
      <c r="AC766" t="s">
        <v>43</v>
      </c>
    </row>
    <row r="767" spans="1:29" x14ac:dyDescent="0.4">
      <c r="A767" t="s">
        <v>27</v>
      </c>
      <c r="B767">
        <v>3907</v>
      </c>
      <c r="C767" t="s">
        <v>2058</v>
      </c>
      <c r="D767">
        <v>242</v>
      </c>
      <c r="E767" t="s">
        <v>28</v>
      </c>
      <c r="F767" t="s">
        <v>2052</v>
      </c>
      <c r="G767" t="s">
        <v>2053</v>
      </c>
      <c r="H767" t="s">
        <v>2054</v>
      </c>
      <c r="J767" t="s">
        <v>623</v>
      </c>
      <c r="K767" t="s">
        <v>33</v>
      </c>
      <c r="L767" t="s">
        <v>2055</v>
      </c>
      <c r="M767" t="s">
        <v>35</v>
      </c>
      <c r="N767" t="s">
        <v>2056</v>
      </c>
      <c r="O767" t="s">
        <v>2057</v>
      </c>
      <c r="P767" t="s">
        <v>2058</v>
      </c>
      <c r="R767" t="s">
        <v>3056</v>
      </c>
      <c r="S767" t="s">
        <v>2060</v>
      </c>
      <c r="T767" t="s">
        <v>2061</v>
      </c>
      <c r="U767" t="s">
        <v>40</v>
      </c>
      <c r="V767" s="1">
        <v>44463</v>
      </c>
      <c r="W767">
        <v>0</v>
      </c>
      <c r="X767">
        <v>5</v>
      </c>
      <c r="Y767" t="s">
        <v>66</v>
      </c>
      <c r="AA767" t="s">
        <v>42</v>
      </c>
      <c r="AB767" t="s">
        <v>43</v>
      </c>
      <c r="AC767" t="s">
        <v>43</v>
      </c>
    </row>
    <row r="768" spans="1:29" x14ac:dyDescent="0.4">
      <c r="A768" t="s">
        <v>27</v>
      </c>
      <c r="B768">
        <v>3907</v>
      </c>
      <c r="C768" t="s">
        <v>2058</v>
      </c>
      <c r="D768">
        <v>242</v>
      </c>
      <c r="E768" t="s">
        <v>28</v>
      </c>
      <c r="F768" t="s">
        <v>2052</v>
      </c>
      <c r="G768" t="s">
        <v>2053</v>
      </c>
      <c r="H768" t="s">
        <v>2054</v>
      </c>
      <c r="J768" t="s">
        <v>623</v>
      </c>
      <c r="K768" t="s">
        <v>33</v>
      </c>
      <c r="L768" t="s">
        <v>2055</v>
      </c>
      <c r="M768" t="s">
        <v>35</v>
      </c>
      <c r="N768" t="s">
        <v>2056</v>
      </c>
      <c r="O768" t="s">
        <v>2057</v>
      </c>
      <c r="P768" t="s">
        <v>2058</v>
      </c>
      <c r="R768" t="s">
        <v>3056</v>
      </c>
      <c r="S768" t="s">
        <v>2060</v>
      </c>
      <c r="T768" t="s">
        <v>2061</v>
      </c>
      <c r="U768" t="s">
        <v>40</v>
      </c>
      <c r="V768" s="1">
        <v>44463</v>
      </c>
      <c r="W768">
        <v>0</v>
      </c>
      <c r="X768">
        <v>12</v>
      </c>
      <c r="AA768" t="s">
        <v>42</v>
      </c>
      <c r="AB768" t="s">
        <v>43</v>
      </c>
      <c r="AC768" t="s">
        <v>43</v>
      </c>
    </row>
    <row r="769" spans="1:30" x14ac:dyDescent="0.4">
      <c r="A769" t="s">
        <v>27</v>
      </c>
      <c r="B769">
        <v>3907</v>
      </c>
      <c r="C769" t="s">
        <v>2058</v>
      </c>
      <c r="D769">
        <v>242</v>
      </c>
      <c r="E769" t="s">
        <v>28</v>
      </c>
      <c r="F769" t="s">
        <v>2052</v>
      </c>
      <c r="G769" t="s">
        <v>2053</v>
      </c>
      <c r="H769" t="s">
        <v>2054</v>
      </c>
      <c r="J769" t="s">
        <v>623</v>
      </c>
      <c r="K769" t="s">
        <v>33</v>
      </c>
      <c r="L769" t="s">
        <v>2055</v>
      </c>
      <c r="M769" t="s">
        <v>35</v>
      </c>
      <c r="N769" t="s">
        <v>2056</v>
      </c>
      <c r="O769" t="s">
        <v>2057</v>
      </c>
      <c r="P769" t="s">
        <v>2058</v>
      </c>
      <c r="R769" t="s">
        <v>3056</v>
      </c>
      <c r="S769" t="s">
        <v>2060</v>
      </c>
      <c r="T769" t="s">
        <v>2061</v>
      </c>
      <c r="U769" t="s">
        <v>40</v>
      </c>
      <c r="V769" s="1">
        <v>44463</v>
      </c>
      <c r="W769">
        <v>0</v>
      </c>
      <c r="X769">
        <v>16</v>
      </c>
      <c r="AA769" t="s">
        <v>42</v>
      </c>
      <c r="AB769" t="s">
        <v>43</v>
      </c>
      <c r="AC769" t="s">
        <v>43</v>
      </c>
    </row>
    <row r="770" spans="1:30" x14ac:dyDescent="0.4">
      <c r="A770" t="s">
        <v>27</v>
      </c>
      <c r="B770">
        <v>4432</v>
      </c>
      <c r="C770" t="s">
        <v>2066</v>
      </c>
      <c r="E770" t="s">
        <v>28</v>
      </c>
      <c r="F770" t="s">
        <v>535</v>
      </c>
      <c r="G770" t="s">
        <v>2062</v>
      </c>
      <c r="H770" t="s">
        <v>2063</v>
      </c>
      <c r="J770" t="s">
        <v>152</v>
      </c>
      <c r="K770" t="s">
        <v>73</v>
      </c>
      <c r="L770" t="s">
        <v>2064</v>
      </c>
      <c r="M770" t="s">
        <v>35</v>
      </c>
      <c r="N770">
        <v>7803365872</v>
      </c>
      <c r="O770" t="s">
        <v>2065</v>
      </c>
      <c r="P770" t="s">
        <v>2066</v>
      </c>
      <c r="R770" t="s">
        <v>2067</v>
      </c>
      <c r="S770" t="s">
        <v>2068</v>
      </c>
      <c r="T770" t="s">
        <v>79</v>
      </c>
      <c r="U770" t="s">
        <v>40</v>
      </c>
      <c r="V770" s="1">
        <v>41171</v>
      </c>
      <c r="W770">
        <v>0</v>
      </c>
      <c r="X770">
        <v>0</v>
      </c>
      <c r="Y770" t="s">
        <v>59</v>
      </c>
      <c r="Z770" t="s">
        <v>135</v>
      </c>
      <c r="AA770" t="s">
        <v>42</v>
      </c>
      <c r="AB770" t="s">
        <v>43</v>
      </c>
      <c r="AC770" t="s">
        <v>42</v>
      </c>
    </row>
    <row r="771" spans="1:30" x14ac:dyDescent="0.4">
      <c r="A771" t="s">
        <v>27</v>
      </c>
      <c r="B771">
        <v>4432</v>
      </c>
      <c r="C771" t="s">
        <v>2066</v>
      </c>
      <c r="E771" t="s">
        <v>28</v>
      </c>
      <c r="F771" t="s">
        <v>535</v>
      </c>
      <c r="G771" t="s">
        <v>2062</v>
      </c>
      <c r="H771" t="s">
        <v>2063</v>
      </c>
      <c r="J771" t="s">
        <v>152</v>
      </c>
      <c r="K771" t="s">
        <v>73</v>
      </c>
      <c r="L771" t="s">
        <v>2064</v>
      </c>
      <c r="M771" t="s">
        <v>35</v>
      </c>
      <c r="N771">
        <v>7803365872</v>
      </c>
      <c r="O771" t="s">
        <v>2065</v>
      </c>
      <c r="P771" t="s">
        <v>2066</v>
      </c>
      <c r="R771" t="s">
        <v>2067</v>
      </c>
      <c r="S771" t="s">
        <v>2068</v>
      </c>
      <c r="T771" t="s">
        <v>79</v>
      </c>
      <c r="U771" t="s">
        <v>40</v>
      </c>
      <c r="V771" s="1">
        <v>41171</v>
      </c>
      <c r="W771">
        <v>0</v>
      </c>
      <c r="X771">
        <v>0</v>
      </c>
      <c r="Y771" t="s">
        <v>59</v>
      </c>
      <c r="Z771" t="s">
        <v>135</v>
      </c>
      <c r="AA771" t="s">
        <v>42</v>
      </c>
      <c r="AB771" t="s">
        <v>43</v>
      </c>
      <c r="AC771" t="s">
        <v>42</v>
      </c>
    </row>
    <row r="772" spans="1:30" x14ac:dyDescent="0.4">
      <c r="A772" t="s">
        <v>27</v>
      </c>
      <c r="B772">
        <v>4432</v>
      </c>
      <c r="C772" t="s">
        <v>2066</v>
      </c>
      <c r="D772">
        <v>243</v>
      </c>
      <c r="E772" t="s">
        <v>28</v>
      </c>
      <c r="F772" t="s">
        <v>535</v>
      </c>
      <c r="G772" t="s">
        <v>2062</v>
      </c>
      <c r="H772" t="s">
        <v>2063</v>
      </c>
      <c r="J772" t="s">
        <v>152</v>
      </c>
      <c r="K772" t="s">
        <v>73</v>
      </c>
      <c r="L772" t="s">
        <v>2064</v>
      </c>
      <c r="M772" t="s">
        <v>35</v>
      </c>
      <c r="N772">
        <v>7803365872</v>
      </c>
      <c r="O772" t="s">
        <v>2065</v>
      </c>
      <c r="P772" t="s">
        <v>2066</v>
      </c>
      <c r="R772" t="s">
        <v>2069</v>
      </c>
      <c r="S772" t="s">
        <v>2070</v>
      </c>
      <c r="T772" t="s">
        <v>94</v>
      </c>
      <c r="U772" t="s">
        <v>40</v>
      </c>
      <c r="V772" s="1">
        <v>44671</v>
      </c>
      <c r="W772">
        <v>0</v>
      </c>
      <c r="X772">
        <v>5</v>
      </c>
      <c r="Y772" t="s">
        <v>66</v>
      </c>
      <c r="Z772" t="s">
        <v>135</v>
      </c>
      <c r="AA772" t="s">
        <v>42</v>
      </c>
      <c r="AB772" t="s">
        <v>43</v>
      </c>
      <c r="AC772" t="s">
        <v>42</v>
      </c>
    </row>
    <row r="773" spans="1:30" x14ac:dyDescent="0.4">
      <c r="A773" t="s">
        <v>27</v>
      </c>
      <c r="B773">
        <v>4432</v>
      </c>
      <c r="C773" t="s">
        <v>2066</v>
      </c>
      <c r="D773">
        <v>243</v>
      </c>
      <c r="E773" t="s">
        <v>28</v>
      </c>
      <c r="F773" t="s">
        <v>535</v>
      </c>
      <c r="G773" t="s">
        <v>2062</v>
      </c>
      <c r="H773" t="s">
        <v>2063</v>
      </c>
      <c r="J773" t="s">
        <v>152</v>
      </c>
      <c r="K773" t="s">
        <v>73</v>
      </c>
      <c r="L773" t="s">
        <v>2064</v>
      </c>
      <c r="M773" t="s">
        <v>35</v>
      </c>
      <c r="N773">
        <v>7803365872</v>
      </c>
      <c r="O773" t="s">
        <v>2065</v>
      </c>
      <c r="P773" t="s">
        <v>2066</v>
      </c>
      <c r="R773" t="s">
        <v>2069</v>
      </c>
      <c r="S773" t="s">
        <v>2070</v>
      </c>
      <c r="T773" t="s">
        <v>94</v>
      </c>
      <c r="U773" t="s">
        <v>40</v>
      </c>
      <c r="V773" s="1">
        <v>44671</v>
      </c>
      <c r="W773">
        <v>0</v>
      </c>
      <c r="X773">
        <v>14</v>
      </c>
      <c r="Z773" t="s">
        <v>135</v>
      </c>
      <c r="AA773" t="s">
        <v>42</v>
      </c>
      <c r="AB773" t="s">
        <v>43</v>
      </c>
      <c r="AC773" t="s">
        <v>42</v>
      </c>
    </row>
    <row r="774" spans="1:30" x14ac:dyDescent="0.4">
      <c r="A774" t="s">
        <v>27</v>
      </c>
      <c r="B774">
        <v>4432</v>
      </c>
      <c r="C774" t="s">
        <v>2066</v>
      </c>
      <c r="D774">
        <v>243</v>
      </c>
      <c r="E774" t="s">
        <v>28</v>
      </c>
      <c r="F774" t="s">
        <v>535</v>
      </c>
      <c r="G774" t="s">
        <v>2062</v>
      </c>
      <c r="H774" t="s">
        <v>2063</v>
      </c>
      <c r="J774" t="s">
        <v>152</v>
      </c>
      <c r="K774" t="s">
        <v>73</v>
      </c>
      <c r="L774" t="s">
        <v>2064</v>
      </c>
      <c r="M774" t="s">
        <v>35</v>
      </c>
      <c r="N774">
        <v>7803365872</v>
      </c>
      <c r="O774" t="s">
        <v>2065</v>
      </c>
      <c r="P774" t="s">
        <v>2066</v>
      </c>
      <c r="R774" t="s">
        <v>2069</v>
      </c>
      <c r="S774" t="s">
        <v>2070</v>
      </c>
      <c r="T774" t="s">
        <v>94</v>
      </c>
      <c r="U774" t="s">
        <v>40</v>
      </c>
      <c r="V774" s="1">
        <v>44671</v>
      </c>
      <c r="W774">
        <v>0</v>
      </c>
      <c r="X774">
        <v>6</v>
      </c>
      <c r="Y774" t="s">
        <v>83</v>
      </c>
      <c r="Z774" t="s">
        <v>135</v>
      </c>
      <c r="AA774" t="s">
        <v>42</v>
      </c>
      <c r="AB774" t="s">
        <v>43</v>
      </c>
      <c r="AC774" t="s">
        <v>42</v>
      </c>
    </row>
    <row r="775" spans="1:30" x14ac:dyDescent="0.4">
      <c r="A775" t="s">
        <v>27</v>
      </c>
      <c r="B775">
        <v>608</v>
      </c>
      <c r="C775" t="s">
        <v>2998</v>
      </c>
      <c r="D775">
        <v>244</v>
      </c>
      <c r="E775" t="s">
        <v>68</v>
      </c>
      <c r="F775" t="s">
        <v>2071</v>
      </c>
      <c r="G775" t="s">
        <v>2072</v>
      </c>
      <c r="H775" t="s">
        <v>2073</v>
      </c>
      <c r="J775" t="s">
        <v>175</v>
      </c>
      <c r="K775" t="s">
        <v>215</v>
      </c>
      <c r="L775" t="s">
        <v>2074</v>
      </c>
      <c r="M775" t="s">
        <v>35</v>
      </c>
      <c r="N775" t="s">
        <v>2075</v>
      </c>
      <c r="O775" t="s">
        <v>2076</v>
      </c>
      <c r="P775" t="s">
        <v>2998</v>
      </c>
      <c r="R775" t="s">
        <v>2077</v>
      </c>
      <c r="S775" t="s">
        <v>2078</v>
      </c>
      <c r="T775" t="s">
        <v>58</v>
      </c>
      <c r="U775" t="s">
        <v>40</v>
      </c>
      <c r="V775" s="1">
        <v>44743</v>
      </c>
      <c r="W775">
        <v>0</v>
      </c>
      <c r="X775">
        <v>4</v>
      </c>
      <c r="Y775" t="s">
        <v>65</v>
      </c>
      <c r="AA775" t="s">
        <v>42</v>
      </c>
      <c r="AB775" t="s">
        <v>43</v>
      </c>
      <c r="AC775" t="s">
        <v>42</v>
      </c>
    </row>
    <row r="776" spans="1:30" x14ac:dyDescent="0.4">
      <c r="A776" t="s">
        <v>27</v>
      </c>
      <c r="B776">
        <v>608</v>
      </c>
      <c r="C776" t="s">
        <v>2998</v>
      </c>
      <c r="D776">
        <v>244</v>
      </c>
      <c r="E776" t="s">
        <v>68</v>
      </c>
      <c r="F776" t="s">
        <v>2071</v>
      </c>
      <c r="G776" t="s">
        <v>2072</v>
      </c>
      <c r="H776" t="s">
        <v>2073</v>
      </c>
      <c r="J776" t="s">
        <v>175</v>
      </c>
      <c r="K776" t="s">
        <v>215</v>
      </c>
      <c r="L776" t="s">
        <v>2074</v>
      </c>
      <c r="M776" t="s">
        <v>35</v>
      </c>
      <c r="N776" t="s">
        <v>2075</v>
      </c>
      <c r="O776" t="s">
        <v>2076</v>
      </c>
      <c r="P776" t="s">
        <v>2998</v>
      </c>
      <c r="R776" t="s">
        <v>2077</v>
      </c>
      <c r="S776" t="s">
        <v>2078</v>
      </c>
      <c r="T776" t="s">
        <v>58</v>
      </c>
      <c r="U776" t="s">
        <v>40</v>
      </c>
      <c r="V776" s="1">
        <v>44743</v>
      </c>
      <c r="W776">
        <v>0</v>
      </c>
      <c r="X776">
        <v>5</v>
      </c>
      <c r="Y776" t="s">
        <v>66</v>
      </c>
      <c r="AA776" t="s">
        <v>42</v>
      </c>
      <c r="AB776" t="s">
        <v>43</v>
      </c>
      <c r="AC776" t="s">
        <v>42</v>
      </c>
    </row>
    <row r="777" spans="1:30" x14ac:dyDescent="0.4">
      <c r="A777" t="s">
        <v>27</v>
      </c>
      <c r="B777">
        <v>608</v>
      </c>
      <c r="C777" t="s">
        <v>2998</v>
      </c>
      <c r="D777">
        <v>244</v>
      </c>
      <c r="E777" t="s">
        <v>68</v>
      </c>
      <c r="F777" t="s">
        <v>2071</v>
      </c>
      <c r="G777" t="s">
        <v>2072</v>
      </c>
      <c r="H777" t="s">
        <v>2073</v>
      </c>
      <c r="J777" t="s">
        <v>175</v>
      </c>
      <c r="K777" t="s">
        <v>215</v>
      </c>
      <c r="L777" t="s">
        <v>2074</v>
      </c>
      <c r="M777" t="s">
        <v>35</v>
      </c>
      <c r="N777" t="s">
        <v>2075</v>
      </c>
      <c r="O777" t="s">
        <v>2076</v>
      </c>
      <c r="P777" t="s">
        <v>2998</v>
      </c>
      <c r="R777" t="s">
        <v>2077</v>
      </c>
      <c r="S777" t="s">
        <v>2078</v>
      </c>
      <c r="T777" t="s">
        <v>58</v>
      </c>
      <c r="U777" t="s">
        <v>40</v>
      </c>
      <c r="V777" s="1">
        <v>44743</v>
      </c>
      <c r="W777">
        <v>0</v>
      </c>
      <c r="X777">
        <v>12</v>
      </c>
      <c r="AA777" t="s">
        <v>42</v>
      </c>
      <c r="AB777" t="s">
        <v>43</v>
      </c>
      <c r="AC777" t="s">
        <v>42</v>
      </c>
    </row>
    <row r="778" spans="1:30" x14ac:dyDescent="0.4">
      <c r="A778" t="s">
        <v>27</v>
      </c>
      <c r="B778">
        <v>608</v>
      </c>
      <c r="C778" t="s">
        <v>2998</v>
      </c>
      <c r="D778">
        <v>244</v>
      </c>
      <c r="E778" t="s">
        <v>68</v>
      </c>
      <c r="F778" t="s">
        <v>2071</v>
      </c>
      <c r="G778" t="s">
        <v>2072</v>
      </c>
      <c r="H778" t="s">
        <v>2073</v>
      </c>
      <c r="J778" t="s">
        <v>175</v>
      </c>
      <c r="K778" t="s">
        <v>215</v>
      </c>
      <c r="L778" t="s">
        <v>2074</v>
      </c>
      <c r="M778" t="s">
        <v>35</v>
      </c>
      <c r="N778" t="s">
        <v>2075</v>
      </c>
      <c r="O778" t="s">
        <v>2076</v>
      </c>
      <c r="P778" t="s">
        <v>2998</v>
      </c>
      <c r="R778" t="s">
        <v>2077</v>
      </c>
      <c r="S778" t="s">
        <v>2078</v>
      </c>
      <c r="T778" t="s">
        <v>58</v>
      </c>
      <c r="U778" t="s">
        <v>40</v>
      </c>
      <c r="V778" s="1">
        <v>44743</v>
      </c>
      <c r="W778">
        <v>0</v>
      </c>
      <c r="X778">
        <v>14</v>
      </c>
      <c r="AA778" t="s">
        <v>42</v>
      </c>
      <c r="AB778" t="s">
        <v>43</v>
      </c>
      <c r="AC778" t="s">
        <v>42</v>
      </c>
    </row>
    <row r="779" spans="1:30" x14ac:dyDescent="0.4">
      <c r="A779" t="s">
        <v>27</v>
      </c>
      <c r="B779">
        <v>280</v>
      </c>
      <c r="C779" t="s">
        <v>2999</v>
      </c>
      <c r="D779">
        <v>245</v>
      </c>
      <c r="E779" t="s">
        <v>68</v>
      </c>
      <c r="F779" t="s">
        <v>2079</v>
      </c>
      <c r="G779" t="s">
        <v>2080</v>
      </c>
      <c r="H779" t="s">
        <v>2081</v>
      </c>
      <c r="J779" t="s">
        <v>2082</v>
      </c>
      <c r="K779" t="s">
        <v>73</v>
      </c>
      <c r="L779" t="s">
        <v>2083</v>
      </c>
      <c r="M779" t="s">
        <v>35</v>
      </c>
      <c r="N779">
        <v>1293411945</v>
      </c>
      <c r="O779" t="s">
        <v>2084</v>
      </c>
      <c r="P779" t="s">
        <v>2999</v>
      </c>
      <c r="R779" t="s">
        <v>2085</v>
      </c>
      <c r="S779" t="s">
        <v>2086</v>
      </c>
      <c r="T779" t="s">
        <v>58</v>
      </c>
      <c r="U779" t="s">
        <v>40</v>
      </c>
      <c r="V779" s="1">
        <v>41487</v>
      </c>
      <c r="W779">
        <v>0</v>
      </c>
      <c r="X779">
        <v>4</v>
      </c>
      <c r="Y779" t="s">
        <v>65</v>
      </c>
      <c r="AA779" t="s">
        <v>42</v>
      </c>
      <c r="AB779" t="s">
        <v>43</v>
      </c>
      <c r="AC779" t="s">
        <v>43</v>
      </c>
    </row>
    <row r="780" spans="1:30" x14ac:dyDescent="0.4">
      <c r="A780" t="s">
        <v>27</v>
      </c>
      <c r="B780">
        <v>280</v>
      </c>
      <c r="C780" t="s">
        <v>2999</v>
      </c>
      <c r="D780">
        <v>245</v>
      </c>
      <c r="E780" t="s">
        <v>68</v>
      </c>
      <c r="F780" t="s">
        <v>2079</v>
      </c>
      <c r="G780" t="s">
        <v>2080</v>
      </c>
      <c r="H780" t="s">
        <v>2081</v>
      </c>
      <c r="J780" t="s">
        <v>2082</v>
      </c>
      <c r="K780" t="s">
        <v>73</v>
      </c>
      <c r="L780" t="s">
        <v>2083</v>
      </c>
      <c r="M780" t="s">
        <v>35</v>
      </c>
      <c r="N780">
        <v>1293411945</v>
      </c>
      <c r="O780" t="s">
        <v>2084</v>
      </c>
      <c r="P780" t="s">
        <v>2999</v>
      </c>
      <c r="R780" t="s">
        <v>2085</v>
      </c>
      <c r="S780" t="s">
        <v>2086</v>
      </c>
      <c r="T780" t="s">
        <v>58</v>
      </c>
      <c r="U780" t="s">
        <v>40</v>
      </c>
      <c r="V780" s="1">
        <v>41487</v>
      </c>
      <c r="W780">
        <v>0</v>
      </c>
      <c r="X780">
        <v>5</v>
      </c>
      <c r="Y780" t="s">
        <v>66</v>
      </c>
      <c r="AA780" t="s">
        <v>42</v>
      </c>
      <c r="AB780" t="s">
        <v>43</v>
      </c>
      <c r="AC780" t="s">
        <v>43</v>
      </c>
    </row>
    <row r="781" spans="1:30" x14ac:dyDescent="0.4">
      <c r="A781" t="s">
        <v>27</v>
      </c>
      <c r="B781">
        <v>280</v>
      </c>
      <c r="C781" t="s">
        <v>2999</v>
      </c>
      <c r="D781">
        <v>245</v>
      </c>
      <c r="E781" t="s">
        <v>68</v>
      </c>
      <c r="F781" t="s">
        <v>2079</v>
      </c>
      <c r="G781" t="s">
        <v>2080</v>
      </c>
      <c r="H781" t="s">
        <v>2081</v>
      </c>
      <c r="J781" t="s">
        <v>2082</v>
      </c>
      <c r="K781" t="s">
        <v>73</v>
      </c>
      <c r="L781" t="s">
        <v>2083</v>
      </c>
      <c r="M781" t="s">
        <v>35</v>
      </c>
      <c r="N781">
        <v>1293411945</v>
      </c>
      <c r="O781" t="s">
        <v>2084</v>
      </c>
      <c r="P781" t="s">
        <v>2999</v>
      </c>
      <c r="R781" t="s">
        <v>2085</v>
      </c>
      <c r="S781" t="s">
        <v>2086</v>
      </c>
      <c r="T781" t="s">
        <v>58</v>
      </c>
      <c r="U781" t="s">
        <v>40</v>
      </c>
      <c r="V781" s="1">
        <v>41487</v>
      </c>
      <c r="W781">
        <v>0</v>
      </c>
      <c r="X781">
        <v>12</v>
      </c>
      <c r="AA781" t="s">
        <v>42</v>
      </c>
      <c r="AB781" t="s">
        <v>43</v>
      </c>
      <c r="AC781" t="s">
        <v>43</v>
      </c>
    </row>
    <row r="782" spans="1:30" x14ac:dyDescent="0.4">
      <c r="A782" t="s">
        <v>27</v>
      </c>
      <c r="B782">
        <v>280</v>
      </c>
      <c r="C782" t="s">
        <v>2999</v>
      </c>
      <c r="D782">
        <v>245</v>
      </c>
      <c r="E782" t="s">
        <v>68</v>
      </c>
      <c r="F782" t="s">
        <v>2079</v>
      </c>
      <c r="G782" t="s">
        <v>2080</v>
      </c>
      <c r="H782" t="s">
        <v>2081</v>
      </c>
      <c r="J782" t="s">
        <v>2082</v>
      </c>
      <c r="K782" t="s">
        <v>73</v>
      </c>
      <c r="L782" t="s">
        <v>2083</v>
      </c>
      <c r="M782" t="s">
        <v>35</v>
      </c>
      <c r="N782">
        <v>1293411945</v>
      </c>
      <c r="O782" t="s">
        <v>2084</v>
      </c>
      <c r="P782" t="s">
        <v>2999</v>
      </c>
      <c r="R782" t="s">
        <v>2085</v>
      </c>
      <c r="S782" t="s">
        <v>2086</v>
      </c>
      <c r="T782" t="s">
        <v>58</v>
      </c>
      <c r="U782" t="s">
        <v>40</v>
      </c>
      <c r="V782" s="1">
        <v>41487</v>
      </c>
      <c r="W782">
        <v>0</v>
      </c>
      <c r="X782">
        <v>14</v>
      </c>
      <c r="AA782" t="s">
        <v>42</v>
      </c>
      <c r="AB782" t="s">
        <v>43</v>
      </c>
      <c r="AC782" t="s">
        <v>43</v>
      </c>
    </row>
    <row r="783" spans="1:30" x14ac:dyDescent="0.4">
      <c r="A783" t="s">
        <v>27</v>
      </c>
      <c r="B783">
        <v>479</v>
      </c>
      <c r="C783" t="s">
        <v>3000</v>
      </c>
      <c r="E783" t="s">
        <v>68</v>
      </c>
      <c r="F783" t="s">
        <v>2087</v>
      </c>
      <c r="G783" t="s">
        <v>2088</v>
      </c>
      <c r="H783" t="s">
        <v>2089</v>
      </c>
      <c r="I783" t="s">
        <v>2090</v>
      </c>
      <c r="J783" t="s">
        <v>2091</v>
      </c>
      <c r="K783" t="s">
        <v>2010</v>
      </c>
      <c r="L783" t="s">
        <v>2092</v>
      </c>
      <c r="M783" t="s">
        <v>35</v>
      </c>
      <c r="N783">
        <v>7913896867</v>
      </c>
      <c r="O783" t="s">
        <v>2093</v>
      </c>
      <c r="P783" t="s">
        <v>2094</v>
      </c>
      <c r="R783" t="s">
        <v>2095</v>
      </c>
      <c r="S783" t="s">
        <v>2096</v>
      </c>
      <c r="T783" t="s">
        <v>58</v>
      </c>
      <c r="U783" t="s">
        <v>40</v>
      </c>
      <c r="V783" s="1">
        <v>41926</v>
      </c>
      <c r="W783">
        <v>0</v>
      </c>
      <c r="X783">
        <v>0</v>
      </c>
      <c r="Y783" t="s">
        <v>59</v>
      </c>
      <c r="AA783" t="s">
        <v>42</v>
      </c>
      <c r="AB783" t="s">
        <v>43</v>
      </c>
      <c r="AC783" t="s">
        <v>42</v>
      </c>
      <c r="AD783" t="s">
        <v>2097</v>
      </c>
    </row>
    <row r="784" spans="1:30" x14ac:dyDescent="0.4">
      <c r="A784" t="s">
        <v>27</v>
      </c>
      <c r="B784">
        <v>479</v>
      </c>
      <c r="C784" t="s">
        <v>3000</v>
      </c>
      <c r="E784" t="s">
        <v>68</v>
      </c>
      <c r="F784" t="s">
        <v>2087</v>
      </c>
      <c r="G784" t="s">
        <v>2088</v>
      </c>
      <c r="H784" t="s">
        <v>2089</v>
      </c>
      <c r="I784" t="s">
        <v>2090</v>
      </c>
      <c r="J784" t="s">
        <v>2091</v>
      </c>
      <c r="K784" t="s">
        <v>2010</v>
      </c>
      <c r="L784" t="s">
        <v>2092</v>
      </c>
      <c r="M784" t="s">
        <v>35</v>
      </c>
      <c r="N784">
        <v>7913896867</v>
      </c>
      <c r="O784" t="s">
        <v>2093</v>
      </c>
      <c r="P784" t="s">
        <v>2094</v>
      </c>
      <c r="R784" t="s">
        <v>2098</v>
      </c>
      <c r="S784" t="s">
        <v>2099</v>
      </c>
      <c r="T784" t="s">
        <v>58</v>
      </c>
      <c r="U784" t="s">
        <v>40</v>
      </c>
      <c r="V784" s="1">
        <v>45559</v>
      </c>
      <c r="W784">
        <v>0</v>
      </c>
      <c r="X784">
        <v>0</v>
      </c>
      <c r="Y784" t="s">
        <v>59</v>
      </c>
      <c r="AA784" t="s">
        <v>42</v>
      </c>
      <c r="AB784" t="s">
        <v>43</v>
      </c>
      <c r="AC784" t="s">
        <v>42</v>
      </c>
      <c r="AD784" t="s">
        <v>2097</v>
      </c>
    </row>
    <row r="785" spans="1:31" x14ac:dyDescent="0.4">
      <c r="A785" t="s">
        <v>27</v>
      </c>
      <c r="B785">
        <v>479</v>
      </c>
      <c r="C785" t="s">
        <v>3000</v>
      </c>
      <c r="E785" t="s">
        <v>68</v>
      </c>
      <c r="F785" t="s">
        <v>2087</v>
      </c>
      <c r="G785" t="s">
        <v>2088</v>
      </c>
      <c r="H785" t="s">
        <v>2089</v>
      </c>
      <c r="I785" t="s">
        <v>2090</v>
      </c>
      <c r="J785" t="s">
        <v>2091</v>
      </c>
      <c r="K785" t="s">
        <v>2010</v>
      </c>
      <c r="L785" t="s">
        <v>2092</v>
      </c>
      <c r="M785" t="s">
        <v>35</v>
      </c>
      <c r="N785">
        <v>7913896867</v>
      </c>
      <c r="O785" t="s">
        <v>2093</v>
      </c>
      <c r="P785" t="s">
        <v>2094</v>
      </c>
      <c r="R785" t="s">
        <v>2100</v>
      </c>
      <c r="S785" t="s">
        <v>2101</v>
      </c>
      <c r="T785" t="s">
        <v>58</v>
      </c>
      <c r="U785" t="s">
        <v>82</v>
      </c>
      <c r="V785" s="1">
        <v>42690</v>
      </c>
      <c r="W785">
        <v>0</v>
      </c>
      <c r="X785">
        <v>0</v>
      </c>
      <c r="Y785" t="s">
        <v>59</v>
      </c>
      <c r="AA785" t="s">
        <v>42</v>
      </c>
      <c r="AB785" t="s">
        <v>43</v>
      </c>
      <c r="AC785" t="s">
        <v>42</v>
      </c>
      <c r="AD785" t="s">
        <v>2097</v>
      </c>
    </row>
    <row r="786" spans="1:31" x14ac:dyDescent="0.4">
      <c r="A786" t="s">
        <v>27</v>
      </c>
      <c r="B786">
        <v>479</v>
      </c>
      <c r="C786" t="s">
        <v>3000</v>
      </c>
      <c r="E786" t="s">
        <v>68</v>
      </c>
      <c r="F786" t="s">
        <v>2087</v>
      </c>
      <c r="G786" t="s">
        <v>2088</v>
      </c>
      <c r="H786" t="s">
        <v>2089</v>
      </c>
      <c r="I786" t="s">
        <v>2090</v>
      </c>
      <c r="J786" t="s">
        <v>2091</v>
      </c>
      <c r="K786" t="s">
        <v>2010</v>
      </c>
      <c r="L786" t="s">
        <v>2092</v>
      </c>
      <c r="M786" t="s">
        <v>35</v>
      </c>
      <c r="N786">
        <v>7913896867</v>
      </c>
      <c r="O786" t="s">
        <v>2093</v>
      </c>
      <c r="P786" t="s">
        <v>2094</v>
      </c>
      <c r="R786" t="s">
        <v>2102</v>
      </c>
      <c r="S786" t="s">
        <v>2103</v>
      </c>
      <c r="T786" t="s">
        <v>58</v>
      </c>
      <c r="U786" t="s">
        <v>82</v>
      </c>
      <c r="V786" s="1">
        <v>43886</v>
      </c>
      <c r="W786">
        <v>0</v>
      </c>
      <c r="X786">
        <v>0</v>
      </c>
      <c r="Y786" t="s">
        <v>59</v>
      </c>
      <c r="AA786" t="s">
        <v>42</v>
      </c>
      <c r="AB786" t="s">
        <v>43</v>
      </c>
      <c r="AC786" t="s">
        <v>42</v>
      </c>
      <c r="AD786" t="s">
        <v>2097</v>
      </c>
    </row>
    <row r="787" spans="1:31" x14ac:dyDescent="0.4">
      <c r="A787" t="s">
        <v>27</v>
      </c>
      <c r="B787">
        <v>479</v>
      </c>
      <c r="C787" t="s">
        <v>3000</v>
      </c>
      <c r="E787" t="s">
        <v>68</v>
      </c>
      <c r="F787" t="s">
        <v>2087</v>
      </c>
      <c r="G787" t="s">
        <v>2088</v>
      </c>
      <c r="H787" t="s">
        <v>2089</v>
      </c>
      <c r="I787" t="s">
        <v>2090</v>
      </c>
      <c r="J787" t="s">
        <v>2091</v>
      </c>
      <c r="K787" t="s">
        <v>2010</v>
      </c>
      <c r="L787" t="s">
        <v>2092</v>
      </c>
      <c r="M787" t="s">
        <v>35</v>
      </c>
      <c r="N787">
        <v>7913896867</v>
      </c>
      <c r="O787" t="s">
        <v>2093</v>
      </c>
      <c r="P787" t="s">
        <v>2094</v>
      </c>
      <c r="R787" t="s">
        <v>2098</v>
      </c>
      <c r="S787" t="s">
        <v>2099</v>
      </c>
      <c r="T787" t="s">
        <v>58</v>
      </c>
      <c r="U787" t="s">
        <v>40</v>
      </c>
      <c r="V787" s="1">
        <v>45559</v>
      </c>
      <c r="W787">
        <v>0</v>
      </c>
      <c r="X787">
        <v>0</v>
      </c>
      <c r="Y787" t="s">
        <v>59</v>
      </c>
      <c r="AA787" t="s">
        <v>42</v>
      </c>
      <c r="AB787" t="s">
        <v>43</v>
      </c>
      <c r="AC787" t="s">
        <v>42</v>
      </c>
      <c r="AD787" t="s">
        <v>2097</v>
      </c>
    </row>
    <row r="788" spans="1:31" x14ac:dyDescent="0.4">
      <c r="A788" t="s">
        <v>27</v>
      </c>
      <c r="B788">
        <v>479</v>
      </c>
      <c r="C788" t="s">
        <v>3000</v>
      </c>
      <c r="D788">
        <v>247</v>
      </c>
      <c r="E788" t="s">
        <v>68</v>
      </c>
      <c r="F788" t="s">
        <v>2087</v>
      </c>
      <c r="G788" t="s">
        <v>2088</v>
      </c>
      <c r="H788" t="s">
        <v>2089</v>
      </c>
      <c r="I788" t="s">
        <v>2090</v>
      </c>
      <c r="J788" t="s">
        <v>2091</v>
      </c>
      <c r="K788" t="s">
        <v>2010</v>
      </c>
      <c r="L788" t="s">
        <v>2092</v>
      </c>
      <c r="M788" t="s">
        <v>35</v>
      </c>
      <c r="N788">
        <v>7913896867</v>
      </c>
      <c r="O788" t="s">
        <v>2093</v>
      </c>
      <c r="P788" t="s">
        <v>3069</v>
      </c>
      <c r="R788" t="s">
        <v>2100</v>
      </c>
      <c r="S788" t="s">
        <v>2101</v>
      </c>
      <c r="T788" t="s">
        <v>58</v>
      </c>
      <c r="U788" t="s">
        <v>82</v>
      </c>
      <c r="V788" s="1">
        <v>42690</v>
      </c>
      <c r="W788">
        <v>0</v>
      </c>
      <c r="X788">
        <v>19</v>
      </c>
      <c r="AA788" t="s">
        <v>42</v>
      </c>
      <c r="AB788" t="s">
        <v>43</v>
      </c>
      <c r="AC788" t="s">
        <v>42</v>
      </c>
      <c r="AE788" t="s">
        <v>2097</v>
      </c>
    </row>
    <row r="789" spans="1:31" x14ac:dyDescent="0.4">
      <c r="A789" t="s">
        <v>27</v>
      </c>
      <c r="B789">
        <v>479</v>
      </c>
      <c r="C789" t="s">
        <v>3000</v>
      </c>
      <c r="D789">
        <v>248</v>
      </c>
      <c r="E789" t="s">
        <v>68</v>
      </c>
      <c r="F789" t="s">
        <v>2087</v>
      </c>
      <c r="G789" t="s">
        <v>2088</v>
      </c>
      <c r="H789" t="s">
        <v>2089</v>
      </c>
      <c r="I789" t="s">
        <v>2090</v>
      </c>
      <c r="J789" t="s">
        <v>2091</v>
      </c>
      <c r="K789" t="s">
        <v>2010</v>
      </c>
      <c r="L789" t="s">
        <v>2092</v>
      </c>
      <c r="M789" t="s">
        <v>35</v>
      </c>
      <c r="N789">
        <v>7913896867</v>
      </c>
      <c r="O789" t="s">
        <v>2093</v>
      </c>
      <c r="P789" t="s">
        <v>3069</v>
      </c>
      <c r="R789" t="s">
        <v>2102</v>
      </c>
      <c r="S789" t="s">
        <v>2103</v>
      </c>
      <c r="T789" t="s">
        <v>58</v>
      </c>
      <c r="U789" t="s">
        <v>82</v>
      </c>
      <c r="V789" s="1">
        <v>43886</v>
      </c>
      <c r="W789">
        <v>0</v>
      </c>
      <c r="X789">
        <v>19</v>
      </c>
      <c r="AA789" t="s">
        <v>42</v>
      </c>
      <c r="AB789" t="s">
        <v>43</v>
      </c>
      <c r="AC789" t="s">
        <v>42</v>
      </c>
      <c r="AE789" t="s">
        <v>2097</v>
      </c>
    </row>
    <row r="790" spans="1:31" x14ac:dyDescent="0.4">
      <c r="A790" t="s">
        <v>27</v>
      </c>
      <c r="B790">
        <v>479</v>
      </c>
      <c r="C790" t="s">
        <v>3000</v>
      </c>
      <c r="D790">
        <v>246</v>
      </c>
      <c r="E790" t="s">
        <v>68</v>
      </c>
      <c r="F790" t="s">
        <v>2087</v>
      </c>
      <c r="G790" t="s">
        <v>2088</v>
      </c>
      <c r="H790" t="s">
        <v>2089</v>
      </c>
      <c r="I790" t="s">
        <v>2090</v>
      </c>
      <c r="J790" t="s">
        <v>2091</v>
      </c>
      <c r="K790" t="s">
        <v>2010</v>
      </c>
      <c r="L790" t="s">
        <v>2092</v>
      </c>
      <c r="M790" t="s">
        <v>35</v>
      </c>
      <c r="N790">
        <v>7913896867</v>
      </c>
      <c r="O790" t="s">
        <v>2093</v>
      </c>
      <c r="P790" t="s">
        <v>3069</v>
      </c>
      <c r="R790" t="s">
        <v>2095</v>
      </c>
      <c r="S790" t="s">
        <v>2096</v>
      </c>
      <c r="T790" t="s">
        <v>58</v>
      </c>
      <c r="U790" t="s">
        <v>40</v>
      </c>
      <c r="V790" s="1">
        <v>41926</v>
      </c>
      <c r="W790">
        <v>0</v>
      </c>
      <c r="X790">
        <v>18</v>
      </c>
      <c r="AA790" t="s">
        <v>42</v>
      </c>
      <c r="AB790" t="s">
        <v>43</v>
      </c>
      <c r="AC790" t="s">
        <v>42</v>
      </c>
      <c r="AE790" t="s">
        <v>2097</v>
      </c>
    </row>
    <row r="791" spans="1:31" x14ac:dyDescent="0.4">
      <c r="A791" t="s">
        <v>27</v>
      </c>
      <c r="B791">
        <v>479</v>
      </c>
      <c r="C791" t="s">
        <v>3000</v>
      </c>
      <c r="D791">
        <v>247</v>
      </c>
      <c r="E791" t="s">
        <v>68</v>
      </c>
      <c r="F791" t="s">
        <v>2087</v>
      </c>
      <c r="G791" t="s">
        <v>2088</v>
      </c>
      <c r="H791" t="s">
        <v>2089</v>
      </c>
      <c r="I791" t="s">
        <v>2090</v>
      </c>
      <c r="J791" t="s">
        <v>2091</v>
      </c>
      <c r="K791" t="s">
        <v>2010</v>
      </c>
      <c r="L791" t="s">
        <v>2092</v>
      </c>
      <c r="M791" t="s">
        <v>35</v>
      </c>
      <c r="N791">
        <v>7913896867</v>
      </c>
      <c r="O791" t="s">
        <v>2093</v>
      </c>
      <c r="P791" t="s">
        <v>3069</v>
      </c>
      <c r="R791" t="s">
        <v>2100</v>
      </c>
      <c r="S791" t="s">
        <v>2101</v>
      </c>
      <c r="T791" t="s">
        <v>58</v>
      </c>
      <c r="U791" t="s">
        <v>82</v>
      </c>
      <c r="V791" s="1">
        <v>42690</v>
      </c>
      <c r="W791">
        <v>0</v>
      </c>
      <c r="X791">
        <v>21</v>
      </c>
      <c r="AA791" t="s">
        <v>42</v>
      </c>
      <c r="AB791" t="s">
        <v>43</v>
      </c>
      <c r="AC791" t="s">
        <v>42</v>
      </c>
      <c r="AE791" t="s">
        <v>2097</v>
      </c>
    </row>
    <row r="792" spans="1:31" x14ac:dyDescent="0.4">
      <c r="A792" t="s">
        <v>27</v>
      </c>
      <c r="B792">
        <v>479</v>
      </c>
      <c r="C792" t="s">
        <v>3000</v>
      </c>
      <c r="D792">
        <v>248</v>
      </c>
      <c r="E792" t="s">
        <v>68</v>
      </c>
      <c r="F792" t="s">
        <v>2087</v>
      </c>
      <c r="G792" t="s">
        <v>2088</v>
      </c>
      <c r="H792" t="s">
        <v>2089</v>
      </c>
      <c r="I792" t="s">
        <v>2090</v>
      </c>
      <c r="J792" t="s">
        <v>2091</v>
      </c>
      <c r="K792" t="s">
        <v>2010</v>
      </c>
      <c r="L792" t="s">
        <v>2092</v>
      </c>
      <c r="M792" t="s">
        <v>35</v>
      </c>
      <c r="N792">
        <v>7913896867</v>
      </c>
      <c r="O792" t="s">
        <v>2093</v>
      </c>
      <c r="P792" t="s">
        <v>3069</v>
      </c>
      <c r="R792" t="s">
        <v>2102</v>
      </c>
      <c r="S792" t="s">
        <v>2103</v>
      </c>
      <c r="T792" t="s">
        <v>58</v>
      </c>
      <c r="U792" t="s">
        <v>82</v>
      </c>
      <c r="V792" s="1">
        <v>43886</v>
      </c>
      <c r="W792">
        <v>0</v>
      </c>
      <c r="X792">
        <v>21</v>
      </c>
      <c r="AA792" t="s">
        <v>42</v>
      </c>
      <c r="AB792" t="s">
        <v>43</v>
      </c>
      <c r="AC792" t="s">
        <v>42</v>
      </c>
      <c r="AE792" t="s">
        <v>2097</v>
      </c>
    </row>
    <row r="793" spans="1:31" x14ac:dyDescent="0.4">
      <c r="A793" t="s">
        <v>27</v>
      </c>
      <c r="B793">
        <v>3514</v>
      </c>
      <c r="C793" t="s">
        <v>2110</v>
      </c>
      <c r="D793">
        <v>249</v>
      </c>
      <c r="E793" t="s">
        <v>28</v>
      </c>
      <c r="F793" t="s">
        <v>2104</v>
      </c>
      <c r="G793" t="s">
        <v>2105</v>
      </c>
      <c r="H793" t="s">
        <v>2106</v>
      </c>
      <c r="I793" t="s">
        <v>2107</v>
      </c>
      <c r="J793" t="s">
        <v>2091</v>
      </c>
      <c r="K793" t="s">
        <v>2010</v>
      </c>
      <c r="L793" t="s">
        <v>2108</v>
      </c>
      <c r="M793" t="s">
        <v>35</v>
      </c>
      <c r="N793">
        <v>1342834927</v>
      </c>
      <c r="O793" t="s">
        <v>2109</v>
      </c>
      <c r="P793" t="s">
        <v>3083</v>
      </c>
      <c r="R793" t="s">
        <v>2111</v>
      </c>
      <c r="S793" t="s">
        <v>2112</v>
      </c>
      <c r="T793" t="s">
        <v>58</v>
      </c>
      <c r="U793" t="s">
        <v>40</v>
      </c>
      <c r="V793" s="1">
        <v>44867</v>
      </c>
      <c r="W793">
        <v>0</v>
      </c>
      <c r="X793">
        <v>12</v>
      </c>
      <c r="AA793" t="s">
        <v>42</v>
      </c>
      <c r="AB793" t="s">
        <v>43</v>
      </c>
      <c r="AC793" t="s">
        <v>43</v>
      </c>
    </row>
    <row r="794" spans="1:31" x14ac:dyDescent="0.4">
      <c r="A794" t="s">
        <v>27</v>
      </c>
      <c r="B794">
        <v>3514</v>
      </c>
      <c r="C794" t="s">
        <v>2110</v>
      </c>
      <c r="D794">
        <v>249</v>
      </c>
      <c r="E794" t="s">
        <v>28</v>
      </c>
      <c r="F794" t="s">
        <v>2104</v>
      </c>
      <c r="G794" t="s">
        <v>2105</v>
      </c>
      <c r="H794" t="s">
        <v>2106</v>
      </c>
      <c r="I794" t="s">
        <v>2107</v>
      </c>
      <c r="J794" t="s">
        <v>2091</v>
      </c>
      <c r="K794" t="s">
        <v>2010</v>
      </c>
      <c r="L794" t="s">
        <v>2108</v>
      </c>
      <c r="M794" t="s">
        <v>35</v>
      </c>
      <c r="N794">
        <v>1342834927</v>
      </c>
      <c r="O794" t="s">
        <v>2109</v>
      </c>
      <c r="P794" t="s">
        <v>3083</v>
      </c>
      <c r="R794" t="s">
        <v>2111</v>
      </c>
      <c r="S794" t="s">
        <v>2112</v>
      </c>
      <c r="T794" t="s">
        <v>58</v>
      </c>
      <c r="U794" t="s">
        <v>40</v>
      </c>
      <c r="V794" s="1">
        <v>44867</v>
      </c>
      <c r="W794">
        <v>0</v>
      </c>
      <c r="X794">
        <v>14</v>
      </c>
      <c r="AA794" t="s">
        <v>42</v>
      </c>
      <c r="AB794" t="s">
        <v>43</v>
      </c>
      <c r="AC794" t="s">
        <v>43</v>
      </c>
    </row>
    <row r="795" spans="1:31" x14ac:dyDescent="0.4">
      <c r="A795" t="s">
        <v>27</v>
      </c>
      <c r="B795">
        <v>3514</v>
      </c>
      <c r="C795" t="s">
        <v>2110</v>
      </c>
      <c r="E795" t="s">
        <v>28</v>
      </c>
      <c r="F795" t="s">
        <v>2104</v>
      </c>
      <c r="G795" t="s">
        <v>2105</v>
      </c>
      <c r="H795" t="s">
        <v>2106</v>
      </c>
      <c r="I795" t="s">
        <v>2107</v>
      </c>
      <c r="J795" t="s">
        <v>2091</v>
      </c>
      <c r="K795" t="s">
        <v>2010</v>
      </c>
      <c r="L795" t="s">
        <v>2108</v>
      </c>
      <c r="M795" t="s">
        <v>35</v>
      </c>
      <c r="N795">
        <v>1342834927</v>
      </c>
      <c r="O795" t="s">
        <v>2109</v>
      </c>
      <c r="P795" t="s">
        <v>2110</v>
      </c>
      <c r="R795" t="s">
        <v>2113</v>
      </c>
      <c r="S795" t="s">
        <v>2114</v>
      </c>
      <c r="T795" t="s">
        <v>2115</v>
      </c>
      <c r="U795" t="s">
        <v>40</v>
      </c>
      <c r="V795" s="1">
        <v>44497</v>
      </c>
      <c r="W795">
        <v>0</v>
      </c>
      <c r="X795">
        <v>0</v>
      </c>
      <c r="Y795" t="s">
        <v>59</v>
      </c>
      <c r="AA795" t="s">
        <v>42</v>
      </c>
      <c r="AB795" t="s">
        <v>43</v>
      </c>
      <c r="AC795" t="s">
        <v>43</v>
      </c>
    </row>
    <row r="796" spans="1:31" x14ac:dyDescent="0.4">
      <c r="A796" t="s">
        <v>27</v>
      </c>
      <c r="B796">
        <v>3514</v>
      </c>
      <c r="C796" t="s">
        <v>2110</v>
      </c>
      <c r="E796" t="s">
        <v>28</v>
      </c>
      <c r="F796" t="s">
        <v>2104</v>
      </c>
      <c r="G796" t="s">
        <v>2105</v>
      </c>
      <c r="H796" t="s">
        <v>2106</v>
      </c>
      <c r="I796" t="s">
        <v>2107</v>
      </c>
      <c r="J796" t="s">
        <v>2091</v>
      </c>
      <c r="K796" t="s">
        <v>2010</v>
      </c>
      <c r="L796" t="s">
        <v>2108</v>
      </c>
      <c r="M796" t="s">
        <v>35</v>
      </c>
      <c r="N796">
        <v>1342834927</v>
      </c>
      <c r="O796" t="s">
        <v>2109</v>
      </c>
      <c r="P796" t="s">
        <v>2110</v>
      </c>
      <c r="R796" t="s">
        <v>2116</v>
      </c>
      <c r="S796" t="s">
        <v>2117</v>
      </c>
      <c r="U796" t="s">
        <v>40</v>
      </c>
      <c r="V796" s="1">
        <v>42713</v>
      </c>
      <c r="W796">
        <v>0</v>
      </c>
      <c r="X796">
        <v>0</v>
      </c>
      <c r="Y796" t="s">
        <v>59</v>
      </c>
      <c r="AA796" t="s">
        <v>42</v>
      </c>
      <c r="AB796" t="s">
        <v>43</v>
      </c>
      <c r="AC796" t="s">
        <v>43</v>
      </c>
    </row>
    <row r="797" spans="1:31" x14ac:dyDescent="0.4">
      <c r="A797" t="s">
        <v>27</v>
      </c>
      <c r="B797">
        <v>6448</v>
      </c>
      <c r="C797" t="s">
        <v>3001</v>
      </c>
      <c r="D797">
        <v>250</v>
      </c>
      <c r="E797" t="s">
        <v>68</v>
      </c>
      <c r="F797" t="s">
        <v>2118</v>
      </c>
      <c r="G797" t="s">
        <v>2119</v>
      </c>
      <c r="H797" t="s">
        <v>2120</v>
      </c>
      <c r="I797" t="s">
        <v>2121</v>
      </c>
      <c r="J797" t="s">
        <v>2122</v>
      </c>
      <c r="K797" t="s">
        <v>1492</v>
      </c>
      <c r="L797" t="s">
        <v>2123</v>
      </c>
      <c r="M797" t="s">
        <v>35</v>
      </c>
      <c r="N797">
        <v>7516549616</v>
      </c>
      <c r="O797" t="s">
        <v>2124</v>
      </c>
      <c r="P797" t="s">
        <v>3001</v>
      </c>
      <c r="R797" t="s">
        <v>2125</v>
      </c>
      <c r="S797" t="s">
        <v>2126</v>
      </c>
      <c r="T797" t="s">
        <v>2127</v>
      </c>
      <c r="U797" t="s">
        <v>82</v>
      </c>
      <c r="V797" s="1">
        <v>43191</v>
      </c>
      <c r="W797">
        <v>0</v>
      </c>
      <c r="X797">
        <v>8</v>
      </c>
      <c r="AA797" t="s">
        <v>42</v>
      </c>
      <c r="AB797" t="s">
        <v>43</v>
      </c>
      <c r="AC797" t="s">
        <v>43</v>
      </c>
      <c r="AE797" t="s">
        <v>2128</v>
      </c>
    </row>
    <row r="798" spans="1:31" x14ac:dyDescent="0.4">
      <c r="A798" t="s">
        <v>27</v>
      </c>
      <c r="B798">
        <v>6448</v>
      </c>
      <c r="C798" t="s">
        <v>3001</v>
      </c>
      <c r="D798">
        <v>251</v>
      </c>
      <c r="E798" t="s">
        <v>68</v>
      </c>
      <c r="F798" t="s">
        <v>2118</v>
      </c>
      <c r="G798" t="s">
        <v>2119</v>
      </c>
      <c r="H798" t="s">
        <v>2120</v>
      </c>
      <c r="I798" t="s">
        <v>2121</v>
      </c>
      <c r="J798" t="s">
        <v>2122</v>
      </c>
      <c r="K798" t="s">
        <v>1492</v>
      </c>
      <c r="L798" t="s">
        <v>2123</v>
      </c>
      <c r="M798" t="s">
        <v>35</v>
      </c>
      <c r="N798">
        <v>7516549616</v>
      </c>
      <c r="O798" t="s">
        <v>2124</v>
      </c>
      <c r="P798" t="s">
        <v>3137</v>
      </c>
      <c r="R798" t="s">
        <v>2129</v>
      </c>
      <c r="S798" t="s">
        <v>2130</v>
      </c>
      <c r="T798" t="s">
        <v>2127</v>
      </c>
      <c r="U798" t="s">
        <v>40</v>
      </c>
      <c r="V798" s="1">
        <v>43017</v>
      </c>
      <c r="W798">
        <v>0</v>
      </c>
      <c r="X798">
        <v>8</v>
      </c>
      <c r="AA798" t="s">
        <v>42</v>
      </c>
      <c r="AB798" t="s">
        <v>43</v>
      </c>
      <c r="AC798" t="s">
        <v>43</v>
      </c>
      <c r="AE798" t="s">
        <v>2128</v>
      </c>
    </row>
    <row r="799" spans="1:31" x14ac:dyDescent="0.4">
      <c r="A799" t="s">
        <v>27</v>
      </c>
      <c r="B799">
        <v>6448</v>
      </c>
      <c r="C799" t="s">
        <v>3001</v>
      </c>
      <c r="D799">
        <v>250</v>
      </c>
      <c r="E799" t="s">
        <v>68</v>
      </c>
      <c r="F799" t="s">
        <v>2118</v>
      </c>
      <c r="G799" t="s">
        <v>2119</v>
      </c>
      <c r="H799" t="s">
        <v>2120</v>
      </c>
      <c r="I799" t="s">
        <v>2121</v>
      </c>
      <c r="J799" t="s">
        <v>2122</v>
      </c>
      <c r="K799" t="s">
        <v>1492</v>
      </c>
      <c r="L799" t="s">
        <v>2123</v>
      </c>
      <c r="M799" t="s">
        <v>35</v>
      </c>
      <c r="N799">
        <v>7516549616</v>
      </c>
      <c r="O799" t="s">
        <v>2124</v>
      </c>
      <c r="P799" t="s">
        <v>3001</v>
      </c>
      <c r="R799" t="s">
        <v>2125</v>
      </c>
      <c r="S799" t="s">
        <v>2126</v>
      </c>
      <c r="T799" t="s">
        <v>2127</v>
      </c>
      <c r="U799" t="s">
        <v>82</v>
      </c>
      <c r="V799" s="1">
        <v>43191</v>
      </c>
      <c r="W799">
        <v>0</v>
      </c>
      <c r="X799">
        <v>9</v>
      </c>
      <c r="AA799" t="s">
        <v>42</v>
      </c>
      <c r="AB799" t="s">
        <v>43</v>
      </c>
      <c r="AC799" t="s">
        <v>43</v>
      </c>
      <c r="AE799" t="s">
        <v>2128</v>
      </c>
    </row>
    <row r="800" spans="1:31" x14ac:dyDescent="0.4">
      <c r="A800" t="s">
        <v>27</v>
      </c>
      <c r="B800">
        <v>6448</v>
      </c>
      <c r="C800" t="s">
        <v>3001</v>
      </c>
      <c r="D800">
        <v>250</v>
      </c>
      <c r="E800" t="s">
        <v>68</v>
      </c>
      <c r="F800" t="s">
        <v>2118</v>
      </c>
      <c r="G800" t="s">
        <v>2119</v>
      </c>
      <c r="H800" t="s">
        <v>2120</v>
      </c>
      <c r="I800" t="s">
        <v>2121</v>
      </c>
      <c r="J800" t="s">
        <v>2122</v>
      </c>
      <c r="K800" t="s">
        <v>1492</v>
      </c>
      <c r="L800" t="s">
        <v>2123</v>
      </c>
      <c r="M800" t="s">
        <v>35</v>
      </c>
      <c r="N800">
        <v>7516549616</v>
      </c>
      <c r="O800" t="s">
        <v>2124</v>
      </c>
      <c r="P800" t="s">
        <v>3001</v>
      </c>
      <c r="R800" t="s">
        <v>2125</v>
      </c>
      <c r="S800" t="s">
        <v>2126</v>
      </c>
      <c r="T800" t="s">
        <v>2127</v>
      </c>
      <c r="U800" t="s">
        <v>82</v>
      </c>
      <c r="V800" s="1">
        <v>43191</v>
      </c>
      <c r="W800">
        <v>0</v>
      </c>
      <c r="X800">
        <v>10</v>
      </c>
      <c r="AA800" t="s">
        <v>42</v>
      </c>
      <c r="AB800" t="s">
        <v>43</v>
      </c>
      <c r="AC800" t="s">
        <v>43</v>
      </c>
      <c r="AE800" t="s">
        <v>2128</v>
      </c>
    </row>
    <row r="801" spans="1:31" x14ac:dyDescent="0.4">
      <c r="A801" t="s">
        <v>27</v>
      </c>
      <c r="B801">
        <v>6448</v>
      </c>
      <c r="C801" t="s">
        <v>3001</v>
      </c>
      <c r="D801">
        <v>251</v>
      </c>
      <c r="E801" t="s">
        <v>68</v>
      </c>
      <c r="F801" t="s">
        <v>2118</v>
      </c>
      <c r="G801" t="s">
        <v>2119</v>
      </c>
      <c r="H801" t="s">
        <v>2120</v>
      </c>
      <c r="I801" t="s">
        <v>2121</v>
      </c>
      <c r="J801" t="s">
        <v>2122</v>
      </c>
      <c r="K801" t="s">
        <v>1492</v>
      </c>
      <c r="L801" t="s">
        <v>2123</v>
      </c>
      <c r="M801" t="s">
        <v>35</v>
      </c>
      <c r="N801">
        <v>7516549616</v>
      </c>
      <c r="O801" t="s">
        <v>2124</v>
      </c>
      <c r="P801" t="s">
        <v>3137</v>
      </c>
      <c r="R801" t="s">
        <v>2129</v>
      </c>
      <c r="S801" t="s">
        <v>2130</v>
      </c>
      <c r="T801" t="s">
        <v>2127</v>
      </c>
      <c r="U801" t="s">
        <v>40</v>
      </c>
      <c r="V801" s="1">
        <v>43017</v>
      </c>
      <c r="W801">
        <v>0</v>
      </c>
      <c r="X801">
        <v>9</v>
      </c>
      <c r="AA801" t="s">
        <v>42</v>
      </c>
      <c r="AB801" t="s">
        <v>43</v>
      </c>
      <c r="AC801" t="s">
        <v>43</v>
      </c>
      <c r="AE801" t="s">
        <v>2128</v>
      </c>
    </row>
    <row r="802" spans="1:31" x14ac:dyDescent="0.4">
      <c r="A802" t="s">
        <v>27</v>
      </c>
      <c r="B802">
        <v>6448</v>
      </c>
      <c r="C802" t="s">
        <v>3001</v>
      </c>
      <c r="D802">
        <v>251</v>
      </c>
      <c r="E802" t="s">
        <v>68</v>
      </c>
      <c r="F802" t="s">
        <v>2118</v>
      </c>
      <c r="G802" t="s">
        <v>2119</v>
      </c>
      <c r="H802" t="s">
        <v>2120</v>
      </c>
      <c r="I802" t="s">
        <v>2121</v>
      </c>
      <c r="J802" t="s">
        <v>2122</v>
      </c>
      <c r="K802" t="s">
        <v>1492</v>
      </c>
      <c r="L802" t="s">
        <v>2123</v>
      </c>
      <c r="M802" t="s">
        <v>35</v>
      </c>
      <c r="N802">
        <v>7516549616</v>
      </c>
      <c r="O802" t="s">
        <v>2124</v>
      </c>
      <c r="P802" t="s">
        <v>3137</v>
      </c>
      <c r="R802" t="s">
        <v>2129</v>
      </c>
      <c r="S802" t="s">
        <v>2130</v>
      </c>
      <c r="T802" t="s">
        <v>2127</v>
      </c>
      <c r="U802" t="s">
        <v>40</v>
      </c>
      <c r="V802" s="1">
        <v>43017</v>
      </c>
      <c r="W802">
        <v>0</v>
      </c>
      <c r="X802">
        <v>10</v>
      </c>
      <c r="AA802" t="s">
        <v>42</v>
      </c>
      <c r="AB802" t="s">
        <v>43</v>
      </c>
      <c r="AC802" t="s">
        <v>43</v>
      </c>
      <c r="AE802" t="s">
        <v>2128</v>
      </c>
    </row>
    <row r="803" spans="1:31" x14ac:dyDescent="0.4">
      <c r="A803" t="s">
        <v>27</v>
      </c>
      <c r="B803">
        <v>2269</v>
      </c>
      <c r="C803" t="s">
        <v>3002</v>
      </c>
      <c r="D803">
        <v>252</v>
      </c>
      <c r="E803" t="s">
        <v>68</v>
      </c>
      <c r="F803" t="s">
        <v>836</v>
      </c>
      <c r="G803" t="s">
        <v>2131</v>
      </c>
      <c r="H803" t="s">
        <v>2132</v>
      </c>
      <c r="I803" t="s">
        <v>2133</v>
      </c>
      <c r="J803" t="s">
        <v>2134</v>
      </c>
      <c r="K803" t="s">
        <v>495</v>
      </c>
      <c r="L803" t="s">
        <v>2135</v>
      </c>
      <c r="M803" t="s">
        <v>35</v>
      </c>
      <c r="N803">
        <v>1323870880</v>
      </c>
      <c r="O803" t="s">
        <v>2136</v>
      </c>
      <c r="P803" t="s">
        <v>3002</v>
      </c>
      <c r="R803" t="s">
        <v>3038</v>
      </c>
      <c r="S803" t="s">
        <v>2138</v>
      </c>
      <c r="T803" t="s">
        <v>58</v>
      </c>
      <c r="U803" t="s">
        <v>40</v>
      </c>
      <c r="V803" s="1">
        <v>44592</v>
      </c>
      <c r="W803">
        <v>0</v>
      </c>
      <c r="X803">
        <v>3</v>
      </c>
      <c r="AA803" t="s">
        <v>42</v>
      </c>
      <c r="AB803" t="s">
        <v>43</v>
      </c>
      <c r="AC803" t="s">
        <v>43</v>
      </c>
      <c r="AE803" t="s">
        <v>2139</v>
      </c>
    </row>
    <row r="804" spans="1:31" x14ac:dyDescent="0.4">
      <c r="A804" t="s">
        <v>27</v>
      </c>
      <c r="B804">
        <v>2269</v>
      </c>
      <c r="C804" t="s">
        <v>3002</v>
      </c>
      <c r="D804">
        <v>252</v>
      </c>
      <c r="E804" t="s">
        <v>68</v>
      </c>
      <c r="F804" t="s">
        <v>836</v>
      </c>
      <c r="G804" t="s">
        <v>2131</v>
      </c>
      <c r="H804" t="s">
        <v>2132</v>
      </c>
      <c r="I804" t="s">
        <v>2133</v>
      </c>
      <c r="J804" t="s">
        <v>2134</v>
      </c>
      <c r="K804" t="s">
        <v>495</v>
      </c>
      <c r="L804" t="s">
        <v>2135</v>
      </c>
      <c r="M804" t="s">
        <v>35</v>
      </c>
      <c r="N804">
        <v>1323870880</v>
      </c>
      <c r="O804" t="s">
        <v>2136</v>
      </c>
      <c r="P804" t="s">
        <v>3002</v>
      </c>
      <c r="R804" t="s">
        <v>3038</v>
      </c>
      <c r="S804" t="s">
        <v>2138</v>
      </c>
      <c r="T804" t="s">
        <v>58</v>
      </c>
      <c r="U804" t="s">
        <v>40</v>
      </c>
      <c r="V804" s="1">
        <v>44592</v>
      </c>
      <c r="W804">
        <v>0</v>
      </c>
      <c r="X804">
        <v>11</v>
      </c>
      <c r="AA804" t="s">
        <v>42</v>
      </c>
      <c r="AB804" t="s">
        <v>43</v>
      </c>
      <c r="AC804" t="s">
        <v>43</v>
      </c>
      <c r="AE804" t="s">
        <v>2139</v>
      </c>
    </row>
    <row r="805" spans="1:31" x14ac:dyDescent="0.4">
      <c r="A805" t="s">
        <v>27</v>
      </c>
      <c r="B805">
        <v>271</v>
      </c>
      <c r="C805" t="s">
        <v>210</v>
      </c>
      <c r="D805">
        <v>253</v>
      </c>
      <c r="E805" t="s">
        <v>257</v>
      </c>
      <c r="F805" t="s">
        <v>2140</v>
      </c>
      <c r="G805" t="s">
        <v>2141</v>
      </c>
      <c r="H805" t="s">
        <v>2142</v>
      </c>
      <c r="I805" t="s">
        <v>2143</v>
      </c>
      <c r="J805" t="s">
        <v>2144</v>
      </c>
      <c r="K805" t="s">
        <v>33</v>
      </c>
      <c r="L805" t="s">
        <v>2145</v>
      </c>
      <c r="M805" t="s">
        <v>35</v>
      </c>
      <c r="N805" t="s">
        <v>2146</v>
      </c>
      <c r="O805" t="s">
        <v>2147</v>
      </c>
      <c r="P805" t="s">
        <v>3084</v>
      </c>
      <c r="R805" t="s">
        <v>2149</v>
      </c>
      <c r="S805" t="s">
        <v>2150</v>
      </c>
      <c r="T805" t="s">
        <v>169</v>
      </c>
      <c r="U805" t="s">
        <v>82</v>
      </c>
      <c r="V805" s="1">
        <v>43966</v>
      </c>
      <c r="W805">
        <v>0</v>
      </c>
      <c r="X805">
        <v>5</v>
      </c>
      <c r="Y805" t="s">
        <v>66</v>
      </c>
      <c r="AA805" t="s">
        <v>42</v>
      </c>
      <c r="AB805" t="s">
        <v>43</v>
      </c>
      <c r="AC805" t="s">
        <v>42</v>
      </c>
    </row>
    <row r="806" spans="1:31" x14ac:dyDescent="0.4">
      <c r="A806" t="s">
        <v>27</v>
      </c>
      <c r="B806">
        <v>271</v>
      </c>
      <c r="C806" t="s">
        <v>210</v>
      </c>
      <c r="D806">
        <v>253</v>
      </c>
      <c r="E806" t="s">
        <v>257</v>
      </c>
      <c r="F806" t="s">
        <v>2140</v>
      </c>
      <c r="G806" t="s">
        <v>2141</v>
      </c>
      <c r="H806" t="s">
        <v>2142</v>
      </c>
      <c r="I806" t="s">
        <v>2143</v>
      </c>
      <c r="J806" t="s">
        <v>2144</v>
      </c>
      <c r="K806" t="s">
        <v>33</v>
      </c>
      <c r="L806" t="s">
        <v>2145</v>
      </c>
      <c r="M806" t="s">
        <v>35</v>
      </c>
      <c r="N806" t="s">
        <v>2146</v>
      </c>
      <c r="O806" t="s">
        <v>2147</v>
      </c>
      <c r="P806" t="s">
        <v>3084</v>
      </c>
      <c r="R806" t="s">
        <v>2149</v>
      </c>
      <c r="S806" t="s">
        <v>2150</v>
      </c>
      <c r="T806" t="s">
        <v>169</v>
      </c>
      <c r="U806" t="s">
        <v>82</v>
      </c>
      <c r="V806" s="1">
        <v>43966</v>
      </c>
      <c r="W806">
        <v>0</v>
      </c>
      <c r="X806">
        <v>6</v>
      </c>
      <c r="Y806" t="s">
        <v>83</v>
      </c>
      <c r="AA806" t="s">
        <v>42</v>
      </c>
      <c r="AB806" t="s">
        <v>43</v>
      </c>
      <c r="AC806" t="s">
        <v>42</v>
      </c>
    </row>
    <row r="807" spans="1:31" x14ac:dyDescent="0.4">
      <c r="A807" t="s">
        <v>27</v>
      </c>
      <c r="B807">
        <v>271</v>
      </c>
      <c r="C807" t="s">
        <v>210</v>
      </c>
      <c r="D807">
        <v>254</v>
      </c>
      <c r="E807" t="s">
        <v>257</v>
      </c>
      <c r="F807" t="s">
        <v>2140</v>
      </c>
      <c r="G807" t="s">
        <v>2141</v>
      </c>
      <c r="H807" t="s">
        <v>2142</v>
      </c>
      <c r="I807" t="s">
        <v>2143</v>
      </c>
      <c r="J807" t="s">
        <v>2144</v>
      </c>
      <c r="K807" t="s">
        <v>33</v>
      </c>
      <c r="L807" t="s">
        <v>2145</v>
      </c>
      <c r="M807" t="s">
        <v>35</v>
      </c>
      <c r="N807" t="s">
        <v>2146</v>
      </c>
      <c r="O807" t="s">
        <v>2147</v>
      </c>
      <c r="P807" t="s">
        <v>3084</v>
      </c>
      <c r="R807" t="s">
        <v>2151</v>
      </c>
      <c r="S807" t="s">
        <v>2152</v>
      </c>
      <c r="T807" t="s">
        <v>94</v>
      </c>
      <c r="U807" t="s">
        <v>40</v>
      </c>
      <c r="V807" s="1">
        <v>42963</v>
      </c>
      <c r="W807">
        <v>0</v>
      </c>
      <c r="X807">
        <v>7</v>
      </c>
      <c r="AA807" t="s">
        <v>42</v>
      </c>
      <c r="AB807" t="s">
        <v>43</v>
      </c>
      <c r="AC807" t="s">
        <v>42</v>
      </c>
    </row>
    <row r="808" spans="1:31" x14ac:dyDescent="0.4">
      <c r="A808" t="s">
        <v>27</v>
      </c>
      <c r="B808">
        <v>271</v>
      </c>
      <c r="C808" t="s">
        <v>210</v>
      </c>
      <c r="E808" t="s">
        <v>257</v>
      </c>
      <c r="F808" t="s">
        <v>2140</v>
      </c>
      <c r="G808" t="s">
        <v>2141</v>
      </c>
      <c r="H808" t="s">
        <v>2142</v>
      </c>
      <c r="I808" t="s">
        <v>2143</v>
      </c>
      <c r="J808" t="s">
        <v>2144</v>
      </c>
      <c r="K808" t="s">
        <v>33</v>
      </c>
      <c r="L808" t="s">
        <v>2145</v>
      </c>
      <c r="M808" t="s">
        <v>35</v>
      </c>
      <c r="N808" t="s">
        <v>2146</v>
      </c>
      <c r="O808" t="s">
        <v>2147</v>
      </c>
      <c r="P808" t="s">
        <v>2148</v>
      </c>
      <c r="R808" t="s">
        <v>2153</v>
      </c>
      <c r="S808" t="s">
        <v>2154</v>
      </c>
      <c r="T808" t="s">
        <v>169</v>
      </c>
      <c r="U808" t="s">
        <v>82</v>
      </c>
      <c r="V808" s="1">
        <v>42263</v>
      </c>
      <c r="W808">
        <v>0</v>
      </c>
      <c r="X808">
        <v>0</v>
      </c>
      <c r="Y808" t="s">
        <v>59</v>
      </c>
      <c r="AA808" t="s">
        <v>42</v>
      </c>
      <c r="AB808" t="s">
        <v>43</v>
      </c>
      <c r="AC808" t="s">
        <v>42</v>
      </c>
    </row>
    <row r="809" spans="1:31" x14ac:dyDescent="0.4">
      <c r="A809" t="s">
        <v>27</v>
      </c>
      <c r="B809">
        <v>271</v>
      </c>
      <c r="C809" t="s">
        <v>210</v>
      </c>
      <c r="D809">
        <v>255</v>
      </c>
      <c r="E809" t="s">
        <v>257</v>
      </c>
      <c r="F809" t="s">
        <v>2140</v>
      </c>
      <c r="G809" t="s">
        <v>2141</v>
      </c>
      <c r="H809" t="s">
        <v>2142</v>
      </c>
      <c r="I809" t="s">
        <v>2143</v>
      </c>
      <c r="J809" t="s">
        <v>2144</v>
      </c>
      <c r="K809" t="s">
        <v>33</v>
      </c>
      <c r="L809" t="s">
        <v>2145</v>
      </c>
      <c r="M809" t="s">
        <v>35</v>
      </c>
      <c r="N809" t="s">
        <v>2146</v>
      </c>
      <c r="O809" t="s">
        <v>2147</v>
      </c>
      <c r="P809" t="s">
        <v>3084</v>
      </c>
      <c r="R809" t="s">
        <v>2155</v>
      </c>
      <c r="S809" t="s">
        <v>2156</v>
      </c>
      <c r="T809" t="s">
        <v>169</v>
      </c>
      <c r="U809" t="s">
        <v>82</v>
      </c>
      <c r="V809" s="1">
        <v>41747</v>
      </c>
      <c r="W809">
        <v>0</v>
      </c>
      <c r="X809">
        <v>5</v>
      </c>
      <c r="Y809" t="s">
        <v>66</v>
      </c>
      <c r="AA809" t="s">
        <v>42</v>
      </c>
      <c r="AB809" t="s">
        <v>43</v>
      </c>
      <c r="AC809" t="s">
        <v>42</v>
      </c>
    </row>
    <row r="810" spans="1:31" x14ac:dyDescent="0.4">
      <c r="A810" t="s">
        <v>27</v>
      </c>
      <c r="B810">
        <v>271</v>
      </c>
      <c r="C810" t="s">
        <v>210</v>
      </c>
      <c r="D810">
        <v>255</v>
      </c>
      <c r="E810" t="s">
        <v>257</v>
      </c>
      <c r="F810" t="s">
        <v>2140</v>
      </c>
      <c r="G810" t="s">
        <v>2141</v>
      </c>
      <c r="H810" t="s">
        <v>2142</v>
      </c>
      <c r="I810" t="s">
        <v>2143</v>
      </c>
      <c r="J810" t="s">
        <v>2144</v>
      </c>
      <c r="K810" t="s">
        <v>33</v>
      </c>
      <c r="L810" t="s">
        <v>2145</v>
      </c>
      <c r="M810" t="s">
        <v>35</v>
      </c>
      <c r="N810" t="s">
        <v>2146</v>
      </c>
      <c r="O810" t="s">
        <v>2147</v>
      </c>
      <c r="P810" t="s">
        <v>3084</v>
      </c>
      <c r="R810" t="s">
        <v>2155</v>
      </c>
      <c r="S810" t="s">
        <v>2156</v>
      </c>
      <c r="T810" t="s">
        <v>169</v>
      </c>
      <c r="U810" t="s">
        <v>82</v>
      </c>
      <c r="V810" s="1">
        <v>41747</v>
      </c>
      <c r="W810">
        <v>0</v>
      </c>
      <c r="X810">
        <v>6</v>
      </c>
      <c r="Y810" t="s">
        <v>83</v>
      </c>
      <c r="AA810" t="s">
        <v>42</v>
      </c>
      <c r="AB810" t="s">
        <v>43</v>
      </c>
      <c r="AC810" t="s">
        <v>42</v>
      </c>
    </row>
    <row r="811" spans="1:31" x14ac:dyDescent="0.4">
      <c r="A811" t="s">
        <v>27</v>
      </c>
      <c r="B811">
        <v>271</v>
      </c>
      <c r="C811" t="s">
        <v>210</v>
      </c>
      <c r="D811">
        <v>253</v>
      </c>
      <c r="E811" t="s">
        <v>257</v>
      </c>
      <c r="F811" t="s">
        <v>2140</v>
      </c>
      <c r="G811" t="s">
        <v>2141</v>
      </c>
      <c r="H811" t="s">
        <v>2142</v>
      </c>
      <c r="I811" t="s">
        <v>2143</v>
      </c>
      <c r="J811" t="s">
        <v>2144</v>
      </c>
      <c r="K811" t="s">
        <v>33</v>
      </c>
      <c r="L811" t="s">
        <v>2145</v>
      </c>
      <c r="M811" t="s">
        <v>35</v>
      </c>
      <c r="N811" t="s">
        <v>2146</v>
      </c>
      <c r="O811" t="s">
        <v>2147</v>
      </c>
      <c r="P811" t="s">
        <v>3084</v>
      </c>
      <c r="R811" t="s">
        <v>2149</v>
      </c>
      <c r="S811" t="s">
        <v>2150</v>
      </c>
      <c r="T811" t="s">
        <v>169</v>
      </c>
      <c r="U811" t="s">
        <v>82</v>
      </c>
      <c r="V811" s="1">
        <v>43966</v>
      </c>
      <c r="W811">
        <v>0</v>
      </c>
      <c r="X811">
        <v>17</v>
      </c>
      <c r="AA811" t="s">
        <v>42</v>
      </c>
      <c r="AB811" t="s">
        <v>43</v>
      </c>
      <c r="AC811" t="s">
        <v>42</v>
      </c>
    </row>
    <row r="812" spans="1:31" x14ac:dyDescent="0.4">
      <c r="A812" t="s">
        <v>27</v>
      </c>
      <c r="B812">
        <v>271</v>
      </c>
      <c r="C812" t="s">
        <v>210</v>
      </c>
      <c r="D812">
        <v>253</v>
      </c>
      <c r="E812" t="s">
        <v>257</v>
      </c>
      <c r="F812" t="s">
        <v>2140</v>
      </c>
      <c r="G812" t="s">
        <v>2141</v>
      </c>
      <c r="H812" t="s">
        <v>2142</v>
      </c>
      <c r="I812" t="s">
        <v>2143</v>
      </c>
      <c r="J812" t="s">
        <v>2144</v>
      </c>
      <c r="K812" t="s">
        <v>33</v>
      </c>
      <c r="L812" t="s">
        <v>2145</v>
      </c>
      <c r="M812" t="s">
        <v>35</v>
      </c>
      <c r="N812" t="s">
        <v>2146</v>
      </c>
      <c r="O812" t="s">
        <v>2147</v>
      </c>
      <c r="P812" t="s">
        <v>3084</v>
      </c>
      <c r="R812" t="s">
        <v>2149</v>
      </c>
      <c r="S812" t="s">
        <v>2150</v>
      </c>
      <c r="T812" t="s">
        <v>169</v>
      </c>
      <c r="U812" t="s">
        <v>82</v>
      </c>
      <c r="V812" s="1">
        <v>43966</v>
      </c>
      <c r="W812">
        <v>0</v>
      </c>
      <c r="X812">
        <v>15</v>
      </c>
      <c r="AA812" t="s">
        <v>42</v>
      </c>
      <c r="AB812" t="s">
        <v>43</v>
      </c>
      <c r="AC812" t="s">
        <v>42</v>
      </c>
    </row>
    <row r="813" spans="1:31" x14ac:dyDescent="0.4">
      <c r="A813" t="s">
        <v>27</v>
      </c>
      <c r="B813">
        <v>271</v>
      </c>
      <c r="C813" t="s">
        <v>210</v>
      </c>
      <c r="D813">
        <v>255</v>
      </c>
      <c r="E813" t="s">
        <v>257</v>
      </c>
      <c r="F813" t="s">
        <v>2140</v>
      </c>
      <c r="G813" t="s">
        <v>2141</v>
      </c>
      <c r="H813" t="s">
        <v>2142</v>
      </c>
      <c r="I813" t="s">
        <v>2143</v>
      </c>
      <c r="J813" t="s">
        <v>2144</v>
      </c>
      <c r="K813" t="s">
        <v>33</v>
      </c>
      <c r="L813" t="s">
        <v>2145</v>
      </c>
      <c r="M813" t="s">
        <v>35</v>
      </c>
      <c r="N813" t="s">
        <v>2146</v>
      </c>
      <c r="O813" t="s">
        <v>2147</v>
      </c>
      <c r="P813" t="s">
        <v>3084</v>
      </c>
      <c r="R813" t="s">
        <v>2155</v>
      </c>
      <c r="S813" t="s">
        <v>2156</v>
      </c>
      <c r="T813" t="s">
        <v>169</v>
      </c>
      <c r="U813" t="s">
        <v>82</v>
      </c>
      <c r="V813" s="1">
        <v>41747</v>
      </c>
      <c r="W813">
        <v>0</v>
      </c>
      <c r="X813">
        <v>15</v>
      </c>
      <c r="AA813" t="s">
        <v>42</v>
      </c>
      <c r="AB813" t="s">
        <v>43</v>
      </c>
      <c r="AC813" t="s">
        <v>42</v>
      </c>
    </row>
    <row r="814" spans="1:31" x14ac:dyDescent="0.4">
      <c r="A814" t="s">
        <v>27</v>
      </c>
      <c r="B814">
        <v>271</v>
      </c>
      <c r="C814" t="s">
        <v>210</v>
      </c>
      <c r="E814" t="s">
        <v>257</v>
      </c>
      <c r="F814" t="s">
        <v>2140</v>
      </c>
      <c r="G814" t="s">
        <v>2141</v>
      </c>
      <c r="H814" t="s">
        <v>2142</v>
      </c>
      <c r="I814" t="s">
        <v>2143</v>
      </c>
      <c r="J814" t="s">
        <v>2144</v>
      </c>
      <c r="K814" t="s">
        <v>33</v>
      </c>
      <c r="L814" t="s">
        <v>2145</v>
      </c>
      <c r="M814" t="s">
        <v>35</v>
      </c>
      <c r="N814" t="s">
        <v>2146</v>
      </c>
      <c r="O814" t="s">
        <v>2147</v>
      </c>
      <c r="P814" t="s">
        <v>2148</v>
      </c>
      <c r="R814" t="s">
        <v>2153</v>
      </c>
      <c r="S814" t="s">
        <v>2154</v>
      </c>
      <c r="T814" t="s">
        <v>169</v>
      </c>
      <c r="U814" t="s">
        <v>82</v>
      </c>
      <c r="V814" s="1">
        <v>42263</v>
      </c>
      <c r="W814">
        <v>0</v>
      </c>
      <c r="X814">
        <v>0</v>
      </c>
      <c r="Y814" t="s">
        <v>59</v>
      </c>
      <c r="AA814" t="s">
        <v>42</v>
      </c>
      <c r="AB814" t="s">
        <v>43</v>
      </c>
      <c r="AC814" t="s">
        <v>42</v>
      </c>
    </row>
    <row r="815" spans="1:31" x14ac:dyDescent="0.4">
      <c r="A815" t="s">
        <v>27</v>
      </c>
      <c r="B815">
        <v>271</v>
      </c>
      <c r="C815" t="s">
        <v>210</v>
      </c>
      <c r="E815" t="s">
        <v>257</v>
      </c>
      <c r="F815" t="s">
        <v>2140</v>
      </c>
      <c r="G815" t="s">
        <v>2141</v>
      </c>
      <c r="H815" t="s">
        <v>2142</v>
      </c>
      <c r="I815" t="s">
        <v>2143</v>
      </c>
      <c r="J815" t="s">
        <v>2144</v>
      </c>
      <c r="K815" t="s">
        <v>33</v>
      </c>
      <c r="L815" t="s">
        <v>2145</v>
      </c>
      <c r="M815" t="s">
        <v>35</v>
      </c>
      <c r="N815" t="s">
        <v>2146</v>
      </c>
      <c r="O815" t="s">
        <v>2147</v>
      </c>
      <c r="P815" t="s">
        <v>2148</v>
      </c>
      <c r="R815" t="s">
        <v>2151</v>
      </c>
      <c r="S815" t="s">
        <v>2152</v>
      </c>
      <c r="T815" t="s">
        <v>94</v>
      </c>
      <c r="U815" t="s">
        <v>40</v>
      </c>
      <c r="V815" s="1">
        <v>42963</v>
      </c>
      <c r="W815">
        <v>0</v>
      </c>
      <c r="X815">
        <v>0</v>
      </c>
      <c r="Y815" t="s">
        <v>59</v>
      </c>
      <c r="AA815" t="s">
        <v>42</v>
      </c>
      <c r="AB815" t="s">
        <v>43</v>
      </c>
      <c r="AC815" t="s">
        <v>42</v>
      </c>
    </row>
    <row r="816" spans="1:31" x14ac:dyDescent="0.4">
      <c r="A816" t="s">
        <v>27</v>
      </c>
      <c r="B816">
        <v>4744</v>
      </c>
      <c r="C816" t="s">
        <v>3003</v>
      </c>
      <c r="D816">
        <v>257</v>
      </c>
      <c r="E816" t="s">
        <v>68</v>
      </c>
      <c r="F816" t="s">
        <v>2157</v>
      </c>
      <c r="G816" t="s">
        <v>2158</v>
      </c>
      <c r="H816" t="s">
        <v>2159</v>
      </c>
      <c r="J816" t="s">
        <v>2160</v>
      </c>
      <c r="K816" t="s">
        <v>73</v>
      </c>
      <c r="L816" t="s">
        <v>2161</v>
      </c>
      <c r="M816" t="s">
        <v>35</v>
      </c>
      <c r="N816">
        <v>2086570047</v>
      </c>
      <c r="O816" t="s">
        <v>2162</v>
      </c>
      <c r="P816" t="s">
        <v>3003</v>
      </c>
      <c r="R816" t="s">
        <v>2163</v>
      </c>
      <c r="S816" t="s">
        <v>2164</v>
      </c>
      <c r="T816" t="s">
        <v>1759</v>
      </c>
      <c r="U816" t="s">
        <v>40</v>
      </c>
      <c r="V816" s="1">
        <v>45206</v>
      </c>
      <c r="W816">
        <v>0</v>
      </c>
      <c r="X816">
        <v>4</v>
      </c>
      <c r="Y816" t="s">
        <v>65</v>
      </c>
      <c r="AA816" t="s">
        <v>42</v>
      </c>
      <c r="AB816" t="s">
        <v>43</v>
      </c>
      <c r="AC816" t="s">
        <v>43</v>
      </c>
    </row>
    <row r="817" spans="1:31" x14ac:dyDescent="0.4">
      <c r="A817" t="s">
        <v>27</v>
      </c>
      <c r="B817">
        <v>4744</v>
      </c>
      <c r="C817" t="s">
        <v>3003</v>
      </c>
      <c r="D817">
        <v>256</v>
      </c>
      <c r="E817" t="s">
        <v>68</v>
      </c>
      <c r="F817" t="s">
        <v>2157</v>
      </c>
      <c r="G817" t="s">
        <v>2158</v>
      </c>
      <c r="H817" t="s">
        <v>2159</v>
      </c>
      <c r="J817" t="s">
        <v>2160</v>
      </c>
      <c r="K817" t="s">
        <v>73</v>
      </c>
      <c r="L817" t="s">
        <v>2161</v>
      </c>
      <c r="M817" t="s">
        <v>35</v>
      </c>
      <c r="N817">
        <v>2086570047</v>
      </c>
      <c r="O817" t="s">
        <v>2162</v>
      </c>
      <c r="P817" t="s">
        <v>3003</v>
      </c>
      <c r="R817" t="s">
        <v>2165</v>
      </c>
      <c r="S817" t="s">
        <v>2166</v>
      </c>
      <c r="T817" t="s">
        <v>1759</v>
      </c>
      <c r="U817" t="s">
        <v>40</v>
      </c>
      <c r="V817" s="1">
        <v>44719</v>
      </c>
      <c r="W817">
        <v>0</v>
      </c>
      <c r="X817">
        <v>4</v>
      </c>
      <c r="Y817" t="s">
        <v>65</v>
      </c>
      <c r="AA817" t="s">
        <v>42</v>
      </c>
      <c r="AB817" t="s">
        <v>43</v>
      </c>
      <c r="AC817" t="s">
        <v>43</v>
      </c>
    </row>
    <row r="818" spans="1:31" x14ac:dyDescent="0.4">
      <c r="A818" t="s">
        <v>27</v>
      </c>
      <c r="B818">
        <v>73</v>
      </c>
      <c r="C818" t="s">
        <v>3004</v>
      </c>
      <c r="D818">
        <v>258</v>
      </c>
      <c r="E818" t="s">
        <v>68</v>
      </c>
      <c r="F818" t="s">
        <v>2167</v>
      </c>
      <c r="G818" t="s">
        <v>2168</v>
      </c>
      <c r="H818" t="s">
        <v>2169</v>
      </c>
      <c r="I818" t="s">
        <v>2170</v>
      </c>
      <c r="J818" t="s">
        <v>1164</v>
      </c>
      <c r="K818" t="s">
        <v>426</v>
      </c>
      <c r="L818" t="s">
        <v>2171</v>
      </c>
      <c r="M818" t="s">
        <v>35</v>
      </c>
      <c r="N818" t="s">
        <v>2172</v>
      </c>
      <c r="O818" t="s">
        <v>2173</v>
      </c>
      <c r="P818" t="s">
        <v>3004</v>
      </c>
      <c r="R818" t="s">
        <v>2175</v>
      </c>
      <c r="S818" t="s">
        <v>2176</v>
      </c>
      <c r="T818" t="s">
        <v>58</v>
      </c>
      <c r="U818" t="s">
        <v>40</v>
      </c>
      <c r="V818" s="1">
        <v>42333</v>
      </c>
      <c r="W818">
        <v>0</v>
      </c>
      <c r="X818">
        <v>7</v>
      </c>
      <c r="AA818" t="s">
        <v>42</v>
      </c>
      <c r="AB818" t="s">
        <v>43</v>
      </c>
      <c r="AC818" t="s">
        <v>43</v>
      </c>
    </row>
    <row r="819" spans="1:31" x14ac:dyDescent="0.4">
      <c r="A819" t="s">
        <v>27</v>
      </c>
      <c r="B819">
        <v>73</v>
      </c>
      <c r="C819" t="s">
        <v>3004</v>
      </c>
      <c r="E819" t="s">
        <v>68</v>
      </c>
      <c r="F819" t="s">
        <v>2167</v>
      </c>
      <c r="G819" t="s">
        <v>2168</v>
      </c>
      <c r="H819" t="s">
        <v>2169</v>
      </c>
      <c r="I819" t="s">
        <v>2170</v>
      </c>
      <c r="J819" t="s">
        <v>1164</v>
      </c>
      <c r="K819" t="s">
        <v>426</v>
      </c>
      <c r="L819" t="s">
        <v>2171</v>
      </c>
      <c r="M819" t="s">
        <v>35</v>
      </c>
      <c r="N819" t="s">
        <v>2172</v>
      </c>
      <c r="O819" t="s">
        <v>2173</v>
      </c>
      <c r="P819" t="s">
        <v>2174</v>
      </c>
      <c r="R819" t="s">
        <v>2177</v>
      </c>
      <c r="S819" t="s">
        <v>2178</v>
      </c>
      <c r="T819" t="s">
        <v>413</v>
      </c>
      <c r="U819" t="s">
        <v>40</v>
      </c>
      <c r="V819" s="1">
        <v>45476</v>
      </c>
      <c r="W819">
        <v>0</v>
      </c>
      <c r="X819">
        <v>0</v>
      </c>
      <c r="Y819" t="s">
        <v>59</v>
      </c>
      <c r="AA819" t="s">
        <v>42</v>
      </c>
      <c r="AB819" t="s">
        <v>43</v>
      </c>
      <c r="AC819" t="s">
        <v>43</v>
      </c>
    </row>
    <row r="820" spans="1:31" x14ac:dyDescent="0.4">
      <c r="A820" t="s">
        <v>27</v>
      </c>
      <c r="B820">
        <v>73</v>
      </c>
      <c r="C820" t="s">
        <v>3004</v>
      </c>
      <c r="E820" t="s">
        <v>68</v>
      </c>
      <c r="F820" t="s">
        <v>2167</v>
      </c>
      <c r="G820" t="s">
        <v>2168</v>
      </c>
      <c r="H820" t="s">
        <v>2169</v>
      </c>
      <c r="I820" t="s">
        <v>2170</v>
      </c>
      <c r="J820" t="s">
        <v>1164</v>
      </c>
      <c r="K820" t="s">
        <v>426</v>
      </c>
      <c r="L820" t="s">
        <v>2171</v>
      </c>
      <c r="M820" t="s">
        <v>35</v>
      </c>
      <c r="N820" t="s">
        <v>2172</v>
      </c>
      <c r="O820" t="s">
        <v>2173</v>
      </c>
      <c r="P820" t="s">
        <v>2174</v>
      </c>
      <c r="R820" t="s">
        <v>2179</v>
      </c>
      <c r="S820" t="s">
        <v>2180</v>
      </c>
      <c r="T820" t="s">
        <v>2181</v>
      </c>
      <c r="U820" t="s">
        <v>40</v>
      </c>
      <c r="V820" s="1">
        <v>42969</v>
      </c>
      <c r="W820">
        <v>0</v>
      </c>
      <c r="X820">
        <v>0</v>
      </c>
      <c r="Y820" t="s">
        <v>59</v>
      </c>
      <c r="AA820" t="s">
        <v>42</v>
      </c>
      <c r="AB820" t="s">
        <v>43</v>
      </c>
      <c r="AC820" t="s">
        <v>43</v>
      </c>
    </row>
    <row r="821" spans="1:31" x14ac:dyDescent="0.4">
      <c r="A821" t="s">
        <v>27</v>
      </c>
      <c r="B821">
        <v>73</v>
      </c>
      <c r="C821" t="s">
        <v>3004</v>
      </c>
      <c r="D821">
        <v>258</v>
      </c>
      <c r="E821" t="s">
        <v>68</v>
      </c>
      <c r="F821" t="s">
        <v>2167</v>
      </c>
      <c r="G821" t="s">
        <v>2168</v>
      </c>
      <c r="H821" t="s">
        <v>2169</v>
      </c>
      <c r="I821" t="s">
        <v>2170</v>
      </c>
      <c r="J821" t="s">
        <v>1164</v>
      </c>
      <c r="K821" t="s">
        <v>426</v>
      </c>
      <c r="L821" t="s">
        <v>2171</v>
      </c>
      <c r="M821" t="s">
        <v>35</v>
      </c>
      <c r="N821" t="s">
        <v>2172</v>
      </c>
      <c r="O821" t="s">
        <v>2173</v>
      </c>
      <c r="P821" t="s">
        <v>3004</v>
      </c>
      <c r="R821" t="s">
        <v>2175</v>
      </c>
      <c r="S821" t="s">
        <v>2176</v>
      </c>
      <c r="T821" t="s">
        <v>58</v>
      </c>
      <c r="U821" t="s">
        <v>40</v>
      </c>
      <c r="V821" s="1">
        <v>42333</v>
      </c>
      <c r="W821">
        <v>0</v>
      </c>
      <c r="X821">
        <v>18</v>
      </c>
      <c r="AA821" t="s">
        <v>42</v>
      </c>
      <c r="AB821" t="s">
        <v>43</v>
      </c>
      <c r="AC821" t="s">
        <v>43</v>
      </c>
    </row>
    <row r="822" spans="1:31" x14ac:dyDescent="0.4">
      <c r="A822" t="s">
        <v>27</v>
      </c>
      <c r="B822">
        <v>73</v>
      </c>
      <c r="C822" t="s">
        <v>3004</v>
      </c>
      <c r="E822" t="s">
        <v>68</v>
      </c>
      <c r="F822" t="s">
        <v>2167</v>
      </c>
      <c r="G822" t="s">
        <v>2168</v>
      </c>
      <c r="H822" t="s">
        <v>2169</v>
      </c>
      <c r="I822" t="s">
        <v>2170</v>
      </c>
      <c r="J822" t="s">
        <v>1164</v>
      </c>
      <c r="K822" t="s">
        <v>426</v>
      </c>
      <c r="L822" t="s">
        <v>2171</v>
      </c>
      <c r="M822" t="s">
        <v>35</v>
      </c>
      <c r="N822" t="s">
        <v>2172</v>
      </c>
      <c r="O822" t="s">
        <v>2173</v>
      </c>
      <c r="P822" t="s">
        <v>2174</v>
      </c>
      <c r="R822" t="s">
        <v>2177</v>
      </c>
      <c r="S822" t="s">
        <v>2178</v>
      </c>
      <c r="T822" t="s">
        <v>413</v>
      </c>
      <c r="U822" t="s">
        <v>40</v>
      </c>
      <c r="V822" s="1">
        <v>45476</v>
      </c>
      <c r="W822">
        <v>0</v>
      </c>
      <c r="X822">
        <v>0</v>
      </c>
      <c r="Y822" t="s">
        <v>59</v>
      </c>
      <c r="AA822" t="s">
        <v>42</v>
      </c>
      <c r="AB822" t="s">
        <v>43</v>
      </c>
      <c r="AC822" t="s">
        <v>43</v>
      </c>
    </row>
    <row r="823" spans="1:31" x14ac:dyDescent="0.4">
      <c r="A823" t="s">
        <v>27</v>
      </c>
      <c r="B823">
        <v>73</v>
      </c>
      <c r="C823" t="s">
        <v>3004</v>
      </c>
      <c r="E823" t="s">
        <v>68</v>
      </c>
      <c r="F823" t="s">
        <v>2167</v>
      </c>
      <c r="G823" t="s">
        <v>2168</v>
      </c>
      <c r="H823" t="s">
        <v>2169</v>
      </c>
      <c r="I823" t="s">
        <v>2170</v>
      </c>
      <c r="J823" t="s">
        <v>1164</v>
      </c>
      <c r="K823" t="s">
        <v>426</v>
      </c>
      <c r="L823" t="s">
        <v>2171</v>
      </c>
      <c r="M823" t="s">
        <v>35</v>
      </c>
      <c r="N823" t="s">
        <v>2172</v>
      </c>
      <c r="O823" t="s">
        <v>2173</v>
      </c>
      <c r="P823" t="s">
        <v>2174</v>
      </c>
      <c r="R823" t="s">
        <v>2179</v>
      </c>
      <c r="S823" t="s">
        <v>2180</v>
      </c>
      <c r="T823" t="s">
        <v>2181</v>
      </c>
      <c r="U823" t="s">
        <v>40</v>
      </c>
      <c r="V823" s="1">
        <v>42969</v>
      </c>
      <c r="W823">
        <v>0</v>
      </c>
      <c r="X823">
        <v>0</v>
      </c>
      <c r="Y823" t="s">
        <v>59</v>
      </c>
      <c r="AA823" t="s">
        <v>42</v>
      </c>
      <c r="AB823" t="s">
        <v>43</v>
      </c>
      <c r="AC823" t="s">
        <v>43</v>
      </c>
    </row>
    <row r="824" spans="1:31" x14ac:dyDescent="0.4">
      <c r="A824" t="s">
        <v>27</v>
      </c>
      <c r="B824">
        <v>354</v>
      </c>
      <c r="C824" t="s">
        <v>2188</v>
      </c>
      <c r="D824">
        <v>259</v>
      </c>
      <c r="E824" t="s">
        <v>68</v>
      </c>
      <c r="F824" t="s">
        <v>919</v>
      </c>
      <c r="G824" t="s">
        <v>2182</v>
      </c>
      <c r="H824" t="s">
        <v>2183</v>
      </c>
      <c r="I824" t="s">
        <v>2184</v>
      </c>
      <c r="J824" t="s">
        <v>50</v>
      </c>
      <c r="K824" t="s">
        <v>924</v>
      </c>
      <c r="L824" t="s">
        <v>2185</v>
      </c>
      <c r="M824" t="s">
        <v>35</v>
      </c>
      <c r="N824" t="s">
        <v>2186</v>
      </c>
      <c r="O824" t="s">
        <v>2187</v>
      </c>
      <c r="P824" t="s">
        <v>3041</v>
      </c>
      <c r="R824" t="s">
        <v>2189</v>
      </c>
      <c r="S824" t="s">
        <v>2190</v>
      </c>
      <c r="T824" t="s">
        <v>58</v>
      </c>
      <c r="U824" t="s">
        <v>82</v>
      </c>
      <c r="V824" s="1">
        <v>44458</v>
      </c>
      <c r="W824">
        <v>0</v>
      </c>
      <c r="X824">
        <v>4</v>
      </c>
      <c r="Y824" t="s">
        <v>65</v>
      </c>
      <c r="AA824" t="s">
        <v>42</v>
      </c>
      <c r="AB824" t="s">
        <v>43</v>
      </c>
      <c r="AC824" t="s">
        <v>43</v>
      </c>
    </row>
    <row r="825" spans="1:31" x14ac:dyDescent="0.4">
      <c r="A825" t="s">
        <v>27</v>
      </c>
      <c r="B825">
        <v>354</v>
      </c>
      <c r="C825" t="s">
        <v>2188</v>
      </c>
      <c r="E825" t="s">
        <v>68</v>
      </c>
      <c r="F825" t="s">
        <v>919</v>
      </c>
      <c r="G825" t="s">
        <v>2182</v>
      </c>
      <c r="H825" t="s">
        <v>2183</v>
      </c>
      <c r="I825" t="s">
        <v>2184</v>
      </c>
      <c r="J825" t="s">
        <v>50</v>
      </c>
      <c r="K825" t="s">
        <v>924</v>
      </c>
      <c r="L825" t="s">
        <v>2185</v>
      </c>
      <c r="M825" t="s">
        <v>35</v>
      </c>
      <c r="N825" t="s">
        <v>2186</v>
      </c>
      <c r="O825" t="s">
        <v>2187</v>
      </c>
      <c r="P825" t="s">
        <v>2188</v>
      </c>
      <c r="R825" t="s">
        <v>2191</v>
      </c>
      <c r="S825" t="s">
        <v>2192</v>
      </c>
      <c r="T825" t="s">
        <v>62</v>
      </c>
      <c r="U825" t="s">
        <v>82</v>
      </c>
      <c r="V825" s="1">
        <v>41063</v>
      </c>
      <c r="W825">
        <v>0</v>
      </c>
      <c r="X825">
        <v>0</v>
      </c>
      <c r="Y825" t="s">
        <v>59</v>
      </c>
      <c r="AA825" t="s">
        <v>42</v>
      </c>
      <c r="AB825" t="s">
        <v>43</v>
      </c>
      <c r="AC825" t="s">
        <v>43</v>
      </c>
    </row>
    <row r="826" spans="1:31" x14ac:dyDescent="0.4">
      <c r="A826" t="s">
        <v>27</v>
      </c>
      <c r="B826">
        <v>354</v>
      </c>
      <c r="C826" t="s">
        <v>2188</v>
      </c>
      <c r="E826" t="s">
        <v>68</v>
      </c>
      <c r="F826" t="s">
        <v>919</v>
      </c>
      <c r="G826" t="s">
        <v>2182</v>
      </c>
      <c r="H826" t="s">
        <v>2183</v>
      </c>
      <c r="I826" t="s">
        <v>2184</v>
      </c>
      <c r="J826" t="s">
        <v>50</v>
      </c>
      <c r="K826" t="s">
        <v>924</v>
      </c>
      <c r="L826" t="s">
        <v>2185</v>
      </c>
      <c r="M826" t="s">
        <v>35</v>
      </c>
      <c r="N826" t="s">
        <v>2186</v>
      </c>
      <c r="O826" t="s">
        <v>2187</v>
      </c>
      <c r="P826" t="s">
        <v>2188</v>
      </c>
      <c r="R826" t="s">
        <v>2193</v>
      </c>
      <c r="S826" t="s">
        <v>2194</v>
      </c>
      <c r="T826" t="s">
        <v>356</v>
      </c>
      <c r="U826" t="s">
        <v>40</v>
      </c>
      <c r="V826" s="1">
        <v>41063</v>
      </c>
      <c r="W826">
        <v>0</v>
      </c>
      <c r="X826">
        <v>0</v>
      </c>
      <c r="Y826" t="s">
        <v>59</v>
      </c>
      <c r="AA826" t="s">
        <v>42</v>
      </c>
      <c r="AB826" t="s">
        <v>43</v>
      </c>
      <c r="AC826" t="s">
        <v>43</v>
      </c>
    </row>
    <row r="827" spans="1:31" x14ac:dyDescent="0.4">
      <c r="A827" t="s">
        <v>27</v>
      </c>
      <c r="B827">
        <v>354</v>
      </c>
      <c r="C827" t="s">
        <v>2188</v>
      </c>
      <c r="D827">
        <v>259</v>
      </c>
      <c r="E827" t="s">
        <v>68</v>
      </c>
      <c r="F827" t="s">
        <v>919</v>
      </c>
      <c r="G827" t="s">
        <v>2182</v>
      </c>
      <c r="H827" t="s">
        <v>2183</v>
      </c>
      <c r="I827" t="s">
        <v>2184</v>
      </c>
      <c r="J827" t="s">
        <v>50</v>
      </c>
      <c r="K827" t="s">
        <v>924</v>
      </c>
      <c r="L827" t="s">
        <v>2185</v>
      </c>
      <c r="M827" t="s">
        <v>35</v>
      </c>
      <c r="N827" t="s">
        <v>2186</v>
      </c>
      <c r="O827" t="s">
        <v>2187</v>
      </c>
      <c r="P827" t="s">
        <v>3041</v>
      </c>
      <c r="R827" t="s">
        <v>2189</v>
      </c>
      <c r="S827" t="s">
        <v>2190</v>
      </c>
      <c r="T827" t="s">
        <v>58</v>
      </c>
      <c r="U827" t="s">
        <v>82</v>
      </c>
      <c r="V827" s="1">
        <v>44458</v>
      </c>
      <c r="W827">
        <v>0</v>
      </c>
      <c r="X827">
        <v>13</v>
      </c>
      <c r="AA827" t="s">
        <v>42</v>
      </c>
      <c r="AB827" t="s">
        <v>43</v>
      </c>
      <c r="AC827" t="s">
        <v>43</v>
      </c>
    </row>
    <row r="828" spans="1:31" x14ac:dyDescent="0.4">
      <c r="A828" t="s">
        <v>27</v>
      </c>
      <c r="B828">
        <v>354</v>
      </c>
      <c r="C828" t="s">
        <v>2188</v>
      </c>
      <c r="E828" t="s">
        <v>68</v>
      </c>
      <c r="F828" t="s">
        <v>919</v>
      </c>
      <c r="G828" t="s">
        <v>2182</v>
      </c>
      <c r="H828" t="s">
        <v>2183</v>
      </c>
      <c r="I828" t="s">
        <v>2184</v>
      </c>
      <c r="J828" t="s">
        <v>50</v>
      </c>
      <c r="K828" t="s">
        <v>924</v>
      </c>
      <c r="L828" t="s">
        <v>2185</v>
      </c>
      <c r="M828" t="s">
        <v>35</v>
      </c>
      <c r="N828" t="s">
        <v>2186</v>
      </c>
      <c r="O828" t="s">
        <v>2187</v>
      </c>
      <c r="P828" t="s">
        <v>2188</v>
      </c>
      <c r="R828" t="s">
        <v>2191</v>
      </c>
      <c r="S828" t="s">
        <v>2192</v>
      </c>
      <c r="T828" t="s">
        <v>62</v>
      </c>
      <c r="U828" t="s">
        <v>82</v>
      </c>
      <c r="V828" s="1">
        <v>41063</v>
      </c>
      <c r="W828">
        <v>0</v>
      </c>
      <c r="X828">
        <v>0</v>
      </c>
      <c r="Y828" t="s">
        <v>59</v>
      </c>
      <c r="AA828" t="s">
        <v>42</v>
      </c>
      <c r="AB828" t="s">
        <v>43</v>
      </c>
      <c r="AC828" t="s">
        <v>43</v>
      </c>
    </row>
    <row r="829" spans="1:31" x14ac:dyDescent="0.4">
      <c r="A829" t="s">
        <v>27</v>
      </c>
      <c r="B829">
        <v>1298</v>
      </c>
      <c r="C829" t="s">
        <v>65</v>
      </c>
      <c r="D829">
        <v>262</v>
      </c>
      <c r="E829" t="s">
        <v>28</v>
      </c>
      <c r="F829" t="s">
        <v>2195</v>
      </c>
      <c r="G829" t="s">
        <v>2196</v>
      </c>
      <c r="H829" t="s">
        <v>2197</v>
      </c>
      <c r="I829" t="s">
        <v>2198</v>
      </c>
      <c r="J829" t="s">
        <v>1270</v>
      </c>
      <c r="K829" t="s">
        <v>51</v>
      </c>
      <c r="L829" t="s">
        <v>2199</v>
      </c>
      <c r="M829" t="s">
        <v>35</v>
      </c>
      <c r="N829">
        <v>441590682183</v>
      </c>
      <c r="O829" t="s">
        <v>2200</v>
      </c>
      <c r="P829" t="s">
        <v>3138</v>
      </c>
      <c r="R829" t="s">
        <v>2201</v>
      </c>
      <c r="S829" t="s">
        <v>2202</v>
      </c>
      <c r="T829" t="s">
        <v>58</v>
      </c>
      <c r="U829" t="s">
        <v>82</v>
      </c>
      <c r="V829" s="1">
        <v>44880</v>
      </c>
      <c r="W829">
        <v>0</v>
      </c>
      <c r="X829">
        <v>8</v>
      </c>
      <c r="AA829" t="s">
        <v>42</v>
      </c>
      <c r="AB829" t="s">
        <v>43</v>
      </c>
      <c r="AC829" t="s">
        <v>42</v>
      </c>
      <c r="AE829" t="s">
        <v>2203</v>
      </c>
    </row>
    <row r="830" spans="1:31" x14ac:dyDescent="0.4">
      <c r="A830" t="s">
        <v>27</v>
      </c>
      <c r="B830">
        <v>1298</v>
      </c>
      <c r="C830" t="s">
        <v>65</v>
      </c>
      <c r="D830">
        <v>260</v>
      </c>
      <c r="E830" t="s">
        <v>28</v>
      </c>
      <c r="F830" t="s">
        <v>2195</v>
      </c>
      <c r="G830" t="s">
        <v>2196</v>
      </c>
      <c r="H830" t="s">
        <v>2197</v>
      </c>
      <c r="I830" t="s">
        <v>2198</v>
      </c>
      <c r="J830" t="s">
        <v>1270</v>
      </c>
      <c r="K830" t="s">
        <v>51</v>
      </c>
      <c r="L830" t="s">
        <v>2199</v>
      </c>
      <c r="M830" t="s">
        <v>35</v>
      </c>
      <c r="N830">
        <v>441590682183</v>
      </c>
      <c r="O830" t="s">
        <v>2200</v>
      </c>
      <c r="P830" t="s">
        <v>65</v>
      </c>
      <c r="R830" t="s">
        <v>2204</v>
      </c>
      <c r="S830" t="s">
        <v>2205</v>
      </c>
      <c r="T830" t="s">
        <v>58</v>
      </c>
      <c r="U830" t="s">
        <v>40</v>
      </c>
      <c r="V830" s="1">
        <v>43600</v>
      </c>
      <c r="W830">
        <v>0</v>
      </c>
      <c r="X830">
        <v>20</v>
      </c>
      <c r="AA830" t="s">
        <v>42</v>
      </c>
      <c r="AB830" t="s">
        <v>43</v>
      </c>
      <c r="AC830" t="s">
        <v>42</v>
      </c>
      <c r="AE830" t="s">
        <v>2203</v>
      </c>
    </row>
    <row r="831" spans="1:31" x14ac:dyDescent="0.4">
      <c r="A831" t="s">
        <v>27</v>
      </c>
      <c r="B831">
        <v>1298</v>
      </c>
      <c r="C831" t="s">
        <v>65</v>
      </c>
      <c r="D831">
        <v>261</v>
      </c>
      <c r="E831" t="s">
        <v>28</v>
      </c>
      <c r="F831" t="s">
        <v>2195</v>
      </c>
      <c r="G831" t="s">
        <v>2196</v>
      </c>
      <c r="H831" t="s">
        <v>2197</v>
      </c>
      <c r="I831" t="s">
        <v>2198</v>
      </c>
      <c r="J831" t="s">
        <v>1270</v>
      </c>
      <c r="K831" t="s">
        <v>51</v>
      </c>
      <c r="L831" t="s">
        <v>2199</v>
      </c>
      <c r="M831" t="s">
        <v>35</v>
      </c>
      <c r="N831">
        <v>441590682183</v>
      </c>
      <c r="O831" t="s">
        <v>2200</v>
      </c>
      <c r="P831" t="s">
        <v>65</v>
      </c>
      <c r="R831" t="s">
        <v>2206</v>
      </c>
      <c r="S831" t="s">
        <v>2207</v>
      </c>
      <c r="T831" t="s">
        <v>58</v>
      </c>
      <c r="U831" t="s">
        <v>40</v>
      </c>
      <c r="V831" s="1">
        <v>41927</v>
      </c>
      <c r="W831">
        <v>0</v>
      </c>
      <c r="X831">
        <v>20</v>
      </c>
      <c r="AA831" t="s">
        <v>42</v>
      </c>
      <c r="AB831" t="s">
        <v>43</v>
      </c>
      <c r="AC831" t="s">
        <v>42</v>
      </c>
      <c r="AE831" t="s">
        <v>2203</v>
      </c>
    </row>
    <row r="832" spans="1:31" x14ac:dyDescent="0.4">
      <c r="A832" t="s">
        <v>27</v>
      </c>
      <c r="B832">
        <v>1298</v>
      </c>
      <c r="C832" t="s">
        <v>65</v>
      </c>
      <c r="D832">
        <v>260</v>
      </c>
      <c r="E832" t="s">
        <v>28</v>
      </c>
      <c r="F832" t="s">
        <v>2195</v>
      </c>
      <c r="G832" t="s">
        <v>2196</v>
      </c>
      <c r="H832" t="s">
        <v>2197</v>
      </c>
      <c r="I832" t="s">
        <v>2198</v>
      </c>
      <c r="J832" t="s">
        <v>1270</v>
      </c>
      <c r="K832" t="s">
        <v>51</v>
      </c>
      <c r="L832" t="s">
        <v>2199</v>
      </c>
      <c r="M832" t="s">
        <v>35</v>
      </c>
      <c r="N832">
        <v>441590682183</v>
      </c>
      <c r="O832" t="s">
        <v>2200</v>
      </c>
      <c r="P832" t="s">
        <v>65</v>
      </c>
      <c r="R832" t="s">
        <v>2204</v>
      </c>
      <c r="S832" t="s">
        <v>2205</v>
      </c>
      <c r="T832" t="s">
        <v>58</v>
      </c>
      <c r="U832" t="s">
        <v>40</v>
      </c>
      <c r="V832" s="1">
        <v>43600</v>
      </c>
      <c r="W832">
        <v>0</v>
      </c>
      <c r="X832">
        <v>18</v>
      </c>
      <c r="AA832" t="s">
        <v>42</v>
      </c>
      <c r="AB832" t="s">
        <v>43</v>
      </c>
      <c r="AC832" t="s">
        <v>42</v>
      </c>
      <c r="AE832" t="s">
        <v>2203</v>
      </c>
    </row>
    <row r="833" spans="1:31" x14ac:dyDescent="0.4">
      <c r="A833" t="s">
        <v>27</v>
      </c>
      <c r="B833">
        <v>1298</v>
      </c>
      <c r="C833" t="s">
        <v>65</v>
      </c>
      <c r="D833">
        <v>262</v>
      </c>
      <c r="E833" t="s">
        <v>28</v>
      </c>
      <c r="F833" t="s">
        <v>2195</v>
      </c>
      <c r="G833" t="s">
        <v>2196</v>
      </c>
      <c r="H833" t="s">
        <v>2197</v>
      </c>
      <c r="I833" t="s">
        <v>2198</v>
      </c>
      <c r="J833" t="s">
        <v>1270</v>
      </c>
      <c r="K833" t="s">
        <v>51</v>
      </c>
      <c r="L833" t="s">
        <v>2199</v>
      </c>
      <c r="M833" t="s">
        <v>35</v>
      </c>
      <c r="N833">
        <v>441590682183</v>
      </c>
      <c r="O833" t="s">
        <v>2200</v>
      </c>
      <c r="P833" t="s">
        <v>3138</v>
      </c>
      <c r="R833" t="s">
        <v>2201</v>
      </c>
      <c r="S833" t="s">
        <v>2202</v>
      </c>
      <c r="T833" t="s">
        <v>58</v>
      </c>
      <c r="U833" t="s">
        <v>82</v>
      </c>
      <c r="V833" s="1">
        <v>44880</v>
      </c>
      <c r="W833">
        <v>0</v>
      </c>
      <c r="X833">
        <v>9</v>
      </c>
      <c r="AA833" t="s">
        <v>42</v>
      </c>
      <c r="AB833" t="s">
        <v>43</v>
      </c>
      <c r="AC833" t="s">
        <v>42</v>
      </c>
      <c r="AE833" t="s">
        <v>2203</v>
      </c>
    </row>
    <row r="834" spans="1:31" x14ac:dyDescent="0.4">
      <c r="A834" t="s">
        <v>27</v>
      </c>
      <c r="B834">
        <v>1515</v>
      </c>
      <c r="C834" t="s">
        <v>3005</v>
      </c>
      <c r="D834">
        <v>264</v>
      </c>
      <c r="E834" t="s">
        <v>195</v>
      </c>
      <c r="F834" t="s">
        <v>2208</v>
      </c>
      <c r="G834" t="s">
        <v>2209</v>
      </c>
      <c r="H834" t="s">
        <v>2210</v>
      </c>
      <c r="I834" t="s">
        <v>2211</v>
      </c>
      <c r="J834" t="s">
        <v>2212</v>
      </c>
      <c r="K834" t="s">
        <v>1914</v>
      </c>
      <c r="L834" t="s">
        <v>2213</v>
      </c>
      <c r="M834" t="s">
        <v>35</v>
      </c>
      <c r="N834">
        <v>7831883083</v>
      </c>
      <c r="O834" t="s">
        <v>2214</v>
      </c>
      <c r="P834" t="s">
        <v>3067</v>
      </c>
      <c r="R834" t="s">
        <v>2215</v>
      </c>
      <c r="S834" t="s">
        <v>2216</v>
      </c>
      <c r="T834" t="s">
        <v>94</v>
      </c>
      <c r="U834" t="s">
        <v>40</v>
      </c>
      <c r="V834" s="1">
        <v>44058</v>
      </c>
      <c r="W834">
        <v>0</v>
      </c>
      <c r="X834">
        <v>20</v>
      </c>
      <c r="AA834" t="s">
        <v>42</v>
      </c>
      <c r="AB834" t="s">
        <v>43</v>
      </c>
      <c r="AC834" t="s">
        <v>43</v>
      </c>
      <c r="AD834" t="s">
        <v>2217</v>
      </c>
    </row>
    <row r="835" spans="1:31" x14ac:dyDescent="0.4">
      <c r="A835" t="s">
        <v>27</v>
      </c>
      <c r="B835">
        <v>1515</v>
      </c>
      <c r="C835" t="s">
        <v>3005</v>
      </c>
      <c r="D835">
        <v>264</v>
      </c>
      <c r="E835" t="s">
        <v>195</v>
      </c>
      <c r="F835" t="s">
        <v>2208</v>
      </c>
      <c r="G835" t="s">
        <v>2209</v>
      </c>
      <c r="H835" t="s">
        <v>2210</v>
      </c>
      <c r="I835" t="s">
        <v>2211</v>
      </c>
      <c r="J835" t="s">
        <v>2212</v>
      </c>
      <c r="K835" t="s">
        <v>1914</v>
      </c>
      <c r="L835" t="s">
        <v>2213</v>
      </c>
      <c r="M835" t="s">
        <v>35</v>
      </c>
      <c r="N835">
        <v>7831883083</v>
      </c>
      <c r="O835" t="s">
        <v>2214</v>
      </c>
      <c r="P835" t="s">
        <v>3067</v>
      </c>
      <c r="R835" t="s">
        <v>2215</v>
      </c>
      <c r="S835" t="s">
        <v>2216</v>
      </c>
      <c r="T835" t="s">
        <v>94</v>
      </c>
      <c r="U835" t="s">
        <v>40</v>
      </c>
      <c r="V835" s="1">
        <v>44058</v>
      </c>
      <c r="W835">
        <v>0</v>
      </c>
      <c r="X835">
        <v>18</v>
      </c>
      <c r="AA835" t="s">
        <v>42</v>
      </c>
      <c r="AB835" t="s">
        <v>43</v>
      </c>
      <c r="AC835" t="s">
        <v>43</v>
      </c>
      <c r="AD835" t="s">
        <v>2217</v>
      </c>
    </row>
    <row r="836" spans="1:31" x14ac:dyDescent="0.4">
      <c r="A836" t="s">
        <v>27</v>
      </c>
      <c r="B836">
        <v>1515</v>
      </c>
      <c r="C836" t="s">
        <v>3005</v>
      </c>
      <c r="D836">
        <v>263</v>
      </c>
      <c r="E836" t="s">
        <v>195</v>
      </c>
      <c r="F836" t="s">
        <v>2208</v>
      </c>
      <c r="G836" t="s">
        <v>2209</v>
      </c>
      <c r="H836" t="s">
        <v>2210</v>
      </c>
      <c r="I836" t="s">
        <v>2211</v>
      </c>
      <c r="J836" t="s">
        <v>2212</v>
      </c>
      <c r="K836" t="s">
        <v>1914</v>
      </c>
      <c r="L836" t="s">
        <v>2213</v>
      </c>
      <c r="M836" t="s">
        <v>35</v>
      </c>
      <c r="N836">
        <v>7831883083</v>
      </c>
      <c r="O836" t="s">
        <v>2214</v>
      </c>
      <c r="P836" t="s">
        <v>3067</v>
      </c>
      <c r="R836" t="s">
        <v>2218</v>
      </c>
      <c r="S836" t="s">
        <v>2219</v>
      </c>
      <c r="T836" t="s">
        <v>94</v>
      </c>
      <c r="U836" t="s">
        <v>40</v>
      </c>
      <c r="V836" s="1">
        <v>45179</v>
      </c>
      <c r="W836">
        <v>0</v>
      </c>
      <c r="X836">
        <v>16</v>
      </c>
      <c r="AA836" t="s">
        <v>42</v>
      </c>
      <c r="AB836" t="s">
        <v>43</v>
      </c>
      <c r="AC836" t="s">
        <v>43</v>
      </c>
      <c r="AD836" t="s">
        <v>2217</v>
      </c>
    </row>
    <row r="837" spans="1:31" x14ac:dyDescent="0.4">
      <c r="A837" t="s">
        <v>27</v>
      </c>
      <c r="B837">
        <v>1515</v>
      </c>
      <c r="C837" t="s">
        <v>3005</v>
      </c>
      <c r="D837">
        <v>263</v>
      </c>
      <c r="E837" t="s">
        <v>195</v>
      </c>
      <c r="F837" t="s">
        <v>2208</v>
      </c>
      <c r="G837" t="s">
        <v>2209</v>
      </c>
      <c r="H837" t="s">
        <v>2210</v>
      </c>
      <c r="I837" t="s">
        <v>2211</v>
      </c>
      <c r="J837" t="s">
        <v>2212</v>
      </c>
      <c r="K837" t="s">
        <v>1914</v>
      </c>
      <c r="L837" t="s">
        <v>2213</v>
      </c>
      <c r="M837" t="s">
        <v>35</v>
      </c>
      <c r="N837">
        <v>7831883083</v>
      </c>
      <c r="O837" t="s">
        <v>2214</v>
      </c>
      <c r="P837" t="s">
        <v>3067</v>
      </c>
      <c r="R837" t="s">
        <v>2218</v>
      </c>
      <c r="S837" t="s">
        <v>2219</v>
      </c>
      <c r="T837" t="s">
        <v>94</v>
      </c>
      <c r="U837" t="s">
        <v>40</v>
      </c>
      <c r="V837" s="1">
        <v>45179</v>
      </c>
      <c r="W837">
        <v>0</v>
      </c>
      <c r="X837">
        <v>14</v>
      </c>
      <c r="AA837" t="s">
        <v>42</v>
      </c>
      <c r="AB837" t="s">
        <v>43</v>
      </c>
      <c r="AC837" t="s">
        <v>43</v>
      </c>
      <c r="AD837" t="s">
        <v>2217</v>
      </c>
    </row>
    <row r="838" spans="1:31" x14ac:dyDescent="0.4">
      <c r="A838" t="s">
        <v>27</v>
      </c>
      <c r="B838">
        <v>2207</v>
      </c>
      <c r="C838" t="s">
        <v>2229</v>
      </c>
      <c r="D838">
        <v>267</v>
      </c>
      <c r="E838" t="s">
        <v>68</v>
      </c>
      <c r="F838" t="s">
        <v>2220</v>
      </c>
      <c r="G838" t="s">
        <v>2221</v>
      </c>
      <c r="H838" t="s">
        <v>2222</v>
      </c>
      <c r="I838" t="s">
        <v>2223</v>
      </c>
      <c r="J838" t="s">
        <v>2224</v>
      </c>
      <c r="K838" t="s">
        <v>2225</v>
      </c>
      <c r="L838" t="s">
        <v>2226</v>
      </c>
      <c r="M838" t="s">
        <v>35</v>
      </c>
      <c r="N838" t="s">
        <v>2227</v>
      </c>
      <c r="O838" t="s">
        <v>2228</v>
      </c>
      <c r="P838" t="s">
        <v>3085</v>
      </c>
      <c r="R838" t="s">
        <v>3120</v>
      </c>
      <c r="S838" t="s">
        <v>2231</v>
      </c>
      <c r="T838" t="s">
        <v>94</v>
      </c>
      <c r="U838" t="s">
        <v>40</v>
      </c>
      <c r="V838" s="1">
        <v>44809</v>
      </c>
      <c r="W838">
        <v>0</v>
      </c>
      <c r="X838">
        <v>14</v>
      </c>
      <c r="AA838" t="s">
        <v>42</v>
      </c>
      <c r="AB838" t="s">
        <v>43</v>
      </c>
      <c r="AC838" t="s">
        <v>42</v>
      </c>
    </row>
    <row r="839" spans="1:31" x14ac:dyDescent="0.4">
      <c r="A839" t="s">
        <v>27</v>
      </c>
      <c r="B839">
        <v>2207</v>
      </c>
      <c r="C839" t="s">
        <v>2229</v>
      </c>
      <c r="D839">
        <v>267</v>
      </c>
      <c r="E839" t="s">
        <v>68</v>
      </c>
      <c r="F839" t="s">
        <v>2220</v>
      </c>
      <c r="G839" t="s">
        <v>2221</v>
      </c>
      <c r="H839" t="s">
        <v>2222</v>
      </c>
      <c r="I839" t="s">
        <v>2223</v>
      </c>
      <c r="J839" t="s">
        <v>2224</v>
      </c>
      <c r="K839" t="s">
        <v>2225</v>
      </c>
      <c r="L839" t="s">
        <v>2226</v>
      </c>
      <c r="M839" t="s">
        <v>35</v>
      </c>
      <c r="N839" t="s">
        <v>2227</v>
      </c>
      <c r="O839" t="s">
        <v>2228</v>
      </c>
      <c r="P839" t="s">
        <v>3085</v>
      </c>
      <c r="R839" t="s">
        <v>3120</v>
      </c>
      <c r="S839" t="s">
        <v>2231</v>
      </c>
      <c r="T839" t="s">
        <v>94</v>
      </c>
      <c r="U839" t="s">
        <v>40</v>
      </c>
      <c r="V839" s="1">
        <v>44809</v>
      </c>
      <c r="W839">
        <v>0</v>
      </c>
      <c r="X839">
        <v>16</v>
      </c>
      <c r="AA839" t="s">
        <v>42</v>
      </c>
      <c r="AB839" t="s">
        <v>43</v>
      </c>
      <c r="AC839" t="s">
        <v>42</v>
      </c>
    </row>
    <row r="840" spans="1:31" x14ac:dyDescent="0.4">
      <c r="A840" t="s">
        <v>27</v>
      </c>
      <c r="B840">
        <v>2207</v>
      </c>
      <c r="C840" t="s">
        <v>2229</v>
      </c>
      <c r="D840">
        <v>265</v>
      </c>
      <c r="E840" t="s">
        <v>68</v>
      </c>
      <c r="F840" t="s">
        <v>2220</v>
      </c>
      <c r="G840" t="s">
        <v>2221</v>
      </c>
      <c r="H840" t="s">
        <v>2222</v>
      </c>
      <c r="I840" t="s">
        <v>2223</v>
      </c>
      <c r="J840" t="s">
        <v>2224</v>
      </c>
      <c r="K840" t="s">
        <v>2225</v>
      </c>
      <c r="L840" t="s">
        <v>2226</v>
      </c>
      <c r="M840" t="s">
        <v>35</v>
      </c>
      <c r="N840" t="s">
        <v>2227</v>
      </c>
      <c r="O840" t="s">
        <v>2228</v>
      </c>
      <c r="P840" t="s">
        <v>3085</v>
      </c>
      <c r="R840" t="s">
        <v>3121</v>
      </c>
      <c r="S840" t="s">
        <v>2233</v>
      </c>
      <c r="T840" t="s">
        <v>94</v>
      </c>
      <c r="U840" t="s">
        <v>82</v>
      </c>
      <c r="V840" s="1">
        <v>43917</v>
      </c>
      <c r="W840">
        <v>0</v>
      </c>
      <c r="X840">
        <v>19</v>
      </c>
      <c r="AA840" t="s">
        <v>42</v>
      </c>
      <c r="AB840" t="s">
        <v>43</v>
      </c>
      <c r="AC840" t="s">
        <v>42</v>
      </c>
    </row>
    <row r="841" spans="1:31" x14ac:dyDescent="0.4">
      <c r="A841" t="s">
        <v>27</v>
      </c>
      <c r="B841">
        <v>2207</v>
      </c>
      <c r="C841" t="s">
        <v>2229</v>
      </c>
      <c r="D841">
        <v>266</v>
      </c>
      <c r="E841" t="s">
        <v>68</v>
      </c>
      <c r="F841" t="s">
        <v>2220</v>
      </c>
      <c r="G841" t="s">
        <v>2221</v>
      </c>
      <c r="H841" t="s">
        <v>2222</v>
      </c>
      <c r="I841" t="s">
        <v>2223</v>
      </c>
      <c r="J841" t="s">
        <v>2224</v>
      </c>
      <c r="K841" t="s">
        <v>2225</v>
      </c>
      <c r="L841" t="s">
        <v>2226</v>
      </c>
      <c r="M841" t="s">
        <v>35</v>
      </c>
      <c r="N841" t="s">
        <v>2227</v>
      </c>
      <c r="O841" t="s">
        <v>2228</v>
      </c>
      <c r="P841" t="s">
        <v>3085</v>
      </c>
      <c r="R841" t="s">
        <v>3122</v>
      </c>
      <c r="S841" t="s">
        <v>2235</v>
      </c>
      <c r="T841" t="s">
        <v>94</v>
      </c>
      <c r="U841" t="s">
        <v>82</v>
      </c>
      <c r="V841" s="1">
        <v>42743</v>
      </c>
      <c r="W841">
        <v>0</v>
      </c>
      <c r="X841">
        <v>21</v>
      </c>
      <c r="AA841" t="s">
        <v>42</v>
      </c>
      <c r="AB841" t="s">
        <v>43</v>
      </c>
      <c r="AC841" t="s">
        <v>42</v>
      </c>
    </row>
    <row r="842" spans="1:31" x14ac:dyDescent="0.4">
      <c r="A842" t="s">
        <v>27</v>
      </c>
      <c r="B842">
        <v>5523</v>
      </c>
      <c r="C842" t="s">
        <v>2902</v>
      </c>
      <c r="D842">
        <v>268</v>
      </c>
      <c r="E842" t="s">
        <v>68</v>
      </c>
      <c r="F842" t="s">
        <v>2236</v>
      </c>
      <c r="G842" t="s">
        <v>258</v>
      </c>
      <c r="H842" t="s">
        <v>2237</v>
      </c>
      <c r="I842" t="s">
        <v>2238</v>
      </c>
      <c r="J842" t="s">
        <v>2239</v>
      </c>
      <c r="K842" t="s">
        <v>73</v>
      </c>
      <c r="L842" t="s">
        <v>2240</v>
      </c>
      <c r="M842" t="s">
        <v>35</v>
      </c>
      <c r="N842">
        <v>7977580708</v>
      </c>
      <c r="O842" t="s">
        <v>2241</v>
      </c>
      <c r="P842" t="s">
        <v>2902</v>
      </c>
      <c r="R842" t="s">
        <v>2242</v>
      </c>
      <c r="S842" t="s">
        <v>2243</v>
      </c>
      <c r="T842" t="s">
        <v>287</v>
      </c>
      <c r="U842" t="s">
        <v>40</v>
      </c>
      <c r="V842" s="1">
        <v>44348</v>
      </c>
      <c r="W842">
        <v>0</v>
      </c>
      <c r="X842">
        <v>1</v>
      </c>
      <c r="AA842" t="s">
        <v>42</v>
      </c>
      <c r="AB842" t="s">
        <v>43</v>
      </c>
      <c r="AC842" t="s">
        <v>43</v>
      </c>
    </row>
    <row r="843" spans="1:31" x14ac:dyDescent="0.4">
      <c r="A843" t="s">
        <v>27</v>
      </c>
      <c r="B843">
        <v>5523</v>
      </c>
      <c r="C843" t="s">
        <v>2902</v>
      </c>
      <c r="D843">
        <v>268</v>
      </c>
      <c r="E843" t="s">
        <v>68</v>
      </c>
      <c r="F843" t="s">
        <v>2236</v>
      </c>
      <c r="G843" t="s">
        <v>258</v>
      </c>
      <c r="H843" t="s">
        <v>2237</v>
      </c>
      <c r="I843" t="s">
        <v>2238</v>
      </c>
      <c r="J843" t="s">
        <v>2239</v>
      </c>
      <c r="K843" t="s">
        <v>73</v>
      </c>
      <c r="L843" t="s">
        <v>2240</v>
      </c>
      <c r="M843" t="s">
        <v>35</v>
      </c>
      <c r="N843">
        <v>7977580708</v>
      </c>
      <c r="O843" t="s">
        <v>2241</v>
      </c>
      <c r="P843" t="s">
        <v>2902</v>
      </c>
      <c r="R843" t="s">
        <v>2242</v>
      </c>
      <c r="S843" t="s">
        <v>2243</v>
      </c>
      <c r="T843" t="s">
        <v>284</v>
      </c>
      <c r="U843" t="s">
        <v>40</v>
      </c>
      <c r="V843" s="1">
        <v>44348</v>
      </c>
      <c r="W843">
        <v>0</v>
      </c>
      <c r="X843">
        <v>2</v>
      </c>
      <c r="AA843" t="s">
        <v>42</v>
      </c>
      <c r="AB843" t="s">
        <v>43</v>
      </c>
      <c r="AC843" t="s">
        <v>43</v>
      </c>
    </row>
    <row r="844" spans="1:31" x14ac:dyDescent="0.4">
      <c r="A844" t="s">
        <v>27</v>
      </c>
      <c r="B844">
        <v>5523</v>
      </c>
      <c r="C844" t="s">
        <v>2902</v>
      </c>
      <c r="D844">
        <v>268</v>
      </c>
      <c r="E844" t="s">
        <v>68</v>
      </c>
      <c r="F844" t="s">
        <v>2236</v>
      </c>
      <c r="G844" t="s">
        <v>258</v>
      </c>
      <c r="H844" t="s">
        <v>2237</v>
      </c>
      <c r="I844" t="s">
        <v>2238</v>
      </c>
      <c r="J844" t="s">
        <v>2239</v>
      </c>
      <c r="K844" t="s">
        <v>73</v>
      </c>
      <c r="L844" t="s">
        <v>2240</v>
      </c>
      <c r="M844" t="s">
        <v>35</v>
      </c>
      <c r="N844">
        <v>7977580708</v>
      </c>
      <c r="O844" t="s">
        <v>2241</v>
      </c>
      <c r="P844" t="s">
        <v>2902</v>
      </c>
      <c r="R844" t="s">
        <v>2242</v>
      </c>
      <c r="S844" t="s">
        <v>2243</v>
      </c>
      <c r="T844" t="s">
        <v>284</v>
      </c>
      <c r="U844" t="s">
        <v>40</v>
      </c>
      <c r="V844" s="1">
        <v>44348</v>
      </c>
      <c r="W844">
        <v>0</v>
      </c>
      <c r="X844">
        <v>9</v>
      </c>
      <c r="AA844" t="s">
        <v>42</v>
      </c>
      <c r="AB844" t="s">
        <v>43</v>
      </c>
      <c r="AC844" t="s">
        <v>43</v>
      </c>
    </row>
    <row r="845" spans="1:31" x14ac:dyDescent="0.4">
      <c r="A845" t="s">
        <v>27</v>
      </c>
      <c r="B845">
        <v>5523</v>
      </c>
      <c r="C845" t="s">
        <v>2902</v>
      </c>
      <c r="D845">
        <v>268</v>
      </c>
      <c r="E845" t="s">
        <v>68</v>
      </c>
      <c r="F845" t="s">
        <v>2236</v>
      </c>
      <c r="G845" t="s">
        <v>258</v>
      </c>
      <c r="H845" t="s">
        <v>2237</v>
      </c>
      <c r="I845" t="s">
        <v>2238</v>
      </c>
      <c r="J845" t="s">
        <v>2239</v>
      </c>
      <c r="K845" t="s">
        <v>73</v>
      </c>
      <c r="L845" t="s">
        <v>2240</v>
      </c>
      <c r="M845" t="s">
        <v>35</v>
      </c>
      <c r="N845">
        <v>7977580708</v>
      </c>
      <c r="O845" t="s">
        <v>2241</v>
      </c>
      <c r="P845" t="s">
        <v>2902</v>
      </c>
      <c r="R845" t="s">
        <v>2242</v>
      </c>
      <c r="S845" t="s">
        <v>2243</v>
      </c>
      <c r="T845" t="s">
        <v>284</v>
      </c>
      <c r="U845" t="s">
        <v>40</v>
      </c>
      <c r="V845" s="1">
        <v>44348</v>
      </c>
      <c r="W845">
        <v>0</v>
      </c>
      <c r="X845">
        <v>10</v>
      </c>
      <c r="AA845" t="s">
        <v>42</v>
      </c>
      <c r="AB845" t="s">
        <v>43</v>
      </c>
      <c r="AC845" t="s">
        <v>43</v>
      </c>
    </row>
    <row r="846" spans="1:31" x14ac:dyDescent="0.4">
      <c r="A846" t="s">
        <v>27</v>
      </c>
      <c r="B846">
        <v>3902</v>
      </c>
      <c r="C846" t="s">
        <v>2252</v>
      </c>
      <c r="D846">
        <v>269</v>
      </c>
      <c r="E846" t="s">
        <v>68</v>
      </c>
      <c r="F846" t="s">
        <v>2244</v>
      </c>
      <c r="G846" t="s">
        <v>2245</v>
      </c>
      <c r="H846" t="s">
        <v>2246</v>
      </c>
      <c r="I846" t="s">
        <v>2247</v>
      </c>
      <c r="J846" t="s">
        <v>2248</v>
      </c>
      <c r="K846" t="s">
        <v>73</v>
      </c>
      <c r="L846" t="s">
        <v>2249</v>
      </c>
      <c r="M846" t="s">
        <v>35</v>
      </c>
      <c r="N846" t="s">
        <v>2250</v>
      </c>
      <c r="O846" t="s">
        <v>2251</v>
      </c>
      <c r="P846" t="s">
        <v>2252</v>
      </c>
      <c r="R846" t="s">
        <v>2253</v>
      </c>
      <c r="S846" t="s">
        <v>2254</v>
      </c>
      <c r="T846" t="s">
        <v>960</v>
      </c>
      <c r="U846" t="s">
        <v>82</v>
      </c>
      <c r="V846" s="1">
        <v>42531</v>
      </c>
      <c r="W846">
        <v>0</v>
      </c>
      <c r="X846">
        <v>4</v>
      </c>
      <c r="Y846" t="s">
        <v>65</v>
      </c>
      <c r="AA846" t="s">
        <v>42</v>
      </c>
      <c r="AB846" t="s">
        <v>43</v>
      </c>
      <c r="AC846" t="s">
        <v>43</v>
      </c>
    </row>
    <row r="847" spans="1:31" x14ac:dyDescent="0.4">
      <c r="A847" t="s">
        <v>27</v>
      </c>
      <c r="B847">
        <v>3902</v>
      </c>
      <c r="C847" t="s">
        <v>2252</v>
      </c>
      <c r="D847">
        <v>269</v>
      </c>
      <c r="E847" t="s">
        <v>68</v>
      </c>
      <c r="F847" t="s">
        <v>2244</v>
      </c>
      <c r="G847" t="s">
        <v>2245</v>
      </c>
      <c r="H847" t="s">
        <v>2246</v>
      </c>
      <c r="I847" t="s">
        <v>2247</v>
      </c>
      <c r="J847" t="s">
        <v>2248</v>
      </c>
      <c r="K847" t="s">
        <v>73</v>
      </c>
      <c r="L847" t="s">
        <v>2249</v>
      </c>
      <c r="M847" t="s">
        <v>35</v>
      </c>
      <c r="N847" t="s">
        <v>2250</v>
      </c>
      <c r="O847" t="s">
        <v>2251</v>
      </c>
      <c r="P847" t="s">
        <v>2252</v>
      </c>
      <c r="R847" t="s">
        <v>2253</v>
      </c>
      <c r="S847" t="s">
        <v>2254</v>
      </c>
      <c r="T847" t="s">
        <v>960</v>
      </c>
      <c r="U847" t="s">
        <v>82</v>
      </c>
      <c r="V847" s="1">
        <v>42531</v>
      </c>
      <c r="W847">
        <v>0</v>
      </c>
      <c r="X847">
        <v>5</v>
      </c>
      <c r="Y847" t="s">
        <v>66</v>
      </c>
      <c r="AA847" t="s">
        <v>42</v>
      </c>
      <c r="AB847" t="s">
        <v>43</v>
      </c>
      <c r="AC847" t="s">
        <v>43</v>
      </c>
    </row>
    <row r="848" spans="1:31" x14ac:dyDescent="0.4">
      <c r="A848" t="s">
        <v>27</v>
      </c>
      <c r="B848">
        <v>3902</v>
      </c>
      <c r="C848" t="s">
        <v>2252</v>
      </c>
      <c r="D848">
        <v>270</v>
      </c>
      <c r="E848" t="s">
        <v>68</v>
      </c>
      <c r="F848" t="s">
        <v>2244</v>
      </c>
      <c r="G848" t="s">
        <v>2245</v>
      </c>
      <c r="H848" t="s">
        <v>2246</v>
      </c>
      <c r="I848" t="s">
        <v>2247</v>
      </c>
      <c r="J848" t="s">
        <v>2248</v>
      </c>
      <c r="K848" t="s">
        <v>73</v>
      </c>
      <c r="L848" t="s">
        <v>2249</v>
      </c>
      <c r="M848" t="s">
        <v>35</v>
      </c>
      <c r="N848" t="s">
        <v>2250</v>
      </c>
      <c r="O848" t="s">
        <v>2251</v>
      </c>
      <c r="P848" t="s">
        <v>2252</v>
      </c>
      <c r="R848" t="s">
        <v>2255</v>
      </c>
      <c r="S848" t="s">
        <v>2256</v>
      </c>
      <c r="T848" t="s">
        <v>960</v>
      </c>
      <c r="U848" t="s">
        <v>82</v>
      </c>
      <c r="V848" s="1">
        <v>43389</v>
      </c>
      <c r="W848">
        <v>0</v>
      </c>
      <c r="X848">
        <v>4</v>
      </c>
      <c r="Y848" t="s">
        <v>65</v>
      </c>
      <c r="AA848" t="s">
        <v>42</v>
      </c>
      <c r="AB848" t="s">
        <v>43</v>
      </c>
      <c r="AC848" t="s">
        <v>43</v>
      </c>
    </row>
    <row r="849" spans="1:30" x14ac:dyDescent="0.4">
      <c r="A849" t="s">
        <v>27</v>
      </c>
      <c r="B849">
        <v>1786</v>
      </c>
      <c r="C849" t="s">
        <v>2264</v>
      </c>
      <c r="D849">
        <v>271</v>
      </c>
      <c r="E849" t="s">
        <v>68</v>
      </c>
      <c r="F849" t="s">
        <v>2257</v>
      </c>
      <c r="G849" t="s">
        <v>2258</v>
      </c>
      <c r="H849" t="s">
        <v>2259</v>
      </c>
      <c r="I849" t="s">
        <v>2260</v>
      </c>
      <c r="J849" t="s">
        <v>1732</v>
      </c>
      <c r="K849" t="s">
        <v>495</v>
      </c>
      <c r="L849" t="s">
        <v>2261</v>
      </c>
      <c r="M849" t="s">
        <v>35</v>
      </c>
      <c r="N849" t="s">
        <v>2262</v>
      </c>
      <c r="O849" t="s">
        <v>2263</v>
      </c>
      <c r="P849" t="s">
        <v>2264</v>
      </c>
      <c r="R849" t="s">
        <v>2265</v>
      </c>
      <c r="S849" t="s">
        <v>2266</v>
      </c>
      <c r="T849" t="s">
        <v>58</v>
      </c>
      <c r="U849" t="s">
        <v>40</v>
      </c>
      <c r="V849" s="1">
        <v>45364</v>
      </c>
      <c r="W849">
        <v>0</v>
      </c>
      <c r="X849">
        <v>4</v>
      </c>
      <c r="Y849" t="s">
        <v>65</v>
      </c>
      <c r="Z849" t="s">
        <v>135</v>
      </c>
      <c r="AA849" t="s">
        <v>42</v>
      </c>
      <c r="AB849" t="s">
        <v>43</v>
      </c>
      <c r="AC849" t="s">
        <v>43</v>
      </c>
    </row>
    <row r="850" spans="1:30" x14ac:dyDescent="0.4">
      <c r="A850" t="s">
        <v>27</v>
      </c>
      <c r="B850">
        <v>1786</v>
      </c>
      <c r="C850" t="s">
        <v>2264</v>
      </c>
      <c r="D850">
        <v>272</v>
      </c>
      <c r="E850" t="s">
        <v>68</v>
      </c>
      <c r="F850" t="s">
        <v>2257</v>
      </c>
      <c r="G850" t="s">
        <v>2258</v>
      </c>
      <c r="H850" t="s">
        <v>2259</v>
      </c>
      <c r="I850" t="s">
        <v>2260</v>
      </c>
      <c r="J850" t="s">
        <v>1732</v>
      </c>
      <c r="K850" t="s">
        <v>495</v>
      </c>
      <c r="L850" t="s">
        <v>2261</v>
      </c>
      <c r="M850" t="s">
        <v>35</v>
      </c>
      <c r="N850" t="s">
        <v>2262</v>
      </c>
      <c r="O850" t="s">
        <v>2263</v>
      </c>
      <c r="P850" t="s">
        <v>2264</v>
      </c>
      <c r="R850" t="s">
        <v>2267</v>
      </c>
      <c r="S850" t="s">
        <v>2268</v>
      </c>
      <c r="T850" t="s">
        <v>58</v>
      </c>
      <c r="U850" t="s">
        <v>82</v>
      </c>
      <c r="V850" s="1">
        <v>44592</v>
      </c>
      <c r="W850">
        <v>0</v>
      </c>
      <c r="X850">
        <v>5</v>
      </c>
      <c r="Y850" t="s">
        <v>66</v>
      </c>
      <c r="Z850" t="s">
        <v>135</v>
      </c>
      <c r="AA850" t="s">
        <v>42</v>
      </c>
      <c r="AB850" t="s">
        <v>43</v>
      </c>
      <c r="AC850" t="s">
        <v>43</v>
      </c>
    </row>
    <row r="851" spans="1:30" x14ac:dyDescent="0.4">
      <c r="A851" t="s">
        <v>27</v>
      </c>
      <c r="B851">
        <v>1786</v>
      </c>
      <c r="C851" t="s">
        <v>2264</v>
      </c>
      <c r="D851">
        <v>271</v>
      </c>
      <c r="E851" t="s">
        <v>68</v>
      </c>
      <c r="F851" t="s">
        <v>2257</v>
      </c>
      <c r="G851" t="s">
        <v>2258</v>
      </c>
      <c r="H851" t="s">
        <v>2259</v>
      </c>
      <c r="I851" t="s">
        <v>2260</v>
      </c>
      <c r="J851" t="s">
        <v>1732</v>
      </c>
      <c r="K851" t="s">
        <v>495</v>
      </c>
      <c r="L851" t="s">
        <v>2261</v>
      </c>
      <c r="M851" t="s">
        <v>35</v>
      </c>
      <c r="N851" t="s">
        <v>2262</v>
      </c>
      <c r="O851" t="s">
        <v>2263</v>
      </c>
      <c r="P851" t="s">
        <v>2264</v>
      </c>
      <c r="R851" t="s">
        <v>2265</v>
      </c>
      <c r="S851" t="s">
        <v>2266</v>
      </c>
      <c r="T851" t="s">
        <v>58</v>
      </c>
      <c r="U851" t="s">
        <v>40</v>
      </c>
      <c r="V851" s="1">
        <v>45364</v>
      </c>
      <c r="W851">
        <v>0</v>
      </c>
      <c r="X851">
        <v>12</v>
      </c>
      <c r="Z851" t="s">
        <v>135</v>
      </c>
      <c r="AA851" t="s">
        <v>42</v>
      </c>
      <c r="AB851" t="s">
        <v>43</v>
      </c>
      <c r="AC851" t="s">
        <v>43</v>
      </c>
    </row>
    <row r="852" spans="1:30" x14ac:dyDescent="0.4">
      <c r="A852" t="s">
        <v>27</v>
      </c>
      <c r="B852">
        <v>1786</v>
      </c>
      <c r="C852" t="s">
        <v>2264</v>
      </c>
      <c r="D852">
        <v>272</v>
      </c>
      <c r="E852" t="s">
        <v>68</v>
      </c>
      <c r="F852" t="s">
        <v>2257</v>
      </c>
      <c r="G852" t="s">
        <v>2258</v>
      </c>
      <c r="H852" t="s">
        <v>2259</v>
      </c>
      <c r="I852" t="s">
        <v>2260</v>
      </c>
      <c r="J852" t="s">
        <v>1732</v>
      </c>
      <c r="K852" t="s">
        <v>495</v>
      </c>
      <c r="L852" t="s">
        <v>2261</v>
      </c>
      <c r="M852" t="s">
        <v>35</v>
      </c>
      <c r="N852" t="s">
        <v>2262</v>
      </c>
      <c r="O852" t="s">
        <v>2263</v>
      </c>
      <c r="P852" t="s">
        <v>2264</v>
      </c>
      <c r="R852" t="s">
        <v>2267</v>
      </c>
      <c r="S852" t="s">
        <v>2268</v>
      </c>
      <c r="T852" t="s">
        <v>58</v>
      </c>
      <c r="U852" t="s">
        <v>82</v>
      </c>
      <c r="V852" s="1">
        <v>44592</v>
      </c>
      <c r="W852">
        <v>0</v>
      </c>
      <c r="X852">
        <v>15</v>
      </c>
      <c r="Z852" t="s">
        <v>135</v>
      </c>
      <c r="AA852" t="s">
        <v>42</v>
      </c>
      <c r="AB852" t="s">
        <v>43</v>
      </c>
      <c r="AC852" t="s">
        <v>43</v>
      </c>
    </row>
    <row r="853" spans="1:30" x14ac:dyDescent="0.4">
      <c r="A853" t="s">
        <v>27</v>
      </c>
      <c r="B853">
        <v>5980</v>
      </c>
      <c r="C853" t="s">
        <v>2275</v>
      </c>
      <c r="D853">
        <v>273</v>
      </c>
      <c r="E853" t="s">
        <v>68</v>
      </c>
      <c r="F853" t="s">
        <v>2016</v>
      </c>
      <c r="G853" t="s">
        <v>2269</v>
      </c>
      <c r="H853" t="s">
        <v>912</v>
      </c>
      <c r="I853" t="s">
        <v>2270</v>
      </c>
      <c r="J853" t="s">
        <v>2271</v>
      </c>
      <c r="K853" t="s">
        <v>2272</v>
      </c>
      <c r="L853" t="s">
        <v>2273</v>
      </c>
      <c r="M853" t="s">
        <v>35</v>
      </c>
      <c r="N853">
        <v>7718395561</v>
      </c>
      <c r="O853" t="s">
        <v>2274</v>
      </c>
      <c r="P853" t="s">
        <v>2275</v>
      </c>
      <c r="R853" t="s">
        <v>2276</v>
      </c>
      <c r="S853" t="s">
        <v>2277</v>
      </c>
      <c r="T853" t="s">
        <v>474</v>
      </c>
      <c r="U853" t="s">
        <v>82</v>
      </c>
      <c r="V853" s="1">
        <v>42421</v>
      </c>
      <c r="W853">
        <v>0</v>
      </c>
      <c r="X853">
        <v>8</v>
      </c>
      <c r="AA853" t="s">
        <v>42</v>
      </c>
      <c r="AB853" t="s">
        <v>43</v>
      </c>
      <c r="AC853" t="s">
        <v>43</v>
      </c>
    </row>
    <row r="854" spans="1:30" x14ac:dyDescent="0.4">
      <c r="A854" t="s">
        <v>27</v>
      </c>
      <c r="B854">
        <v>5980</v>
      </c>
      <c r="C854" t="s">
        <v>2275</v>
      </c>
      <c r="D854">
        <v>274</v>
      </c>
      <c r="E854" t="s">
        <v>68</v>
      </c>
      <c r="F854" t="s">
        <v>2016</v>
      </c>
      <c r="G854" t="s">
        <v>2269</v>
      </c>
      <c r="H854" t="s">
        <v>912</v>
      </c>
      <c r="I854" t="s">
        <v>2270</v>
      </c>
      <c r="J854" t="s">
        <v>2271</v>
      </c>
      <c r="K854" t="s">
        <v>2272</v>
      </c>
      <c r="L854" t="s">
        <v>2273</v>
      </c>
      <c r="M854" t="s">
        <v>35</v>
      </c>
      <c r="N854">
        <v>7718395561</v>
      </c>
      <c r="O854" t="s">
        <v>2274</v>
      </c>
      <c r="P854" t="s">
        <v>2275</v>
      </c>
      <c r="R854" t="s">
        <v>2278</v>
      </c>
      <c r="S854" t="s">
        <v>2279</v>
      </c>
      <c r="T854" t="s">
        <v>474</v>
      </c>
      <c r="U854" t="s">
        <v>82</v>
      </c>
      <c r="V854" s="1">
        <v>45380</v>
      </c>
      <c r="W854">
        <v>0</v>
      </c>
      <c r="X854">
        <v>8</v>
      </c>
      <c r="AA854" t="s">
        <v>42</v>
      </c>
      <c r="AB854" t="s">
        <v>43</v>
      </c>
      <c r="AC854" t="s">
        <v>43</v>
      </c>
    </row>
    <row r="855" spans="1:30" x14ac:dyDescent="0.4">
      <c r="A855" t="s">
        <v>27</v>
      </c>
      <c r="B855">
        <v>490</v>
      </c>
      <c r="C855" t="s">
        <v>3006</v>
      </c>
      <c r="D855">
        <v>276</v>
      </c>
      <c r="E855" t="s">
        <v>68</v>
      </c>
      <c r="F855" t="s">
        <v>2280</v>
      </c>
      <c r="G855" t="s">
        <v>2281</v>
      </c>
      <c r="H855" t="s">
        <v>2282</v>
      </c>
      <c r="J855" t="s">
        <v>1655</v>
      </c>
      <c r="K855" t="s">
        <v>1655</v>
      </c>
      <c r="L855" t="s">
        <v>2283</v>
      </c>
      <c r="M855" t="s">
        <v>35</v>
      </c>
      <c r="N855" t="s">
        <v>2284</v>
      </c>
      <c r="O855" t="s">
        <v>2285</v>
      </c>
      <c r="P855" t="s">
        <v>3006</v>
      </c>
      <c r="R855" t="s">
        <v>2286</v>
      </c>
      <c r="S855" t="s">
        <v>2287</v>
      </c>
      <c r="T855" t="s">
        <v>232</v>
      </c>
      <c r="U855" t="s">
        <v>40</v>
      </c>
      <c r="V855" s="1">
        <v>45098</v>
      </c>
      <c r="W855">
        <v>0</v>
      </c>
      <c r="X855">
        <v>4</v>
      </c>
      <c r="Y855" t="s">
        <v>65</v>
      </c>
      <c r="AA855" t="s">
        <v>42</v>
      </c>
      <c r="AB855" t="s">
        <v>43</v>
      </c>
      <c r="AC855" t="s">
        <v>43</v>
      </c>
    </row>
    <row r="856" spans="1:30" x14ac:dyDescent="0.4">
      <c r="A856" t="s">
        <v>27</v>
      </c>
      <c r="B856">
        <v>490</v>
      </c>
      <c r="C856" t="s">
        <v>3006</v>
      </c>
      <c r="D856">
        <v>276</v>
      </c>
      <c r="E856" t="s">
        <v>68</v>
      </c>
      <c r="F856" t="s">
        <v>2280</v>
      </c>
      <c r="G856" t="s">
        <v>2281</v>
      </c>
      <c r="H856" t="s">
        <v>2282</v>
      </c>
      <c r="J856" t="s">
        <v>1655</v>
      </c>
      <c r="K856" t="s">
        <v>1655</v>
      </c>
      <c r="L856" t="s">
        <v>2283</v>
      </c>
      <c r="M856" t="s">
        <v>35</v>
      </c>
      <c r="N856" t="s">
        <v>2284</v>
      </c>
      <c r="O856" t="s">
        <v>2285</v>
      </c>
      <c r="P856" t="s">
        <v>3006</v>
      </c>
      <c r="R856" t="s">
        <v>2286</v>
      </c>
      <c r="S856" t="s">
        <v>2287</v>
      </c>
      <c r="T856" t="s">
        <v>232</v>
      </c>
      <c r="U856" t="s">
        <v>40</v>
      </c>
      <c r="V856" s="1">
        <v>45098</v>
      </c>
      <c r="W856">
        <v>0</v>
      </c>
      <c r="X856">
        <v>5</v>
      </c>
      <c r="Y856" t="s">
        <v>66</v>
      </c>
      <c r="AA856" t="s">
        <v>42</v>
      </c>
      <c r="AB856" t="s">
        <v>43</v>
      </c>
      <c r="AC856" t="s">
        <v>43</v>
      </c>
    </row>
    <row r="857" spans="1:30" x14ac:dyDescent="0.4">
      <c r="A857" t="s">
        <v>27</v>
      </c>
      <c r="B857">
        <v>490</v>
      </c>
      <c r="C857" t="s">
        <v>3006</v>
      </c>
      <c r="D857">
        <v>275</v>
      </c>
      <c r="E857" t="s">
        <v>68</v>
      </c>
      <c r="F857" t="s">
        <v>2280</v>
      </c>
      <c r="G857" t="s">
        <v>2281</v>
      </c>
      <c r="H857" t="s">
        <v>2282</v>
      </c>
      <c r="J857" t="s">
        <v>1655</v>
      </c>
      <c r="K857" t="s">
        <v>1655</v>
      </c>
      <c r="L857" t="s">
        <v>2283</v>
      </c>
      <c r="M857" t="s">
        <v>35</v>
      </c>
      <c r="N857" t="s">
        <v>2284</v>
      </c>
      <c r="O857" t="s">
        <v>2285</v>
      </c>
      <c r="P857" t="s">
        <v>3006</v>
      </c>
      <c r="R857" t="s">
        <v>2288</v>
      </c>
      <c r="S857" t="s">
        <v>2289</v>
      </c>
      <c r="T857" t="s">
        <v>94</v>
      </c>
      <c r="U857" t="s">
        <v>40</v>
      </c>
      <c r="V857" s="1">
        <v>42662</v>
      </c>
      <c r="W857">
        <v>0</v>
      </c>
      <c r="X857">
        <v>7</v>
      </c>
      <c r="AA857" t="s">
        <v>42</v>
      </c>
      <c r="AB857" t="s">
        <v>43</v>
      </c>
      <c r="AC857" t="s">
        <v>43</v>
      </c>
    </row>
    <row r="858" spans="1:30" x14ac:dyDescent="0.4">
      <c r="A858" t="s">
        <v>27</v>
      </c>
      <c r="B858">
        <v>490</v>
      </c>
      <c r="C858" t="s">
        <v>3006</v>
      </c>
      <c r="D858">
        <v>276</v>
      </c>
      <c r="E858" t="s">
        <v>68</v>
      </c>
      <c r="F858" t="s">
        <v>2280</v>
      </c>
      <c r="G858" t="s">
        <v>2281</v>
      </c>
      <c r="H858" t="s">
        <v>2282</v>
      </c>
      <c r="J858" t="s">
        <v>1655</v>
      </c>
      <c r="K858" t="s">
        <v>1655</v>
      </c>
      <c r="L858" t="s">
        <v>2283</v>
      </c>
      <c r="M858" t="s">
        <v>35</v>
      </c>
      <c r="N858" t="s">
        <v>2284</v>
      </c>
      <c r="O858" t="s">
        <v>2285</v>
      </c>
      <c r="P858" t="s">
        <v>3006</v>
      </c>
      <c r="R858" t="s">
        <v>2286</v>
      </c>
      <c r="S858" t="s">
        <v>2287</v>
      </c>
      <c r="T858" t="s">
        <v>232</v>
      </c>
      <c r="U858" t="s">
        <v>40</v>
      </c>
      <c r="V858" s="1">
        <v>45098</v>
      </c>
      <c r="W858">
        <v>0</v>
      </c>
      <c r="X858">
        <v>12</v>
      </c>
      <c r="AA858" t="s">
        <v>42</v>
      </c>
      <c r="AB858" t="s">
        <v>43</v>
      </c>
      <c r="AC858" t="s">
        <v>43</v>
      </c>
    </row>
    <row r="859" spans="1:30" x14ac:dyDescent="0.4">
      <c r="A859" t="s">
        <v>27</v>
      </c>
      <c r="B859">
        <v>490</v>
      </c>
      <c r="C859" t="s">
        <v>3006</v>
      </c>
      <c r="D859">
        <v>276</v>
      </c>
      <c r="E859" t="s">
        <v>68</v>
      </c>
      <c r="F859" t="s">
        <v>2280</v>
      </c>
      <c r="G859" t="s">
        <v>2281</v>
      </c>
      <c r="H859" t="s">
        <v>2282</v>
      </c>
      <c r="J859" t="s">
        <v>1655</v>
      </c>
      <c r="K859" t="s">
        <v>1655</v>
      </c>
      <c r="L859" t="s">
        <v>2283</v>
      </c>
      <c r="M859" t="s">
        <v>35</v>
      </c>
      <c r="N859" t="s">
        <v>2284</v>
      </c>
      <c r="O859" t="s">
        <v>2285</v>
      </c>
      <c r="P859" t="s">
        <v>3006</v>
      </c>
      <c r="R859" t="s">
        <v>2286</v>
      </c>
      <c r="S859" t="s">
        <v>2287</v>
      </c>
      <c r="T859" t="s">
        <v>232</v>
      </c>
      <c r="U859" t="s">
        <v>40</v>
      </c>
      <c r="V859" s="1">
        <v>45098</v>
      </c>
      <c r="W859">
        <v>0</v>
      </c>
      <c r="X859">
        <v>14</v>
      </c>
      <c r="AA859" t="s">
        <v>42</v>
      </c>
      <c r="AB859" t="s">
        <v>43</v>
      </c>
      <c r="AC859" t="s">
        <v>43</v>
      </c>
    </row>
    <row r="860" spans="1:30" x14ac:dyDescent="0.4">
      <c r="A860" t="s">
        <v>27</v>
      </c>
      <c r="B860">
        <v>490</v>
      </c>
      <c r="C860" t="s">
        <v>3006</v>
      </c>
      <c r="D860">
        <v>275</v>
      </c>
      <c r="E860" t="s">
        <v>68</v>
      </c>
      <c r="F860" t="s">
        <v>2280</v>
      </c>
      <c r="G860" t="s">
        <v>2281</v>
      </c>
      <c r="H860" t="s">
        <v>2282</v>
      </c>
      <c r="J860" t="s">
        <v>1655</v>
      </c>
      <c r="K860" t="s">
        <v>1655</v>
      </c>
      <c r="L860" t="s">
        <v>2283</v>
      </c>
      <c r="M860" t="s">
        <v>35</v>
      </c>
      <c r="N860" t="s">
        <v>2284</v>
      </c>
      <c r="O860" t="s">
        <v>2285</v>
      </c>
      <c r="P860" t="s">
        <v>3006</v>
      </c>
      <c r="R860" t="s">
        <v>2288</v>
      </c>
      <c r="S860" t="s">
        <v>2289</v>
      </c>
      <c r="T860" t="s">
        <v>94</v>
      </c>
      <c r="U860" t="s">
        <v>40</v>
      </c>
      <c r="V860" s="1">
        <v>42662</v>
      </c>
      <c r="W860">
        <v>0</v>
      </c>
      <c r="X860">
        <v>18</v>
      </c>
      <c r="AA860" t="s">
        <v>42</v>
      </c>
      <c r="AB860" t="s">
        <v>43</v>
      </c>
      <c r="AC860" t="s">
        <v>43</v>
      </c>
    </row>
    <row r="861" spans="1:30" x14ac:dyDescent="0.4">
      <c r="A861" t="s">
        <v>27</v>
      </c>
      <c r="B861">
        <v>1683</v>
      </c>
      <c r="C861" t="s">
        <v>3007</v>
      </c>
      <c r="D861">
        <v>277</v>
      </c>
      <c r="E861" t="s">
        <v>68</v>
      </c>
      <c r="F861" t="s">
        <v>2290</v>
      </c>
      <c r="G861" t="s">
        <v>2291</v>
      </c>
      <c r="H861" t="s">
        <v>2292</v>
      </c>
      <c r="I861" t="s">
        <v>2293</v>
      </c>
      <c r="J861" t="s">
        <v>239</v>
      </c>
      <c r="K861" t="s">
        <v>2294</v>
      </c>
      <c r="L861" t="s">
        <v>2295</v>
      </c>
      <c r="M861" t="s">
        <v>35</v>
      </c>
      <c r="N861">
        <v>7710113711</v>
      </c>
      <c r="O861" t="s">
        <v>2296</v>
      </c>
      <c r="P861" t="s">
        <v>3007</v>
      </c>
      <c r="R861" t="s">
        <v>2297</v>
      </c>
      <c r="S861" t="s">
        <v>2298</v>
      </c>
      <c r="T861" t="s">
        <v>1296</v>
      </c>
      <c r="U861" t="s">
        <v>40</v>
      </c>
      <c r="V861" s="1">
        <v>45428</v>
      </c>
      <c r="W861">
        <v>0</v>
      </c>
      <c r="X861">
        <v>12</v>
      </c>
      <c r="AA861" t="s">
        <v>42</v>
      </c>
      <c r="AB861" t="s">
        <v>43</v>
      </c>
      <c r="AC861" t="s">
        <v>43</v>
      </c>
    </row>
    <row r="862" spans="1:30" x14ac:dyDescent="0.4">
      <c r="A862" t="s">
        <v>27</v>
      </c>
      <c r="B862">
        <v>1683</v>
      </c>
      <c r="C862" t="s">
        <v>3007</v>
      </c>
      <c r="D862">
        <v>278</v>
      </c>
      <c r="E862" t="s">
        <v>68</v>
      </c>
      <c r="F862" t="s">
        <v>2290</v>
      </c>
      <c r="G862" t="s">
        <v>2291</v>
      </c>
      <c r="H862" t="s">
        <v>2292</v>
      </c>
      <c r="I862" t="s">
        <v>2293</v>
      </c>
      <c r="J862" t="s">
        <v>239</v>
      </c>
      <c r="K862" t="s">
        <v>2294</v>
      </c>
      <c r="L862" t="s">
        <v>2295</v>
      </c>
      <c r="M862" t="s">
        <v>35</v>
      </c>
      <c r="N862">
        <v>7710113711</v>
      </c>
      <c r="O862" t="s">
        <v>2296</v>
      </c>
      <c r="P862" t="s">
        <v>3007</v>
      </c>
      <c r="R862" t="s">
        <v>2299</v>
      </c>
      <c r="S862" t="s">
        <v>2300</v>
      </c>
      <c r="T862" t="s">
        <v>1296</v>
      </c>
      <c r="U862" t="s">
        <v>40</v>
      </c>
      <c r="V862" s="1">
        <v>43579</v>
      </c>
      <c r="W862">
        <v>0</v>
      </c>
      <c r="X862">
        <v>14</v>
      </c>
      <c r="AA862" t="s">
        <v>42</v>
      </c>
      <c r="AB862" t="s">
        <v>43</v>
      </c>
      <c r="AC862" t="s">
        <v>43</v>
      </c>
    </row>
    <row r="863" spans="1:30" x14ac:dyDescent="0.4">
      <c r="A863" t="s">
        <v>27</v>
      </c>
      <c r="B863">
        <v>1683</v>
      </c>
      <c r="C863" t="s">
        <v>3007</v>
      </c>
      <c r="D863">
        <v>278</v>
      </c>
      <c r="E863" t="s">
        <v>68</v>
      </c>
      <c r="F863" t="s">
        <v>2290</v>
      </c>
      <c r="G863" t="s">
        <v>2291</v>
      </c>
      <c r="H863" t="s">
        <v>2292</v>
      </c>
      <c r="I863" t="s">
        <v>2293</v>
      </c>
      <c r="J863" t="s">
        <v>239</v>
      </c>
      <c r="K863" t="s">
        <v>2294</v>
      </c>
      <c r="L863" t="s">
        <v>2295</v>
      </c>
      <c r="M863" t="s">
        <v>35</v>
      </c>
      <c r="N863">
        <v>7710113711</v>
      </c>
      <c r="O863" t="s">
        <v>2296</v>
      </c>
      <c r="P863" t="s">
        <v>3007</v>
      </c>
      <c r="R863" t="s">
        <v>2299</v>
      </c>
      <c r="S863" t="s">
        <v>2300</v>
      </c>
      <c r="T863" t="s">
        <v>1296</v>
      </c>
      <c r="U863" t="s">
        <v>40</v>
      </c>
      <c r="V863" s="1">
        <v>43579</v>
      </c>
      <c r="W863">
        <v>0</v>
      </c>
      <c r="X863">
        <v>16</v>
      </c>
      <c r="AA863" t="s">
        <v>42</v>
      </c>
      <c r="AB863" t="s">
        <v>43</v>
      </c>
      <c r="AC863" t="s">
        <v>43</v>
      </c>
    </row>
    <row r="864" spans="1:30" x14ac:dyDescent="0.4">
      <c r="A864" t="s">
        <v>27</v>
      </c>
      <c r="B864">
        <v>673</v>
      </c>
      <c r="C864" t="s">
        <v>2308</v>
      </c>
      <c r="D864">
        <v>279</v>
      </c>
      <c r="E864" t="s">
        <v>195</v>
      </c>
      <c r="F864" t="s">
        <v>2301</v>
      </c>
      <c r="G864" t="s">
        <v>2302</v>
      </c>
      <c r="H864" t="s">
        <v>2303</v>
      </c>
      <c r="I864" t="s">
        <v>2304</v>
      </c>
      <c r="J864" t="s">
        <v>2305</v>
      </c>
      <c r="K864" t="s">
        <v>73</v>
      </c>
      <c r="L864" t="s">
        <v>2306</v>
      </c>
      <c r="M864" t="s">
        <v>35</v>
      </c>
      <c r="N864">
        <v>1883347721</v>
      </c>
      <c r="O864" t="s">
        <v>2307</v>
      </c>
      <c r="P864" t="s">
        <v>2308</v>
      </c>
      <c r="R864" t="s">
        <v>2309</v>
      </c>
      <c r="S864" t="s">
        <v>2310</v>
      </c>
      <c r="T864" t="s">
        <v>58</v>
      </c>
      <c r="U864" t="s">
        <v>82</v>
      </c>
      <c r="V864" s="1">
        <v>44358</v>
      </c>
      <c r="W864">
        <v>0</v>
      </c>
      <c r="X864">
        <v>4</v>
      </c>
      <c r="Y864" t="s">
        <v>65</v>
      </c>
      <c r="Z864" t="s">
        <v>135</v>
      </c>
      <c r="AA864" t="s">
        <v>42</v>
      </c>
      <c r="AB864" t="s">
        <v>43</v>
      </c>
      <c r="AC864" t="s">
        <v>43</v>
      </c>
      <c r="AD864" t="s">
        <v>2311</v>
      </c>
    </row>
    <row r="865" spans="1:30" x14ac:dyDescent="0.4">
      <c r="A865" t="s">
        <v>27</v>
      </c>
      <c r="B865">
        <v>673</v>
      </c>
      <c r="C865" t="s">
        <v>2308</v>
      </c>
      <c r="D865">
        <v>279</v>
      </c>
      <c r="E865" t="s">
        <v>195</v>
      </c>
      <c r="F865" t="s">
        <v>2301</v>
      </c>
      <c r="G865" t="s">
        <v>2302</v>
      </c>
      <c r="H865" t="s">
        <v>2303</v>
      </c>
      <c r="I865" t="s">
        <v>2304</v>
      </c>
      <c r="J865" t="s">
        <v>2305</v>
      </c>
      <c r="K865" t="s">
        <v>73</v>
      </c>
      <c r="L865" t="s">
        <v>2306</v>
      </c>
      <c r="M865" t="s">
        <v>35</v>
      </c>
      <c r="N865">
        <v>1883347721</v>
      </c>
      <c r="O865" t="s">
        <v>2307</v>
      </c>
      <c r="P865" t="s">
        <v>2308</v>
      </c>
      <c r="R865" t="s">
        <v>2309</v>
      </c>
      <c r="S865" t="s">
        <v>2310</v>
      </c>
      <c r="T865" t="s">
        <v>58</v>
      </c>
      <c r="U865" t="s">
        <v>82</v>
      </c>
      <c r="V865" s="1">
        <v>44358</v>
      </c>
      <c r="W865">
        <v>0</v>
      </c>
      <c r="X865">
        <v>5</v>
      </c>
      <c r="Y865" t="s">
        <v>66</v>
      </c>
      <c r="Z865" t="s">
        <v>135</v>
      </c>
      <c r="AA865" t="s">
        <v>42</v>
      </c>
      <c r="AB865" t="s">
        <v>43</v>
      </c>
      <c r="AC865" t="s">
        <v>43</v>
      </c>
      <c r="AD865" t="s">
        <v>2311</v>
      </c>
    </row>
    <row r="866" spans="1:30" x14ac:dyDescent="0.4">
      <c r="A866" t="s">
        <v>27</v>
      </c>
      <c r="B866">
        <v>673</v>
      </c>
      <c r="C866" t="s">
        <v>2308</v>
      </c>
      <c r="D866">
        <v>280</v>
      </c>
      <c r="E866" t="s">
        <v>195</v>
      </c>
      <c r="F866" t="s">
        <v>2301</v>
      </c>
      <c r="G866" t="s">
        <v>2302</v>
      </c>
      <c r="H866" t="s">
        <v>2303</v>
      </c>
      <c r="I866" t="s">
        <v>2304</v>
      </c>
      <c r="J866" t="s">
        <v>2305</v>
      </c>
      <c r="K866" t="s">
        <v>73</v>
      </c>
      <c r="L866" t="s">
        <v>2306</v>
      </c>
      <c r="M866" t="s">
        <v>35</v>
      </c>
      <c r="N866">
        <v>1883347721</v>
      </c>
      <c r="O866" t="s">
        <v>2307</v>
      </c>
      <c r="P866" t="s">
        <v>2308</v>
      </c>
      <c r="R866" t="s">
        <v>2312</v>
      </c>
      <c r="S866" t="s">
        <v>2313</v>
      </c>
      <c r="T866" t="s">
        <v>58</v>
      </c>
      <c r="U866" t="s">
        <v>40</v>
      </c>
      <c r="V866" s="1">
        <v>42747</v>
      </c>
      <c r="W866">
        <v>0</v>
      </c>
      <c r="X866">
        <v>5</v>
      </c>
      <c r="Y866" t="s">
        <v>66</v>
      </c>
      <c r="Z866" t="s">
        <v>135</v>
      </c>
      <c r="AA866" t="s">
        <v>42</v>
      </c>
      <c r="AB866" t="s">
        <v>43</v>
      </c>
      <c r="AC866" t="s">
        <v>43</v>
      </c>
      <c r="AD866" t="s">
        <v>2311</v>
      </c>
    </row>
    <row r="867" spans="1:30" x14ac:dyDescent="0.4">
      <c r="A867" t="s">
        <v>27</v>
      </c>
      <c r="B867">
        <v>673</v>
      </c>
      <c r="C867" t="s">
        <v>2308</v>
      </c>
      <c r="D867">
        <v>280</v>
      </c>
      <c r="E867" t="s">
        <v>195</v>
      </c>
      <c r="F867" t="s">
        <v>2301</v>
      </c>
      <c r="G867" t="s">
        <v>2302</v>
      </c>
      <c r="H867" t="s">
        <v>2303</v>
      </c>
      <c r="I867" t="s">
        <v>2304</v>
      </c>
      <c r="J867" t="s">
        <v>2305</v>
      </c>
      <c r="K867" t="s">
        <v>73</v>
      </c>
      <c r="L867" t="s">
        <v>2306</v>
      </c>
      <c r="M867" t="s">
        <v>35</v>
      </c>
      <c r="N867">
        <v>1883347721</v>
      </c>
      <c r="O867" t="s">
        <v>2307</v>
      </c>
      <c r="P867" t="s">
        <v>2308</v>
      </c>
      <c r="R867" t="s">
        <v>2312</v>
      </c>
      <c r="S867" t="s">
        <v>2313</v>
      </c>
      <c r="T867" t="s">
        <v>58</v>
      </c>
      <c r="U867" t="s">
        <v>40</v>
      </c>
      <c r="V867" s="1">
        <v>42747</v>
      </c>
      <c r="W867">
        <v>0</v>
      </c>
      <c r="X867">
        <v>6</v>
      </c>
      <c r="Y867" t="s">
        <v>83</v>
      </c>
      <c r="Z867" t="s">
        <v>135</v>
      </c>
      <c r="AA867" t="s">
        <v>42</v>
      </c>
      <c r="AB867" t="s">
        <v>43</v>
      </c>
      <c r="AC867" t="s">
        <v>43</v>
      </c>
      <c r="AD867" t="s">
        <v>2311</v>
      </c>
    </row>
    <row r="868" spans="1:30" x14ac:dyDescent="0.4">
      <c r="A868" t="s">
        <v>27</v>
      </c>
      <c r="B868">
        <v>673</v>
      </c>
      <c r="C868" t="s">
        <v>2308</v>
      </c>
      <c r="E868" t="s">
        <v>195</v>
      </c>
      <c r="F868" t="s">
        <v>2301</v>
      </c>
      <c r="G868" t="s">
        <v>2302</v>
      </c>
      <c r="H868" t="s">
        <v>2303</v>
      </c>
      <c r="I868" t="s">
        <v>2304</v>
      </c>
      <c r="J868" t="s">
        <v>2305</v>
      </c>
      <c r="K868" t="s">
        <v>73</v>
      </c>
      <c r="L868" t="s">
        <v>2306</v>
      </c>
      <c r="M868" t="s">
        <v>35</v>
      </c>
      <c r="N868">
        <v>1883347721</v>
      </c>
      <c r="O868" t="s">
        <v>2307</v>
      </c>
      <c r="P868" t="s">
        <v>2308</v>
      </c>
      <c r="R868" t="s">
        <v>2314</v>
      </c>
      <c r="S868" t="s">
        <v>2315</v>
      </c>
      <c r="T868" t="s">
        <v>58</v>
      </c>
      <c r="U868" t="s">
        <v>82</v>
      </c>
      <c r="V868" s="1">
        <v>45604</v>
      </c>
      <c r="W868">
        <v>0</v>
      </c>
      <c r="X868">
        <v>0</v>
      </c>
      <c r="Y868" t="s">
        <v>59</v>
      </c>
      <c r="Z868" t="s">
        <v>135</v>
      </c>
      <c r="AA868" t="s">
        <v>42</v>
      </c>
      <c r="AB868" t="s">
        <v>43</v>
      </c>
      <c r="AC868" t="s">
        <v>43</v>
      </c>
      <c r="AD868" t="s">
        <v>2311</v>
      </c>
    </row>
    <row r="869" spans="1:30" x14ac:dyDescent="0.4">
      <c r="A869" t="s">
        <v>27</v>
      </c>
      <c r="B869">
        <v>673</v>
      </c>
      <c r="C869" t="s">
        <v>2308</v>
      </c>
      <c r="E869" t="s">
        <v>195</v>
      </c>
      <c r="F869" t="s">
        <v>2301</v>
      </c>
      <c r="G869" t="s">
        <v>2302</v>
      </c>
      <c r="H869" t="s">
        <v>2303</v>
      </c>
      <c r="I869" t="s">
        <v>2304</v>
      </c>
      <c r="J869" t="s">
        <v>2305</v>
      </c>
      <c r="K869" t="s">
        <v>73</v>
      </c>
      <c r="L869" t="s">
        <v>2306</v>
      </c>
      <c r="M869" t="s">
        <v>35</v>
      </c>
      <c r="N869">
        <v>1883347721</v>
      </c>
      <c r="O869" t="s">
        <v>2307</v>
      </c>
      <c r="P869" t="s">
        <v>2308</v>
      </c>
      <c r="R869" t="s">
        <v>2316</v>
      </c>
      <c r="S869" t="s">
        <v>2317</v>
      </c>
      <c r="T869" t="s">
        <v>58</v>
      </c>
      <c r="U869" t="s">
        <v>40</v>
      </c>
      <c r="V869" s="1">
        <v>41320</v>
      </c>
      <c r="W869">
        <v>0</v>
      </c>
      <c r="X869">
        <v>0</v>
      </c>
      <c r="Y869" t="s">
        <v>59</v>
      </c>
      <c r="Z869" t="s">
        <v>135</v>
      </c>
      <c r="AA869" t="s">
        <v>42</v>
      </c>
      <c r="AB869" t="s">
        <v>43</v>
      </c>
      <c r="AC869" t="s">
        <v>43</v>
      </c>
      <c r="AD869" t="s">
        <v>2311</v>
      </c>
    </row>
    <row r="870" spans="1:30" x14ac:dyDescent="0.4">
      <c r="A870" t="s">
        <v>27</v>
      </c>
      <c r="B870">
        <v>673</v>
      </c>
      <c r="C870" t="s">
        <v>2308</v>
      </c>
      <c r="D870">
        <v>279</v>
      </c>
      <c r="E870" t="s">
        <v>195</v>
      </c>
      <c r="F870" t="s">
        <v>2301</v>
      </c>
      <c r="G870" t="s">
        <v>2302</v>
      </c>
      <c r="H870" t="s">
        <v>2303</v>
      </c>
      <c r="I870" t="s">
        <v>2304</v>
      </c>
      <c r="J870" t="s">
        <v>2305</v>
      </c>
      <c r="K870" t="s">
        <v>73</v>
      </c>
      <c r="L870" t="s">
        <v>2306</v>
      </c>
      <c r="M870" t="s">
        <v>35</v>
      </c>
      <c r="N870">
        <v>1883347721</v>
      </c>
      <c r="O870" t="s">
        <v>2307</v>
      </c>
      <c r="P870" t="s">
        <v>2308</v>
      </c>
      <c r="R870" t="s">
        <v>2309</v>
      </c>
      <c r="S870" t="s">
        <v>2310</v>
      </c>
      <c r="T870" t="s">
        <v>58</v>
      </c>
      <c r="U870" t="s">
        <v>82</v>
      </c>
      <c r="V870" s="1">
        <v>44358</v>
      </c>
      <c r="W870">
        <v>0</v>
      </c>
      <c r="X870">
        <v>13</v>
      </c>
      <c r="Z870" t="s">
        <v>135</v>
      </c>
      <c r="AA870" t="s">
        <v>42</v>
      </c>
      <c r="AB870" t="s">
        <v>43</v>
      </c>
      <c r="AC870" t="s">
        <v>43</v>
      </c>
      <c r="AD870" t="s">
        <v>2311</v>
      </c>
    </row>
    <row r="871" spans="1:30" x14ac:dyDescent="0.4">
      <c r="A871" t="s">
        <v>27</v>
      </c>
      <c r="B871">
        <v>673</v>
      </c>
      <c r="C871" t="s">
        <v>2308</v>
      </c>
      <c r="D871">
        <v>280</v>
      </c>
      <c r="E871" t="s">
        <v>195</v>
      </c>
      <c r="F871" t="s">
        <v>2301</v>
      </c>
      <c r="G871" t="s">
        <v>2302</v>
      </c>
      <c r="H871" t="s">
        <v>2303</v>
      </c>
      <c r="I871" t="s">
        <v>2304</v>
      </c>
      <c r="J871" t="s">
        <v>2305</v>
      </c>
      <c r="K871" t="s">
        <v>73</v>
      </c>
      <c r="L871" t="s">
        <v>2306</v>
      </c>
      <c r="M871" t="s">
        <v>35</v>
      </c>
      <c r="N871">
        <v>1883347721</v>
      </c>
      <c r="O871" t="s">
        <v>2307</v>
      </c>
      <c r="P871" t="s">
        <v>2308</v>
      </c>
      <c r="R871" t="s">
        <v>2312</v>
      </c>
      <c r="S871" t="s">
        <v>2313</v>
      </c>
      <c r="T871" t="s">
        <v>58</v>
      </c>
      <c r="U871" t="s">
        <v>40</v>
      </c>
      <c r="V871" s="1">
        <v>42747</v>
      </c>
      <c r="W871">
        <v>0</v>
      </c>
      <c r="X871">
        <v>14</v>
      </c>
      <c r="Z871" t="s">
        <v>135</v>
      </c>
      <c r="AA871" t="s">
        <v>42</v>
      </c>
      <c r="AB871" t="s">
        <v>43</v>
      </c>
      <c r="AC871" t="s">
        <v>43</v>
      </c>
      <c r="AD871" t="s">
        <v>2311</v>
      </c>
    </row>
    <row r="872" spans="1:30" x14ac:dyDescent="0.4">
      <c r="A872" t="s">
        <v>27</v>
      </c>
      <c r="B872">
        <v>673</v>
      </c>
      <c r="C872" t="s">
        <v>2308</v>
      </c>
      <c r="D872">
        <v>280</v>
      </c>
      <c r="E872" t="s">
        <v>195</v>
      </c>
      <c r="F872" t="s">
        <v>2301</v>
      </c>
      <c r="G872" t="s">
        <v>2302</v>
      </c>
      <c r="H872" t="s">
        <v>2303</v>
      </c>
      <c r="I872" t="s">
        <v>2304</v>
      </c>
      <c r="J872" t="s">
        <v>2305</v>
      </c>
      <c r="K872" t="s">
        <v>73</v>
      </c>
      <c r="L872" t="s">
        <v>2306</v>
      </c>
      <c r="M872" t="s">
        <v>35</v>
      </c>
      <c r="N872">
        <v>1883347721</v>
      </c>
      <c r="O872" t="s">
        <v>2307</v>
      </c>
      <c r="P872" t="s">
        <v>2308</v>
      </c>
      <c r="R872" t="s">
        <v>2312</v>
      </c>
      <c r="S872" t="s">
        <v>2313</v>
      </c>
      <c r="T872" t="s">
        <v>58</v>
      </c>
      <c r="U872" t="s">
        <v>40</v>
      </c>
      <c r="V872" s="1">
        <v>42747</v>
      </c>
      <c r="W872">
        <v>0</v>
      </c>
      <c r="X872">
        <v>16</v>
      </c>
      <c r="Z872" t="s">
        <v>135</v>
      </c>
      <c r="AA872" t="s">
        <v>42</v>
      </c>
      <c r="AB872" t="s">
        <v>43</v>
      </c>
      <c r="AC872" t="s">
        <v>43</v>
      </c>
      <c r="AD872" t="s">
        <v>2311</v>
      </c>
    </row>
    <row r="873" spans="1:30" x14ac:dyDescent="0.4">
      <c r="A873" t="s">
        <v>27</v>
      </c>
      <c r="B873">
        <v>673</v>
      </c>
      <c r="C873" t="s">
        <v>2308</v>
      </c>
      <c r="E873" t="s">
        <v>195</v>
      </c>
      <c r="F873" t="s">
        <v>2301</v>
      </c>
      <c r="G873" t="s">
        <v>2302</v>
      </c>
      <c r="H873" t="s">
        <v>2303</v>
      </c>
      <c r="I873" t="s">
        <v>2304</v>
      </c>
      <c r="J873" t="s">
        <v>2305</v>
      </c>
      <c r="K873" t="s">
        <v>73</v>
      </c>
      <c r="L873" t="s">
        <v>2306</v>
      </c>
      <c r="M873" t="s">
        <v>35</v>
      </c>
      <c r="N873">
        <v>1883347721</v>
      </c>
      <c r="O873" t="s">
        <v>2307</v>
      </c>
      <c r="P873" t="s">
        <v>2308</v>
      </c>
      <c r="R873" t="s">
        <v>2316</v>
      </c>
      <c r="S873" t="s">
        <v>2317</v>
      </c>
      <c r="T873" t="s">
        <v>58</v>
      </c>
      <c r="U873" t="s">
        <v>40</v>
      </c>
      <c r="V873" s="1">
        <v>41320</v>
      </c>
      <c r="W873">
        <v>0</v>
      </c>
      <c r="X873">
        <v>0</v>
      </c>
      <c r="Y873" t="s">
        <v>59</v>
      </c>
      <c r="Z873" t="s">
        <v>135</v>
      </c>
      <c r="AA873" t="s">
        <v>42</v>
      </c>
      <c r="AB873" t="s">
        <v>43</v>
      </c>
      <c r="AC873" t="s">
        <v>43</v>
      </c>
      <c r="AD873" t="s">
        <v>2311</v>
      </c>
    </row>
    <row r="874" spans="1:30" x14ac:dyDescent="0.4">
      <c r="A874" t="s">
        <v>27</v>
      </c>
      <c r="B874">
        <v>673</v>
      </c>
      <c r="C874" t="s">
        <v>2308</v>
      </c>
      <c r="E874" t="s">
        <v>195</v>
      </c>
      <c r="F874" t="s">
        <v>2301</v>
      </c>
      <c r="G874" t="s">
        <v>2302</v>
      </c>
      <c r="H874" t="s">
        <v>2303</v>
      </c>
      <c r="I874" t="s">
        <v>2304</v>
      </c>
      <c r="J874" t="s">
        <v>2305</v>
      </c>
      <c r="K874" t="s">
        <v>73</v>
      </c>
      <c r="L874" t="s">
        <v>2306</v>
      </c>
      <c r="M874" t="s">
        <v>35</v>
      </c>
      <c r="N874">
        <v>1883347721</v>
      </c>
      <c r="O874" t="s">
        <v>2307</v>
      </c>
      <c r="P874" t="s">
        <v>2308</v>
      </c>
      <c r="R874" t="s">
        <v>2314</v>
      </c>
      <c r="S874" t="s">
        <v>2315</v>
      </c>
      <c r="T874" t="s">
        <v>58</v>
      </c>
      <c r="U874" t="s">
        <v>82</v>
      </c>
      <c r="V874" s="1">
        <v>45604</v>
      </c>
      <c r="W874">
        <v>0</v>
      </c>
      <c r="X874">
        <v>0</v>
      </c>
      <c r="Y874" t="s">
        <v>59</v>
      </c>
      <c r="Z874" t="s">
        <v>135</v>
      </c>
      <c r="AA874" t="s">
        <v>42</v>
      </c>
      <c r="AB874" t="s">
        <v>43</v>
      </c>
      <c r="AC874" t="s">
        <v>43</v>
      </c>
      <c r="AD874" t="s">
        <v>2311</v>
      </c>
    </row>
    <row r="875" spans="1:30" x14ac:dyDescent="0.4">
      <c r="A875" t="s">
        <v>27</v>
      </c>
      <c r="B875">
        <v>3520</v>
      </c>
      <c r="C875" t="s">
        <v>2323</v>
      </c>
      <c r="D875">
        <v>281</v>
      </c>
      <c r="E875" t="s">
        <v>68</v>
      </c>
      <c r="F875" t="s">
        <v>611</v>
      </c>
      <c r="G875" t="s">
        <v>2318</v>
      </c>
      <c r="H875" t="s">
        <v>2319</v>
      </c>
      <c r="J875" t="s">
        <v>2320</v>
      </c>
      <c r="K875" t="s">
        <v>215</v>
      </c>
      <c r="L875" t="s">
        <v>2321</v>
      </c>
      <c r="M875" t="s">
        <v>35</v>
      </c>
      <c r="N875">
        <v>7715099616</v>
      </c>
      <c r="O875" t="s">
        <v>2322</v>
      </c>
      <c r="P875" t="s">
        <v>2323</v>
      </c>
      <c r="R875" t="s">
        <v>2324</v>
      </c>
      <c r="S875" t="s">
        <v>2325</v>
      </c>
      <c r="T875" t="s">
        <v>58</v>
      </c>
      <c r="U875" t="s">
        <v>82</v>
      </c>
      <c r="V875" s="1">
        <v>44767</v>
      </c>
      <c r="W875">
        <v>0</v>
      </c>
      <c r="X875">
        <v>4</v>
      </c>
      <c r="Y875" t="s">
        <v>65</v>
      </c>
      <c r="AA875" t="s">
        <v>42</v>
      </c>
      <c r="AB875" t="s">
        <v>43</v>
      </c>
      <c r="AC875" t="s">
        <v>43</v>
      </c>
    </row>
    <row r="876" spans="1:30" x14ac:dyDescent="0.4">
      <c r="A876" t="s">
        <v>27</v>
      </c>
      <c r="B876">
        <v>3520</v>
      </c>
      <c r="C876" t="s">
        <v>2323</v>
      </c>
      <c r="D876">
        <v>281</v>
      </c>
      <c r="E876" t="s">
        <v>68</v>
      </c>
      <c r="F876" t="s">
        <v>611</v>
      </c>
      <c r="G876" t="s">
        <v>2318</v>
      </c>
      <c r="H876" t="s">
        <v>2319</v>
      </c>
      <c r="J876" t="s">
        <v>2320</v>
      </c>
      <c r="K876" t="s">
        <v>215</v>
      </c>
      <c r="L876" t="s">
        <v>2321</v>
      </c>
      <c r="M876" t="s">
        <v>35</v>
      </c>
      <c r="N876">
        <v>7715099616</v>
      </c>
      <c r="O876" t="s">
        <v>2322</v>
      </c>
      <c r="P876" t="s">
        <v>2323</v>
      </c>
      <c r="R876" t="s">
        <v>2324</v>
      </c>
      <c r="S876" t="s">
        <v>2325</v>
      </c>
      <c r="T876" t="s">
        <v>58</v>
      </c>
      <c r="U876" t="s">
        <v>82</v>
      </c>
      <c r="V876" s="1">
        <v>44767</v>
      </c>
      <c r="W876">
        <v>0</v>
      </c>
      <c r="X876">
        <v>5</v>
      </c>
      <c r="Y876" t="s">
        <v>66</v>
      </c>
      <c r="AA876" t="s">
        <v>42</v>
      </c>
      <c r="AB876" t="s">
        <v>43</v>
      </c>
      <c r="AC876" t="s">
        <v>43</v>
      </c>
    </row>
    <row r="877" spans="1:30" x14ac:dyDescent="0.4">
      <c r="A877" t="s">
        <v>27</v>
      </c>
      <c r="B877">
        <v>3520</v>
      </c>
      <c r="C877" t="s">
        <v>2323</v>
      </c>
      <c r="D877">
        <v>282</v>
      </c>
      <c r="E877" t="s">
        <v>68</v>
      </c>
      <c r="F877" t="s">
        <v>611</v>
      </c>
      <c r="G877" t="s">
        <v>2318</v>
      </c>
      <c r="H877" t="s">
        <v>2319</v>
      </c>
      <c r="J877" t="s">
        <v>2320</v>
      </c>
      <c r="K877" t="s">
        <v>215</v>
      </c>
      <c r="L877" t="s">
        <v>2321</v>
      </c>
      <c r="M877" t="s">
        <v>35</v>
      </c>
      <c r="N877">
        <v>7715099616</v>
      </c>
      <c r="O877" t="s">
        <v>2322</v>
      </c>
      <c r="P877" t="s">
        <v>2323</v>
      </c>
      <c r="R877" t="s">
        <v>3123</v>
      </c>
      <c r="S877" t="s">
        <v>2327</v>
      </c>
      <c r="T877" t="s">
        <v>58</v>
      </c>
      <c r="U877" t="s">
        <v>82</v>
      </c>
      <c r="V877" s="1">
        <v>42768</v>
      </c>
      <c r="W877">
        <v>0</v>
      </c>
      <c r="X877">
        <v>5</v>
      </c>
      <c r="Y877" t="s">
        <v>66</v>
      </c>
      <c r="AA877" t="s">
        <v>42</v>
      </c>
      <c r="AB877" t="s">
        <v>43</v>
      </c>
      <c r="AC877" t="s">
        <v>43</v>
      </c>
    </row>
    <row r="878" spans="1:30" x14ac:dyDescent="0.4">
      <c r="A878" t="s">
        <v>27</v>
      </c>
      <c r="B878">
        <v>3520</v>
      </c>
      <c r="C878" t="s">
        <v>2323</v>
      </c>
      <c r="D878">
        <v>282</v>
      </c>
      <c r="E878" t="s">
        <v>68</v>
      </c>
      <c r="F878" t="s">
        <v>611</v>
      </c>
      <c r="G878" t="s">
        <v>2318</v>
      </c>
      <c r="H878" t="s">
        <v>2319</v>
      </c>
      <c r="J878" t="s">
        <v>2320</v>
      </c>
      <c r="K878" t="s">
        <v>215</v>
      </c>
      <c r="L878" t="s">
        <v>2321</v>
      </c>
      <c r="M878" t="s">
        <v>35</v>
      </c>
      <c r="N878">
        <v>7715099616</v>
      </c>
      <c r="O878" t="s">
        <v>2322</v>
      </c>
      <c r="P878" t="s">
        <v>2323</v>
      </c>
      <c r="R878" t="s">
        <v>3123</v>
      </c>
      <c r="S878" t="s">
        <v>2327</v>
      </c>
      <c r="T878" t="s">
        <v>58</v>
      </c>
      <c r="U878" t="s">
        <v>82</v>
      </c>
      <c r="V878" s="1">
        <v>42768</v>
      </c>
      <c r="W878">
        <v>0</v>
      </c>
      <c r="X878">
        <v>6</v>
      </c>
      <c r="Y878" t="s">
        <v>83</v>
      </c>
      <c r="AA878" t="s">
        <v>42</v>
      </c>
      <c r="AB878" t="s">
        <v>43</v>
      </c>
      <c r="AC878" t="s">
        <v>43</v>
      </c>
    </row>
    <row r="879" spans="1:30" x14ac:dyDescent="0.4">
      <c r="A879" t="s">
        <v>27</v>
      </c>
      <c r="B879">
        <v>3520</v>
      </c>
      <c r="C879" t="s">
        <v>2323</v>
      </c>
      <c r="D879">
        <v>281</v>
      </c>
      <c r="E879" t="s">
        <v>68</v>
      </c>
      <c r="F879" t="s">
        <v>611</v>
      </c>
      <c r="G879" t="s">
        <v>2318</v>
      </c>
      <c r="H879" t="s">
        <v>2319</v>
      </c>
      <c r="J879" t="s">
        <v>2320</v>
      </c>
      <c r="K879" t="s">
        <v>215</v>
      </c>
      <c r="L879" t="s">
        <v>2321</v>
      </c>
      <c r="M879" t="s">
        <v>35</v>
      </c>
      <c r="N879">
        <v>7715099616</v>
      </c>
      <c r="O879" t="s">
        <v>2322</v>
      </c>
      <c r="P879" t="s">
        <v>2323</v>
      </c>
      <c r="R879" t="s">
        <v>2324</v>
      </c>
      <c r="S879" t="s">
        <v>2325</v>
      </c>
      <c r="T879" t="s">
        <v>58</v>
      </c>
      <c r="U879" t="s">
        <v>82</v>
      </c>
      <c r="V879" s="1">
        <v>44767</v>
      </c>
      <c r="W879">
        <v>0</v>
      </c>
      <c r="X879">
        <v>13</v>
      </c>
      <c r="AA879" t="s">
        <v>42</v>
      </c>
      <c r="AB879" t="s">
        <v>43</v>
      </c>
      <c r="AC879" t="s">
        <v>43</v>
      </c>
    </row>
    <row r="880" spans="1:30" x14ac:dyDescent="0.4">
      <c r="A880" t="s">
        <v>27</v>
      </c>
      <c r="B880">
        <v>3520</v>
      </c>
      <c r="C880" t="s">
        <v>2323</v>
      </c>
      <c r="D880">
        <v>281</v>
      </c>
      <c r="E880" t="s">
        <v>68</v>
      </c>
      <c r="F880" t="s">
        <v>611</v>
      </c>
      <c r="G880" t="s">
        <v>2318</v>
      </c>
      <c r="H880" t="s">
        <v>2319</v>
      </c>
      <c r="J880" t="s">
        <v>2320</v>
      </c>
      <c r="K880" t="s">
        <v>215</v>
      </c>
      <c r="L880" t="s">
        <v>2321</v>
      </c>
      <c r="M880" t="s">
        <v>35</v>
      </c>
      <c r="N880">
        <v>7715099616</v>
      </c>
      <c r="O880" t="s">
        <v>2322</v>
      </c>
      <c r="P880" t="s">
        <v>2323</v>
      </c>
      <c r="R880" t="s">
        <v>2324</v>
      </c>
      <c r="S880" t="s">
        <v>2325</v>
      </c>
      <c r="T880" t="s">
        <v>58</v>
      </c>
      <c r="U880" t="s">
        <v>82</v>
      </c>
      <c r="V880" s="1">
        <v>44767</v>
      </c>
      <c r="W880">
        <v>0</v>
      </c>
      <c r="X880">
        <v>15</v>
      </c>
      <c r="AA880" t="s">
        <v>42</v>
      </c>
      <c r="AB880" t="s">
        <v>43</v>
      </c>
      <c r="AC880" t="s">
        <v>43</v>
      </c>
    </row>
    <row r="881" spans="1:31" x14ac:dyDescent="0.4">
      <c r="A881" t="s">
        <v>27</v>
      </c>
      <c r="B881">
        <v>3520</v>
      </c>
      <c r="C881" t="s">
        <v>2323</v>
      </c>
      <c r="D881">
        <v>282</v>
      </c>
      <c r="E881" t="s">
        <v>68</v>
      </c>
      <c r="F881" t="s">
        <v>611</v>
      </c>
      <c r="G881" t="s">
        <v>2318</v>
      </c>
      <c r="H881" t="s">
        <v>2319</v>
      </c>
      <c r="J881" t="s">
        <v>2320</v>
      </c>
      <c r="K881" t="s">
        <v>215</v>
      </c>
      <c r="L881" t="s">
        <v>2321</v>
      </c>
      <c r="M881" t="s">
        <v>35</v>
      </c>
      <c r="N881">
        <v>7715099616</v>
      </c>
      <c r="O881" t="s">
        <v>2322</v>
      </c>
      <c r="P881" t="s">
        <v>2323</v>
      </c>
      <c r="R881" t="s">
        <v>3123</v>
      </c>
      <c r="S881" t="s">
        <v>2327</v>
      </c>
      <c r="T881" t="s">
        <v>58</v>
      </c>
      <c r="U881" t="s">
        <v>82</v>
      </c>
      <c r="V881" s="1">
        <v>42768</v>
      </c>
      <c r="W881">
        <v>0</v>
      </c>
      <c r="X881">
        <v>15</v>
      </c>
      <c r="AA881" t="s">
        <v>42</v>
      </c>
      <c r="AB881" t="s">
        <v>43</v>
      </c>
      <c r="AC881" t="s">
        <v>43</v>
      </c>
    </row>
    <row r="882" spans="1:31" x14ac:dyDescent="0.4">
      <c r="A882" t="s">
        <v>27</v>
      </c>
      <c r="B882">
        <v>3520</v>
      </c>
      <c r="C882" t="s">
        <v>2323</v>
      </c>
      <c r="D882">
        <v>282</v>
      </c>
      <c r="E882" t="s">
        <v>68</v>
      </c>
      <c r="F882" t="s">
        <v>611</v>
      </c>
      <c r="G882" t="s">
        <v>2318</v>
      </c>
      <c r="H882" t="s">
        <v>2319</v>
      </c>
      <c r="J882" t="s">
        <v>2320</v>
      </c>
      <c r="K882" t="s">
        <v>215</v>
      </c>
      <c r="L882" t="s">
        <v>2321</v>
      </c>
      <c r="M882" t="s">
        <v>35</v>
      </c>
      <c r="N882">
        <v>7715099616</v>
      </c>
      <c r="O882" t="s">
        <v>2322</v>
      </c>
      <c r="P882" t="s">
        <v>2323</v>
      </c>
      <c r="R882" t="s">
        <v>3123</v>
      </c>
      <c r="S882" t="s">
        <v>2327</v>
      </c>
      <c r="T882" t="s">
        <v>58</v>
      </c>
      <c r="U882" t="s">
        <v>82</v>
      </c>
      <c r="V882" s="1">
        <v>42768</v>
      </c>
      <c r="W882">
        <v>0</v>
      </c>
      <c r="X882">
        <v>17</v>
      </c>
      <c r="AA882" t="s">
        <v>42</v>
      </c>
      <c r="AB882" t="s">
        <v>43</v>
      </c>
      <c r="AC882" t="s">
        <v>43</v>
      </c>
    </row>
    <row r="883" spans="1:31" x14ac:dyDescent="0.4">
      <c r="A883" t="s">
        <v>27</v>
      </c>
      <c r="B883">
        <v>1973</v>
      </c>
      <c r="C883" t="s">
        <v>2331</v>
      </c>
      <c r="E883" t="s">
        <v>68</v>
      </c>
      <c r="F883" t="s">
        <v>2328</v>
      </c>
      <c r="G883" t="s">
        <v>2329</v>
      </c>
      <c r="H883" t="s">
        <v>1298</v>
      </c>
      <c r="J883" t="s">
        <v>1299</v>
      </c>
      <c r="K883" t="s">
        <v>33</v>
      </c>
      <c r="L883" t="s">
        <v>1300</v>
      </c>
      <c r="M883" t="s">
        <v>35</v>
      </c>
      <c r="N883">
        <v>7947515511</v>
      </c>
      <c r="O883" t="s">
        <v>2330</v>
      </c>
      <c r="P883" t="s">
        <v>2331</v>
      </c>
      <c r="R883" t="s">
        <v>2332</v>
      </c>
      <c r="S883" t="s">
        <v>41</v>
      </c>
      <c r="T883" t="s">
        <v>1314</v>
      </c>
      <c r="U883" t="s">
        <v>82</v>
      </c>
      <c r="V883" s="1">
        <v>45537</v>
      </c>
      <c r="W883">
        <v>0</v>
      </c>
      <c r="X883">
        <v>0</v>
      </c>
      <c r="Y883" t="s">
        <v>59</v>
      </c>
      <c r="AA883" t="s">
        <v>42</v>
      </c>
      <c r="AB883" t="s">
        <v>43</v>
      </c>
      <c r="AC883" t="s">
        <v>43</v>
      </c>
    </row>
    <row r="884" spans="1:31" x14ac:dyDescent="0.4">
      <c r="A884" t="s">
        <v>27</v>
      </c>
      <c r="B884">
        <v>2964</v>
      </c>
      <c r="C884" t="s">
        <v>2338</v>
      </c>
      <c r="D884">
        <v>283</v>
      </c>
      <c r="E884" t="s">
        <v>68</v>
      </c>
      <c r="F884" t="s">
        <v>1024</v>
      </c>
      <c r="G884" t="s">
        <v>2333</v>
      </c>
      <c r="H884" t="s">
        <v>2334</v>
      </c>
      <c r="J884" t="s">
        <v>2335</v>
      </c>
      <c r="K884" t="s">
        <v>73</v>
      </c>
      <c r="L884" t="s">
        <v>2336</v>
      </c>
      <c r="M884" t="s">
        <v>35</v>
      </c>
      <c r="N884">
        <v>1372842871</v>
      </c>
      <c r="O884" t="s">
        <v>2337</v>
      </c>
      <c r="P884" t="s">
        <v>2338</v>
      </c>
      <c r="R884" t="s">
        <v>3054</v>
      </c>
      <c r="S884" t="s">
        <v>2340</v>
      </c>
      <c r="T884" t="s">
        <v>58</v>
      </c>
      <c r="U884" t="s">
        <v>40</v>
      </c>
      <c r="V884" s="1">
        <v>42333</v>
      </c>
      <c r="W884">
        <v>0</v>
      </c>
      <c r="X884">
        <v>4</v>
      </c>
      <c r="Y884" t="s">
        <v>65</v>
      </c>
      <c r="AA884" t="s">
        <v>42</v>
      </c>
      <c r="AB884" t="s">
        <v>43</v>
      </c>
      <c r="AC884" t="s">
        <v>42</v>
      </c>
    </row>
    <row r="885" spans="1:31" x14ac:dyDescent="0.4">
      <c r="A885" t="s">
        <v>27</v>
      </c>
      <c r="B885">
        <v>2964</v>
      </c>
      <c r="C885" t="s">
        <v>2338</v>
      </c>
      <c r="D885">
        <v>283</v>
      </c>
      <c r="E885" t="s">
        <v>68</v>
      </c>
      <c r="F885" t="s">
        <v>1024</v>
      </c>
      <c r="G885" t="s">
        <v>2333</v>
      </c>
      <c r="H885" t="s">
        <v>2334</v>
      </c>
      <c r="J885" t="s">
        <v>2335</v>
      </c>
      <c r="K885" t="s">
        <v>73</v>
      </c>
      <c r="L885" t="s">
        <v>2336</v>
      </c>
      <c r="M885" t="s">
        <v>35</v>
      </c>
      <c r="N885">
        <v>1372842871</v>
      </c>
      <c r="O885" t="s">
        <v>2337</v>
      </c>
      <c r="P885" t="s">
        <v>2338</v>
      </c>
      <c r="R885" t="s">
        <v>3054</v>
      </c>
      <c r="S885" t="s">
        <v>2340</v>
      </c>
      <c r="T885" t="s">
        <v>58</v>
      </c>
      <c r="U885" t="s">
        <v>40</v>
      </c>
      <c r="V885" s="1">
        <v>42333</v>
      </c>
      <c r="W885">
        <v>0</v>
      </c>
      <c r="X885">
        <v>12</v>
      </c>
      <c r="AA885" t="s">
        <v>42</v>
      </c>
      <c r="AB885" t="s">
        <v>43</v>
      </c>
      <c r="AC885" t="s">
        <v>42</v>
      </c>
    </row>
    <row r="886" spans="1:31" x14ac:dyDescent="0.4">
      <c r="A886" t="s">
        <v>27</v>
      </c>
      <c r="B886">
        <v>2964</v>
      </c>
      <c r="C886" t="s">
        <v>2338</v>
      </c>
      <c r="D886">
        <v>286</v>
      </c>
      <c r="E886" t="s">
        <v>68</v>
      </c>
      <c r="F886" t="s">
        <v>1024</v>
      </c>
      <c r="G886" t="s">
        <v>2333</v>
      </c>
      <c r="H886" t="s">
        <v>2334</v>
      </c>
      <c r="J886" t="s">
        <v>2335</v>
      </c>
      <c r="K886" t="s">
        <v>73</v>
      </c>
      <c r="L886" t="s">
        <v>2336</v>
      </c>
      <c r="M886" t="s">
        <v>35</v>
      </c>
      <c r="N886">
        <v>1372842871</v>
      </c>
      <c r="O886" t="s">
        <v>2337</v>
      </c>
      <c r="P886" t="s">
        <v>3125</v>
      </c>
      <c r="R886" t="s">
        <v>3124</v>
      </c>
      <c r="S886" t="s">
        <v>2342</v>
      </c>
      <c r="T886" t="s">
        <v>58</v>
      </c>
      <c r="U886" t="s">
        <v>40</v>
      </c>
      <c r="V886" s="1">
        <v>44107</v>
      </c>
      <c r="W886">
        <v>0</v>
      </c>
      <c r="X886">
        <v>5</v>
      </c>
      <c r="Y886" t="s">
        <v>66</v>
      </c>
      <c r="AA886" t="s">
        <v>42</v>
      </c>
      <c r="AB886" t="s">
        <v>43</v>
      </c>
      <c r="AC886" t="s">
        <v>42</v>
      </c>
    </row>
    <row r="887" spans="1:31" x14ac:dyDescent="0.4">
      <c r="A887" t="s">
        <v>27</v>
      </c>
      <c r="B887">
        <v>2964</v>
      </c>
      <c r="C887" t="s">
        <v>2338</v>
      </c>
      <c r="D887">
        <v>286</v>
      </c>
      <c r="E887" t="s">
        <v>68</v>
      </c>
      <c r="F887" t="s">
        <v>1024</v>
      </c>
      <c r="G887" t="s">
        <v>2333</v>
      </c>
      <c r="H887" t="s">
        <v>2334</v>
      </c>
      <c r="J887" t="s">
        <v>2335</v>
      </c>
      <c r="K887" t="s">
        <v>73</v>
      </c>
      <c r="L887" t="s">
        <v>2336</v>
      </c>
      <c r="M887" t="s">
        <v>35</v>
      </c>
      <c r="N887">
        <v>1372842871</v>
      </c>
      <c r="O887" t="s">
        <v>2337</v>
      </c>
      <c r="P887" t="s">
        <v>3125</v>
      </c>
      <c r="R887" t="s">
        <v>3124</v>
      </c>
      <c r="S887" t="s">
        <v>2342</v>
      </c>
      <c r="T887" t="s">
        <v>58</v>
      </c>
      <c r="U887" t="s">
        <v>40</v>
      </c>
      <c r="V887" s="1">
        <v>44107</v>
      </c>
      <c r="W887">
        <v>0</v>
      </c>
      <c r="X887">
        <v>14</v>
      </c>
      <c r="AA887" t="s">
        <v>42</v>
      </c>
      <c r="AB887" t="s">
        <v>43</v>
      </c>
      <c r="AC887" t="s">
        <v>42</v>
      </c>
    </row>
    <row r="888" spans="1:31" x14ac:dyDescent="0.4">
      <c r="A888" t="s">
        <v>27</v>
      </c>
      <c r="B888">
        <v>2964</v>
      </c>
      <c r="C888" t="s">
        <v>2338</v>
      </c>
      <c r="D888">
        <v>283</v>
      </c>
      <c r="E888" t="s">
        <v>68</v>
      </c>
      <c r="F888" t="s">
        <v>1024</v>
      </c>
      <c r="G888" t="s">
        <v>2333</v>
      </c>
      <c r="H888" t="s">
        <v>2334</v>
      </c>
      <c r="J888" t="s">
        <v>2335</v>
      </c>
      <c r="K888" t="s">
        <v>73</v>
      </c>
      <c r="L888" t="s">
        <v>2336</v>
      </c>
      <c r="M888" t="s">
        <v>35</v>
      </c>
      <c r="N888">
        <v>1372842871</v>
      </c>
      <c r="O888" t="s">
        <v>2337</v>
      </c>
      <c r="P888" t="s">
        <v>2338</v>
      </c>
      <c r="R888" t="s">
        <v>3054</v>
      </c>
      <c r="S888" t="s">
        <v>2340</v>
      </c>
      <c r="T888" t="s">
        <v>58</v>
      </c>
      <c r="U888" t="s">
        <v>40</v>
      </c>
      <c r="V888" s="1">
        <v>42333</v>
      </c>
      <c r="W888">
        <v>0</v>
      </c>
      <c r="X888">
        <v>16</v>
      </c>
      <c r="AA888" t="s">
        <v>42</v>
      </c>
      <c r="AB888" t="s">
        <v>43</v>
      </c>
      <c r="AC888" t="s">
        <v>42</v>
      </c>
    </row>
    <row r="889" spans="1:31" x14ac:dyDescent="0.4">
      <c r="A889" t="s">
        <v>27</v>
      </c>
      <c r="B889">
        <v>3222</v>
      </c>
      <c r="C889" t="s">
        <v>2348</v>
      </c>
      <c r="D889">
        <v>284</v>
      </c>
      <c r="E889" t="s">
        <v>28</v>
      </c>
      <c r="F889" t="s">
        <v>2343</v>
      </c>
      <c r="G889" t="s">
        <v>2333</v>
      </c>
      <c r="H889" t="s">
        <v>2344</v>
      </c>
      <c r="J889" t="s">
        <v>982</v>
      </c>
      <c r="K889" t="s">
        <v>73</v>
      </c>
      <c r="L889" t="s">
        <v>2345</v>
      </c>
      <c r="M889" t="s">
        <v>35</v>
      </c>
      <c r="N889" t="s">
        <v>2346</v>
      </c>
      <c r="O889" t="s">
        <v>2347</v>
      </c>
      <c r="P889" t="s">
        <v>2348</v>
      </c>
      <c r="R889" t="s">
        <v>2349</v>
      </c>
      <c r="S889" t="s">
        <v>2350</v>
      </c>
      <c r="T889" t="s">
        <v>58</v>
      </c>
      <c r="U889" t="s">
        <v>82</v>
      </c>
      <c r="V889" s="1">
        <v>45285</v>
      </c>
      <c r="W889">
        <v>0</v>
      </c>
      <c r="X889">
        <v>4</v>
      </c>
      <c r="Y889" t="s">
        <v>65</v>
      </c>
      <c r="AA889" t="s">
        <v>42</v>
      </c>
      <c r="AB889" t="s">
        <v>43</v>
      </c>
      <c r="AC889" t="s">
        <v>43</v>
      </c>
    </row>
    <row r="890" spans="1:31" x14ac:dyDescent="0.4">
      <c r="A890" t="s">
        <v>27</v>
      </c>
      <c r="B890">
        <v>3222</v>
      </c>
      <c r="C890" t="s">
        <v>2348</v>
      </c>
      <c r="D890">
        <v>284</v>
      </c>
      <c r="E890" t="s">
        <v>28</v>
      </c>
      <c r="F890" t="s">
        <v>2343</v>
      </c>
      <c r="G890" t="s">
        <v>2333</v>
      </c>
      <c r="H890" t="s">
        <v>2344</v>
      </c>
      <c r="J890" t="s">
        <v>982</v>
      </c>
      <c r="K890" t="s">
        <v>73</v>
      </c>
      <c r="L890" t="s">
        <v>2345</v>
      </c>
      <c r="M890" t="s">
        <v>35</v>
      </c>
      <c r="N890" t="s">
        <v>2346</v>
      </c>
      <c r="O890" t="s">
        <v>2347</v>
      </c>
      <c r="P890" t="s">
        <v>2348</v>
      </c>
      <c r="R890" t="s">
        <v>2349</v>
      </c>
      <c r="S890" t="s">
        <v>2350</v>
      </c>
      <c r="T890" t="s">
        <v>58</v>
      </c>
      <c r="U890" t="s">
        <v>82</v>
      </c>
      <c r="V890" s="1">
        <v>45285</v>
      </c>
      <c r="W890">
        <v>0</v>
      </c>
      <c r="X890">
        <v>5</v>
      </c>
      <c r="Y890" t="s">
        <v>66</v>
      </c>
      <c r="AA890" t="s">
        <v>42</v>
      </c>
      <c r="AB890" t="s">
        <v>43</v>
      </c>
      <c r="AC890" t="s">
        <v>43</v>
      </c>
    </row>
    <row r="891" spans="1:31" x14ac:dyDescent="0.4">
      <c r="A891" t="s">
        <v>27</v>
      </c>
      <c r="B891">
        <v>3222</v>
      </c>
      <c r="C891" t="s">
        <v>2348</v>
      </c>
      <c r="D891">
        <v>285</v>
      </c>
      <c r="E891" t="s">
        <v>28</v>
      </c>
      <c r="F891" t="s">
        <v>2343</v>
      </c>
      <c r="G891" t="s">
        <v>2333</v>
      </c>
      <c r="H891" t="s">
        <v>2344</v>
      </c>
      <c r="J891" t="s">
        <v>982</v>
      </c>
      <c r="K891" t="s">
        <v>73</v>
      </c>
      <c r="L891" t="s">
        <v>2345</v>
      </c>
      <c r="M891" t="s">
        <v>35</v>
      </c>
      <c r="N891" t="s">
        <v>2346</v>
      </c>
      <c r="O891" t="s">
        <v>2347</v>
      </c>
      <c r="P891" t="s">
        <v>2348</v>
      </c>
      <c r="R891" t="s">
        <v>2351</v>
      </c>
      <c r="S891" t="s">
        <v>2352</v>
      </c>
      <c r="T891" t="s">
        <v>58</v>
      </c>
      <c r="U891" t="s">
        <v>82</v>
      </c>
      <c r="V891" s="1">
        <v>42864</v>
      </c>
      <c r="W891">
        <v>0</v>
      </c>
      <c r="X891">
        <v>7</v>
      </c>
      <c r="AA891" t="s">
        <v>42</v>
      </c>
      <c r="AB891" t="s">
        <v>43</v>
      </c>
      <c r="AC891" t="s">
        <v>43</v>
      </c>
    </row>
    <row r="892" spans="1:31" x14ac:dyDescent="0.4">
      <c r="A892" t="s">
        <v>27</v>
      </c>
      <c r="B892">
        <v>3222</v>
      </c>
      <c r="C892" t="s">
        <v>2348</v>
      </c>
      <c r="E892" t="s">
        <v>28</v>
      </c>
      <c r="F892" t="s">
        <v>2343</v>
      </c>
      <c r="G892" t="s">
        <v>2333</v>
      </c>
      <c r="H892" t="s">
        <v>2344</v>
      </c>
      <c r="J892" t="s">
        <v>982</v>
      </c>
      <c r="K892" t="s">
        <v>73</v>
      </c>
      <c r="L892" t="s">
        <v>2345</v>
      </c>
      <c r="M892" t="s">
        <v>35</v>
      </c>
      <c r="N892" t="s">
        <v>2346</v>
      </c>
      <c r="O892" t="s">
        <v>2347</v>
      </c>
      <c r="P892" t="s">
        <v>2348</v>
      </c>
      <c r="R892" t="s">
        <v>2349</v>
      </c>
      <c r="S892" t="s">
        <v>2350</v>
      </c>
      <c r="T892" t="s">
        <v>58</v>
      </c>
      <c r="U892" t="s">
        <v>82</v>
      </c>
      <c r="V892" s="1">
        <v>45285</v>
      </c>
      <c r="W892">
        <v>0</v>
      </c>
      <c r="X892">
        <v>0</v>
      </c>
      <c r="Y892" t="s">
        <v>59</v>
      </c>
      <c r="AA892" t="s">
        <v>42</v>
      </c>
      <c r="AB892" t="s">
        <v>43</v>
      </c>
      <c r="AC892" t="s">
        <v>43</v>
      </c>
    </row>
    <row r="893" spans="1:31" x14ac:dyDescent="0.4">
      <c r="A893" t="s">
        <v>27</v>
      </c>
      <c r="B893">
        <v>3222</v>
      </c>
      <c r="C893" t="s">
        <v>2348</v>
      </c>
      <c r="E893" t="s">
        <v>28</v>
      </c>
      <c r="F893" t="s">
        <v>2343</v>
      </c>
      <c r="G893" t="s">
        <v>2333</v>
      </c>
      <c r="H893" t="s">
        <v>2344</v>
      </c>
      <c r="J893" t="s">
        <v>982</v>
      </c>
      <c r="K893" t="s">
        <v>73</v>
      </c>
      <c r="L893" t="s">
        <v>2345</v>
      </c>
      <c r="M893" t="s">
        <v>35</v>
      </c>
      <c r="N893" t="s">
        <v>2346</v>
      </c>
      <c r="O893" t="s">
        <v>2347</v>
      </c>
      <c r="P893" t="s">
        <v>2348</v>
      </c>
      <c r="R893" t="s">
        <v>2351</v>
      </c>
      <c r="S893" t="s">
        <v>2352</v>
      </c>
      <c r="T893" t="s">
        <v>58</v>
      </c>
      <c r="U893" t="s">
        <v>82</v>
      </c>
      <c r="V893" s="1">
        <v>42864</v>
      </c>
      <c r="W893">
        <v>0</v>
      </c>
      <c r="X893">
        <v>0</v>
      </c>
      <c r="Y893" t="s">
        <v>59</v>
      </c>
      <c r="AA893" t="s">
        <v>42</v>
      </c>
      <c r="AB893" t="s">
        <v>43</v>
      </c>
      <c r="AC893" t="s">
        <v>43</v>
      </c>
    </row>
    <row r="894" spans="1:31" x14ac:dyDescent="0.4">
      <c r="A894" t="s">
        <v>27</v>
      </c>
      <c r="B894">
        <v>5940</v>
      </c>
      <c r="C894" t="s">
        <v>2874</v>
      </c>
      <c r="D894">
        <v>287</v>
      </c>
      <c r="E894" t="s">
        <v>68</v>
      </c>
      <c r="F894" t="s">
        <v>2353</v>
      </c>
      <c r="G894" t="s">
        <v>2354</v>
      </c>
      <c r="H894" t="s">
        <v>2355</v>
      </c>
      <c r="J894" t="s">
        <v>2356</v>
      </c>
      <c r="K894" t="s">
        <v>495</v>
      </c>
      <c r="L894" t="s">
        <v>2357</v>
      </c>
      <c r="M894" t="s">
        <v>35</v>
      </c>
      <c r="N894" t="s">
        <v>2358</v>
      </c>
      <c r="O894" t="s">
        <v>2359</v>
      </c>
      <c r="P894" t="s">
        <v>2874</v>
      </c>
      <c r="R894" t="s">
        <v>2360</v>
      </c>
      <c r="S894" t="s">
        <v>2361</v>
      </c>
      <c r="T894" t="s">
        <v>58</v>
      </c>
      <c r="U894" t="s">
        <v>82</v>
      </c>
      <c r="V894" s="1">
        <v>44166</v>
      </c>
      <c r="W894">
        <v>0</v>
      </c>
      <c r="X894">
        <v>6</v>
      </c>
      <c r="Y894" t="s">
        <v>83</v>
      </c>
      <c r="Z894" t="s">
        <v>135</v>
      </c>
      <c r="AA894" t="s">
        <v>42</v>
      </c>
      <c r="AB894" t="s">
        <v>43</v>
      </c>
      <c r="AC894" t="s">
        <v>43</v>
      </c>
    </row>
    <row r="895" spans="1:31" x14ac:dyDescent="0.4">
      <c r="A895" t="s">
        <v>27</v>
      </c>
      <c r="B895">
        <v>5940</v>
      </c>
      <c r="C895" t="s">
        <v>2874</v>
      </c>
      <c r="D895">
        <v>287</v>
      </c>
      <c r="E895" t="s">
        <v>68</v>
      </c>
      <c r="F895" t="s">
        <v>2353</v>
      </c>
      <c r="G895" t="s">
        <v>2354</v>
      </c>
      <c r="H895" t="s">
        <v>2355</v>
      </c>
      <c r="J895" t="s">
        <v>2356</v>
      </c>
      <c r="K895" t="s">
        <v>495</v>
      </c>
      <c r="L895" t="s">
        <v>2357</v>
      </c>
      <c r="M895" t="s">
        <v>35</v>
      </c>
      <c r="N895" t="s">
        <v>2358</v>
      </c>
      <c r="O895" t="s">
        <v>2359</v>
      </c>
      <c r="P895" t="s">
        <v>2874</v>
      </c>
      <c r="R895" t="s">
        <v>2360</v>
      </c>
      <c r="S895" t="s">
        <v>2361</v>
      </c>
      <c r="T895" t="s">
        <v>58</v>
      </c>
      <c r="U895" t="s">
        <v>82</v>
      </c>
      <c r="V895" s="1">
        <v>44166</v>
      </c>
      <c r="W895">
        <v>0</v>
      </c>
      <c r="X895">
        <v>17</v>
      </c>
      <c r="Z895" t="s">
        <v>135</v>
      </c>
      <c r="AA895" t="s">
        <v>42</v>
      </c>
      <c r="AB895" t="s">
        <v>43</v>
      </c>
      <c r="AC895" t="s">
        <v>43</v>
      </c>
    </row>
    <row r="896" spans="1:31" x14ac:dyDescent="0.4">
      <c r="A896" t="s">
        <v>27</v>
      </c>
      <c r="B896">
        <v>378</v>
      </c>
      <c r="C896" t="s">
        <v>2368</v>
      </c>
      <c r="D896">
        <v>288</v>
      </c>
      <c r="E896" t="s">
        <v>68</v>
      </c>
      <c r="F896" t="s">
        <v>2362</v>
      </c>
      <c r="G896" t="s">
        <v>2363</v>
      </c>
      <c r="H896" t="s">
        <v>2364</v>
      </c>
      <c r="J896" t="s">
        <v>2365</v>
      </c>
      <c r="K896" t="s">
        <v>73</v>
      </c>
      <c r="L896" t="s">
        <v>2366</v>
      </c>
      <c r="M896" t="s">
        <v>35</v>
      </c>
      <c r="N896">
        <v>2086882938</v>
      </c>
      <c r="O896" t="s">
        <v>2367</v>
      </c>
      <c r="P896" t="s">
        <v>2368</v>
      </c>
      <c r="R896" t="s">
        <v>2369</v>
      </c>
      <c r="S896" t="s">
        <v>2370</v>
      </c>
      <c r="T896" t="s">
        <v>232</v>
      </c>
      <c r="U896" t="s">
        <v>40</v>
      </c>
      <c r="V896" s="1">
        <v>43381</v>
      </c>
      <c r="W896">
        <v>0</v>
      </c>
      <c r="X896">
        <v>5</v>
      </c>
      <c r="Y896" t="s">
        <v>66</v>
      </c>
      <c r="AA896" t="s">
        <v>42</v>
      </c>
      <c r="AB896" t="s">
        <v>43</v>
      </c>
      <c r="AC896" t="s">
        <v>43</v>
      </c>
      <c r="AE896" t="s">
        <v>2371</v>
      </c>
    </row>
    <row r="897" spans="1:31" x14ac:dyDescent="0.4">
      <c r="A897" t="s">
        <v>27</v>
      </c>
      <c r="B897">
        <v>378</v>
      </c>
      <c r="C897" t="s">
        <v>2368</v>
      </c>
      <c r="E897" t="s">
        <v>68</v>
      </c>
      <c r="F897" t="s">
        <v>2362</v>
      </c>
      <c r="G897" t="s">
        <v>2363</v>
      </c>
      <c r="H897" t="s">
        <v>2364</v>
      </c>
      <c r="J897" t="s">
        <v>2365</v>
      </c>
      <c r="K897" t="s">
        <v>73</v>
      </c>
      <c r="L897" t="s">
        <v>2366</v>
      </c>
      <c r="M897" t="s">
        <v>35</v>
      </c>
      <c r="N897">
        <v>2086882938</v>
      </c>
      <c r="O897" t="s">
        <v>2367</v>
      </c>
      <c r="P897" t="s">
        <v>2368</v>
      </c>
      <c r="R897" t="s">
        <v>2372</v>
      </c>
      <c r="S897" t="s">
        <v>2373</v>
      </c>
      <c r="T897" t="s">
        <v>232</v>
      </c>
      <c r="U897" t="s">
        <v>40</v>
      </c>
      <c r="V897" s="1">
        <v>45543</v>
      </c>
      <c r="W897">
        <v>0</v>
      </c>
      <c r="X897">
        <v>0</v>
      </c>
      <c r="Y897" t="s">
        <v>59</v>
      </c>
      <c r="AA897" t="s">
        <v>42</v>
      </c>
      <c r="AB897" t="s">
        <v>43</v>
      </c>
      <c r="AC897" t="s">
        <v>43</v>
      </c>
      <c r="AE897" t="s">
        <v>2371</v>
      </c>
    </row>
    <row r="898" spans="1:31" x14ac:dyDescent="0.4">
      <c r="A898" t="s">
        <v>27</v>
      </c>
      <c r="B898">
        <v>378</v>
      </c>
      <c r="C898" t="s">
        <v>2368</v>
      </c>
      <c r="E898" t="s">
        <v>68</v>
      </c>
      <c r="F898" t="s">
        <v>2362</v>
      </c>
      <c r="G898" t="s">
        <v>2363</v>
      </c>
      <c r="H898" t="s">
        <v>2364</v>
      </c>
      <c r="J898" t="s">
        <v>2365</v>
      </c>
      <c r="K898" t="s">
        <v>73</v>
      </c>
      <c r="L898" t="s">
        <v>2366</v>
      </c>
      <c r="M898" t="s">
        <v>35</v>
      </c>
      <c r="N898">
        <v>2086882938</v>
      </c>
      <c r="O898" t="s">
        <v>2367</v>
      </c>
      <c r="P898" t="s">
        <v>2368</v>
      </c>
      <c r="R898" t="s">
        <v>2374</v>
      </c>
      <c r="S898" t="s">
        <v>2375</v>
      </c>
      <c r="T898" t="s">
        <v>94</v>
      </c>
      <c r="U898" t="s">
        <v>40</v>
      </c>
      <c r="V898" s="1">
        <v>41370</v>
      </c>
      <c r="W898">
        <v>0</v>
      </c>
      <c r="X898">
        <v>0</v>
      </c>
      <c r="Y898" t="s">
        <v>59</v>
      </c>
      <c r="AA898" t="s">
        <v>42</v>
      </c>
      <c r="AB898" t="s">
        <v>43</v>
      </c>
      <c r="AC898" t="s">
        <v>43</v>
      </c>
      <c r="AE898" t="s">
        <v>2371</v>
      </c>
    </row>
    <row r="899" spans="1:31" x14ac:dyDescent="0.4">
      <c r="A899" t="s">
        <v>27</v>
      </c>
      <c r="B899">
        <v>378</v>
      </c>
      <c r="C899" t="s">
        <v>2368</v>
      </c>
      <c r="E899" t="s">
        <v>68</v>
      </c>
      <c r="F899" t="s">
        <v>2362</v>
      </c>
      <c r="G899" t="s">
        <v>2363</v>
      </c>
      <c r="H899" t="s">
        <v>2364</v>
      </c>
      <c r="J899" t="s">
        <v>2365</v>
      </c>
      <c r="K899" t="s">
        <v>73</v>
      </c>
      <c r="L899" t="s">
        <v>2366</v>
      </c>
      <c r="M899" t="s">
        <v>35</v>
      </c>
      <c r="N899">
        <v>2086882938</v>
      </c>
      <c r="O899" t="s">
        <v>2367</v>
      </c>
      <c r="P899" t="s">
        <v>2368</v>
      </c>
      <c r="R899" t="s">
        <v>2376</v>
      </c>
      <c r="S899" t="s">
        <v>2377</v>
      </c>
      <c r="T899" t="s">
        <v>58</v>
      </c>
      <c r="U899" t="s">
        <v>40</v>
      </c>
      <c r="V899" s="1">
        <v>42664</v>
      </c>
      <c r="W899">
        <v>0</v>
      </c>
      <c r="X899">
        <v>0</v>
      </c>
      <c r="Y899" t="s">
        <v>59</v>
      </c>
      <c r="AA899" t="s">
        <v>42</v>
      </c>
      <c r="AB899" t="s">
        <v>43</v>
      </c>
      <c r="AC899" t="s">
        <v>43</v>
      </c>
      <c r="AE899" t="s">
        <v>2371</v>
      </c>
    </row>
    <row r="900" spans="1:31" x14ac:dyDescent="0.4">
      <c r="A900" t="s">
        <v>27</v>
      </c>
      <c r="B900">
        <v>378</v>
      </c>
      <c r="C900" t="s">
        <v>2368</v>
      </c>
      <c r="D900">
        <v>288</v>
      </c>
      <c r="E900" t="s">
        <v>68</v>
      </c>
      <c r="F900" t="s">
        <v>2362</v>
      </c>
      <c r="G900" t="s">
        <v>2363</v>
      </c>
      <c r="H900" t="s">
        <v>2364</v>
      </c>
      <c r="J900" t="s">
        <v>2365</v>
      </c>
      <c r="K900" t="s">
        <v>73</v>
      </c>
      <c r="L900" t="s">
        <v>2366</v>
      </c>
      <c r="M900" t="s">
        <v>35</v>
      </c>
      <c r="N900">
        <v>2086882938</v>
      </c>
      <c r="O900" t="s">
        <v>2367</v>
      </c>
      <c r="P900" t="s">
        <v>2368</v>
      </c>
      <c r="R900" t="s">
        <v>2369</v>
      </c>
      <c r="S900" t="s">
        <v>2370</v>
      </c>
      <c r="T900" t="s">
        <v>232</v>
      </c>
      <c r="U900" t="s">
        <v>40</v>
      </c>
      <c r="V900" s="1">
        <v>43381</v>
      </c>
      <c r="W900">
        <v>0</v>
      </c>
      <c r="X900">
        <v>14</v>
      </c>
      <c r="AA900" t="s">
        <v>42</v>
      </c>
      <c r="AB900" t="s">
        <v>43</v>
      </c>
      <c r="AC900" t="s">
        <v>43</v>
      </c>
      <c r="AE900" t="s">
        <v>2371</v>
      </c>
    </row>
    <row r="901" spans="1:31" x14ac:dyDescent="0.4">
      <c r="A901" t="s">
        <v>27</v>
      </c>
      <c r="B901">
        <v>378</v>
      </c>
      <c r="C901" t="s">
        <v>2368</v>
      </c>
      <c r="D901">
        <v>288</v>
      </c>
      <c r="E901" t="s">
        <v>68</v>
      </c>
      <c r="F901" t="s">
        <v>2362</v>
      </c>
      <c r="G901" t="s">
        <v>2363</v>
      </c>
      <c r="H901" t="s">
        <v>2364</v>
      </c>
      <c r="J901" t="s">
        <v>2365</v>
      </c>
      <c r="K901" t="s">
        <v>73</v>
      </c>
      <c r="L901" t="s">
        <v>2366</v>
      </c>
      <c r="M901" t="s">
        <v>35</v>
      </c>
      <c r="N901">
        <v>2086882938</v>
      </c>
      <c r="O901" t="s">
        <v>2367</v>
      </c>
      <c r="P901" t="s">
        <v>2368</v>
      </c>
      <c r="R901" t="s">
        <v>2369</v>
      </c>
      <c r="S901" t="s">
        <v>2370</v>
      </c>
      <c r="T901" t="s">
        <v>232</v>
      </c>
      <c r="U901" t="s">
        <v>40</v>
      </c>
      <c r="V901" s="1">
        <v>43381</v>
      </c>
      <c r="W901">
        <v>0</v>
      </c>
      <c r="X901">
        <v>16</v>
      </c>
      <c r="AA901" t="s">
        <v>42</v>
      </c>
      <c r="AB901" t="s">
        <v>43</v>
      </c>
      <c r="AC901" t="s">
        <v>43</v>
      </c>
      <c r="AE901" t="s">
        <v>2371</v>
      </c>
    </row>
    <row r="902" spans="1:31" x14ac:dyDescent="0.4">
      <c r="A902" t="s">
        <v>27</v>
      </c>
      <c r="B902">
        <v>378</v>
      </c>
      <c r="C902" t="s">
        <v>2368</v>
      </c>
      <c r="D902">
        <v>289</v>
      </c>
      <c r="E902" t="s">
        <v>68</v>
      </c>
      <c r="F902" t="s">
        <v>2362</v>
      </c>
      <c r="G902" t="s">
        <v>2363</v>
      </c>
      <c r="H902" t="s">
        <v>2364</v>
      </c>
      <c r="J902" t="s">
        <v>2365</v>
      </c>
      <c r="K902" t="s">
        <v>73</v>
      </c>
      <c r="L902" t="s">
        <v>2366</v>
      </c>
      <c r="M902" t="s">
        <v>35</v>
      </c>
      <c r="N902">
        <v>2086882938</v>
      </c>
      <c r="O902" t="s">
        <v>2367</v>
      </c>
      <c r="P902" t="s">
        <v>2368</v>
      </c>
      <c r="R902" t="s">
        <v>2376</v>
      </c>
      <c r="S902" t="s">
        <v>2377</v>
      </c>
      <c r="T902" t="s">
        <v>58</v>
      </c>
      <c r="U902" t="s">
        <v>40</v>
      </c>
      <c r="V902" s="1">
        <v>42664</v>
      </c>
      <c r="W902">
        <v>0</v>
      </c>
      <c r="X902">
        <v>18</v>
      </c>
      <c r="AA902" t="s">
        <v>42</v>
      </c>
      <c r="AB902" t="s">
        <v>43</v>
      </c>
      <c r="AC902" t="s">
        <v>43</v>
      </c>
      <c r="AE902" t="s">
        <v>2371</v>
      </c>
    </row>
    <row r="903" spans="1:31" x14ac:dyDescent="0.4">
      <c r="A903" t="s">
        <v>27</v>
      </c>
      <c r="B903">
        <v>378</v>
      </c>
      <c r="C903" t="s">
        <v>2368</v>
      </c>
      <c r="E903" t="s">
        <v>68</v>
      </c>
      <c r="F903" t="s">
        <v>2362</v>
      </c>
      <c r="G903" t="s">
        <v>2363</v>
      </c>
      <c r="H903" t="s">
        <v>2364</v>
      </c>
      <c r="J903" t="s">
        <v>2365</v>
      </c>
      <c r="K903" t="s">
        <v>73</v>
      </c>
      <c r="L903" t="s">
        <v>2366</v>
      </c>
      <c r="M903" t="s">
        <v>35</v>
      </c>
      <c r="N903">
        <v>2086882938</v>
      </c>
      <c r="O903" t="s">
        <v>2367</v>
      </c>
      <c r="P903" t="s">
        <v>2368</v>
      </c>
      <c r="R903" t="s">
        <v>2372</v>
      </c>
      <c r="S903" t="s">
        <v>2373</v>
      </c>
      <c r="T903" t="s">
        <v>232</v>
      </c>
      <c r="U903" t="s">
        <v>40</v>
      </c>
      <c r="V903" s="1">
        <v>45543</v>
      </c>
      <c r="W903">
        <v>0</v>
      </c>
      <c r="X903">
        <v>0</v>
      </c>
      <c r="Y903" t="s">
        <v>59</v>
      </c>
      <c r="AA903" t="s">
        <v>42</v>
      </c>
      <c r="AB903" t="s">
        <v>43</v>
      </c>
      <c r="AC903" t="s">
        <v>43</v>
      </c>
      <c r="AD903" t="s">
        <v>2371</v>
      </c>
    </row>
    <row r="904" spans="1:31" x14ac:dyDescent="0.4">
      <c r="A904" t="s">
        <v>27</v>
      </c>
      <c r="B904">
        <v>378</v>
      </c>
      <c r="C904" t="s">
        <v>2368</v>
      </c>
      <c r="E904" t="s">
        <v>68</v>
      </c>
      <c r="F904" t="s">
        <v>2362</v>
      </c>
      <c r="G904" t="s">
        <v>2363</v>
      </c>
      <c r="H904" t="s">
        <v>2364</v>
      </c>
      <c r="J904" t="s">
        <v>2365</v>
      </c>
      <c r="K904" t="s">
        <v>73</v>
      </c>
      <c r="L904" t="s">
        <v>2366</v>
      </c>
      <c r="M904" t="s">
        <v>35</v>
      </c>
      <c r="N904">
        <v>2086882938</v>
      </c>
      <c r="O904" t="s">
        <v>2367</v>
      </c>
      <c r="P904" t="s">
        <v>2368</v>
      </c>
      <c r="R904" t="s">
        <v>2374</v>
      </c>
      <c r="S904" t="s">
        <v>2375</v>
      </c>
      <c r="T904" t="s">
        <v>94</v>
      </c>
      <c r="U904" t="s">
        <v>40</v>
      </c>
      <c r="V904" s="1">
        <v>41370</v>
      </c>
      <c r="W904">
        <v>0</v>
      </c>
      <c r="X904">
        <v>0</v>
      </c>
      <c r="Y904" t="s">
        <v>59</v>
      </c>
      <c r="AA904" t="s">
        <v>42</v>
      </c>
      <c r="AB904" t="s">
        <v>43</v>
      </c>
      <c r="AC904" t="s">
        <v>43</v>
      </c>
      <c r="AD904" t="s">
        <v>2371</v>
      </c>
    </row>
    <row r="905" spans="1:31" x14ac:dyDescent="0.4">
      <c r="A905" t="s">
        <v>27</v>
      </c>
      <c r="B905">
        <v>656</v>
      </c>
      <c r="C905" t="s">
        <v>2385</v>
      </c>
      <c r="D905">
        <v>290</v>
      </c>
      <c r="E905" t="s">
        <v>68</v>
      </c>
      <c r="F905" t="s">
        <v>594</v>
      </c>
      <c r="G905" t="s">
        <v>2378</v>
      </c>
      <c r="H905" t="s">
        <v>2379</v>
      </c>
      <c r="I905" t="s">
        <v>2380</v>
      </c>
      <c r="J905" t="s">
        <v>2381</v>
      </c>
      <c r="K905" t="s">
        <v>176</v>
      </c>
      <c r="L905" t="s">
        <v>2382</v>
      </c>
      <c r="M905" t="s">
        <v>35</v>
      </c>
      <c r="N905" t="s">
        <v>2383</v>
      </c>
      <c r="O905" t="s">
        <v>2384</v>
      </c>
      <c r="P905" t="s">
        <v>2385</v>
      </c>
      <c r="R905" t="s">
        <v>2386</v>
      </c>
      <c r="S905" t="s">
        <v>2387</v>
      </c>
      <c r="T905" t="s">
        <v>58</v>
      </c>
      <c r="U905" t="s">
        <v>40</v>
      </c>
      <c r="V905" s="1">
        <v>44869</v>
      </c>
      <c r="W905">
        <v>0</v>
      </c>
      <c r="X905">
        <v>16</v>
      </c>
      <c r="AA905" t="s">
        <v>42</v>
      </c>
      <c r="AB905" t="s">
        <v>43</v>
      </c>
      <c r="AC905" t="s">
        <v>43</v>
      </c>
    </row>
    <row r="906" spans="1:31" x14ac:dyDescent="0.4">
      <c r="A906" t="s">
        <v>27</v>
      </c>
      <c r="B906">
        <v>656</v>
      </c>
      <c r="C906" t="s">
        <v>2385</v>
      </c>
      <c r="D906">
        <v>291</v>
      </c>
      <c r="E906" t="s">
        <v>68</v>
      </c>
      <c r="F906" t="s">
        <v>594</v>
      </c>
      <c r="G906" t="s">
        <v>2378</v>
      </c>
      <c r="H906" t="s">
        <v>2379</v>
      </c>
      <c r="I906" t="s">
        <v>2380</v>
      </c>
      <c r="J906" t="s">
        <v>2381</v>
      </c>
      <c r="K906" t="s">
        <v>176</v>
      </c>
      <c r="L906" t="s">
        <v>2382</v>
      </c>
      <c r="M906" t="s">
        <v>35</v>
      </c>
      <c r="N906" t="s">
        <v>2383</v>
      </c>
      <c r="O906" t="s">
        <v>2384</v>
      </c>
      <c r="P906" t="s">
        <v>2385</v>
      </c>
      <c r="R906" t="s">
        <v>2388</v>
      </c>
      <c r="S906" t="s">
        <v>2389</v>
      </c>
      <c r="T906" t="s">
        <v>376</v>
      </c>
      <c r="U906" t="s">
        <v>40</v>
      </c>
      <c r="V906" s="1">
        <v>43686</v>
      </c>
      <c r="W906">
        <v>0</v>
      </c>
      <c r="X906">
        <v>12</v>
      </c>
      <c r="AA906" t="s">
        <v>42</v>
      </c>
      <c r="AB906" t="s">
        <v>43</v>
      </c>
      <c r="AC906" t="s">
        <v>43</v>
      </c>
    </row>
    <row r="907" spans="1:31" x14ac:dyDescent="0.4">
      <c r="A907" t="s">
        <v>27</v>
      </c>
      <c r="B907">
        <v>656</v>
      </c>
      <c r="C907" t="s">
        <v>2385</v>
      </c>
      <c r="D907">
        <v>290</v>
      </c>
      <c r="E907" t="s">
        <v>68</v>
      </c>
      <c r="F907" t="s">
        <v>594</v>
      </c>
      <c r="G907" t="s">
        <v>2378</v>
      </c>
      <c r="H907" t="s">
        <v>2379</v>
      </c>
      <c r="I907" t="s">
        <v>2380</v>
      </c>
      <c r="J907" t="s">
        <v>2381</v>
      </c>
      <c r="K907" t="s">
        <v>176</v>
      </c>
      <c r="L907" t="s">
        <v>2382</v>
      </c>
      <c r="M907" t="s">
        <v>35</v>
      </c>
      <c r="N907" t="s">
        <v>2383</v>
      </c>
      <c r="O907" t="s">
        <v>2384</v>
      </c>
      <c r="P907" t="s">
        <v>2385</v>
      </c>
      <c r="R907" t="s">
        <v>2386</v>
      </c>
      <c r="S907" t="s">
        <v>2387</v>
      </c>
      <c r="T907" t="s">
        <v>58</v>
      </c>
      <c r="U907" t="s">
        <v>40</v>
      </c>
      <c r="V907" s="1">
        <v>44869</v>
      </c>
      <c r="W907">
        <v>0</v>
      </c>
      <c r="X907">
        <v>14</v>
      </c>
      <c r="AA907" t="s">
        <v>42</v>
      </c>
      <c r="AB907" t="s">
        <v>43</v>
      </c>
      <c r="AC907" t="s">
        <v>43</v>
      </c>
    </row>
    <row r="908" spans="1:31" x14ac:dyDescent="0.4">
      <c r="A908" t="s">
        <v>27</v>
      </c>
      <c r="B908">
        <v>2699</v>
      </c>
      <c r="C908" t="s">
        <v>2396</v>
      </c>
      <c r="D908">
        <v>292</v>
      </c>
      <c r="E908" t="s">
        <v>68</v>
      </c>
      <c r="F908" t="s">
        <v>2390</v>
      </c>
      <c r="G908" t="s">
        <v>2391</v>
      </c>
      <c r="H908" t="s">
        <v>2392</v>
      </c>
      <c r="J908" t="s">
        <v>50</v>
      </c>
      <c r="K908" t="s">
        <v>51</v>
      </c>
      <c r="L908" t="s">
        <v>2393</v>
      </c>
      <c r="M908" t="s">
        <v>35</v>
      </c>
      <c r="N908" t="s">
        <v>2394</v>
      </c>
      <c r="O908" t="s">
        <v>2395</v>
      </c>
      <c r="P908" t="s">
        <v>2396</v>
      </c>
      <c r="R908" t="s">
        <v>2397</v>
      </c>
      <c r="S908" t="s">
        <v>2398</v>
      </c>
      <c r="T908" t="s">
        <v>284</v>
      </c>
      <c r="U908" t="s">
        <v>82</v>
      </c>
      <c r="V908" s="1">
        <v>44665</v>
      </c>
      <c r="W908">
        <v>0</v>
      </c>
      <c r="X908">
        <v>9</v>
      </c>
      <c r="AA908" t="s">
        <v>42</v>
      </c>
      <c r="AB908" t="s">
        <v>43</v>
      </c>
      <c r="AC908" t="s">
        <v>43</v>
      </c>
      <c r="AD908" t="s">
        <v>2399</v>
      </c>
    </row>
    <row r="909" spans="1:31" x14ac:dyDescent="0.4">
      <c r="A909" t="s">
        <v>27</v>
      </c>
      <c r="B909">
        <v>2699</v>
      </c>
      <c r="C909" t="s">
        <v>2396</v>
      </c>
      <c r="D909">
        <v>292</v>
      </c>
      <c r="E909" t="s">
        <v>68</v>
      </c>
      <c r="F909" t="s">
        <v>2390</v>
      </c>
      <c r="G909" t="s">
        <v>2391</v>
      </c>
      <c r="H909" t="s">
        <v>2392</v>
      </c>
      <c r="J909" t="s">
        <v>50</v>
      </c>
      <c r="K909" t="s">
        <v>51</v>
      </c>
      <c r="L909" t="s">
        <v>2393</v>
      </c>
      <c r="M909" t="s">
        <v>35</v>
      </c>
      <c r="N909" t="s">
        <v>2394</v>
      </c>
      <c r="O909" t="s">
        <v>2395</v>
      </c>
      <c r="P909" t="s">
        <v>2396</v>
      </c>
      <c r="R909" t="s">
        <v>2397</v>
      </c>
      <c r="S909" t="s">
        <v>2398</v>
      </c>
      <c r="T909" t="s">
        <v>284</v>
      </c>
      <c r="U909" t="s">
        <v>82</v>
      </c>
      <c r="V909" s="1">
        <v>44665</v>
      </c>
      <c r="W909">
        <v>0</v>
      </c>
      <c r="X909">
        <v>10</v>
      </c>
      <c r="AA909" t="s">
        <v>42</v>
      </c>
      <c r="AB909" t="s">
        <v>43</v>
      </c>
      <c r="AC909" t="s">
        <v>43</v>
      </c>
      <c r="AD909" t="s">
        <v>2399</v>
      </c>
    </row>
    <row r="910" spans="1:31" x14ac:dyDescent="0.4">
      <c r="A910" t="s">
        <v>27</v>
      </c>
      <c r="B910">
        <v>643</v>
      </c>
      <c r="C910" t="s">
        <v>2406</v>
      </c>
      <c r="E910" t="s">
        <v>68</v>
      </c>
      <c r="F910" t="s">
        <v>2400</v>
      </c>
      <c r="G910" t="s">
        <v>2401</v>
      </c>
      <c r="H910" t="s">
        <v>2402</v>
      </c>
      <c r="J910" t="s">
        <v>2403</v>
      </c>
      <c r="K910" t="s">
        <v>1696</v>
      </c>
      <c r="L910" t="s">
        <v>2404</v>
      </c>
      <c r="M910" t="s">
        <v>35</v>
      </c>
      <c r="N910">
        <v>7891477539</v>
      </c>
      <c r="O910" t="s">
        <v>2405</v>
      </c>
      <c r="P910" t="s">
        <v>2406</v>
      </c>
      <c r="R910" t="s">
        <v>2407</v>
      </c>
      <c r="S910" t="s">
        <v>2408</v>
      </c>
      <c r="T910" t="s">
        <v>58</v>
      </c>
      <c r="U910" t="s">
        <v>40</v>
      </c>
      <c r="V910" s="1">
        <v>42506</v>
      </c>
      <c r="W910">
        <v>0</v>
      </c>
      <c r="X910">
        <v>0</v>
      </c>
      <c r="Y910" t="s">
        <v>59</v>
      </c>
      <c r="Z910" t="s">
        <v>135</v>
      </c>
      <c r="AA910" t="s">
        <v>42</v>
      </c>
      <c r="AB910" t="s">
        <v>43</v>
      </c>
      <c r="AC910" t="s">
        <v>42</v>
      </c>
    </row>
    <row r="911" spans="1:31" x14ac:dyDescent="0.4">
      <c r="A911" t="s">
        <v>27</v>
      </c>
      <c r="B911">
        <v>643</v>
      </c>
      <c r="C911" t="s">
        <v>2406</v>
      </c>
      <c r="E911" t="s">
        <v>68</v>
      </c>
      <c r="F911" t="s">
        <v>2400</v>
      </c>
      <c r="G911" t="s">
        <v>2401</v>
      </c>
      <c r="H911" t="s">
        <v>2402</v>
      </c>
      <c r="J911" t="s">
        <v>2403</v>
      </c>
      <c r="K911" t="s">
        <v>1696</v>
      </c>
      <c r="L911" t="s">
        <v>2404</v>
      </c>
      <c r="M911" t="s">
        <v>35</v>
      </c>
      <c r="N911">
        <v>7891477539</v>
      </c>
      <c r="O911" t="s">
        <v>2405</v>
      </c>
      <c r="P911" t="s">
        <v>2406</v>
      </c>
      <c r="R911" t="s">
        <v>2407</v>
      </c>
      <c r="S911" t="s">
        <v>2408</v>
      </c>
      <c r="T911" t="s">
        <v>58</v>
      </c>
      <c r="U911" t="s">
        <v>40</v>
      </c>
      <c r="V911" s="1">
        <v>42506</v>
      </c>
      <c r="W911">
        <v>0</v>
      </c>
      <c r="X911">
        <v>0</v>
      </c>
      <c r="Y911" t="s">
        <v>59</v>
      </c>
      <c r="Z911" t="s">
        <v>135</v>
      </c>
      <c r="AA911" t="s">
        <v>42</v>
      </c>
      <c r="AB911" t="s">
        <v>43</v>
      </c>
      <c r="AC911" t="s">
        <v>42</v>
      </c>
    </row>
    <row r="912" spans="1:31" x14ac:dyDescent="0.4">
      <c r="A912" t="s">
        <v>27</v>
      </c>
      <c r="B912">
        <v>643</v>
      </c>
      <c r="C912" t="s">
        <v>2406</v>
      </c>
      <c r="D912">
        <v>293</v>
      </c>
      <c r="E912" t="s">
        <v>68</v>
      </c>
      <c r="F912" t="s">
        <v>2400</v>
      </c>
      <c r="G912" t="s">
        <v>2401</v>
      </c>
      <c r="H912" t="s">
        <v>2402</v>
      </c>
      <c r="J912" t="s">
        <v>2403</v>
      </c>
      <c r="K912" t="s">
        <v>1696</v>
      </c>
      <c r="L912" t="s">
        <v>2404</v>
      </c>
      <c r="M912" t="s">
        <v>35</v>
      </c>
      <c r="N912">
        <v>7891477539</v>
      </c>
      <c r="O912" t="s">
        <v>2405</v>
      </c>
      <c r="P912" t="s">
        <v>2406</v>
      </c>
      <c r="R912" t="s">
        <v>2409</v>
      </c>
      <c r="S912" t="s">
        <v>2410</v>
      </c>
      <c r="T912" t="s">
        <v>94</v>
      </c>
      <c r="U912" t="s">
        <v>40</v>
      </c>
      <c r="V912" s="1">
        <v>44254</v>
      </c>
      <c r="W912">
        <v>0</v>
      </c>
      <c r="X912">
        <v>7</v>
      </c>
      <c r="Z912" t="s">
        <v>135</v>
      </c>
      <c r="AA912" t="s">
        <v>42</v>
      </c>
      <c r="AB912" t="s">
        <v>43</v>
      </c>
      <c r="AC912" t="s">
        <v>42</v>
      </c>
    </row>
    <row r="913" spans="1:29" x14ac:dyDescent="0.4">
      <c r="A913" t="s">
        <v>27</v>
      </c>
      <c r="B913">
        <v>643</v>
      </c>
      <c r="C913" t="s">
        <v>2406</v>
      </c>
      <c r="D913">
        <v>293</v>
      </c>
      <c r="E913" t="s">
        <v>68</v>
      </c>
      <c r="F913" t="s">
        <v>2400</v>
      </c>
      <c r="G913" t="s">
        <v>2401</v>
      </c>
      <c r="H913" t="s">
        <v>2402</v>
      </c>
      <c r="J913" t="s">
        <v>2403</v>
      </c>
      <c r="K913" t="s">
        <v>1696</v>
      </c>
      <c r="L913" t="s">
        <v>2404</v>
      </c>
      <c r="M913" t="s">
        <v>35</v>
      </c>
      <c r="N913">
        <v>7891477539</v>
      </c>
      <c r="O913" t="s">
        <v>2405</v>
      </c>
      <c r="P913" t="s">
        <v>2406</v>
      </c>
      <c r="R913" t="s">
        <v>2409</v>
      </c>
      <c r="S913" t="s">
        <v>2410</v>
      </c>
      <c r="T913" t="s">
        <v>94</v>
      </c>
      <c r="U913" t="s">
        <v>40</v>
      </c>
      <c r="V913" s="1">
        <v>44254</v>
      </c>
      <c r="W913">
        <v>0</v>
      </c>
      <c r="X913">
        <v>20</v>
      </c>
      <c r="Z913" t="s">
        <v>135</v>
      </c>
      <c r="AA913" t="s">
        <v>42</v>
      </c>
      <c r="AB913" t="s">
        <v>43</v>
      </c>
      <c r="AC913" t="s">
        <v>42</v>
      </c>
    </row>
    <row r="914" spans="1:29" x14ac:dyDescent="0.4">
      <c r="A914" t="s">
        <v>27</v>
      </c>
      <c r="B914">
        <v>1556</v>
      </c>
      <c r="C914" t="s">
        <v>3008</v>
      </c>
      <c r="D914">
        <v>294</v>
      </c>
      <c r="E914" t="s">
        <v>68</v>
      </c>
      <c r="F914" t="s">
        <v>2411</v>
      </c>
      <c r="G914" t="s">
        <v>2412</v>
      </c>
      <c r="H914" t="s">
        <v>2413</v>
      </c>
      <c r="J914" t="s">
        <v>1127</v>
      </c>
      <c r="K914" t="s">
        <v>495</v>
      </c>
      <c r="L914" t="s">
        <v>2414</v>
      </c>
      <c r="M914" t="s">
        <v>35</v>
      </c>
      <c r="N914">
        <v>1273415114</v>
      </c>
      <c r="O914" t="s">
        <v>2415</v>
      </c>
      <c r="P914" t="s">
        <v>3008</v>
      </c>
      <c r="R914" t="s">
        <v>2416</v>
      </c>
      <c r="S914" t="s">
        <v>2417</v>
      </c>
      <c r="T914" t="s">
        <v>94</v>
      </c>
      <c r="U914" t="s">
        <v>40</v>
      </c>
      <c r="V914" s="1">
        <v>45179</v>
      </c>
      <c r="W914">
        <v>0</v>
      </c>
      <c r="X914">
        <v>4</v>
      </c>
      <c r="Y914" t="s">
        <v>65</v>
      </c>
      <c r="AA914" t="s">
        <v>42</v>
      </c>
      <c r="AB914" t="s">
        <v>43</v>
      </c>
      <c r="AC914" t="s">
        <v>43</v>
      </c>
    </row>
    <row r="915" spans="1:29" x14ac:dyDescent="0.4">
      <c r="A915" t="s">
        <v>27</v>
      </c>
      <c r="B915">
        <v>1556</v>
      </c>
      <c r="C915" t="s">
        <v>3008</v>
      </c>
      <c r="D915">
        <v>294</v>
      </c>
      <c r="E915" t="s">
        <v>68</v>
      </c>
      <c r="F915" t="s">
        <v>2411</v>
      </c>
      <c r="G915" t="s">
        <v>2412</v>
      </c>
      <c r="H915" t="s">
        <v>2413</v>
      </c>
      <c r="J915" t="s">
        <v>1127</v>
      </c>
      <c r="K915" t="s">
        <v>495</v>
      </c>
      <c r="L915" t="s">
        <v>2414</v>
      </c>
      <c r="M915" t="s">
        <v>35</v>
      </c>
      <c r="N915">
        <v>1273415114</v>
      </c>
      <c r="O915" t="s">
        <v>2415</v>
      </c>
      <c r="P915" t="s">
        <v>3008</v>
      </c>
      <c r="R915" t="s">
        <v>2416</v>
      </c>
      <c r="S915" t="s">
        <v>2417</v>
      </c>
      <c r="T915" t="s">
        <v>94</v>
      </c>
      <c r="U915" t="s">
        <v>40</v>
      </c>
      <c r="V915" s="1">
        <v>45179</v>
      </c>
      <c r="W915">
        <v>0</v>
      </c>
      <c r="X915">
        <v>12</v>
      </c>
      <c r="AA915" t="s">
        <v>42</v>
      </c>
      <c r="AB915" t="s">
        <v>43</v>
      </c>
      <c r="AC915" t="s">
        <v>43</v>
      </c>
    </row>
    <row r="916" spans="1:29" x14ac:dyDescent="0.4">
      <c r="A916" t="s">
        <v>27</v>
      </c>
      <c r="B916">
        <v>1556</v>
      </c>
      <c r="C916" t="s">
        <v>3008</v>
      </c>
      <c r="D916">
        <v>294</v>
      </c>
      <c r="E916" t="s">
        <v>68</v>
      </c>
      <c r="F916" t="s">
        <v>2411</v>
      </c>
      <c r="G916" t="s">
        <v>2412</v>
      </c>
      <c r="H916" t="s">
        <v>2413</v>
      </c>
      <c r="J916" t="s">
        <v>1127</v>
      </c>
      <c r="K916" t="s">
        <v>495</v>
      </c>
      <c r="L916" t="s">
        <v>2414</v>
      </c>
      <c r="M916" t="s">
        <v>35</v>
      </c>
      <c r="N916">
        <v>1273415114</v>
      </c>
      <c r="O916" t="s">
        <v>2415</v>
      </c>
      <c r="P916" t="s">
        <v>3008</v>
      </c>
      <c r="R916" t="s">
        <v>2416</v>
      </c>
      <c r="S916" t="s">
        <v>2417</v>
      </c>
      <c r="T916" t="s">
        <v>94</v>
      </c>
      <c r="U916" t="s">
        <v>40</v>
      </c>
      <c r="V916" s="1">
        <v>45179</v>
      </c>
      <c r="W916">
        <v>0</v>
      </c>
      <c r="X916">
        <v>5</v>
      </c>
      <c r="Y916" t="s">
        <v>66</v>
      </c>
      <c r="AA916" t="s">
        <v>42</v>
      </c>
      <c r="AB916" t="s">
        <v>43</v>
      </c>
      <c r="AC916" t="s">
        <v>43</v>
      </c>
    </row>
    <row r="917" spans="1:29" x14ac:dyDescent="0.4">
      <c r="A917" t="s">
        <v>27</v>
      </c>
      <c r="B917">
        <v>1556</v>
      </c>
      <c r="C917" t="s">
        <v>3008</v>
      </c>
      <c r="D917">
        <v>294</v>
      </c>
      <c r="E917" t="s">
        <v>68</v>
      </c>
      <c r="F917" t="s">
        <v>2411</v>
      </c>
      <c r="G917" t="s">
        <v>2412</v>
      </c>
      <c r="H917" t="s">
        <v>2413</v>
      </c>
      <c r="J917" t="s">
        <v>1127</v>
      </c>
      <c r="K917" t="s">
        <v>495</v>
      </c>
      <c r="L917" t="s">
        <v>2414</v>
      </c>
      <c r="M917" t="s">
        <v>35</v>
      </c>
      <c r="N917">
        <v>1273415114</v>
      </c>
      <c r="O917" t="s">
        <v>2415</v>
      </c>
      <c r="P917" t="s">
        <v>3008</v>
      </c>
      <c r="R917" t="s">
        <v>2416</v>
      </c>
      <c r="S917" t="s">
        <v>2417</v>
      </c>
      <c r="T917" t="s">
        <v>94</v>
      </c>
      <c r="U917" t="s">
        <v>40</v>
      </c>
      <c r="V917" s="1">
        <v>45179</v>
      </c>
      <c r="W917">
        <v>0</v>
      </c>
      <c r="X917">
        <v>14</v>
      </c>
      <c r="AA917" t="s">
        <v>42</v>
      </c>
      <c r="AB917" t="s">
        <v>43</v>
      </c>
      <c r="AC917" t="s">
        <v>43</v>
      </c>
    </row>
    <row r="918" spans="1:29" x14ac:dyDescent="0.4">
      <c r="A918" t="s">
        <v>27</v>
      </c>
      <c r="B918">
        <v>1010</v>
      </c>
      <c r="C918" t="s">
        <v>2875</v>
      </c>
      <c r="E918" t="s">
        <v>68</v>
      </c>
      <c r="F918" t="s">
        <v>594</v>
      </c>
      <c r="G918" t="s">
        <v>2418</v>
      </c>
      <c r="H918" t="s">
        <v>2419</v>
      </c>
      <c r="I918" t="s">
        <v>2419</v>
      </c>
      <c r="J918" t="s">
        <v>2420</v>
      </c>
      <c r="K918" t="s">
        <v>426</v>
      </c>
      <c r="L918" t="s">
        <v>2421</v>
      </c>
      <c r="M918" t="s">
        <v>35</v>
      </c>
      <c r="N918" t="s">
        <v>2422</v>
      </c>
      <c r="O918" t="s">
        <v>2423</v>
      </c>
      <c r="P918" t="s">
        <v>2424</v>
      </c>
      <c r="R918" t="s">
        <v>2425</v>
      </c>
      <c r="S918" t="s">
        <v>2426</v>
      </c>
      <c r="T918" t="s">
        <v>2427</v>
      </c>
      <c r="U918" t="s">
        <v>40</v>
      </c>
      <c r="V918" s="1">
        <v>45459</v>
      </c>
      <c r="W918">
        <v>0</v>
      </c>
      <c r="X918">
        <v>0</v>
      </c>
      <c r="Y918" t="s">
        <v>59</v>
      </c>
      <c r="Z918" t="s">
        <v>464</v>
      </c>
      <c r="AA918" t="s">
        <v>42</v>
      </c>
      <c r="AB918" t="s">
        <v>43</v>
      </c>
      <c r="AC918" t="s">
        <v>43</v>
      </c>
    </row>
    <row r="919" spans="1:29" x14ac:dyDescent="0.4">
      <c r="A919" t="s">
        <v>27</v>
      </c>
      <c r="B919">
        <v>1010</v>
      </c>
      <c r="C919" t="s">
        <v>2875</v>
      </c>
      <c r="E919" t="s">
        <v>68</v>
      </c>
      <c r="F919" t="s">
        <v>594</v>
      </c>
      <c r="G919" t="s">
        <v>2418</v>
      </c>
      <c r="H919" t="s">
        <v>2419</v>
      </c>
      <c r="I919" t="s">
        <v>2419</v>
      </c>
      <c r="J919" t="s">
        <v>2420</v>
      </c>
      <c r="K919" t="s">
        <v>426</v>
      </c>
      <c r="L919" t="s">
        <v>2421</v>
      </c>
      <c r="M919" t="s">
        <v>35</v>
      </c>
      <c r="N919" t="s">
        <v>2422</v>
      </c>
      <c r="O919" t="s">
        <v>2423</v>
      </c>
      <c r="P919" t="s">
        <v>2424</v>
      </c>
      <c r="R919" t="s">
        <v>2425</v>
      </c>
      <c r="S919" t="s">
        <v>2426</v>
      </c>
      <c r="T919" t="s">
        <v>2427</v>
      </c>
      <c r="U919" t="s">
        <v>40</v>
      </c>
      <c r="V919" s="1">
        <v>45459</v>
      </c>
      <c r="W919">
        <v>0</v>
      </c>
      <c r="X919">
        <v>0</v>
      </c>
      <c r="Y919" t="s">
        <v>59</v>
      </c>
      <c r="Z919" t="s">
        <v>464</v>
      </c>
      <c r="AA919" t="s">
        <v>42</v>
      </c>
      <c r="AB919" t="s">
        <v>43</v>
      </c>
      <c r="AC919" t="s">
        <v>43</v>
      </c>
    </row>
    <row r="920" spans="1:29" x14ac:dyDescent="0.4">
      <c r="A920" t="s">
        <v>27</v>
      </c>
      <c r="B920">
        <v>1010</v>
      </c>
      <c r="C920" t="s">
        <v>2875</v>
      </c>
      <c r="D920">
        <v>295</v>
      </c>
      <c r="E920" t="s">
        <v>68</v>
      </c>
      <c r="F920" t="s">
        <v>594</v>
      </c>
      <c r="G920" t="s">
        <v>2418</v>
      </c>
      <c r="H920" t="s">
        <v>2419</v>
      </c>
      <c r="I920" t="s">
        <v>2419</v>
      </c>
      <c r="J920" t="s">
        <v>2420</v>
      </c>
      <c r="K920" t="s">
        <v>426</v>
      </c>
      <c r="L920" t="s">
        <v>2421</v>
      </c>
      <c r="M920" t="s">
        <v>35</v>
      </c>
      <c r="N920" t="s">
        <v>2422</v>
      </c>
      <c r="O920" t="s">
        <v>2423</v>
      </c>
      <c r="P920" t="s">
        <v>2875</v>
      </c>
      <c r="R920" t="s">
        <v>2428</v>
      </c>
      <c r="S920" t="s">
        <v>2429</v>
      </c>
      <c r="T920" t="s">
        <v>58</v>
      </c>
      <c r="U920" t="s">
        <v>40</v>
      </c>
      <c r="V920" s="1">
        <v>43111</v>
      </c>
      <c r="W920">
        <v>0</v>
      </c>
      <c r="X920">
        <v>4</v>
      </c>
      <c r="Y920" t="s">
        <v>65</v>
      </c>
      <c r="Z920" t="s">
        <v>464</v>
      </c>
      <c r="AA920" t="s">
        <v>42</v>
      </c>
      <c r="AB920" t="s">
        <v>43</v>
      </c>
      <c r="AC920" t="s">
        <v>43</v>
      </c>
    </row>
    <row r="921" spans="1:29" x14ac:dyDescent="0.4">
      <c r="A921" t="s">
        <v>27</v>
      </c>
      <c r="B921">
        <v>1010</v>
      </c>
      <c r="C921" t="s">
        <v>2875</v>
      </c>
      <c r="D921">
        <v>295</v>
      </c>
      <c r="E921" t="s">
        <v>68</v>
      </c>
      <c r="F921" t="s">
        <v>594</v>
      </c>
      <c r="G921" t="s">
        <v>2418</v>
      </c>
      <c r="H921" t="s">
        <v>2419</v>
      </c>
      <c r="I921" t="s">
        <v>2419</v>
      </c>
      <c r="J921" t="s">
        <v>2420</v>
      </c>
      <c r="K921" t="s">
        <v>426</v>
      </c>
      <c r="L921" t="s">
        <v>2421</v>
      </c>
      <c r="M921" t="s">
        <v>35</v>
      </c>
      <c r="N921" t="s">
        <v>2422</v>
      </c>
      <c r="O921" t="s">
        <v>2423</v>
      </c>
      <c r="P921" t="s">
        <v>2875</v>
      </c>
      <c r="R921" t="s">
        <v>2428</v>
      </c>
      <c r="S921" t="s">
        <v>2429</v>
      </c>
      <c r="T921" t="s">
        <v>58</v>
      </c>
      <c r="U921" t="s">
        <v>40</v>
      </c>
      <c r="V921" s="1">
        <v>43111</v>
      </c>
      <c r="W921">
        <v>0</v>
      </c>
      <c r="X921">
        <v>5</v>
      </c>
      <c r="Y921" t="s">
        <v>66</v>
      </c>
      <c r="Z921" t="s">
        <v>464</v>
      </c>
      <c r="AA921" t="s">
        <v>42</v>
      </c>
      <c r="AB921" t="s">
        <v>43</v>
      </c>
      <c r="AC921" t="s">
        <v>43</v>
      </c>
    </row>
    <row r="922" spans="1:29" x14ac:dyDescent="0.4">
      <c r="A922" t="s">
        <v>27</v>
      </c>
      <c r="B922">
        <v>1010</v>
      </c>
      <c r="C922" t="s">
        <v>2875</v>
      </c>
      <c r="D922">
        <v>295</v>
      </c>
      <c r="E922" t="s">
        <v>68</v>
      </c>
      <c r="F922" t="s">
        <v>594</v>
      </c>
      <c r="G922" t="s">
        <v>2418</v>
      </c>
      <c r="H922" t="s">
        <v>2419</v>
      </c>
      <c r="I922" t="s">
        <v>2419</v>
      </c>
      <c r="J922" t="s">
        <v>2420</v>
      </c>
      <c r="K922" t="s">
        <v>426</v>
      </c>
      <c r="L922" t="s">
        <v>2421</v>
      </c>
      <c r="M922" t="s">
        <v>35</v>
      </c>
      <c r="N922" t="s">
        <v>2422</v>
      </c>
      <c r="O922" t="s">
        <v>2423</v>
      </c>
      <c r="P922" t="s">
        <v>2875</v>
      </c>
      <c r="R922" t="s">
        <v>2428</v>
      </c>
      <c r="S922" t="s">
        <v>2429</v>
      </c>
      <c r="T922" t="s">
        <v>58</v>
      </c>
      <c r="U922" t="s">
        <v>40</v>
      </c>
      <c r="V922" s="1">
        <v>43111</v>
      </c>
      <c r="W922">
        <v>0</v>
      </c>
      <c r="X922">
        <v>12</v>
      </c>
      <c r="Z922" t="s">
        <v>464</v>
      </c>
      <c r="AA922" t="s">
        <v>42</v>
      </c>
      <c r="AB922" t="s">
        <v>43</v>
      </c>
      <c r="AC922" t="s">
        <v>43</v>
      </c>
    </row>
    <row r="923" spans="1:29" x14ac:dyDescent="0.4">
      <c r="A923" t="s">
        <v>27</v>
      </c>
      <c r="B923">
        <v>1010</v>
      </c>
      <c r="C923" t="s">
        <v>2875</v>
      </c>
      <c r="D923">
        <v>295</v>
      </c>
      <c r="E923" t="s">
        <v>68</v>
      </c>
      <c r="F923" t="s">
        <v>594</v>
      </c>
      <c r="G923" t="s">
        <v>2418</v>
      </c>
      <c r="H923" t="s">
        <v>2419</v>
      </c>
      <c r="I923" t="s">
        <v>2419</v>
      </c>
      <c r="J923" t="s">
        <v>2420</v>
      </c>
      <c r="K923" t="s">
        <v>426</v>
      </c>
      <c r="L923" t="s">
        <v>2421</v>
      </c>
      <c r="M923" t="s">
        <v>35</v>
      </c>
      <c r="N923" t="s">
        <v>2422</v>
      </c>
      <c r="O923" t="s">
        <v>2423</v>
      </c>
      <c r="P923" t="s">
        <v>2875</v>
      </c>
      <c r="R923" t="s">
        <v>2428</v>
      </c>
      <c r="S923" t="s">
        <v>2429</v>
      </c>
      <c r="T923" t="s">
        <v>58</v>
      </c>
      <c r="U923" t="s">
        <v>40</v>
      </c>
      <c r="V923" s="1">
        <v>43111</v>
      </c>
      <c r="W923">
        <v>0</v>
      </c>
      <c r="X923">
        <v>14</v>
      </c>
      <c r="Z923" t="s">
        <v>464</v>
      </c>
      <c r="AA923" t="s">
        <v>42</v>
      </c>
      <c r="AB923" t="s">
        <v>43</v>
      </c>
      <c r="AC923" t="s">
        <v>43</v>
      </c>
    </row>
    <row r="924" spans="1:29" x14ac:dyDescent="0.4">
      <c r="A924" t="s">
        <v>27</v>
      </c>
      <c r="B924">
        <v>5667</v>
      </c>
      <c r="C924" t="s">
        <v>3009</v>
      </c>
      <c r="D924">
        <v>296</v>
      </c>
      <c r="E924" t="s">
        <v>68</v>
      </c>
      <c r="F924" t="s">
        <v>2430</v>
      </c>
      <c r="G924" t="s">
        <v>2431</v>
      </c>
      <c r="H924" t="s">
        <v>2432</v>
      </c>
      <c r="I924" t="s">
        <v>2433</v>
      </c>
      <c r="J924" t="s">
        <v>2434</v>
      </c>
      <c r="K924" t="s">
        <v>51</v>
      </c>
      <c r="L924" t="s">
        <v>2435</v>
      </c>
      <c r="M924" t="s">
        <v>35</v>
      </c>
      <c r="N924" t="s">
        <v>2436</v>
      </c>
      <c r="O924" t="s">
        <v>2437</v>
      </c>
      <c r="P924" t="s">
        <v>3009</v>
      </c>
      <c r="R924" t="s">
        <v>2438</v>
      </c>
      <c r="S924" t="s">
        <v>2439</v>
      </c>
      <c r="T924" t="s">
        <v>284</v>
      </c>
      <c r="U924" t="s">
        <v>82</v>
      </c>
      <c r="V924" s="1">
        <v>45160</v>
      </c>
      <c r="W924">
        <v>0</v>
      </c>
      <c r="X924">
        <v>11</v>
      </c>
      <c r="AA924" t="s">
        <v>42</v>
      </c>
      <c r="AB924" t="s">
        <v>43</v>
      </c>
      <c r="AC924" t="s">
        <v>43</v>
      </c>
    </row>
    <row r="925" spans="1:29" x14ac:dyDescent="0.4">
      <c r="A925" t="s">
        <v>27</v>
      </c>
      <c r="B925">
        <v>5667</v>
      </c>
      <c r="C925" t="s">
        <v>3009</v>
      </c>
      <c r="D925">
        <v>296</v>
      </c>
      <c r="E925" t="s">
        <v>68</v>
      </c>
      <c r="F925" t="s">
        <v>2430</v>
      </c>
      <c r="G925" t="s">
        <v>2431</v>
      </c>
      <c r="H925" t="s">
        <v>2432</v>
      </c>
      <c r="I925" t="s">
        <v>2433</v>
      </c>
      <c r="J925" t="s">
        <v>2434</v>
      </c>
      <c r="K925" t="s">
        <v>51</v>
      </c>
      <c r="L925" t="s">
        <v>2435</v>
      </c>
      <c r="M925" t="s">
        <v>35</v>
      </c>
      <c r="N925" t="s">
        <v>2436</v>
      </c>
      <c r="O925" t="s">
        <v>2437</v>
      </c>
      <c r="P925" t="s">
        <v>3009</v>
      </c>
      <c r="R925" t="s">
        <v>2438</v>
      </c>
      <c r="S925" t="s">
        <v>2439</v>
      </c>
      <c r="T925" t="s">
        <v>284</v>
      </c>
      <c r="U925" t="s">
        <v>82</v>
      </c>
      <c r="V925" s="1">
        <v>45160</v>
      </c>
      <c r="W925">
        <v>0</v>
      </c>
      <c r="X925">
        <v>13</v>
      </c>
      <c r="AA925" t="s">
        <v>42</v>
      </c>
      <c r="AB925" t="s">
        <v>43</v>
      </c>
      <c r="AC925" t="s">
        <v>43</v>
      </c>
    </row>
    <row r="926" spans="1:29" x14ac:dyDescent="0.4">
      <c r="A926" t="s">
        <v>27</v>
      </c>
      <c r="B926">
        <v>5464</v>
      </c>
      <c r="C926" t="s">
        <v>2876</v>
      </c>
      <c r="E926" t="s">
        <v>28</v>
      </c>
      <c r="F926" t="s">
        <v>2440</v>
      </c>
      <c r="G926" t="s">
        <v>2441</v>
      </c>
      <c r="H926">
        <v>14</v>
      </c>
      <c r="I926" t="s">
        <v>2442</v>
      </c>
      <c r="J926" t="s">
        <v>2443</v>
      </c>
      <c r="K926" t="s">
        <v>426</v>
      </c>
      <c r="L926" t="s">
        <v>2444</v>
      </c>
      <c r="M926" t="s">
        <v>35</v>
      </c>
      <c r="N926">
        <v>7581693165</v>
      </c>
      <c r="O926" t="s">
        <v>2445</v>
      </c>
      <c r="P926" t="s">
        <v>2446</v>
      </c>
      <c r="R926" t="s">
        <v>2447</v>
      </c>
      <c r="S926" t="s">
        <v>2448</v>
      </c>
      <c r="T926" t="s">
        <v>2449</v>
      </c>
      <c r="U926" t="s">
        <v>40</v>
      </c>
      <c r="V926" s="1">
        <v>45243</v>
      </c>
      <c r="W926">
        <v>0</v>
      </c>
      <c r="X926">
        <v>0</v>
      </c>
      <c r="Y926" t="s">
        <v>59</v>
      </c>
      <c r="Z926" t="s">
        <v>135</v>
      </c>
      <c r="AA926" t="s">
        <v>42</v>
      </c>
      <c r="AB926" t="s">
        <v>43</v>
      </c>
      <c r="AC926" t="s">
        <v>42</v>
      </c>
    </row>
    <row r="927" spans="1:29" x14ac:dyDescent="0.4">
      <c r="A927" t="s">
        <v>27</v>
      </c>
      <c r="B927">
        <v>5464</v>
      </c>
      <c r="C927" t="s">
        <v>2876</v>
      </c>
      <c r="E927" t="s">
        <v>28</v>
      </c>
      <c r="F927" t="s">
        <v>2440</v>
      </c>
      <c r="G927" t="s">
        <v>2441</v>
      </c>
      <c r="H927">
        <v>14</v>
      </c>
      <c r="I927" t="s">
        <v>2442</v>
      </c>
      <c r="J927" t="s">
        <v>2443</v>
      </c>
      <c r="K927" t="s">
        <v>426</v>
      </c>
      <c r="L927" t="s">
        <v>2444</v>
      </c>
      <c r="M927" t="s">
        <v>35</v>
      </c>
      <c r="N927">
        <v>7581693165</v>
      </c>
      <c r="O927" t="s">
        <v>2445</v>
      </c>
      <c r="P927" t="s">
        <v>2446</v>
      </c>
      <c r="R927" t="s">
        <v>2447</v>
      </c>
      <c r="S927" t="s">
        <v>2448</v>
      </c>
      <c r="T927" t="s">
        <v>2449</v>
      </c>
      <c r="U927" t="s">
        <v>40</v>
      </c>
      <c r="V927" s="1">
        <v>45243</v>
      </c>
      <c r="W927">
        <v>0</v>
      </c>
      <c r="X927">
        <v>0</v>
      </c>
      <c r="Y927" t="s">
        <v>59</v>
      </c>
      <c r="Z927" t="s">
        <v>135</v>
      </c>
      <c r="AA927" t="s">
        <v>42</v>
      </c>
      <c r="AB927" t="s">
        <v>43</v>
      </c>
      <c r="AC927" t="s">
        <v>42</v>
      </c>
    </row>
    <row r="928" spans="1:29" x14ac:dyDescent="0.4">
      <c r="A928" t="s">
        <v>27</v>
      </c>
      <c r="B928">
        <v>5464</v>
      </c>
      <c r="C928" t="s">
        <v>2876</v>
      </c>
      <c r="D928">
        <v>297</v>
      </c>
      <c r="E928" t="s">
        <v>28</v>
      </c>
      <c r="F928" t="s">
        <v>2440</v>
      </c>
      <c r="G928" t="s">
        <v>2441</v>
      </c>
      <c r="H928">
        <v>14</v>
      </c>
      <c r="I928" t="s">
        <v>2442</v>
      </c>
      <c r="J928" t="s">
        <v>2443</v>
      </c>
      <c r="K928" t="s">
        <v>426</v>
      </c>
      <c r="L928" t="s">
        <v>2444</v>
      </c>
      <c r="M928" t="s">
        <v>35</v>
      </c>
      <c r="N928">
        <v>7581693165</v>
      </c>
      <c r="O928" t="s">
        <v>2445</v>
      </c>
      <c r="P928" t="s">
        <v>2876</v>
      </c>
      <c r="R928" t="s">
        <v>3126</v>
      </c>
      <c r="S928" t="s">
        <v>2451</v>
      </c>
      <c r="T928" t="s">
        <v>474</v>
      </c>
      <c r="U928" t="s">
        <v>82</v>
      </c>
      <c r="V928" s="1">
        <v>44527</v>
      </c>
      <c r="W928">
        <v>0</v>
      </c>
      <c r="X928">
        <v>4</v>
      </c>
      <c r="Y928" t="s">
        <v>65</v>
      </c>
      <c r="Z928" t="s">
        <v>135</v>
      </c>
      <c r="AA928" t="s">
        <v>42</v>
      </c>
      <c r="AB928" t="s">
        <v>43</v>
      </c>
      <c r="AC928" t="s">
        <v>42</v>
      </c>
    </row>
    <row r="929" spans="1:29" x14ac:dyDescent="0.4">
      <c r="A929" t="s">
        <v>27</v>
      </c>
      <c r="B929">
        <v>5464</v>
      </c>
      <c r="C929" t="s">
        <v>2876</v>
      </c>
      <c r="D929">
        <v>297</v>
      </c>
      <c r="E929" t="s">
        <v>28</v>
      </c>
      <c r="F929" t="s">
        <v>2440</v>
      </c>
      <c r="G929" t="s">
        <v>2441</v>
      </c>
      <c r="H929">
        <v>14</v>
      </c>
      <c r="I929" t="s">
        <v>2442</v>
      </c>
      <c r="J929" t="s">
        <v>2443</v>
      </c>
      <c r="K929" t="s">
        <v>426</v>
      </c>
      <c r="L929" t="s">
        <v>2444</v>
      </c>
      <c r="M929" t="s">
        <v>35</v>
      </c>
      <c r="N929">
        <v>7581693165</v>
      </c>
      <c r="O929" t="s">
        <v>2445</v>
      </c>
      <c r="P929" t="s">
        <v>2876</v>
      </c>
      <c r="R929" t="s">
        <v>3126</v>
      </c>
      <c r="S929" t="s">
        <v>2451</v>
      </c>
      <c r="T929" t="s">
        <v>474</v>
      </c>
      <c r="U929" t="s">
        <v>82</v>
      </c>
      <c r="V929" s="1">
        <v>44527</v>
      </c>
      <c r="W929">
        <v>0</v>
      </c>
      <c r="X929">
        <v>13</v>
      </c>
      <c r="Z929" t="s">
        <v>135</v>
      </c>
      <c r="AA929" t="s">
        <v>42</v>
      </c>
      <c r="AB929" t="s">
        <v>43</v>
      </c>
      <c r="AC929" t="s">
        <v>42</v>
      </c>
    </row>
    <row r="930" spans="1:29" x14ac:dyDescent="0.4">
      <c r="A930" t="s">
        <v>27</v>
      </c>
      <c r="B930">
        <v>36</v>
      </c>
      <c r="C930" t="s">
        <v>3010</v>
      </c>
      <c r="D930">
        <v>298</v>
      </c>
      <c r="E930" t="s">
        <v>257</v>
      </c>
      <c r="F930" t="s">
        <v>2452</v>
      </c>
      <c r="G930" t="s">
        <v>2453</v>
      </c>
      <c r="H930" t="s">
        <v>2454</v>
      </c>
      <c r="J930" t="s">
        <v>2455</v>
      </c>
      <c r="K930" t="s">
        <v>2456</v>
      </c>
      <c r="L930" t="s">
        <v>2457</v>
      </c>
      <c r="M930" t="s">
        <v>35</v>
      </c>
      <c r="N930">
        <v>7887536371</v>
      </c>
      <c r="O930" t="s">
        <v>2458</v>
      </c>
      <c r="P930" t="s">
        <v>3010</v>
      </c>
      <c r="R930" t="s">
        <v>2459</v>
      </c>
      <c r="S930" t="s">
        <v>2460</v>
      </c>
      <c r="T930" t="s">
        <v>284</v>
      </c>
      <c r="U930" t="s">
        <v>82</v>
      </c>
      <c r="V930" s="1">
        <v>44560</v>
      </c>
      <c r="W930">
        <v>0</v>
      </c>
      <c r="X930">
        <v>6</v>
      </c>
      <c r="Y930" t="s">
        <v>83</v>
      </c>
      <c r="AA930" t="s">
        <v>42</v>
      </c>
      <c r="AB930" t="s">
        <v>43</v>
      </c>
      <c r="AC930" t="s">
        <v>42</v>
      </c>
    </row>
    <row r="931" spans="1:29" x14ac:dyDescent="0.4">
      <c r="A931" t="s">
        <v>27</v>
      </c>
      <c r="B931">
        <v>36</v>
      </c>
      <c r="C931" t="s">
        <v>3010</v>
      </c>
      <c r="D931">
        <v>298</v>
      </c>
      <c r="E931" t="s">
        <v>257</v>
      </c>
      <c r="F931" t="s">
        <v>2452</v>
      </c>
      <c r="G931" t="s">
        <v>2453</v>
      </c>
      <c r="H931" t="s">
        <v>2454</v>
      </c>
      <c r="J931" t="s">
        <v>2455</v>
      </c>
      <c r="K931" t="s">
        <v>2456</v>
      </c>
      <c r="L931" t="s">
        <v>2457</v>
      </c>
      <c r="M931" t="s">
        <v>35</v>
      </c>
      <c r="N931">
        <v>7887536371</v>
      </c>
      <c r="O931" t="s">
        <v>2458</v>
      </c>
      <c r="P931" t="s">
        <v>3010</v>
      </c>
      <c r="R931" t="s">
        <v>2459</v>
      </c>
      <c r="S931" t="s">
        <v>2460</v>
      </c>
      <c r="T931" t="s">
        <v>284</v>
      </c>
      <c r="U931" t="s">
        <v>82</v>
      </c>
      <c r="V931" s="1">
        <v>44560</v>
      </c>
      <c r="W931">
        <v>0</v>
      </c>
      <c r="X931">
        <v>5</v>
      </c>
      <c r="Y931" t="s">
        <v>66</v>
      </c>
      <c r="AA931" t="s">
        <v>42</v>
      </c>
      <c r="AB931" t="s">
        <v>43</v>
      </c>
      <c r="AC931" t="s">
        <v>42</v>
      </c>
    </row>
    <row r="932" spans="1:29" x14ac:dyDescent="0.4">
      <c r="A932" t="s">
        <v>27</v>
      </c>
      <c r="B932">
        <v>36</v>
      </c>
      <c r="C932" t="s">
        <v>3010</v>
      </c>
      <c r="D932">
        <v>298</v>
      </c>
      <c r="E932" t="s">
        <v>257</v>
      </c>
      <c r="F932" t="s">
        <v>2452</v>
      </c>
      <c r="G932" t="s">
        <v>2453</v>
      </c>
      <c r="H932" t="s">
        <v>2454</v>
      </c>
      <c r="J932" t="s">
        <v>2455</v>
      </c>
      <c r="K932" t="s">
        <v>2456</v>
      </c>
      <c r="L932" t="s">
        <v>2457</v>
      </c>
      <c r="M932" t="s">
        <v>35</v>
      </c>
      <c r="N932">
        <v>7887536371</v>
      </c>
      <c r="O932" t="s">
        <v>2458</v>
      </c>
      <c r="P932" t="s">
        <v>3010</v>
      </c>
      <c r="R932" t="s">
        <v>2459</v>
      </c>
      <c r="S932" t="s">
        <v>2460</v>
      </c>
      <c r="T932" t="s">
        <v>284</v>
      </c>
      <c r="U932" t="s">
        <v>82</v>
      </c>
      <c r="V932" s="1">
        <v>44560</v>
      </c>
      <c r="W932">
        <v>0</v>
      </c>
      <c r="X932">
        <v>19</v>
      </c>
      <c r="AA932" t="s">
        <v>42</v>
      </c>
      <c r="AB932" t="s">
        <v>43</v>
      </c>
      <c r="AC932" t="s">
        <v>42</v>
      </c>
    </row>
    <row r="933" spans="1:29" x14ac:dyDescent="0.4">
      <c r="A933" t="s">
        <v>27</v>
      </c>
      <c r="B933">
        <v>36</v>
      </c>
      <c r="C933" t="s">
        <v>3010</v>
      </c>
      <c r="D933">
        <v>298</v>
      </c>
      <c r="E933" t="s">
        <v>257</v>
      </c>
      <c r="F933" t="s">
        <v>2452</v>
      </c>
      <c r="G933" t="s">
        <v>2453</v>
      </c>
      <c r="H933" t="s">
        <v>2454</v>
      </c>
      <c r="J933" t="s">
        <v>2455</v>
      </c>
      <c r="K933" t="s">
        <v>2456</v>
      </c>
      <c r="L933" t="s">
        <v>2457</v>
      </c>
      <c r="M933" t="s">
        <v>35</v>
      </c>
      <c r="N933">
        <v>7887536371</v>
      </c>
      <c r="O933" t="s">
        <v>2458</v>
      </c>
      <c r="P933" t="s">
        <v>3010</v>
      </c>
      <c r="R933" t="s">
        <v>2459</v>
      </c>
      <c r="S933" t="s">
        <v>2460</v>
      </c>
      <c r="T933" t="s">
        <v>284</v>
      </c>
      <c r="U933" t="s">
        <v>82</v>
      </c>
      <c r="V933" s="1">
        <v>44560</v>
      </c>
      <c r="W933">
        <v>0</v>
      </c>
      <c r="X933">
        <v>15</v>
      </c>
      <c r="AA933" t="s">
        <v>42</v>
      </c>
      <c r="AB933" t="s">
        <v>43</v>
      </c>
      <c r="AC933" t="s">
        <v>42</v>
      </c>
    </row>
    <row r="934" spans="1:29" x14ac:dyDescent="0.4">
      <c r="A934" t="s">
        <v>27</v>
      </c>
      <c r="B934">
        <v>871</v>
      </c>
      <c r="C934" t="s">
        <v>2877</v>
      </c>
      <c r="D934">
        <v>299</v>
      </c>
      <c r="E934" t="s">
        <v>28</v>
      </c>
      <c r="F934" t="s">
        <v>2461</v>
      </c>
      <c r="G934" t="s">
        <v>2462</v>
      </c>
      <c r="H934" t="s">
        <v>2463</v>
      </c>
      <c r="J934" t="s">
        <v>2464</v>
      </c>
      <c r="K934" t="s">
        <v>330</v>
      </c>
      <c r="L934" t="s">
        <v>2465</v>
      </c>
      <c r="M934" t="s">
        <v>35</v>
      </c>
      <c r="N934" t="s">
        <v>2466</v>
      </c>
      <c r="O934" t="s">
        <v>2467</v>
      </c>
      <c r="P934" t="s">
        <v>2877</v>
      </c>
      <c r="R934" t="s">
        <v>2468</v>
      </c>
      <c r="S934" t="s">
        <v>2469</v>
      </c>
      <c r="T934" t="s">
        <v>58</v>
      </c>
      <c r="U934" t="s">
        <v>40</v>
      </c>
      <c r="V934" s="1">
        <v>43441</v>
      </c>
      <c r="W934">
        <v>0</v>
      </c>
      <c r="X934">
        <v>4</v>
      </c>
      <c r="Y934" t="s">
        <v>65</v>
      </c>
      <c r="Z934" t="s">
        <v>135</v>
      </c>
      <c r="AA934" t="s">
        <v>42</v>
      </c>
      <c r="AB934" t="s">
        <v>43</v>
      </c>
      <c r="AC934" t="s">
        <v>43</v>
      </c>
    </row>
    <row r="935" spans="1:29" x14ac:dyDescent="0.4">
      <c r="A935" t="s">
        <v>27</v>
      </c>
      <c r="B935">
        <v>871</v>
      </c>
      <c r="C935" t="s">
        <v>2877</v>
      </c>
      <c r="D935">
        <v>299</v>
      </c>
      <c r="E935" t="s">
        <v>28</v>
      </c>
      <c r="F935" t="s">
        <v>2461</v>
      </c>
      <c r="G935" t="s">
        <v>2462</v>
      </c>
      <c r="H935" t="s">
        <v>2463</v>
      </c>
      <c r="J935" t="s">
        <v>2464</v>
      </c>
      <c r="K935" t="s">
        <v>330</v>
      </c>
      <c r="L935" t="s">
        <v>2465</v>
      </c>
      <c r="M935" t="s">
        <v>35</v>
      </c>
      <c r="N935" t="s">
        <v>2466</v>
      </c>
      <c r="O935" t="s">
        <v>2467</v>
      </c>
      <c r="P935" t="s">
        <v>2877</v>
      </c>
      <c r="R935" t="s">
        <v>2468</v>
      </c>
      <c r="S935" t="s">
        <v>2469</v>
      </c>
      <c r="T935" t="s">
        <v>58</v>
      </c>
      <c r="U935" t="s">
        <v>40</v>
      </c>
      <c r="V935" s="1">
        <v>43441</v>
      </c>
      <c r="W935">
        <v>0</v>
      </c>
      <c r="X935">
        <v>5</v>
      </c>
      <c r="Y935" t="s">
        <v>66</v>
      </c>
      <c r="Z935" t="s">
        <v>135</v>
      </c>
      <c r="AA935" t="s">
        <v>42</v>
      </c>
      <c r="AB935" t="s">
        <v>43</v>
      </c>
      <c r="AC935" t="s">
        <v>43</v>
      </c>
    </row>
    <row r="936" spans="1:29" x14ac:dyDescent="0.4">
      <c r="A936" t="s">
        <v>27</v>
      </c>
      <c r="B936">
        <v>871</v>
      </c>
      <c r="C936" t="s">
        <v>2877</v>
      </c>
      <c r="D936">
        <v>299</v>
      </c>
      <c r="E936" t="s">
        <v>28</v>
      </c>
      <c r="F936" t="s">
        <v>2461</v>
      </c>
      <c r="G936" t="s">
        <v>2462</v>
      </c>
      <c r="H936" t="s">
        <v>2463</v>
      </c>
      <c r="J936" t="s">
        <v>2464</v>
      </c>
      <c r="K936" t="s">
        <v>330</v>
      </c>
      <c r="L936" t="s">
        <v>2465</v>
      </c>
      <c r="M936" t="s">
        <v>35</v>
      </c>
      <c r="N936" t="s">
        <v>2466</v>
      </c>
      <c r="O936" t="s">
        <v>2467</v>
      </c>
      <c r="P936" t="s">
        <v>2877</v>
      </c>
      <c r="R936" t="s">
        <v>2468</v>
      </c>
      <c r="S936" t="s">
        <v>2469</v>
      </c>
      <c r="T936" t="s">
        <v>58</v>
      </c>
      <c r="U936" t="s">
        <v>40</v>
      </c>
      <c r="V936" s="1">
        <v>43441</v>
      </c>
      <c r="W936">
        <v>0</v>
      </c>
      <c r="X936">
        <v>12</v>
      </c>
      <c r="Z936" t="s">
        <v>135</v>
      </c>
      <c r="AA936" t="s">
        <v>42</v>
      </c>
      <c r="AB936" t="s">
        <v>43</v>
      </c>
      <c r="AC936" t="s">
        <v>43</v>
      </c>
    </row>
    <row r="937" spans="1:29" x14ac:dyDescent="0.4">
      <c r="A937" t="s">
        <v>27</v>
      </c>
      <c r="B937">
        <v>871</v>
      </c>
      <c r="C937" t="s">
        <v>2877</v>
      </c>
      <c r="D937">
        <v>299</v>
      </c>
      <c r="E937" t="s">
        <v>28</v>
      </c>
      <c r="F937" t="s">
        <v>2461</v>
      </c>
      <c r="G937" t="s">
        <v>2462</v>
      </c>
      <c r="H937" t="s">
        <v>2463</v>
      </c>
      <c r="J937" t="s">
        <v>2464</v>
      </c>
      <c r="K937" t="s">
        <v>330</v>
      </c>
      <c r="L937" t="s">
        <v>2465</v>
      </c>
      <c r="M937" t="s">
        <v>35</v>
      </c>
      <c r="N937" t="s">
        <v>2466</v>
      </c>
      <c r="O937" t="s">
        <v>2467</v>
      </c>
      <c r="P937" t="s">
        <v>2877</v>
      </c>
      <c r="R937" t="s">
        <v>2468</v>
      </c>
      <c r="S937" t="s">
        <v>2469</v>
      </c>
      <c r="T937" t="s">
        <v>58</v>
      </c>
      <c r="U937" t="s">
        <v>40</v>
      </c>
      <c r="V937" s="1">
        <v>43441</v>
      </c>
      <c r="W937">
        <v>0</v>
      </c>
      <c r="X937">
        <v>16</v>
      </c>
      <c r="Z937" t="s">
        <v>135</v>
      </c>
      <c r="AA937" t="s">
        <v>42</v>
      </c>
      <c r="AB937" t="s">
        <v>43</v>
      </c>
      <c r="AC937" t="s">
        <v>43</v>
      </c>
    </row>
    <row r="938" spans="1:29" x14ac:dyDescent="0.4">
      <c r="A938" t="s">
        <v>27</v>
      </c>
      <c r="B938">
        <v>932</v>
      </c>
      <c r="C938" t="s">
        <v>2878</v>
      </c>
      <c r="D938">
        <v>300</v>
      </c>
      <c r="E938" t="s">
        <v>68</v>
      </c>
      <c r="F938" t="s">
        <v>2470</v>
      </c>
      <c r="G938" t="s">
        <v>2471</v>
      </c>
      <c r="H938" t="s">
        <v>2472</v>
      </c>
      <c r="I938" t="s">
        <v>2473</v>
      </c>
      <c r="J938" t="s">
        <v>2474</v>
      </c>
      <c r="K938" t="s">
        <v>1696</v>
      </c>
      <c r="L938" t="s">
        <v>2475</v>
      </c>
      <c r="M938" t="s">
        <v>35</v>
      </c>
      <c r="N938">
        <v>1525719311</v>
      </c>
      <c r="O938" t="s">
        <v>2476</v>
      </c>
      <c r="P938" t="s">
        <v>2878</v>
      </c>
      <c r="R938" t="s">
        <v>2477</v>
      </c>
      <c r="S938" t="s">
        <v>2478</v>
      </c>
      <c r="T938" t="s">
        <v>94</v>
      </c>
      <c r="U938" t="s">
        <v>40</v>
      </c>
      <c r="V938" s="1">
        <v>45179</v>
      </c>
      <c r="W938">
        <v>0</v>
      </c>
      <c r="X938">
        <v>7</v>
      </c>
      <c r="Z938" t="s">
        <v>135</v>
      </c>
      <c r="AA938" t="s">
        <v>42</v>
      </c>
      <c r="AB938" t="s">
        <v>43</v>
      </c>
      <c r="AC938" t="s">
        <v>43</v>
      </c>
    </row>
    <row r="939" spans="1:29" x14ac:dyDescent="0.4">
      <c r="A939" t="s">
        <v>27</v>
      </c>
      <c r="B939">
        <v>932</v>
      </c>
      <c r="C939" t="s">
        <v>2878</v>
      </c>
      <c r="D939">
        <v>301</v>
      </c>
      <c r="E939" t="s">
        <v>68</v>
      </c>
      <c r="F939" t="s">
        <v>2470</v>
      </c>
      <c r="G939" t="s">
        <v>2471</v>
      </c>
      <c r="H939" t="s">
        <v>2472</v>
      </c>
      <c r="I939" t="s">
        <v>2473</v>
      </c>
      <c r="J939" t="s">
        <v>2474</v>
      </c>
      <c r="K939" t="s">
        <v>1696</v>
      </c>
      <c r="L939" t="s">
        <v>2475</v>
      </c>
      <c r="M939" t="s">
        <v>35</v>
      </c>
      <c r="N939">
        <v>1525719311</v>
      </c>
      <c r="O939" t="s">
        <v>2476</v>
      </c>
      <c r="P939" t="s">
        <v>2878</v>
      </c>
      <c r="R939" t="s">
        <v>3127</v>
      </c>
      <c r="S939" t="s">
        <v>2480</v>
      </c>
      <c r="T939" t="s">
        <v>58</v>
      </c>
      <c r="U939" t="s">
        <v>40</v>
      </c>
      <c r="V939" s="1">
        <v>42664</v>
      </c>
      <c r="W939">
        <v>0</v>
      </c>
      <c r="X939">
        <v>7</v>
      </c>
      <c r="Z939" t="s">
        <v>135</v>
      </c>
      <c r="AA939" t="s">
        <v>42</v>
      </c>
      <c r="AB939" t="s">
        <v>43</v>
      </c>
      <c r="AC939" t="s">
        <v>43</v>
      </c>
    </row>
    <row r="940" spans="1:29" x14ac:dyDescent="0.4">
      <c r="A940" t="s">
        <v>27</v>
      </c>
      <c r="B940">
        <v>932</v>
      </c>
      <c r="C940" t="s">
        <v>2878</v>
      </c>
      <c r="D940">
        <v>300</v>
      </c>
      <c r="E940" t="s">
        <v>68</v>
      </c>
      <c r="F940" t="s">
        <v>2470</v>
      </c>
      <c r="G940" t="s">
        <v>2471</v>
      </c>
      <c r="H940" t="s">
        <v>2472</v>
      </c>
      <c r="I940" t="s">
        <v>2473</v>
      </c>
      <c r="J940" t="s">
        <v>2474</v>
      </c>
      <c r="K940" t="s">
        <v>1696</v>
      </c>
      <c r="L940" t="s">
        <v>2475</v>
      </c>
      <c r="M940" t="s">
        <v>35</v>
      </c>
      <c r="N940">
        <v>1525719311</v>
      </c>
      <c r="O940" t="s">
        <v>2476</v>
      </c>
      <c r="P940" t="s">
        <v>2878</v>
      </c>
      <c r="R940" t="s">
        <v>3128</v>
      </c>
      <c r="S940" t="s">
        <v>2478</v>
      </c>
      <c r="T940" t="s">
        <v>94</v>
      </c>
      <c r="U940" t="s">
        <v>40</v>
      </c>
      <c r="V940" s="1">
        <v>45179</v>
      </c>
      <c r="W940">
        <v>0</v>
      </c>
      <c r="X940">
        <v>18</v>
      </c>
      <c r="Z940" t="s">
        <v>135</v>
      </c>
      <c r="AA940" t="s">
        <v>42</v>
      </c>
      <c r="AB940" t="s">
        <v>43</v>
      </c>
      <c r="AC940" t="s">
        <v>43</v>
      </c>
    </row>
    <row r="941" spans="1:29" x14ac:dyDescent="0.4">
      <c r="A941" t="s">
        <v>27</v>
      </c>
      <c r="B941">
        <v>932</v>
      </c>
      <c r="C941" t="s">
        <v>2878</v>
      </c>
      <c r="D941">
        <v>301</v>
      </c>
      <c r="E941" t="s">
        <v>68</v>
      </c>
      <c r="F941" t="s">
        <v>2470</v>
      </c>
      <c r="G941" t="s">
        <v>2471</v>
      </c>
      <c r="H941" t="s">
        <v>2472</v>
      </c>
      <c r="I941" t="s">
        <v>2473</v>
      </c>
      <c r="J941" t="s">
        <v>2474</v>
      </c>
      <c r="K941" t="s">
        <v>1696</v>
      </c>
      <c r="L941" t="s">
        <v>2475</v>
      </c>
      <c r="M941" t="s">
        <v>35</v>
      </c>
      <c r="N941">
        <v>1525719311</v>
      </c>
      <c r="O941" t="s">
        <v>2476</v>
      </c>
      <c r="P941" t="s">
        <v>2878</v>
      </c>
      <c r="R941" t="s">
        <v>3127</v>
      </c>
      <c r="S941" t="s">
        <v>2480</v>
      </c>
      <c r="T941" t="s">
        <v>58</v>
      </c>
      <c r="U941" t="s">
        <v>40</v>
      </c>
      <c r="V941" s="1">
        <v>42664</v>
      </c>
      <c r="W941">
        <v>0</v>
      </c>
      <c r="X941">
        <v>20</v>
      </c>
      <c r="Z941" t="s">
        <v>135</v>
      </c>
      <c r="AA941" t="s">
        <v>42</v>
      </c>
      <c r="AB941" t="s">
        <v>43</v>
      </c>
      <c r="AC941" t="s">
        <v>43</v>
      </c>
    </row>
    <row r="942" spans="1:29" x14ac:dyDescent="0.4">
      <c r="A942" t="s">
        <v>27</v>
      </c>
      <c r="B942">
        <v>725</v>
      </c>
      <c r="C942" t="s">
        <v>3011</v>
      </c>
      <c r="D942">
        <v>303</v>
      </c>
      <c r="E942" t="s">
        <v>68</v>
      </c>
      <c r="F942" t="s">
        <v>345</v>
      </c>
      <c r="G942" t="s">
        <v>2481</v>
      </c>
      <c r="H942" t="s">
        <v>2482</v>
      </c>
      <c r="I942" t="s">
        <v>2483</v>
      </c>
      <c r="J942" t="s">
        <v>2484</v>
      </c>
      <c r="K942" t="s">
        <v>51</v>
      </c>
      <c r="L942" t="s">
        <v>2485</v>
      </c>
      <c r="M942" t="s">
        <v>35</v>
      </c>
      <c r="N942" t="s">
        <v>2486</v>
      </c>
      <c r="O942" t="s">
        <v>2487</v>
      </c>
      <c r="P942" t="s">
        <v>3011</v>
      </c>
      <c r="R942" t="s">
        <v>2488</v>
      </c>
      <c r="S942" t="s">
        <v>2489</v>
      </c>
      <c r="T942" t="s">
        <v>284</v>
      </c>
      <c r="U942" t="s">
        <v>40</v>
      </c>
      <c r="V942" s="1">
        <v>44248</v>
      </c>
      <c r="W942">
        <v>0</v>
      </c>
      <c r="X942">
        <v>4</v>
      </c>
      <c r="Y942" t="s">
        <v>65</v>
      </c>
      <c r="AA942" t="s">
        <v>42</v>
      </c>
      <c r="AB942" t="s">
        <v>43</v>
      </c>
      <c r="AC942" t="s">
        <v>43</v>
      </c>
    </row>
    <row r="943" spans="1:29" x14ac:dyDescent="0.4">
      <c r="A943" t="s">
        <v>27</v>
      </c>
      <c r="B943">
        <v>725</v>
      </c>
      <c r="C943" t="s">
        <v>3011</v>
      </c>
      <c r="D943">
        <v>303</v>
      </c>
      <c r="E943" t="s">
        <v>68</v>
      </c>
      <c r="F943" t="s">
        <v>345</v>
      </c>
      <c r="G943" t="s">
        <v>2481</v>
      </c>
      <c r="H943" t="s">
        <v>2482</v>
      </c>
      <c r="I943" t="s">
        <v>2483</v>
      </c>
      <c r="J943" t="s">
        <v>2484</v>
      </c>
      <c r="K943" t="s">
        <v>51</v>
      </c>
      <c r="L943" t="s">
        <v>2485</v>
      </c>
      <c r="M943" t="s">
        <v>35</v>
      </c>
      <c r="N943" t="s">
        <v>2486</v>
      </c>
      <c r="O943" t="s">
        <v>2487</v>
      </c>
      <c r="P943" t="s">
        <v>3011</v>
      </c>
      <c r="R943" t="s">
        <v>2488</v>
      </c>
      <c r="S943" t="s">
        <v>2489</v>
      </c>
      <c r="T943" t="s">
        <v>284</v>
      </c>
      <c r="U943" t="s">
        <v>40</v>
      </c>
      <c r="V943" s="1">
        <v>44248</v>
      </c>
      <c r="W943">
        <v>0</v>
      </c>
      <c r="X943">
        <v>5</v>
      </c>
      <c r="Y943" t="s">
        <v>66</v>
      </c>
      <c r="AA943" t="s">
        <v>42</v>
      </c>
      <c r="AB943" t="s">
        <v>43</v>
      </c>
      <c r="AC943" t="s">
        <v>43</v>
      </c>
    </row>
    <row r="944" spans="1:29" x14ac:dyDescent="0.4">
      <c r="A944" t="s">
        <v>27</v>
      </c>
      <c r="B944">
        <v>725</v>
      </c>
      <c r="C944" t="s">
        <v>3011</v>
      </c>
      <c r="D944">
        <v>304</v>
      </c>
      <c r="E944" t="s">
        <v>68</v>
      </c>
      <c r="F944" t="s">
        <v>345</v>
      </c>
      <c r="G944" t="s">
        <v>2481</v>
      </c>
      <c r="H944" t="s">
        <v>2482</v>
      </c>
      <c r="I944" t="s">
        <v>2483</v>
      </c>
      <c r="J944" t="s">
        <v>2484</v>
      </c>
      <c r="K944" t="s">
        <v>51</v>
      </c>
      <c r="L944" t="s">
        <v>2485</v>
      </c>
      <c r="M944" t="s">
        <v>35</v>
      </c>
      <c r="N944" t="s">
        <v>2486</v>
      </c>
      <c r="O944" t="s">
        <v>2487</v>
      </c>
      <c r="P944" t="s">
        <v>3011</v>
      </c>
      <c r="R944" t="s">
        <v>2490</v>
      </c>
      <c r="S944" t="s">
        <v>2491</v>
      </c>
      <c r="T944" t="s">
        <v>284</v>
      </c>
      <c r="U944" t="s">
        <v>40</v>
      </c>
      <c r="V944" s="1">
        <v>45229</v>
      </c>
      <c r="W944">
        <v>0</v>
      </c>
      <c r="X944">
        <v>4</v>
      </c>
      <c r="Y944" t="s">
        <v>65</v>
      </c>
      <c r="AA944" t="s">
        <v>42</v>
      </c>
      <c r="AB944" t="s">
        <v>43</v>
      </c>
      <c r="AC944" t="s">
        <v>43</v>
      </c>
    </row>
    <row r="945" spans="1:31" x14ac:dyDescent="0.4">
      <c r="A945" t="s">
        <v>27</v>
      </c>
      <c r="B945">
        <v>725</v>
      </c>
      <c r="C945" t="s">
        <v>3011</v>
      </c>
      <c r="D945">
        <v>303</v>
      </c>
      <c r="E945" t="s">
        <v>68</v>
      </c>
      <c r="F945" t="s">
        <v>345</v>
      </c>
      <c r="G945" t="s">
        <v>2481</v>
      </c>
      <c r="H945" t="s">
        <v>2482</v>
      </c>
      <c r="I945" t="s">
        <v>2483</v>
      </c>
      <c r="J945" t="s">
        <v>2484</v>
      </c>
      <c r="K945" t="s">
        <v>51</v>
      </c>
      <c r="L945" t="s">
        <v>2485</v>
      </c>
      <c r="M945" t="s">
        <v>35</v>
      </c>
      <c r="N945" t="s">
        <v>2486</v>
      </c>
      <c r="O945" t="s">
        <v>2487</v>
      </c>
      <c r="P945" t="s">
        <v>3011</v>
      </c>
      <c r="R945" t="s">
        <v>2488</v>
      </c>
      <c r="S945" t="s">
        <v>2489</v>
      </c>
      <c r="T945" t="s">
        <v>284</v>
      </c>
      <c r="U945" t="s">
        <v>40</v>
      </c>
      <c r="V945" s="1">
        <v>44248</v>
      </c>
      <c r="W945">
        <v>0</v>
      </c>
      <c r="X945">
        <v>12</v>
      </c>
      <c r="AA945" t="s">
        <v>42</v>
      </c>
      <c r="AB945" t="s">
        <v>43</v>
      </c>
      <c r="AC945" t="s">
        <v>43</v>
      </c>
    </row>
    <row r="946" spans="1:31" x14ac:dyDescent="0.4">
      <c r="A946" t="s">
        <v>27</v>
      </c>
      <c r="B946">
        <v>725</v>
      </c>
      <c r="C946" t="s">
        <v>3011</v>
      </c>
      <c r="D946">
        <v>304</v>
      </c>
      <c r="E946" t="s">
        <v>68</v>
      </c>
      <c r="F946" t="s">
        <v>345</v>
      </c>
      <c r="G946" t="s">
        <v>2481</v>
      </c>
      <c r="H946" t="s">
        <v>2482</v>
      </c>
      <c r="I946" t="s">
        <v>2483</v>
      </c>
      <c r="J946" t="s">
        <v>2484</v>
      </c>
      <c r="K946" t="s">
        <v>51</v>
      </c>
      <c r="L946" t="s">
        <v>2485</v>
      </c>
      <c r="M946" t="s">
        <v>35</v>
      </c>
      <c r="N946" t="s">
        <v>2486</v>
      </c>
      <c r="O946" t="s">
        <v>2487</v>
      </c>
      <c r="P946" t="s">
        <v>3011</v>
      </c>
      <c r="R946" t="s">
        <v>2490</v>
      </c>
      <c r="S946" t="s">
        <v>2491</v>
      </c>
      <c r="T946" t="s">
        <v>284</v>
      </c>
      <c r="U946" t="s">
        <v>40</v>
      </c>
      <c r="V946" s="1">
        <v>45229</v>
      </c>
      <c r="W946">
        <v>0</v>
      </c>
      <c r="X946">
        <v>12</v>
      </c>
      <c r="AA946" t="s">
        <v>42</v>
      </c>
      <c r="AB946" t="s">
        <v>43</v>
      </c>
      <c r="AC946" t="s">
        <v>43</v>
      </c>
    </row>
    <row r="947" spans="1:31" x14ac:dyDescent="0.4">
      <c r="A947" t="s">
        <v>27</v>
      </c>
      <c r="B947">
        <v>725</v>
      </c>
      <c r="C947" t="s">
        <v>3011</v>
      </c>
      <c r="D947">
        <v>303</v>
      </c>
      <c r="E947" t="s">
        <v>68</v>
      </c>
      <c r="F947" t="s">
        <v>345</v>
      </c>
      <c r="G947" t="s">
        <v>2481</v>
      </c>
      <c r="H947" t="s">
        <v>2482</v>
      </c>
      <c r="I947" t="s">
        <v>2483</v>
      </c>
      <c r="J947" t="s">
        <v>2484</v>
      </c>
      <c r="K947" t="s">
        <v>51</v>
      </c>
      <c r="L947" t="s">
        <v>2485</v>
      </c>
      <c r="M947" t="s">
        <v>35</v>
      </c>
      <c r="N947" t="s">
        <v>2486</v>
      </c>
      <c r="O947" t="s">
        <v>2487</v>
      </c>
      <c r="P947" t="s">
        <v>3011</v>
      </c>
      <c r="R947" t="s">
        <v>2488</v>
      </c>
      <c r="S947" t="s">
        <v>2489</v>
      </c>
      <c r="T947" t="s">
        <v>284</v>
      </c>
      <c r="U947" t="s">
        <v>40</v>
      </c>
      <c r="V947" s="1">
        <v>44248</v>
      </c>
      <c r="W947">
        <v>0</v>
      </c>
      <c r="X947">
        <v>14</v>
      </c>
      <c r="AA947" t="s">
        <v>42</v>
      </c>
      <c r="AB947" t="s">
        <v>43</v>
      </c>
      <c r="AC947" t="s">
        <v>43</v>
      </c>
    </row>
    <row r="948" spans="1:31" x14ac:dyDescent="0.4">
      <c r="A948" t="s">
        <v>27</v>
      </c>
      <c r="B948">
        <v>2431</v>
      </c>
      <c r="C948" t="s">
        <v>2498</v>
      </c>
      <c r="E948" t="s">
        <v>68</v>
      </c>
      <c r="F948" t="s">
        <v>2492</v>
      </c>
      <c r="G948" t="s">
        <v>2481</v>
      </c>
      <c r="H948" t="s">
        <v>2493</v>
      </c>
      <c r="I948" t="s">
        <v>2494</v>
      </c>
      <c r="J948" t="s">
        <v>886</v>
      </c>
      <c r="K948" t="s">
        <v>51</v>
      </c>
      <c r="L948" t="s">
        <v>2495</v>
      </c>
      <c r="M948" t="s">
        <v>35</v>
      </c>
      <c r="N948" t="s">
        <v>2496</v>
      </c>
      <c r="O948" t="s">
        <v>2497</v>
      </c>
      <c r="P948" t="s">
        <v>2498</v>
      </c>
      <c r="R948" t="s">
        <v>2499</v>
      </c>
      <c r="S948" t="s">
        <v>2500</v>
      </c>
      <c r="T948" t="s">
        <v>2501</v>
      </c>
      <c r="U948" t="s">
        <v>40</v>
      </c>
      <c r="V948" s="1">
        <v>43624</v>
      </c>
      <c r="W948">
        <v>0</v>
      </c>
      <c r="X948">
        <v>0</v>
      </c>
      <c r="Y948" t="s">
        <v>59</v>
      </c>
      <c r="Z948" t="s">
        <v>135</v>
      </c>
      <c r="AA948" t="s">
        <v>42</v>
      </c>
      <c r="AB948" t="s">
        <v>43</v>
      </c>
      <c r="AC948" t="s">
        <v>42</v>
      </c>
      <c r="AD948" t="s">
        <v>2502</v>
      </c>
    </row>
    <row r="949" spans="1:31" x14ac:dyDescent="0.4">
      <c r="A949" t="s">
        <v>27</v>
      </c>
      <c r="B949">
        <v>2431</v>
      </c>
      <c r="C949" t="s">
        <v>2498</v>
      </c>
      <c r="E949" t="s">
        <v>68</v>
      </c>
      <c r="F949" t="s">
        <v>2492</v>
      </c>
      <c r="G949" t="s">
        <v>2481</v>
      </c>
      <c r="H949" t="s">
        <v>2493</v>
      </c>
      <c r="I949" t="s">
        <v>2494</v>
      </c>
      <c r="J949" t="s">
        <v>886</v>
      </c>
      <c r="K949" t="s">
        <v>51</v>
      </c>
      <c r="L949" t="s">
        <v>2495</v>
      </c>
      <c r="M949" t="s">
        <v>35</v>
      </c>
      <c r="N949" t="s">
        <v>2496</v>
      </c>
      <c r="O949" t="s">
        <v>2497</v>
      </c>
      <c r="P949" t="s">
        <v>2498</v>
      </c>
      <c r="R949" t="s">
        <v>2503</v>
      </c>
      <c r="S949" t="s">
        <v>2504</v>
      </c>
      <c r="T949" t="s">
        <v>474</v>
      </c>
      <c r="U949" t="s">
        <v>40</v>
      </c>
      <c r="V949" s="1">
        <v>40955</v>
      </c>
      <c r="W949">
        <v>0</v>
      </c>
      <c r="X949">
        <v>0</v>
      </c>
      <c r="Y949" t="s">
        <v>59</v>
      </c>
      <c r="Z949" t="s">
        <v>135</v>
      </c>
      <c r="AA949" t="s">
        <v>42</v>
      </c>
      <c r="AB949" t="s">
        <v>43</v>
      </c>
      <c r="AC949" t="s">
        <v>42</v>
      </c>
      <c r="AD949" t="s">
        <v>2502</v>
      </c>
    </row>
    <row r="950" spans="1:31" x14ac:dyDescent="0.4">
      <c r="A950" t="s">
        <v>27</v>
      </c>
      <c r="B950">
        <v>2431</v>
      </c>
      <c r="C950" t="s">
        <v>2498</v>
      </c>
      <c r="D950">
        <v>302</v>
      </c>
      <c r="E950" t="s">
        <v>68</v>
      </c>
      <c r="F950" t="s">
        <v>2492</v>
      </c>
      <c r="G950" t="s">
        <v>2481</v>
      </c>
      <c r="H950" t="s">
        <v>2493</v>
      </c>
      <c r="I950" t="s">
        <v>2494</v>
      </c>
      <c r="J950" t="s">
        <v>886</v>
      </c>
      <c r="K950" t="s">
        <v>51</v>
      </c>
      <c r="L950" t="s">
        <v>2495</v>
      </c>
      <c r="M950" t="s">
        <v>35</v>
      </c>
      <c r="N950" t="s">
        <v>2496</v>
      </c>
      <c r="O950" t="s">
        <v>2497</v>
      </c>
      <c r="P950" t="s">
        <v>2498</v>
      </c>
      <c r="R950" t="s">
        <v>2505</v>
      </c>
      <c r="S950" t="s">
        <v>2506</v>
      </c>
      <c r="T950" t="s">
        <v>474</v>
      </c>
      <c r="U950" t="s">
        <v>40</v>
      </c>
      <c r="V950" s="1">
        <v>45505</v>
      </c>
      <c r="W950">
        <v>0</v>
      </c>
      <c r="X950">
        <v>4</v>
      </c>
      <c r="Y950" t="s">
        <v>65</v>
      </c>
      <c r="Z950" t="s">
        <v>135</v>
      </c>
      <c r="AA950" t="s">
        <v>42</v>
      </c>
      <c r="AB950" t="s">
        <v>43</v>
      </c>
      <c r="AC950" t="s">
        <v>42</v>
      </c>
      <c r="AE950" t="s">
        <v>2502</v>
      </c>
    </row>
    <row r="951" spans="1:31" x14ac:dyDescent="0.4">
      <c r="A951" t="s">
        <v>27</v>
      </c>
      <c r="B951">
        <v>2431</v>
      </c>
      <c r="C951" t="s">
        <v>2498</v>
      </c>
      <c r="E951" t="s">
        <v>68</v>
      </c>
      <c r="F951" t="s">
        <v>2492</v>
      </c>
      <c r="G951" t="s">
        <v>2481</v>
      </c>
      <c r="H951" t="s">
        <v>2493</v>
      </c>
      <c r="I951" t="s">
        <v>2494</v>
      </c>
      <c r="J951" t="s">
        <v>886</v>
      </c>
      <c r="K951" t="s">
        <v>51</v>
      </c>
      <c r="L951" t="s">
        <v>2495</v>
      </c>
      <c r="M951" t="s">
        <v>35</v>
      </c>
      <c r="N951" t="s">
        <v>2496</v>
      </c>
      <c r="O951" t="s">
        <v>2497</v>
      </c>
      <c r="P951" t="s">
        <v>2498</v>
      </c>
      <c r="R951" t="s">
        <v>2499</v>
      </c>
      <c r="S951" t="s">
        <v>2500</v>
      </c>
      <c r="T951" t="s">
        <v>2501</v>
      </c>
      <c r="U951" t="s">
        <v>40</v>
      </c>
      <c r="V951" s="1">
        <v>43624</v>
      </c>
      <c r="W951">
        <v>0</v>
      </c>
      <c r="X951">
        <v>0</v>
      </c>
      <c r="Y951" t="s">
        <v>59</v>
      </c>
      <c r="Z951" t="s">
        <v>135</v>
      </c>
      <c r="AA951" t="s">
        <v>42</v>
      </c>
      <c r="AB951" t="s">
        <v>43</v>
      </c>
      <c r="AC951" t="s">
        <v>42</v>
      </c>
      <c r="AD951" t="s">
        <v>2502</v>
      </c>
    </row>
    <row r="952" spans="1:31" x14ac:dyDescent="0.4">
      <c r="A952" t="s">
        <v>27</v>
      </c>
      <c r="B952">
        <v>2431</v>
      </c>
      <c r="C952" t="s">
        <v>2498</v>
      </c>
      <c r="E952" t="s">
        <v>68</v>
      </c>
      <c r="F952" t="s">
        <v>2492</v>
      </c>
      <c r="G952" t="s">
        <v>2481</v>
      </c>
      <c r="H952" t="s">
        <v>2493</v>
      </c>
      <c r="I952" t="s">
        <v>2494</v>
      </c>
      <c r="J952" t="s">
        <v>886</v>
      </c>
      <c r="K952" t="s">
        <v>51</v>
      </c>
      <c r="L952" t="s">
        <v>2495</v>
      </c>
      <c r="M952" t="s">
        <v>35</v>
      </c>
      <c r="N952" t="s">
        <v>2496</v>
      </c>
      <c r="O952" t="s">
        <v>2497</v>
      </c>
      <c r="P952" t="s">
        <v>2498</v>
      </c>
      <c r="R952" t="s">
        <v>2505</v>
      </c>
      <c r="S952" t="s">
        <v>2506</v>
      </c>
      <c r="T952" t="s">
        <v>474</v>
      </c>
      <c r="U952" t="s">
        <v>40</v>
      </c>
      <c r="V952" s="1">
        <v>45505</v>
      </c>
      <c r="W952">
        <v>0</v>
      </c>
      <c r="X952">
        <v>0</v>
      </c>
      <c r="Y952" t="s">
        <v>59</v>
      </c>
      <c r="Z952" t="s">
        <v>135</v>
      </c>
      <c r="AA952" t="s">
        <v>42</v>
      </c>
      <c r="AB952" t="s">
        <v>43</v>
      </c>
      <c r="AC952" t="s">
        <v>42</v>
      </c>
      <c r="AD952" t="s">
        <v>2502</v>
      </c>
    </row>
    <row r="953" spans="1:31" x14ac:dyDescent="0.4">
      <c r="A953" t="s">
        <v>27</v>
      </c>
      <c r="B953">
        <v>2431</v>
      </c>
      <c r="C953" t="s">
        <v>2498</v>
      </c>
      <c r="E953" t="s">
        <v>68</v>
      </c>
      <c r="F953" t="s">
        <v>2492</v>
      </c>
      <c r="G953" t="s">
        <v>2481</v>
      </c>
      <c r="H953" t="s">
        <v>2493</v>
      </c>
      <c r="I953" t="s">
        <v>2494</v>
      </c>
      <c r="J953" t="s">
        <v>886</v>
      </c>
      <c r="K953" t="s">
        <v>51</v>
      </c>
      <c r="L953" t="s">
        <v>2495</v>
      </c>
      <c r="M953" t="s">
        <v>35</v>
      </c>
      <c r="N953" t="s">
        <v>2496</v>
      </c>
      <c r="O953" t="s">
        <v>2497</v>
      </c>
      <c r="P953" t="s">
        <v>2498</v>
      </c>
      <c r="R953" t="s">
        <v>2503</v>
      </c>
      <c r="S953" t="s">
        <v>2504</v>
      </c>
      <c r="T953" t="s">
        <v>474</v>
      </c>
      <c r="U953" t="s">
        <v>40</v>
      </c>
      <c r="V953" s="1">
        <v>40955</v>
      </c>
      <c r="W953">
        <v>0</v>
      </c>
      <c r="X953">
        <v>0</v>
      </c>
      <c r="Y953" t="s">
        <v>59</v>
      </c>
      <c r="Z953" t="s">
        <v>135</v>
      </c>
      <c r="AA953" t="s">
        <v>42</v>
      </c>
      <c r="AB953" t="s">
        <v>43</v>
      </c>
      <c r="AC953" t="s">
        <v>42</v>
      </c>
      <c r="AD953" t="s">
        <v>2502</v>
      </c>
    </row>
    <row r="954" spans="1:31" x14ac:dyDescent="0.4">
      <c r="A954" t="s">
        <v>27</v>
      </c>
      <c r="B954">
        <v>2066</v>
      </c>
      <c r="C954" t="s">
        <v>3012</v>
      </c>
      <c r="D954">
        <v>306</v>
      </c>
      <c r="E954" t="s">
        <v>68</v>
      </c>
      <c r="F954" t="s">
        <v>2507</v>
      </c>
      <c r="G954" t="s">
        <v>2508</v>
      </c>
      <c r="H954" t="s">
        <v>2509</v>
      </c>
      <c r="I954" t="s">
        <v>2510</v>
      </c>
      <c r="J954" t="s">
        <v>2511</v>
      </c>
      <c r="K954" t="s">
        <v>370</v>
      </c>
      <c r="L954" t="s">
        <v>2512</v>
      </c>
      <c r="M954" t="s">
        <v>35</v>
      </c>
      <c r="N954">
        <v>7778652136</v>
      </c>
      <c r="O954" t="s">
        <v>2513</v>
      </c>
      <c r="P954" t="s">
        <v>3012</v>
      </c>
      <c r="R954" t="s">
        <v>2514</v>
      </c>
      <c r="S954" t="s">
        <v>2515</v>
      </c>
      <c r="T954" t="s">
        <v>2516</v>
      </c>
      <c r="U954" t="s">
        <v>40</v>
      </c>
      <c r="V954" s="1">
        <v>43831</v>
      </c>
      <c r="W954">
        <v>0</v>
      </c>
      <c r="X954">
        <v>12</v>
      </c>
      <c r="AA954" t="s">
        <v>42</v>
      </c>
      <c r="AB954" t="s">
        <v>43</v>
      </c>
      <c r="AC954" t="s">
        <v>43</v>
      </c>
    </row>
    <row r="955" spans="1:31" x14ac:dyDescent="0.4">
      <c r="A955" t="s">
        <v>27</v>
      </c>
      <c r="B955">
        <v>2066</v>
      </c>
      <c r="C955" t="s">
        <v>3012</v>
      </c>
      <c r="D955">
        <v>305</v>
      </c>
      <c r="E955" t="s">
        <v>68</v>
      </c>
      <c r="F955" t="s">
        <v>2507</v>
      </c>
      <c r="G955" t="s">
        <v>2508</v>
      </c>
      <c r="H955" t="s">
        <v>2509</v>
      </c>
      <c r="I955" t="s">
        <v>2510</v>
      </c>
      <c r="J955" t="s">
        <v>2511</v>
      </c>
      <c r="K955" t="s">
        <v>370</v>
      </c>
      <c r="L955" t="s">
        <v>2512</v>
      </c>
      <c r="M955" t="s">
        <v>35</v>
      </c>
      <c r="N955">
        <v>7778652136</v>
      </c>
      <c r="O955" t="s">
        <v>2513</v>
      </c>
      <c r="P955" t="s">
        <v>3012</v>
      </c>
      <c r="R955" t="s">
        <v>2517</v>
      </c>
      <c r="S955" t="s">
        <v>2518</v>
      </c>
      <c r="T955" t="s">
        <v>2516</v>
      </c>
      <c r="U955" t="s">
        <v>82</v>
      </c>
      <c r="V955" s="1">
        <v>43831</v>
      </c>
      <c r="W955">
        <v>0</v>
      </c>
      <c r="X955">
        <v>13</v>
      </c>
      <c r="AA955" t="s">
        <v>42</v>
      </c>
      <c r="AB955" t="s">
        <v>43</v>
      </c>
      <c r="AC955" t="s">
        <v>43</v>
      </c>
    </row>
    <row r="956" spans="1:31" x14ac:dyDescent="0.4">
      <c r="A956" t="s">
        <v>27</v>
      </c>
      <c r="B956">
        <v>1684</v>
      </c>
      <c r="C956" t="s">
        <v>3013</v>
      </c>
      <c r="D956">
        <v>307</v>
      </c>
      <c r="E956" t="s">
        <v>68</v>
      </c>
      <c r="F956" t="s">
        <v>2519</v>
      </c>
      <c r="G956" t="s">
        <v>2520</v>
      </c>
      <c r="H956" t="s">
        <v>2521</v>
      </c>
      <c r="I956" t="s">
        <v>2522</v>
      </c>
      <c r="J956" t="s">
        <v>691</v>
      </c>
      <c r="K956" t="s">
        <v>242</v>
      </c>
      <c r="L956" t="s">
        <v>2523</v>
      </c>
      <c r="M956" t="s">
        <v>35</v>
      </c>
      <c r="N956">
        <v>1980652734</v>
      </c>
      <c r="O956" t="s">
        <v>2524</v>
      </c>
      <c r="P956" t="s">
        <v>3013</v>
      </c>
      <c r="R956" t="s">
        <v>2525</v>
      </c>
      <c r="S956" t="s">
        <v>2526</v>
      </c>
      <c r="T956" t="s">
        <v>58</v>
      </c>
      <c r="U956" t="s">
        <v>40</v>
      </c>
      <c r="V956" s="1">
        <v>44707</v>
      </c>
      <c r="W956">
        <v>0</v>
      </c>
      <c r="X956">
        <v>3</v>
      </c>
      <c r="AA956" t="s">
        <v>42</v>
      </c>
      <c r="AB956" t="s">
        <v>43</v>
      </c>
      <c r="AC956" t="s">
        <v>43</v>
      </c>
    </row>
    <row r="957" spans="1:31" x14ac:dyDescent="0.4">
      <c r="A957" t="s">
        <v>27</v>
      </c>
      <c r="B957">
        <v>4017</v>
      </c>
      <c r="C957" t="s">
        <v>3014</v>
      </c>
      <c r="D957">
        <v>308</v>
      </c>
      <c r="E957" t="s">
        <v>68</v>
      </c>
      <c r="F957" t="s">
        <v>238</v>
      </c>
      <c r="G957" t="s">
        <v>2527</v>
      </c>
      <c r="H957" t="s">
        <v>2528</v>
      </c>
      <c r="I957" t="s">
        <v>2529</v>
      </c>
      <c r="J957" t="s">
        <v>1285</v>
      </c>
      <c r="K957" t="s">
        <v>1085</v>
      </c>
      <c r="L957" t="s">
        <v>2530</v>
      </c>
      <c r="M957" t="s">
        <v>35</v>
      </c>
      <c r="N957">
        <v>7958519967</v>
      </c>
      <c r="O957" t="s">
        <v>2531</v>
      </c>
      <c r="P957" t="s">
        <v>3014</v>
      </c>
      <c r="R957" t="s">
        <v>2532</v>
      </c>
      <c r="S957" t="s">
        <v>2533</v>
      </c>
      <c r="T957" t="s">
        <v>555</v>
      </c>
      <c r="U957" t="s">
        <v>82</v>
      </c>
      <c r="V957" s="1">
        <v>43210</v>
      </c>
      <c r="W957">
        <v>0</v>
      </c>
      <c r="X957">
        <v>3</v>
      </c>
      <c r="AA957" t="s">
        <v>42</v>
      </c>
      <c r="AB957" t="s">
        <v>43</v>
      </c>
      <c r="AC957" t="s">
        <v>43</v>
      </c>
    </row>
    <row r="958" spans="1:31" x14ac:dyDescent="0.4">
      <c r="A958" t="s">
        <v>27</v>
      </c>
      <c r="B958">
        <v>4017</v>
      </c>
      <c r="C958" t="s">
        <v>3014</v>
      </c>
      <c r="D958">
        <v>308</v>
      </c>
      <c r="E958" t="s">
        <v>68</v>
      </c>
      <c r="F958" t="s">
        <v>238</v>
      </c>
      <c r="G958" t="s">
        <v>2527</v>
      </c>
      <c r="H958" t="s">
        <v>2528</v>
      </c>
      <c r="I958" t="s">
        <v>2529</v>
      </c>
      <c r="J958" t="s">
        <v>1285</v>
      </c>
      <c r="K958" t="s">
        <v>1085</v>
      </c>
      <c r="L958" t="s">
        <v>2530</v>
      </c>
      <c r="M958" t="s">
        <v>35</v>
      </c>
      <c r="N958">
        <v>7958519967</v>
      </c>
      <c r="O958" t="s">
        <v>2531</v>
      </c>
      <c r="P958" t="s">
        <v>3014</v>
      </c>
      <c r="R958" t="s">
        <v>2532</v>
      </c>
      <c r="S958" t="s">
        <v>2533</v>
      </c>
      <c r="T958" t="s">
        <v>555</v>
      </c>
      <c r="U958" t="s">
        <v>82</v>
      </c>
      <c r="V958" s="1">
        <v>43210</v>
      </c>
      <c r="W958">
        <v>0</v>
      </c>
      <c r="X958">
        <v>4</v>
      </c>
      <c r="Y958" t="s">
        <v>65</v>
      </c>
      <c r="AA958" t="s">
        <v>42</v>
      </c>
      <c r="AB958" t="s">
        <v>43</v>
      </c>
      <c r="AC958" t="s">
        <v>43</v>
      </c>
    </row>
    <row r="959" spans="1:31" x14ac:dyDescent="0.4">
      <c r="A959" t="s">
        <v>27</v>
      </c>
      <c r="B959">
        <v>3186</v>
      </c>
      <c r="C959" t="s">
        <v>2541</v>
      </c>
      <c r="D959">
        <v>311</v>
      </c>
      <c r="E959" t="s">
        <v>28</v>
      </c>
      <c r="F959" t="s">
        <v>2534</v>
      </c>
      <c r="G959" t="s">
        <v>2535</v>
      </c>
      <c r="H959" t="s">
        <v>2536</v>
      </c>
      <c r="I959" t="s">
        <v>2537</v>
      </c>
      <c r="J959" t="s">
        <v>2538</v>
      </c>
      <c r="K959" t="s">
        <v>495</v>
      </c>
      <c r="L959" t="s">
        <v>2539</v>
      </c>
      <c r="M959" t="s">
        <v>35</v>
      </c>
      <c r="N959">
        <v>7790465184</v>
      </c>
      <c r="O959" t="s">
        <v>2540</v>
      </c>
      <c r="P959" t="s">
        <v>2541</v>
      </c>
      <c r="R959" t="s">
        <v>2542</v>
      </c>
      <c r="S959" t="s">
        <v>2543</v>
      </c>
      <c r="T959" t="s">
        <v>960</v>
      </c>
      <c r="U959" t="s">
        <v>40</v>
      </c>
      <c r="V959" s="1">
        <v>45114</v>
      </c>
      <c r="W959">
        <v>0</v>
      </c>
      <c r="X959">
        <v>4</v>
      </c>
      <c r="Y959" t="s">
        <v>65</v>
      </c>
      <c r="Z959" t="s">
        <v>135</v>
      </c>
      <c r="AA959" t="s">
        <v>42</v>
      </c>
      <c r="AB959" t="s">
        <v>43</v>
      </c>
      <c r="AC959" t="s">
        <v>43</v>
      </c>
    </row>
    <row r="960" spans="1:31" x14ac:dyDescent="0.4">
      <c r="A960" t="s">
        <v>27</v>
      </c>
      <c r="B960">
        <v>3186</v>
      </c>
      <c r="C960" t="s">
        <v>2541</v>
      </c>
      <c r="D960">
        <v>310</v>
      </c>
      <c r="E960" t="s">
        <v>28</v>
      </c>
      <c r="F960" t="s">
        <v>2534</v>
      </c>
      <c r="G960" t="s">
        <v>2535</v>
      </c>
      <c r="H960" t="s">
        <v>2536</v>
      </c>
      <c r="I960" t="s">
        <v>2537</v>
      </c>
      <c r="J960" t="s">
        <v>2538</v>
      </c>
      <c r="K960" t="s">
        <v>495</v>
      </c>
      <c r="L960" t="s">
        <v>2539</v>
      </c>
      <c r="M960" t="s">
        <v>35</v>
      </c>
      <c r="N960">
        <v>7790465184</v>
      </c>
      <c r="O960" t="s">
        <v>2540</v>
      </c>
      <c r="P960" t="s">
        <v>2541</v>
      </c>
      <c r="R960" t="s">
        <v>2544</v>
      </c>
      <c r="S960" t="s">
        <v>2545</v>
      </c>
      <c r="T960" t="s">
        <v>960</v>
      </c>
      <c r="U960" t="s">
        <v>40</v>
      </c>
      <c r="V960" s="1">
        <v>44244</v>
      </c>
      <c r="W960">
        <v>0</v>
      </c>
      <c r="X960">
        <v>5</v>
      </c>
      <c r="Y960" t="s">
        <v>66</v>
      </c>
      <c r="Z960" t="s">
        <v>135</v>
      </c>
      <c r="AA960" t="s">
        <v>42</v>
      </c>
      <c r="AB960" t="s">
        <v>43</v>
      </c>
      <c r="AC960" t="s">
        <v>43</v>
      </c>
    </row>
    <row r="961" spans="1:30" x14ac:dyDescent="0.4">
      <c r="A961" t="s">
        <v>27</v>
      </c>
      <c r="B961">
        <v>3186</v>
      </c>
      <c r="C961" t="s">
        <v>2541</v>
      </c>
      <c r="D961">
        <v>309</v>
      </c>
      <c r="E961" t="s">
        <v>28</v>
      </c>
      <c r="F961" t="s">
        <v>2534</v>
      </c>
      <c r="G961" t="s">
        <v>2535</v>
      </c>
      <c r="H961" t="s">
        <v>2536</v>
      </c>
      <c r="I961" t="s">
        <v>2537</v>
      </c>
      <c r="J961" t="s">
        <v>2538</v>
      </c>
      <c r="K961" t="s">
        <v>495</v>
      </c>
      <c r="L961" t="s">
        <v>2539</v>
      </c>
      <c r="M961" t="s">
        <v>35</v>
      </c>
      <c r="N961">
        <v>7790465184</v>
      </c>
      <c r="O961" t="s">
        <v>2540</v>
      </c>
      <c r="P961" t="s">
        <v>2541</v>
      </c>
      <c r="R961" t="s">
        <v>2546</v>
      </c>
      <c r="S961" t="s">
        <v>2547</v>
      </c>
      <c r="T961" t="s">
        <v>960</v>
      </c>
      <c r="U961" t="s">
        <v>40</v>
      </c>
      <c r="V961" s="1">
        <v>42610</v>
      </c>
      <c r="W961">
        <v>0</v>
      </c>
      <c r="X961">
        <v>7</v>
      </c>
      <c r="Z961" t="s">
        <v>135</v>
      </c>
      <c r="AA961" t="s">
        <v>42</v>
      </c>
      <c r="AB961" t="s">
        <v>43</v>
      </c>
      <c r="AC961" t="s">
        <v>43</v>
      </c>
    </row>
    <row r="962" spans="1:30" x14ac:dyDescent="0.4">
      <c r="A962" t="s">
        <v>27</v>
      </c>
      <c r="B962">
        <v>3186</v>
      </c>
      <c r="C962" t="s">
        <v>2541</v>
      </c>
      <c r="D962">
        <v>310</v>
      </c>
      <c r="E962" t="s">
        <v>28</v>
      </c>
      <c r="F962" t="s">
        <v>2534</v>
      </c>
      <c r="G962" t="s">
        <v>2535</v>
      </c>
      <c r="H962" t="s">
        <v>2536</v>
      </c>
      <c r="I962" t="s">
        <v>2537</v>
      </c>
      <c r="J962" t="s">
        <v>2538</v>
      </c>
      <c r="K962" t="s">
        <v>495</v>
      </c>
      <c r="L962" t="s">
        <v>2539</v>
      </c>
      <c r="M962" t="s">
        <v>35</v>
      </c>
      <c r="N962">
        <v>7790465184</v>
      </c>
      <c r="O962" t="s">
        <v>2540</v>
      </c>
      <c r="P962" t="s">
        <v>2541</v>
      </c>
      <c r="R962" t="s">
        <v>2544</v>
      </c>
      <c r="S962" t="s">
        <v>2545</v>
      </c>
      <c r="T962" t="s">
        <v>960</v>
      </c>
      <c r="U962" t="s">
        <v>40</v>
      </c>
      <c r="V962" s="1">
        <v>44244</v>
      </c>
      <c r="W962">
        <v>0</v>
      </c>
      <c r="X962">
        <v>6</v>
      </c>
      <c r="Y962" t="s">
        <v>83</v>
      </c>
      <c r="Z962" t="s">
        <v>135</v>
      </c>
      <c r="AA962" t="s">
        <v>42</v>
      </c>
      <c r="AB962" t="s">
        <v>43</v>
      </c>
      <c r="AC962" t="s">
        <v>43</v>
      </c>
    </row>
    <row r="963" spans="1:30" x14ac:dyDescent="0.4">
      <c r="A963" t="s">
        <v>27</v>
      </c>
      <c r="B963">
        <v>3186</v>
      </c>
      <c r="C963" t="s">
        <v>2541</v>
      </c>
      <c r="D963">
        <v>311</v>
      </c>
      <c r="E963" t="s">
        <v>28</v>
      </c>
      <c r="F963" t="s">
        <v>2534</v>
      </c>
      <c r="G963" t="s">
        <v>2535</v>
      </c>
      <c r="H963" t="s">
        <v>2536</v>
      </c>
      <c r="I963" t="s">
        <v>2537</v>
      </c>
      <c r="J963" t="s">
        <v>2538</v>
      </c>
      <c r="K963" t="s">
        <v>495</v>
      </c>
      <c r="L963" t="s">
        <v>2539</v>
      </c>
      <c r="M963" t="s">
        <v>35</v>
      </c>
      <c r="N963">
        <v>7790465184</v>
      </c>
      <c r="O963" t="s">
        <v>2540</v>
      </c>
      <c r="P963" t="s">
        <v>2541</v>
      </c>
      <c r="R963" t="s">
        <v>2542</v>
      </c>
      <c r="S963" t="s">
        <v>2543</v>
      </c>
      <c r="T963" t="s">
        <v>960</v>
      </c>
      <c r="U963" t="s">
        <v>40</v>
      </c>
      <c r="V963" s="1">
        <v>45114</v>
      </c>
      <c r="W963">
        <v>0</v>
      </c>
      <c r="X963">
        <v>12</v>
      </c>
      <c r="Z963" t="s">
        <v>135</v>
      </c>
      <c r="AA963" t="s">
        <v>42</v>
      </c>
      <c r="AB963" t="s">
        <v>43</v>
      </c>
      <c r="AC963" t="s">
        <v>43</v>
      </c>
    </row>
    <row r="964" spans="1:30" x14ac:dyDescent="0.4">
      <c r="A964" t="s">
        <v>27</v>
      </c>
      <c r="B964">
        <v>3186</v>
      </c>
      <c r="C964" t="s">
        <v>2541</v>
      </c>
      <c r="D964">
        <v>310</v>
      </c>
      <c r="E964" t="s">
        <v>28</v>
      </c>
      <c r="F964" t="s">
        <v>2534</v>
      </c>
      <c r="G964" t="s">
        <v>2535</v>
      </c>
      <c r="H964" t="s">
        <v>2536</v>
      </c>
      <c r="I964" t="s">
        <v>2537</v>
      </c>
      <c r="J964" t="s">
        <v>2538</v>
      </c>
      <c r="K964" t="s">
        <v>495</v>
      </c>
      <c r="L964" t="s">
        <v>2539</v>
      </c>
      <c r="M964" t="s">
        <v>35</v>
      </c>
      <c r="N964">
        <v>7790465184</v>
      </c>
      <c r="O964" t="s">
        <v>2540</v>
      </c>
      <c r="P964" t="s">
        <v>2541</v>
      </c>
      <c r="R964" t="s">
        <v>2544</v>
      </c>
      <c r="S964" t="s">
        <v>2545</v>
      </c>
      <c r="T964" t="s">
        <v>960</v>
      </c>
      <c r="U964" t="s">
        <v>40</v>
      </c>
      <c r="V964" s="1">
        <v>44244</v>
      </c>
      <c r="W964">
        <v>0</v>
      </c>
      <c r="X964">
        <v>14</v>
      </c>
      <c r="Z964" t="s">
        <v>135</v>
      </c>
      <c r="AA964" t="s">
        <v>42</v>
      </c>
      <c r="AB964" t="s">
        <v>43</v>
      </c>
      <c r="AC964" t="s">
        <v>43</v>
      </c>
    </row>
    <row r="965" spans="1:30" x14ac:dyDescent="0.4">
      <c r="A965" t="s">
        <v>27</v>
      </c>
      <c r="B965">
        <v>3186</v>
      </c>
      <c r="C965" t="s">
        <v>2541</v>
      </c>
      <c r="D965">
        <v>310</v>
      </c>
      <c r="E965" t="s">
        <v>28</v>
      </c>
      <c r="F965" t="s">
        <v>2534</v>
      </c>
      <c r="G965" t="s">
        <v>2535</v>
      </c>
      <c r="H965" t="s">
        <v>2536</v>
      </c>
      <c r="I965" t="s">
        <v>2537</v>
      </c>
      <c r="J965" t="s">
        <v>2538</v>
      </c>
      <c r="K965" t="s">
        <v>495</v>
      </c>
      <c r="L965" t="s">
        <v>2539</v>
      </c>
      <c r="M965" t="s">
        <v>35</v>
      </c>
      <c r="N965">
        <v>7790465184</v>
      </c>
      <c r="O965" t="s">
        <v>2540</v>
      </c>
      <c r="P965" t="s">
        <v>2541</v>
      </c>
      <c r="R965" t="s">
        <v>2544</v>
      </c>
      <c r="S965" t="s">
        <v>2545</v>
      </c>
      <c r="T965" t="s">
        <v>960</v>
      </c>
      <c r="U965" t="s">
        <v>40</v>
      </c>
      <c r="V965" s="1">
        <v>44244</v>
      </c>
      <c r="W965">
        <v>0</v>
      </c>
      <c r="X965">
        <v>16</v>
      </c>
      <c r="Z965" t="s">
        <v>135</v>
      </c>
      <c r="AA965" t="s">
        <v>42</v>
      </c>
      <c r="AB965" t="s">
        <v>43</v>
      </c>
      <c r="AC965" t="s">
        <v>43</v>
      </c>
    </row>
    <row r="966" spans="1:30" x14ac:dyDescent="0.4">
      <c r="A966" t="s">
        <v>27</v>
      </c>
      <c r="B966">
        <v>3186</v>
      </c>
      <c r="C966" t="s">
        <v>2541</v>
      </c>
      <c r="D966">
        <v>309</v>
      </c>
      <c r="E966" t="s">
        <v>28</v>
      </c>
      <c r="F966" t="s">
        <v>2534</v>
      </c>
      <c r="G966" t="s">
        <v>2535</v>
      </c>
      <c r="H966" t="s">
        <v>2536</v>
      </c>
      <c r="I966" t="s">
        <v>2537</v>
      </c>
      <c r="J966" t="s">
        <v>2538</v>
      </c>
      <c r="K966" t="s">
        <v>495</v>
      </c>
      <c r="L966" t="s">
        <v>2539</v>
      </c>
      <c r="M966" t="s">
        <v>35</v>
      </c>
      <c r="N966">
        <v>7790465184</v>
      </c>
      <c r="O966" t="s">
        <v>2540</v>
      </c>
      <c r="P966" t="s">
        <v>2541</v>
      </c>
      <c r="R966" t="s">
        <v>2546</v>
      </c>
      <c r="S966" t="s">
        <v>2547</v>
      </c>
      <c r="T966" t="s">
        <v>960</v>
      </c>
      <c r="U966" t="s">
        <v>40</v>
      </c>
      <c r="V966" s="1">
        <v>42610</v>
      </c>
      <c r="W966">
        <v>0</v>
      </c>
      <c r="X966">
        <v>20</v>
      </c>
      <c r="Z966" t="s">
        <v>135</v>
      </c>
      <c r="AA966" t="s">
        <v>42</v>
      </c>
      <c r="AB966" t="s">
        <v>43</v>
      </c>
      <c r="AC966" t="s">
        <v>43</v>
      </c>
    </row>
    <row r="967" spans="1:30" x14ac:dyDescent="0.4">
      <c r="A967" t="s">
        <v>27</v>
      </c>
      <c r="B967">
        <v>4182</v>
      </c>
      <c r="C967" t="s">
        <v>2554</v>
      </c>
      <c r="D967">
        <v>312</v>
      </c>
      <c r="E967" t="s">
        <v>257</v>
      </c>
      <c r="F967" t="s">
        <v>2548</v>
      </c>
      <c r="G967" t="s">
        <v>2549</v>
      </c>
      <c r="H967" t="s">
        <v>2550</v>
      </c>
      <c r="I967" t="s">
        <v>2551</v>
      </c>
      <c r="J967" t="s">
        <v>1718</v>
      </c>
      <c r="K967" t="s">
        <v>73</v>
      </c>
      <c r="L967" t="s">
        <v>2552</v>
      </c>
      <c r="M967" t="s">
        <v>35</v>
      </c>
      <c r="N967">
        <v>7956588248</v>
      </c>
      <c r="O967" t="s">
        <v>2553</v>
      </c>
      <c r="P967" t="s">
        <v>2554</v>
      </c>
      <c r="R967" t="s">
        <v>3055</v>
      </c>
      <c r="S967" t="s">
        <v>2556</v>
      </c>
      <c r="T967" t="s">
        <v>58</v>
      </c>
      <c r="U967" t="s">
        <v>82</v>
      </c>
      <c r="V967" s="1">
        <v>44790</v>
      </c>
      <c r="W967">
        <v>0</v>
      </c>
      <c r="X967">
        <v>4</v>
      </c>
      <c r="Y967" t="s">
        <v>65</v>
      </c>
      <c r="AA967" t="s">
        <v>42</v>
      </c>
      <c r="AB967" t="s">
        <v>43</v>
      </c>
      <c r="AC967" t="s">
        <v>43</v>
      </c>
    </row>
    <row r="968" spans="1:30" x14ac:dyDescent="0.4">
      <c r="A968" t="s">
        <v>27</v>
      </c>
      <c r="B968">
        <v>684</v>
      </c>
      <c r="C968" t="s">
        <v>3015</v>
      </c>
      <c r="D968">
        <v>313</v>
      </c>
      <c r="E968" t="s">
        <v>68</v>
      </c>
      <c r="F968" t="s">
        <v>2557</v>
      </c>
      <c r="G968" t="s">
        <v>2558</v>
      </c>
      <c r="H968" t="s">
        <v>2559</v>
      </c>
      <c r="I968" t="s">
        <v>426</v>
      </c>
      <c r="J968" t="s">
        <v>2560</v>
      </c>
      <c r="K968" t="s">
        <v>426</v>
      </c>
      <c r="L968" t="s">
        <v>2561</v>
      </c>
      <c r="M968" t="s">
        <v>35</v>
      </c>
      <c r="N968">
        <v>7729309428</v>
      </c>
      <c r="O968" t="s">
        <v>2562</v>
      </c>
      <c r="P968" t="s">
        <v>3086</v>
      </c>
      <c r="R968" t="s">
        <v>2563</v>
      </c>
      <c r="S968" t="s">
        <v>2564</v>
      </c>
      <c r="T968" t="s">
        <v>94</v>
      </c>
      <c r="U968" t="s">
        <v>40</v>
      </c>
      <c r="V968" s="1">
        <v>43416</v>
      </c>
      <c r="W968">
        <v>0</v>
      </c>
      <c r="X968">
        <v>7</v>
      </c>
      <c r="AA968" t="s">
        <v>42</v>
      </c>
      <c r="AB968" t="s">
        <v>43</v>
      </c>
      <c r="AC968" t="s">
        <v>43</v>
      </c>
    </row>
    <row r="969" spans="1:30" x14ac:dyDescent="0.4">
      <c r="A969" t="s">
        <v>27</v>
      </c>
      <c r="B969">
        <v>684</v>
      </c>
      <c r="C969" t="s">
        <v>3015</v>
      </c>
      <c r="D969">
        <v>314</v>
      </c>
      <c r="E969" t="s">
        <v>68</v>
      </c>
      <c r="F969" t="s">
        <v>2557</v>
      </c>
      <c r="G969" t="s">
        <v>2558</v>
      </c>
      <c r="H969" t="s">
        <v>2559</v>
      </c>
      <c r="I969" t="s">
        <v>426</v>
      </c>
      <c r="J969" t="s">
        <v>2560</v>
      </c>
      <c r="K969" t="s">
        <v>426</v>
      </c>
      <c r="L969" t="s">
        <v>2561</v>
      </c>
      <c r="M969" t="s">
        <v>35</v>
      </c>
      <c r="N969">
        <v>7729309428</v>
      </c>
      <c r="O969" t="s">
        <v>2562</v>
      </c>
      <c r="P969" t="s">
        <v>3086</v>
      </c>
      <c r="R969" t="s">
        <v>2565</v>
      </c>
      <c r="S969" t="s">
        <v>2566</v>
      </c>
      <c r="T969" t="s">
        <v>58</v>
      </c>
      <c r="U969" t="s">
        <v>82</v>
      </c>
      <c r="V969" s="1">
        <v>42501</v>
      </c>
      <c r="W969">
        <v>0</v>
      </c>
      <c r="X969">
        <v>7</v>
      </c>
      <c r="AA969" t="s">
        <v>42</v>
      </c>
      <c r="AB969" t="s">
        <v>43</v>
      </c>
      <c r="AC969" t="s">
        <v>43</v>
      </c>
    </row>
    <row r="970" spans="1:30" x14ac:dyDescent="0.4">
      <c r="A970" t="s">
        <v>27</v>
      </c>
      <c r="B970">
        <v>684</v>
      </c>
      <c r="C970" t="s">
        <v>3015</v>
      </c>
      <c r="D970">
        <v>313</v>
      </c>
      <c r="E970" t="s">
        <v>68</v>
      </c>
      <c r="F970" t="s">
        <v>2557</v>
      </c>
      <c r="G970" t="s">
        <v>2558</v>
      </c>
      <c r="H970" t="s">
        <v>2559</v>
      </c>
      <c r="I970" t="s">
        <v>426</v>
      </c>
      <c r="J970" t="s">
        <v>2560</v>
      </c>
      <c r="K970" t="s">
        <v>426</v>
      </c>
      <c r="L970" t="s">
        <v>2561</v>
      </c>
      <c r="M970" t="s">
        <v>35</v>
      </c>
      <c r="N970">
        <v>7729309428</v>
      </c>
      <c r="O970" t="s">
        <v>2562</v>
      </c>
      <c r="P970" t="s">
        <v>3086</v>
      </c>
      <c r="R970" t="s">
        <v>2563</v>
      </c>
      <c r="S970" t="s">
        <v>2564</v>
      </c>
      <c r="T970" t="s">
        <v>94</v>
      </c>
      <c r="U970" t="s">
        <v>40</v>
      </c>
      <c r="V970" s="1">
        <v>43416</v>
      </c>
      <c r="W970">
        <v>0</v>
      </c>
      <c r="X970">
        <v>20</v>
      </c>
      <c r="AA970" t="s">
        <v>42</v>
      </c>
      <c r="AB970" t="s">
        <v>43</v>
      </c>
      <c r="AC970" t="s">
        <v>43</v>
      </c>
    </row>
    <row r="971" spans="1:30" x14ac:dyDescent="0.4">
      <c r="A971" t="s">
        <v>27</v>
      </c>
      <c r="B971">
        <v>684</v>
      </c>
      <c r="C971" t="s">
        <v>3015</v>
      </c>
      <c r="D971">
        <v>314</v>
      </c>
      <c r="E971" t="s">
        <v>68</v>
      </c>
      <c r="F971" t="s">
        <v>2557</v>
      </c>
      <c r="G971" t="s">
        <v>2558</v>
      </c>
      <c r="H971" t="s">
        <v>2559</v>
      </c>
      <c r="I971" t="s">
        <v>426</v>
      </c>
      <c r="J971" t="s">
        <v>2560</v>
      </c>
      <c r="K971" t="s">
        <v>426</v>
      </c>
      <c r="L971" t="s">
        <v>2561</v>
      </c>
      <c r="M971" t="s">
        <v>35</v>
      </c>
      <c r="N971">
        <v>7729309428</v>
      </c>
      <c r="O971" t="s">
        <v>2562</v>
      </c>
      <c r="P971" t="s">
        <v>3086</v>
      </c>
      <c r="R971" t="s">
        <v>2565</v>
      </c>
      <c r="S971" t="s">
        <v>2566</v>
      </c>
      <c r="T971" t="s">
        <v>58</v>
      </c>
      <c r="U971" t="s">
        <v>82</v>
      </c>
      <c r="V971" s="1">
        <v>42501</v>
      </c>
      <c r="W971">
        <v>0</v>
      </c>
      <c r="X971">
        <v>21</v>
      </c>
      <c r="AA971" t="s">
        <v>42</v>
      </c>
      <c r="AB971" t="s">
        <v>43</v>
      </c>
      <c r="AC971" t="s">
        <v>43</v>
      </c>
    </row>
    <row r="972" spans="1:30" ht="80" x14ac:dyDescent="0.4">
      <c r="A972" t="s">
        <v>27</v>
      </c>
      <c r="B972">
        <v>1530</v>
      </c>
      <c r="C972" t="s">
        <v>323</v>
      </c>
      <c r="E972" t="s">
        <v>68</v>
      </c>
      <c r="F972" t="s">
        <v>2195</v>
      </c>
      <c r="G972" t="s">
        <v>2567</v>
      </c>
      <c r="H972" t="s">
        <v>2568</v>
      </c>
      <c r="I972" t="s">
        <v>2569</v>
      </c>
      <c r="J972" t="s">
        <v>2570</v>
      </c>
      <c r="K972" t="s">
        <v>2571</v>
      </c>
      <c r="L972" t="s">
        <v>2572</v>
      </c>
      <c r="M972" t="s">
        <v>35</v>
      </c>
      <c r="N972">
        <v>7940797964</v>
      </c>
      <c r="O972" t="s">
        <v>2573</v>
      </c>
      <c r="P972" t="s">
        <v>323</v>
      </c>
      <c r="R972" t="s">
        <v>2574</v>
      </c>
      <c r="S972" t="s">
        <v>2575</v>
      </c>
      <c r="T972" t="s">
        <v>94</v>
      </c>
      <c r="U972" t="s">
        <v>82</v>
      </c>
      <c r="V972" s="1">
        <v>41190</v>
      </c>
      <c r="W972">
        <v>0</v>
      </c>
      <c r="X972">
        <v>0</v>
      </c>
      <c r="Y972" t="s">
        <v>59</v>
      </c>
      <c r="AA972" t="s">
        <v>42</v>
      </c>
      <c r="AB972" t="s">
        <v>43</v>
      </c>
      <c r="AC972" t="s">
        <v>43</v>
      </c>
      <c r="AD972" s="2" t="s">
        <v>2576</v>
      </c>
    </row>
    <row r="973" spans="1:30" ht="80" x14ac:dyDescent="0.4">
      <c r="A973" t="s">
        <v>27</v>
      </c>
      <c r="B973">
        <v>1530</v>
      </c>
      <c r="C973" t="s">
        <v>323</v>
      </c>
      <c r="E973" t="s">
        <v>68</v>
      </c>
      <c r="F973" t="s">
        <v>2195</v>
      </c>
      <c r="G973" t="s">
        <v>2567</v>
      </c>
      <c r="H973" t="s">
        <v>2568</v>
      </c>
      <c r="I973" t="s">
        <v>2569</v>
      </c>
      <c r="J973" t="s">
        <v>2570</v>
      </c>
      <c r="K973" t="s">
        <v>2571</v>
      </c>
      <c r="L973" t="s">
        <v>2572</v>
      </c>
      <c r="M973" t="s">
        <v>35</v>
      </c>
      <c r="N973">
        <v>7940797964</v>
      </c>
      <c r="O973" t="s">
        <v>2573</v>
      </c>
      <c r="P973" t="s">
        <v>323</v>
      </c>
      <c r="R973" t="s">
        <v>2574</v>
      </c>
      <c r="S973" t="s">
        <v>2575</v>
      </c>
      <c r="T973" t="s">
        <v>94</v>
      </c>
      <c r="U973" t="s">
        <v>82</v>
      </c>
      <c r="V973" s="1">
        <v>41190</v>
      </c>
      <c r="W973">
        <v>0</v>
      </c>
      <c r="X973">
        <v>0</v>
      </c>
      <c r="Y973" t="s">
        <v>59</v>
      </c>
      <c r="AA973" t="s">
        <v>42</v>
      </c>
      <c r="AB973" t="s">
        <v>43</v>
      </c>
      <c r="AC973" t="s">
        <v>43</v>
      </c>
      <c r="AD973" s="2" t="s">
        <v>2576</v>
      </c>
    </row>
    <row r="974" spans="1:30" ht="80" x14ac:dyDescent="0.4">
      <c r="A974" t="s">
        <v>27</v>
      </c>
      <c r="B974">
        <v>1530</v>
      </c>
      <c r="C974" t="s">
        <v>323</v>
      </c>
      <c r="E974" t="s">
        <v>68</v>
      </c>
      <c r="F974" t="s">
        <v>2195</v>
      </c>
      <c r="G974" t="s">
        <v>2567</v>
      </c>
      <c r="H974" t="s">
        <v>2568</v>
      </c>
      <c r="I974" t="s">
        <v>2569</v>
      </c>
      <c r="J974" t="s">
        <v>2570</v>
      </c>
      <c r="K974" t="s">
        <v>2571</v>
      </c>
      <c r="L974" t="s">
        <v>2572</v>
      </c>
      <c r="M974" t="s">
        <v>35</v>
      </c>
      <c r="N974">
        <v>7940797964</v>
      </c>
      <c r="O974" t="s">
        <v>2573</v>
      </c>
      <c r="P974" t="s">
        <v>323</v>
      </c>
      <c r="R974" t="s">
        <v>2577</v>
      </c>
      <c r="S974" t="s">
        <v>2578</v>
      </c>
      <c r="T974" t="s">
        <v>94</v>
      </c>
      <c r="U974" t="s">
        <v>40</v>
      </c>
      <c r="V974" s="1">
        <v>43839</v>
      </c>
      <c r="W974">
        <v>0</v>
      </c>
      <c r="X974">
        <v>0</v>
      </c>
      <c r="Y974" t="s">
        <v>59</v>
      </c>
      <c r="AA974" t="s">
        <v>42</v>
      </c>
      <c r="AB974" t="s">
        <v>43</v>
      </c>
      <c r="AC974" t="s">
        <v>43</v>
      </c>
      <c r="AD974" s="2" t="s">
        <v>2576</v>
      </c>
    </row>
    <row r="975" spans="1:30" ht="80" x14ac:dyDescent="0.4">
      <c r="A975" t="s">
        <v>27</v>
      </c>
      <c r="B975">
        <v>1530</v>
      </c>
      <c r="C975" t="s">
        <v>323</v>
      </c>
      <c r="E975" t="s">
        <v>68</v>
      </c>
      <c r="F975" t="s">
        <v>2195</v>
      </c>
      <c r="G975" t="s">
        <v>2567</v>
      </c>
      <c r="H975" t="s">
        <v>2568</v>
      </c>
      <c r="I975" t="s">
        <v>2569</v>
      </c>
      <c r="J975" t="s">
        <v>2570</v>
      </c>
      <c r="K975" t="s">
        <v>2571</v>
      </c>
      <c r="L975" t="s">
        <v>2572</v>
      </c>
      <c r="M975" t="s">
        <v>35</v>
      </c>
      <c r="N975">
        <v>7940797964</v>
      </c>
      <c r="O975" t="s">
        <v>2573</v>
      </c>
      <c r="P975" t="s">
        <v>323</v>
      </c>
      <c r="R975" t="s">
        <v>2579</v>
      </c>
      <c r="S975" t="s">
        <v>2580</v>
      </c>
      <c r="T975" t="s">
        <v>58</v>
      </c>
      <c r="U975" t="s">
        <v>40</v>
      </c>
      <c r="V975" s="1">
        <v>43794</v>
      </c>
      <c r="W975">
        <v>0</v>
      </c>
      <c r="X975">
        <v>0</v>
      </c>
      <c r="Y975" t="s">
        <v>59</v>
      </c>
      <c r="AA975" t="s">
        <v>42</v>
      </c>
      <c r="AB975" t="s">
        <v>43</v>
      </c>
      <c r="AC975" t="s">
        <v>43</v>
      </c>
      <c r="AD975" s="2" t="s">
        <v>2576</v>
      </c>
    </row>
    <row r="976" spans="1:30" ht="80" x14ac:dyDescent="0.4">
      <c r="A976" t="s">
        <v>27</v>
      </c>
      <c r="B976">
        <v>1530</v>
      </c>
      <c r="C976" t="s">
        <v>323</v>
      </c>
      <c r="E976" t="s">
        <v>68</v>
      </c>
      <c r="F976" t="s">
        <v>2195</v>
      </c>
      <c r="G976" t="s">
        <v>2567</v>
      </c>
      <c r="H976" t="s">
        <v>2568</v>
      </c>
      <c r="I976" t="s">
        <v>2569</v>
      </c>
      <c r="J976" t="s">
        <v>2570</v>
      </c>
      <c r="K976" t="s">
        <v>2571</v>
      </c>
      <c r="L976" t="s">
        <v>2572</v>
      </c>
      <c r="M976" t="s">
        <v>35</v>
      </c>
      <c r="N976">
        <v>7940797964</v>
      </c>
      <c r="O976" t="s">
        <v>2573</v>
      </c>
      <c r="P976" t="s">
        <v>323</v>
      </c>
      <c r="R976" t="s">
        <v>2581</v>
      </c>
      <c r="S976" t="s">
        <v>2582</v>
      </c>
      <c r="T976" t="s">
        <v>58</v>
      </c>
      <c r="U976" t="s">
        <v>40</v>
      </c>
      <c r="V976" s="1">
        <v>42407</v>
      </c>
      <c r="W976">
        <v>0</v>
      </c>
      <c r="X976">
        <v>0</v>
      </c>
      <c r="Y976" t="s">
        <v>59</v>
      </c>
      <c r="AA976" t="s">
        <v>42</v>
      </c>
      <c r="AB976" t="s">
        <v>43</v>
      </c>
      <c r="AC976" t="s">
        <v>43</v>
      </c>
      <c r="AD976" s="2" t="s">
        <v>2576</v>
      </c>
    </row>
    <row r="977" spans="1:31" ht="80" x14ac:dyDescent="0.4">
      <c r="A977" t="s">
        <v>27</v>
      </c>
      <c r="B977">
        <v>1530</v>
      </c>
      <c r="C977" t="s">
        <v>323</v>
      </c>
      <c r="E977" t="s">
        <v>68</v>
      </c>
      <c r="F977" t="s">
        <v>2195</v>
      </c>
      <c r="G977" t="s">
        <v>2567</v>
      </c>
      <c r="H977" t="s">
        <v>2568</v>
      </c>
      <c r="I977" t="s">
        <v>2569</v>
      </c>
      <c r="J977" t="s">
        <v>2570</v>
      </c>
      <c r="K977" t="s">
        <v>2571</v>
      </c>
      <c r="L977" t="s">
        <v>2572</v>
      </c>
      <c r="M977" t="s">
        <v>35</v>
      </c>
      <c r="N977">
        <v>7940797964</v>
      </c>
      <c r="O977" t="s">
        <v>2573</v>
      </c>
      <c r="P977" t="s">
        <v>323</v>
      </c>
      <c r="R977" t="s">
        <v>2583</v>
      </c>
      <c r="S977" t="s">
        <v>2584</v>
      </c>
      <c r="T977" t="s">
        <v>94</v>
      </c>
      <c r="U977" t="s">
        <v>82</v>
      </c>
      <c r="V977" s="1">
        <v>44809</v>
      </c>
      <c r="W977">
        <v>0</v>
      </c>
      <c r="X977">
        <v>0</v>
      </c>
      <c r="Y977" t="s">
        <v>59</v>
      </c>
      <c r="AA977" t="s">
        <v>42</v>
      </c>
      <c r="AB977" t="s">
        <v>43</v>
      </c>
      <c r="AC977" t="s">
        <v>43</v>
      </c>
      <c r="AD977" s="2" t="s">
        <v>2576</v>
      </c>
    </row>
    <row r="978" spans="1:31" ht="96" x14ac:dyDescent="0.4">
      <c r="A978" t="s">
        <v>27</v>
      </c>
      <c r="B978">
        <v>1530</v>
      </c>
      <c r="C978" t="s">
        <v>323</v>
      </c>
      <c r="D978">
        <v>315</v>
      </c>
      <c r="E978" t="s">
        <v>68</v>
      </c>
      <c r="F978" t="s">
        <v>2195</v>
      </c>
      <c r="G978" t="s">
        <v>2567</v>
      </c>
      <c r="H978" t="s">
        <v>2568</v>
      </c>
      <c r="I978" t="s">
        <v>2569</v>
      </c>
      <c r="J978" t="s">
        <v>2570</v>
      </c>
      <c r="K978" t="s">
        <v>2571</v>
      </c>
      <c r="L978" t="s">
        <v>2572</v>
      </c>
      <c r="M978" t="s">
        <v>35</v>
      </c>
      <c r="N978">
        <v>7940797964</v>
      </c>
      <c r="O978" t="s">
        <v>2573</v>
      </c>
      <c r="P978" t="s">
        <v>323</v>
      </c>
      <c r="R978" t="s">
        <v>2577</v>
      </c>
      <c r="S978" t="s">
        <v>2578</v>
      </c>
      <c r="T978" t="s">
        <v>94</v>
      </c>
      <c r="U978" t="s">
        <v>40</v>
      </c>
      <c r="V978" s="1">
        <v>43839</v>
      </c>
      <c r="W978">
        <v>0</v>
      </c>
      <c r="X978">
        <v>7</v>
      </c>
      <c r="AA978" t="s">
        <v>42</v>
      </c>
      <c r="AB978" t="s">
        <v>43</v>
      </c>
      <c r="AC978" t="s">
        <v>43</v>
      </c>
      <c r="AD978" s="2" t="s">
        <v>3139</v>
      </c>
      <c r="AE978" s="2" t="s">
        <v>3140</v>
      </c>
    </row>
    <row r="979" spans="1:31" ht="96" x14ac:dyDescent="0.4">
      <c r="A979" t="s">
        <v>27</v>
      </c>
      <c r="B979">
        <v>1530</v>
      </c>
      <c r="C979" t="s">
        <v>323</v>
      </c>
      <c r="D979">
        <v>316</v>
      </c>
      <c r="E979" t="s">
        <v>68</v>
      </c>
      <c r="F979" t="s">
        <v>2195</v>
      </c>
      <c r="G979" t="s">
        <v>2567</v>
      </c>
      <c r="H979" t="s">
        <v>2568</v>
      </c>
      <c r="I979" t="s">
        <v>2569</v>
      </c>
      <c r="J979" t="s">
        <v>2570</v>
      </c>
      <c r="K979" t="s">
        <v>2571</v>
      </c>
      <c r="L979" t="s">
        <v>2572</v>
      </c>
      <c r="M979" t="s">
        <v>35</v>
      </c>
      <c r="N979">
        <v>7940797964</v>
      </c>
      <c r="O979" t="s">
        <v>2573</v>
      </c>
      <c r="P979" t="s">
        <v>323</v>
      </c>
      <c r="R979" t="s">
        <v>2581</v>
      </c>
      <c r="S979" t="s">
        <v>2582</v>
      </c>
      <c r="T979" t="s">
        <v>58</v>
      </c>
      <c r="U979" t="s">
        <v>40</v>
      </c>
      <c r="V979" s="1">
        <v>42407</v>
      </c>
      <c r="W979">
        <v>0</v>
      </c>
      <c r="X979">
        <v>7</v>
      </c>
      <c r="AA979" t="s">
        <v>42</v>
      </c>
      <c r="AB979" t="s">
        <v>43</v>
      </c>
      <c r="AC979" t="s">
        <v>43</v>
      </c>
      <c r="AD979" s="2" t="s">
        <v>3139</v>
      </c>
      <c r="AE979" s="2" t="s">
        <v>3140</v>
      </c>
    </row>
    <row r="980" spans="1:31" ht="96" x14ac:dyDescent="0.4">
      <c r="A980" t="s">
        <v>27</v>
      </c>
      <c r="B980">
        <v>1530</v>
      </c>
      <c r="C980" t="s">
        <v>323</v>
      </c>
      <c r="D980">
        <v>317</v>
      </c>
      <c r="E980" t="s">
        <v>68</v>
      </c>
      <c r="F980" t="s">
        <v>2195</v>
      </c>
      <c r="G980" t="s">
        <v>2567</v>
      </c>
      <c r="H980" t="s">
        <v>2568</v>
      </c>
      <c r="I980" t="s">
        <v>2569</v>
      </c>
      <c r="J980" t="s">
        <v>2570</v>
      </c>
      <c r="K980" t="s">
        <v>2571</v>
      </c>
      <c r="L980" t="s">
        <v>2572</v>
      </c>
      <c r="M980" t="s">
        <v>35</v>
      </c>
      <c r="N980">
        <v>7940797964</v>
      </c>
      <c r="O980" t="s">
        <v>2573</v>
      </c>
      <c r="P980" t="s">
        <v>323</v>
      </c>
      <c r="R980" t="s">
        <v>2583</v>
      </c>
      <c r="S980" t="s">
        <v>2584</v>
      </c>
      <c r="T980" t="s">
        <v>94</v>
      </c>
      <c r="U980" t="s">
        <v>82</v>
      </c>
      <c r="V980" s="1">
        <v>44809</v>
      </c>
      <c r="W980">
        <v>0</v>
      </c>
      <c r="X980">
        <v>7</v>
      </c>
      <c r="AA980" t="s">
        <v>42</v>
      </c>
      <c r="AB980" t="s">
        <v>43</v>
      </c>
      <c r="AC980" t="s">
        <v>43</v>
      </c>
      <c r="AD980" s="2" t="s">
        <v>3139</v>
      </c>
      <c r="AE980" s="2" t="s">
        <v>3140</v>
      </c>
    </row>
    <row r="981" spans="1:31" x14ac:dyDescent="0.4">
      <c r="A981" t="s">
        <v>27</v>
      </c>
      <c r="B981">
        <v>5990</v>
      </c>
      <c r="C981" t="s">
        <v>2903</v>
      </c>
      <c r="D981">
        <v>318</v>
      </c>
      <c r="E981" t="s">
        <v>28</v>
      </c>
      <c r="F981" t="s">
        <v>2585</v>
      </c>
      <c r="G981" t="s">
        <v>2586</v>
      </c>
      <c r="H981" t="s">
        <v>2587</v>
      </c>
      <c r="I981" t="s">
        <v>2588</v>
      </c>
      <c r="J981" t="s">
        <v>559</v>
      </c>
      <c r="K981" t="s">
        <v>51</v>
      </c>
      <c r="L981" t="s">
        <v>2589</v>
      </c>
      <c r="M981" t="s">
        <v>35</v>
      </c>
      <c r="N981">
        <v>7732390797</v>
      </c>
      <c r="O981" t="s">
        <v>2590</v>
      </c>
      <c r="P981" t="s">
        <v>2903</v>
      </c>
      <c r="R981" t="s">
        <v>2591</v>
      </c>
      <c r="S981" t="s">
        <v>2592</v>
      </c>
      <c r="T981" t="s">
        <v>2593</v>
      </c>
      <c r="U981" t="s">
        <v>40</v>
      </c>
      <c r="V981" s="1">
        <v>44665</v>
      </c>
      <c r="W981">
        <v>0</v>
      </c>
      <c r="X981">
        <v>1</v>
      </c>
      <c r="AA981" t="s">
        <v>42</v>
      </c>
      <c r="AB981" t="s">
        <v>43</v>
      </c>
      <c r="AC981" t="s">
        <v>43</v>
      </c>
    </row>
    <row r="982" spans="1:31" x14ac:dyDescent="0.4">
      <c r="A982" t="s">
        <v>27</v>
      </c>
      <c r="B982">
        <v>5990</v>
      </c>
      <c r="C982" t="s">
        <v>2903</v>
      </c>
      <c r="D982">
        <v>318</v>
      </c>
      <c r="E982" t="s">
        <v>28</v>
      </c>
      <c r="F982" t="s">
        <v>2585</v>
      </c>
      <c r="G982" t="s">
        <v>2586</v>
      </c>
      <c r="H982" t="s">
        <v>2587</v>
      </c>
      <c r="I982" t="s">
        <v>2588</v>
      </c>
      <c r="J982" t="s">
        <v>559</v>
      </c>
      <c r="K982" t="s">
        <v>51</v>
      </c>
      <c r="L982" t="s">
        <v>2589</v>
      </c>
      <c r="M982" t="s">
        <v>35</v>
      </c>
      <c r="N982">
        <v>7732390797</v>
      </c>
      <c r="O982" t="s">
        <v>2590</v>
      </c>
      <c r="P982" t="s">
        <v>2903</v>
      </c>
      <c r="R982" t="s">
        <v>2591</v>
      </c>
      <c r="S982" t="s">
        <v>2592</v>
      </c>
      <c r="T982" t="s">
        <v>2593</v>
      </c>
      <c r="U982" t="s">
        <v>40</v>
      </c>
      <c r="V982" s="1">
        <v>44665</v>
      </c>
      <c r="W982">
        <v>0</v>
      </c>
      <c r="X982">
        <v>2</v>
      </c>
      <c r="AA982" t="s">
        <v>42</v>
      </c>
      <c r="AB982" t="s">
        <v>43</v>
      </c>
      <c r="AC982" t="s">
        <v>43</v>
      </c>
    </row>
    <row r="983" spans="1:31" x14ac:dyDescent="0.4">
      <c r="A983" t="s">
        <v>27</v>
      </c>
      <c r="B983">
        <v>506</v>
      </c>
      <c r="C983" t="s">
        <v>2600</v>
      </c>
      <c r="D983">
        <v>320</v>
      </c>
      <c r="E983" t="s">
        <v>28</v>
      </c>
      <c r="F983" t="s">
        <v>940</v>
      </c>
      <c r="G983" t="s">
        <v>2594</v>
      </c>
      <c r="H983" t="s">
        <v>2595</v>
      </c>
      <c r="I983" t="s">
        <v>2596</v>
      </c>
      <c r="J983" t="s">
        <v>886</v>
      </c>
      <c r="K983" t="s">
        <v>51</v>
      </c>
      <c r="L983" t="s">
        <v>2597</v>
      </c>
      <c r="M983" t="s">
        <v>35</v>
      </c>
      <c r="N983" t="s">
        <v>2598</v>
      </c>
      <c r="O983" t="s">
        <v>2599</v>
      </c>
      <c r="P983" t="s">
        <v>2600</v>
      </c>
      <c r="R983" t="s">
        <v>2601</v>
      </c>
      <c r="S983" t="s">
        <v>2602</v>
      </c>
      <c r="T983" t="s">
        <v>169</v>
      </c>
      <c r="U983" t="s">
        <v>40</v>
      </c>
      <c r="V983" s="1">
        <v>43966</v>
      </c>
      <c r="W983">
        <v>0</v>
      </c>
      <c r="X983">
        <v>7</v>
      </c>
      <c r="AA983" t="s">
        <v>42</v>
      </c>
      <c r="AB983" t="s">
        <v>43</v>
      </c>
      <c r="AC983" t="s">
        <v>43</v>
      </c>
      <c r="AD983" t="s">
        <v>2603</v>
      </c>
    </row>
    <row r="984" spans="1:31" x14ac:dyDescent="0.4">
      <c r="A984" t="s">
        <v>27</v>
      </c>
      <c r="B984">
        <v>506</v>
      </c>
      <c r="C984" t="s">
        <v>2600</v>
      </c>
      <c r="D984">
        <v>319</v>
      </c>
      <c r="E984" t="s">
        <v>28</v>
      </c>
      <c r="F984" t="s">
        <v>940</v>
      </c>
      <c r="G984" t="s">
        <v>2594</v>
      </c>
      <c r="H984" t="s">
        <v>2595</v>
      </c>
      <c r="I984" t="s">
        <v>2596</v>
      </c>
      <c r="J984" t="s">
        <v>886</v>
      </c>
      <c r="K984" t="s">
        <v>51</v>
      </c>
      <c r="L984" t="s">
        <v>2597</v>
      </c>
      <c r="M984" t="s">
        <v>35</v>
      </c>
      <c r="N984" t="s">
        <v>2598</v>
      </c>
      <c r="O984" t="s">
        <v>2599</v>
      </c>
      <c r="P984" t="s">
        <v>2600</v>
      </c>
      <c r="R984" t="s">
        <v>2604</v>
      </c>
      <c r="S984" t="s">
        <v>2605</v>
      </c>
      <c r="T984" t="s">
        <v>169</v>
      </c>
      <c r="U984" t="s">
        <v>40</v>
      </c>
      <c r="V984" s="1">
        <v>42331</v>
      </c>
      <c r="W984">
        <v>0</v>
      </c>
      <c r="X984">
        <v>5</v>
      </c>
      <c r="Y984" t="s">
        <v>66</v>
      </c>
      <c r="AA984" t="s">
        <v>42</v>
      </c>
      <c r="AB984" t="s">
        <v>43</v>
      </c>
      <c r="AC984" t="s">
        <v>43</v>
      </c>
      <c r="AD984" t="s">
        <v>2603</v>
      </c>
    </row>
    <row r="985" spans="1:31" x14ac:dyDescent="0.4">
      <c r="A985" t="s">
        <v>27</v>
      </c>
      <c r="B985">
        <v>506</v>
      </c>
      <c r="C985" t="s">
        <v>2600</v>
      </c>
      <c r="D985">
        <v>319</v>
      </c>
      <c r="E985" t="s">
        <v>28</v>
      </c>
      <c r="F985" t="s">
        <v>940</v>
      </c>
      <c r="G985" t="s">
        <v>2594</v>
      </c>
      <c r="H985" t="s">
        <v>2595</v>
      </c>
      <c r="I985" t="s">
        <v>2596</v>
      </c>
      <c r="J985" t="s">
        <v>886</v>
      </c>
      <c r="K985" t="s">
        <v>51</v>
      </c>
      <c r="L985" t="s">
        <v>2597</v>
      </c>
      <c r="M985" t="s">
        <v>35</v>
      </c>
      <c r="N985" t="s">
        <v>2598</v>
      </c>
      <c r="O985" t="s">
        <v>2599</v>
      </c>
      <c r="P985" t="s">
        <v>2600</v>
      </c>
      <c r="R985" t="s">
        <v>2604</v>
      </c>
      <c r="S985" t="s">
        <v>2605</v>
      </c>
      <c r="T985" t="s">
        <v>169</v>
      </c>
      <c r="U985" t="s">
        <v>40</v>
      </c>
      <c r="V985" s="1">
        <v>42331</v>
      </c>
      <c r="W985">
        <v>0</v>
      </c>
      <c r="X985">
        <v>6</v>
      </c>
      <c r="Y985" t="s">
        <v>83</v>
      </c>
      <c r="AA985" t="s">
        <v>42</v>
      </c>
      <c r="AB985" t="s">
        <v>43</v>
      </c>
      <c r="AC985" t="s">
        <v>43</v>
      </c>
      <c r="AD985" t="s">
        <v>2603</v>
      </c>
    </row>
    <row r="986" spans="1:31" x14ac:dyDescent="0.4">
      <c r="A986" t="s">
        <v>27</v>
      </c>
      <c r="B986">
        <v>506</v>
      </c>
      <c r="C986" t="s">
        <v>2600</v>
      </c>
      <c r="D986">
        <v>319</v>
      </c>
      <c r="E986" t="s">
        <v>28</v>
      </c>
      <c r="F986" t="s">
        <v>940</v>
      </c>
      <c r="G986" t="s">
        <v>2594</v>
      </c>
      <c r="H986" t="s">
        <v>2595</v>
      </c>
      <c r="I986" t="s">
        <v>2596</v>
      </c>
      <c r="J986" t="s">
        <v>886</v>
      </c>
      <c r="K986" t="s">
        <v>51</v>
      </c>
      <c r="L986" t="s">
        <v>2597</v>
      </c>
      <c r="M986" t="s">
        <v>35</v>
      </c>
      <c r="N986" t="s">
        <v>2598</v>
      </c>
      <c r="O986" t="s">
        <v>2599</v>
      </c>
      <c r="P986" t="s">
        <v>2600</v>
      </c>
      <c r="R986" t="s">
        <v>2604</v>
      </c>
      <c r="S986" t="s">
        <v>2605</v>
      </c>
      <c r="T986" t="s">
        <v>169</v>
      </c>
      <c r="U986" t="s">
        <v>40</v>
      </c>
      <c r="V986" s="1">
        <v>42331</v>
      </c>
      <c r="W986">
        <v>0</v>
      </c>
      <c r="X986">
        <v>14</v>
      </c>
      <c r="AA986" t="s">
        <v>42</v>
      </c>
      <c r="AB986" t="s">
        <v>43</v>
      </c>
      <c r="AC986" t="s">
        <v>43</v>
      </c>
      <c r="AD986" t="s">
        <v>2603</v>
      </c>
    </row>
    <row r="987" spans="1:31" x14ac:dyDescent="0.4">
      <c r="A987" t="s">
        <v>27</v>
      </c>
      <c r="B987">
        <v>506</v>
      </c>
      <c r="C987" t="s">
        <v>2600</v>
      </c>
      <c r="D987">
        <v>319</v>
      </c>
      <c r="E987" t="s">
        <v>28</v>
      </c>
      <c r="F987" t="s">
        <v>940</v>
      </c>
      <c r="G987" t="s">
        <v>2594</v>
      </c>
      <c r="H987" t="s">
        <v>2595</v>
      </c>
      <c r="I987" t="s">
        <v>2596</v>
      </c>
      <c r="J987" t="s">
        <v>886</v>
      </c>
      <c r="K987" t="s">
        <v>51</v>
      </c>
      <c r="L987" t="s">
        <v>2597</v>
      </c>
      <c r="M987" t="s">
        <v>35</v>
      </c>
      <c r="N987" t="s">
        <v>2598</v>
      </c>
      <c r="O987" t="s">
        <v>2599</v>
      </c>
      <c r="P987" t="s">
        <v>2600</v>
      </c>
      <c r="R987" t="s">
        <v>2604</v>
      </c>
      <c r="S987" t="s">
        <v>2605</v>
      </c>
      <c r="T987" t="s">
        <v>169</v>
      </c>
      <c r="U987" t="s">
        <v>40</v>
      </c>
      <c r="V987" s="1">
        <v>42331</v>
      </c>
      <c r="W987">
        <v>0</v>
      </c>
      <c r="X987">
        <v>16</v>
      </c>
      <c r="AA987" t="s">
        <v>42</v>
      </c>
      <c r="AB987" t="s">
        <v>43</v>
      </c>
      <c r="AC987" t="s">
        <v>43</v>
      </c>
      <c r="AD987" t="s">
        <v>2603</v>
      </c>
    </row>
    <row r="988" spans="1:31" x14ac:dyDescent="0.4">
      <c r="A988" t="s">
        <v>27</v>
      </c>
      <c r="B988">
        <v>506</v>
      </c>
      <c r="C988" t="s">
        <v>2600</v>
      </c>
      <c r="D988">
        <v>320</v>
      </c>
      <c r="E988" t="s">
        <v>28</v>
      </c>
      <c r="F988" t="s">
        <v>940</v>
      </c>
      <c r="G988" t="s">
        <v>2594</v>
      </c>
      <c r="H988" t="s">
        <v>2595</v>
      </c>
      <c r="I988" t="s">
        <v>2596</v>
      </c>
      <c r="J988" t="s">
        <v>886</v>
      </c>
      <c r="K988" t="s">
        <v>51</v>
      </c>
      <c r="L988" t="s">
        <v>2597</v>
      </c>
      <c r="M988" t="s">
        <v>35</v>
      </c>
      <c r="N988" t="s">
        <v>2598</v>
      </c>
      <c r="O988" t="s">
        <v>2599</v>
      </c>
      <c r="P988" t="s">
        <v>2600</v>
      </c>
      <c r="R988" t="s">
        <v>2601</v>
      </c>
      <c r="S988" t="s">
        <v>2602</v>
      </c>
      <c r="T988" t="s">
        <v>169</v>
      </c>
      <c r="U988" t="s">
        <v>40</v>
      </c>
      <c r="V988" s="1">
        <v>43966</v>
      </c>
      <c r="W988">
        <v>0</v>
      </c>
      <c r="X988">
        <v>18</v>
      </c>
      <c r="AA988" t="s">
        <v>42</v>
      </c>
      <c r="AB988" t="s">
        <v>43</v>
      </c>
      <c r="AC988" t="s">
        <v>43</v>
      </c>
      <c r="AD988" t="s">
        <v>2603</v>
      </c>
    </row>
    <row r="989" spans="1:31" x14ac:dyDescent="0.4">
      <c r="A989" t="s">
        <v>27</v>
      </c>
      <c r="B989">
        <v>1339</v>
      </c>
      <c r="C989" t="s">
        <v>2879</v>
      </c>
      <c r="D989">
        <v>322</v>
      </c>
      <c r="E989" t="s">
        <v>68</v>
      </c>
      <c r="F989" t="s">
        <v>858</v>
      </c>
      <c r="G989" t="s">
        <v>2606</v>
      </c>
      <c r="H989" t="s">
        <v>2607</v>
      </c>
      <c r="I989" t="s">
        <v>2608</v>
      </c>
      <c r="J989" t="s">
        <v>2609</v>
      </c>
      <c r="K989" t="s">
        <v>89</v>
      </c>
      <c r="L989" t="s">
        <v>2610</v>
      </c>
      <c r="M989" t="s">
        <v>35</v>
      </c>
      <c r="N989">
        <v>1295711363</v>
      </c>
      <c r="O989" t="s">
        <v>2611</v>
      </c>
      <c r="P989" t="s">
        <v>2879</v>
      </c>
      <c r="R989" t="s">
        <v>2612</v>
      </c>
      <c r="S989" t="s">
        <v>2613</v>
      </c>
      <c r="T989" t="s">
        <v>58</v>
      </c>
      <c r="U989" t="s">
        <v>82</v>
      </c>
      <c r="V989" s="1">
        <v>43858</v>
      </c>
      <c r="W989">
        <v>0</v>
      </c>
      <c r="X989">
        <v>7</v>
      </c>
      <c r="Z989" t="s">
        <v>392</v>
      </c>
      <c r="AA989" t="s">
        <v>42</v>
      </c>
      <c r="AB989" t="s">
        <v>43</v>
      </c>
      <c r="AC989" t="s">
        <v>42</v>
      </c>
    </row>
    <row r="990" spans="1:31" x14ac:dyDescent="0.4">
      <c r="A990" t="s">
        <v>27</v>
      </c>
      <c r="B990">
        <v>1339</v>
      </c>
      <c r="C990" t="s">
        <v>2879</v>
      </c>
      <c r="D990">
        <v>322</v>
      </c>
      <c r="E990" t="s">
        <v>68</v>
      </c>
      <c r="F990" t="s">
        <v>858</v>
      </c>
      <c r="G990" t="s">
        <v>2606</v>
      </c>
      <c r="H990" t="s">
        <v>2607</v>
      </c>
      <c r="I990" t="s">
        <v>2608</v>
      </c>
      <c r="J990" t="s">
        <v>2609</v>
      </c>
      <c r="K990" t="s">
        <v>89</v>
      </c>
      <c r="L990" t="s">
        <v>2610</v>
      </c>
      <c r="M990" t="s">
        <v>35</v>
      </c>
      <c r="N990">
        <v>1295711363</v>
      </c>
      <c r="O990" t="s">
        <v>2611</v>
      </c>
      <c r="P990" t="s">
        <v>2879</v>
      </c>
      <c r="R990" t="s">
        <v>2612</v>
      </c>
      <c r="S990" t="s">
        <v>2613</v>
      </c>
      <c r="T990" t="s">
        <v>58</v>
      </c>
      <c r="U990" t="s">
        <v>82</v>
      </c>
      <c r="V990" s="1">
        <v>43858</v>
      </c>
      <c r="W990">
        <v>0</v>
      </c>
      <c r="X990">
        <v>19</v>
      </c>
      <c r="Z990" t="s">
        <v>392</v>
      </c>
      <c r="AA990" t="s">
        <v>42</v>
      </c>
      <c r="AB990" t="s">
        <v>43</v>
      </c>
      <c r="AC990" t="s">
        <v>42</v>
      </c>
    </row>
    <row r="991" spans="1:31" x14ac:dyDescent="0.4">
      <c r="A991" t="s">
        <v>27</v>
      </c>
      <c r="B991">
        <v>2616</v>
      </c>
      <c r="C991" t="s">
        <v>2618</v>
      </c>
      <c r="D991">
        <v>321</v>
      </c>
      <c r="E991" t="s">
        <v>195</v>
      </c>
      <c r="F991" t="s">
        <v>501</v>
      </c>
      <c r="G991" t="s">
        <v>2606</v>
      </c>
      <c r="H991" t="s">
        <v>2614</v>
      </c>
      <c r="J991" t="s">
        <v>2615</v>
      </c>
      <c r="K991" t="s">
        <v>370</v>
      </c>
      <c r="L991" t="s">
        <v>2616</v>
      </c>
      <c r="M991" t="s">
        <v>35</v>
      </c>
      <c r="N991">
        <v>1344516687</v>
      </c>
      <c r="O991" t="s">
        <v>2617</v>
      </c>
      <c r="P991" t="s">
        <v>2618</v>
      </c>
      <c r="R991" t="s">
        <v>2619</v>
      </c>
      <c r="S991" t="s">
        <v>2620</v>
      </c>
      <c r="T991" t="s">
        <v>376</v>
      </c>
      <c r="U991" t="s">
        <v>82</v>
      </c>
      <c r="V991" s="1">
        <v>44866</v>
      </c>
      <c r="W991">
        <v>0</v>
      </c>
      <c r="X991">
        <v>3</v>
      </c>
      <c r="AA991" t="s">
        <v>42</v>
      </c>
      <c r="AB991" t="s">
        <v>43</v>
      </c>
      <c r="AC991" t="s">
        <v>43</v>
      </c>
    </row>
    <row r="992" spans="1:31" x14ac:dyDescent="0.4">
      <c r="A992" t="s">
        <v>27</v>
      </c>
      <c r="B992">
        <v>2616</v>
      </c>
      <c r="C992" t="s">
        <v>2618</v>
      </c>
      <c r="D992">
        <v>321</v>
      </c>
      <c r="E992" t="s">
        <v>195</v>
      </c>
      <c r="F992" t="s">
        <v>501</v>
      </c>
      <c r="G992" t="s">
        <v>2606</v>
      </c>
      <c r="H992" t="s">
        <v>2614</v>
      </c>
      <c r="J992" t="s">
        <v>2615</v>
      </c>
      <c r="K992" t="s">
        <v>370</v>
      </c>
      <c r="L992" t="s">
        <v>2616</v>
      </c>
      <c r="M992" t="s">
        <v>35</v>
      </c>
      <c r="N992">
        <v>1344516687</v>
      </c>
      <c r="O992" t="s">
        <v>2617</v>
      </c>
      <c r="P992" t="s">
        <v>2618</v>
      </c>
      <c r="R992" t="s">
        <v>2619</v>
      </c>
      <c r="S992" t="s">
        <v>2620</v>
      </c>
      <c r="T992" t="s">
        <v>376</v>
      </c>
      <c r="U992" t="s">
        <v>82</v>
      </c>
      <c r="V992" s="1">
        <v>44866</v>
      </c>
      <c r="W992">
        <v>0</v>
      </c>
      <c r="X992">
        <v>11</v>
      </c>
      <c r="AA992" t="s">
        <v>42</v>
      </c>
      <c r="AB992" t="s">
        <v>43</v>
      </c>
      <c r="AC992" t="s">
        <v>43</v>
      </c>
    </row>
    <row r="993" spans="1:29" x14ac:dyDescent="0.4">
      <c r="A993" t="s">
        <v>27</v>
      </c>
      <c r="B993">
        <v>2616</v>
      </c>
      <c r="C993" t="s">
        <v>2618</v>
      </c>
      <c r="D993">
        <v>321</v>
      </c>
      <c r="E993" t="s">
        <v>195</v>
      </c>
      <c r="F993" t="s">
        <v>501</v>
      </c>
      <c r="G993" t="s">
        <v>2606</v>
      </c>
      <c r="H993" t="s">
        <v>2614</v>
      </c>
      <c r="J993" t="s">
        <v>2615</v>
      </c>
      <c r="K993" t="s">
        <v>370</v>
      </c>
      <c r="L993" t="s">
        <v>2616</v>
      </c>
      <c r="M993" t="s">
        <v>35</v>
      </c>
      <c r="N993">
        <v>1344516687</v>
      </c>
      <c r="O993" t="s">
        <v>2617</v>
      </c>
      <c r="P993" t="s">
        <v>2618</v>
      </c>
      <c r="R993" t="s">
        <v>2619</v>
      </c>
      <c r="S993" t="s">
        <v>2620</v>
      </c>
      <c r="T993" t="s">
        <v>376</v>
      </c>
      <c r="U993" t="s">
        <v>82</v>
      </c>
      <c r="V993" s="1">
        <v>44866</v>
      </c>
      <c r="W993">
        <v>0</v>
      </c>
      <c r="X993">
        <v>4</v>
      </c>
      <c r="Y993" t="s">
        <v>65</v>
      </c>
      <c r="AA993" t="s">
        <v>42</v>
      </c>
      <c r="AB993" t="s">
        <v>43</v>
      </c>
      <c r="AC993" t="s">
        <v>43</v>
      </c>
    </row>
    <row r="994" spans="1:29" x14ac:dyDescent="0.4">
      <c r="A994" t="s">
        <v>27</v>
      </c>
      <c r="B994">
        <v>2616</v>
      </c>
      <c r="C994" t="s">
        <v>2618</v>
      </c>
      <c r="D994">
        <v>321</v>
      </c>
      <c r="E994" t="s">
        <v>195</v>
      </c>
      <c r="F994" t="s">
        <v>501</v>
      </c>
      <c r="G994" t="s">
        <v>2606</v>
      </c>
      <c r="H994" t="s">
        <v>2614</v>
      </c>
      <c r="J994" t="s">
        <v>2615</v>
      </c>
      <c r="K994" t="s">
        <v>370</v>
      </c>
      <c r="L994" t="s">
        <v>2616</v>
      </c>
      <c r="M994" t="s">
        <v>35</v>
      </c>
      <c r="N994">
        <v>1344516687</v>
      </c>
      <c r="O994" t="s">
        <v>2617</v>
      </c>
      <c r="P994" t="s">
        <v>2618</v>
      </c>
      <c r="R994" t="s">
        <v>2619</v>
      </c>
      <c r="S994" t="s">
        <v>2620</v>
      </c>
      <c r="T994" t="s">
        <v>376</v>
      </c>
      <c r="U994" t="s">
        <v>82</v>
      </c>
      <c r="V994" s="1">
        <v>44866</v>
      </c>
      <c r="W994">
        <v>0</v>
      </c>
      <c r="X994">
        <v>13</v>
      </c>
      <c r="AA994" t="s">
        <v>42</v>
      </c>
      <c r="AB994" t="s">
        <v>43</v>
      </c>
      <c r="AC994" t="s">
        <v>43</v>
      </c>
    </row>
    <row r="995" spans="1:29" x14ac:dyDescent="0.4">
      <c r="A995" t="s">
        <v>27</v>
      </c>
      <c r="B995">
        <v>3888</v>
      </c>
      <c r="C995" t="s">
        <v>3016</v>
      </c>
      <c r="D995">
        <v>323</v>
      </c>
      <c r="E995" t="s">
        <v>68</v>
      </c>
      <c r="F995" t="s">
        <v>2621</v>
      </c>
      <c r="G995" t="s">
        <v>2606</v>
      </c>
      <c r="H995" t="s">
        <v>2622</v>
      </c>
      <c r="I995" t="s">
        <v>2623</v>
      </c>
      <c r="J995" t="s">
        <v>2624</v>
      </c>
      <c r="K995" t="s">
        <v>51</v>
      </c>
      <c r="L995" t="s">
        <v>2625</v>
      </c>
      <c r="M995" t="s">
        <v>35</v>
      </c>
      <c r="N995">
        <v>7488534434</v>
      </c>
      <c r="O995" t="s">
        <v>2626</v>
      </c>
      <c r="P995" t="s">
        <v>3016</v>
      </c>
      <c r="R995" t="s">
        <v>2627</v>
      </c>
      <c r="S995" t="s">
        <v>2628</v>
      </c>
      <c r="T995" t="s">
        <v>1305</v>
      </c>
      <c r="U995" t="s">
        <v>40</v>
      </c>
      <c r="V995" s="1">
        <v>43181</v>
      </c>
      <c r="W995">
        <v>0</v>
      </c>
      <c r="X995">
        <v>5</v>
      </c>
      <c r="Y995" t="s">
        <v>66</v>
      </c>
      <c r="AA995" t="s">
        <v>42</v>
      </c>
      <c r="AB995" t="s">
        <v>43</v>
      </c>
      <c r="AC995" t="s">
        <v>43</v>
      </c>
    </row>
    <row r="996" spans="1:29" x14ac:dyDescent="0.4">
      <c r="A996" t="s">
        <v>27</v>
      </c>
      <c r="B996">
        <v>3888</v>
      </c>
      <c r="C996" t="s">
        <v>3016</v>
      </c>
      <c r="D996">
        <v>324</v>
      </c>
      <c r="E996" t="s">
        <v>68</v>
      </c>
      <c r="F996" t="s">
        <v>2621</v>
      </c>
      <c r="G996" t="s">
        <v>2606</v>
      </c>
      <c r="H996" t="s">
        <v>2622</v>
      </c>
      <c r="I996" t="s">
        <v>2623</v>
      </c>
      <c r="J996" t="s">
        <v>2624</v>
      </c>
      <c r="K996" t="s">
        <v>51</v>
      </c>
      <c r="L996" t="s">
        <v>2625</v>
      </c>
      <c r="M996" t="s">
        <v>35</v>
      </c>
      <c r="N996">
        <v>7488534434</v>
      </c>
      <c r="O996" t="s">
        <v>2626</v>
      </c>
      <c r="P996" t="s">
        <v>3016</v>
      </c>
      <c r="R996" t="s">
        <v>2629</v>
      </c>
      <c r="S996" t="s">
        <v>2630</v>
      </c>
      <c r="T996" t="s">
        <v>1305</v>
      </c>
      <c r="U996" t="s">
        <v>40</v>
      </c>
      <c r="V996" s="1">
        <v>44035</v>
      </c>
      <c r="W996">
        <v>0</v>
      </c>
      <c r="X996">
        <v>4</v>
      </c>
      <c r="Y996" t="s">
        <v>65</v>
      </c>
      <c r="AA996" t="s">
        <v>42</v>
      </c>
      <c r="AB996" t="s">
        <v>43</v>
      </c>
      <c r="AC996" t="s">
        <v>43</v>
      </c>
    </row>
    <row r="997" spans="1:29" x14ac:dyDescent="0.4">
      <c r="A997" t="s">
        <v>27</v>
      </c>
      <c r="B997">
        <v>3888</v>
      </c>
      <c r="C997" t="s">
        <v>3016</v>
      </c>
      <c r="D997">
        <v>324</v>
      </c>
      <c r="E997" t="s">
        <v>68</v>
      </c>
      <c r="F997" t="s">
        <v>2621</v>
      </c>
      <c r="G997" t="s">
        <v>2606</v>
      </c>
      <c r="H997" t="s">
        <v>2622</v>
      </c>
      <c r="I997" t="s">
        <v>2623</v>
      </c>
      <c r="J997" t="s">
        <v>2624</v>
      </c>
      <c r="K997" t="s">
        <v>51</v>
      </c>
      <c r="L997" t="s">
        <v>2625</v>
      </c>
      <c r="M997" t="s">
        <v>35</v>
      </c>
      <c r="N997">
        <v>7488534434</v>
      </c>
      <c r="O997" t="s">
        <v>2626</v>
      </c>
      <c r="P997" t="s">
        <v>3016</v>
      </c>
      <c r="R997" t="s">
        <v>2629</v>
      </c>
      <c r="S997" t="s">
        <v>2630</v>
      </c>
      <c r="T997" t="s">
        <v>1305</v>
      </c>
      <c r="U997" t="s">
        <v>40</v>
      </c>
      <c r="V997" s="1">
        <v>44035</v>
      </c>
      <c r="W997">
        <v>0</v>
      </c>
      <c r="X997">
        <v>12</v>
      </c>
      <c r="AA997" t="s">
        <v>42</v>
      </c>
      <c r="AB997" t="s">
        <v>43</v>
      </c>
      <c r="AC997" t="s">
        <v>43</v>
      </c>
    </row>
    <row r="998" spans="1:29" x14ac:dyDescent="0.4">
      <c r="A998" t="s">
        <v>27</v>
      </c>
      <c r="B998">
        <v>3888</v>
      </c>
      <c r="C998" t="s">
        <v>3016</v>
      </c>
      <c r="D998">
        <v>323</v>
      </c>
      <c r="E998" t="s">
        <v>68</v>
      </c>
      <c r="F998" t="s">
        <v>2621</v>
      </c>
      <c r="G998" t="s">
        <v>2606</v>
      </c>
      <c r="H998" t="s">
        <v>2622</v>
      </c>
      <c r="I998" t="s">
        <v>2623</v>
      </c>
      <c r="J998" t="s">
        <v>2624</v>
      </c>
      <c r="K998" t="s">
        <v>51</v>
      </c>
      <c r="L998" t="s">
        <v>2625</v>
      </c>
      <c r="M998" t="s">
        <v>35</v>
      </c>
      <c r="N998">
        <v>7488534434</v>
      </c>
      <c r="O998" t="s">
        <v>2626</v>
      </c>
      <c r="P998" t="s">
        <v>3016</v>
      </c>
      <c r="R998" t="s">
        <v>2627</v>
      </c>
      <c r="S998" t="s">
        <v>2628</v>
      </c>
      <c r="T998" t="s">
        <v>1305</v>
      </c>
      <c r="U998" t="s">
        <v>40</v>
      </c>
      <c r="V998" s="1">
        <v>43181</v>
      </c>
      <c r="W998">
        <v>0</v>
      </c>
      <c r="X998">
        <v>14</v>
      </c>
      <c r="AA998" t="s">
        <v>42</v>
      </c>
      <c r="AB998" t="s">
        <v>43</v>
      </c>
      <c r="AC998" t="s">
        <v>43</v>
      </c>
    </row>
    <row r="999" spans="1:29" x14ac:dyDescent="0.4">
      <c r="A999" t="s">
        <v>27</v>
      </c>
      <c r="B999">
        <v>3888</v>
      </c>
      <c r="C999" t="s">
        <v>3016</v>
      </c>
      <c r="D999">
        <v>323</v>
      </c>
      <c r="E999" t="s">
        <v>68</v>
      </c>
      <c r="F999" t="s">
        <v>2621</v>
      </c>
      <c r="G999" t="s">
        <v>2606</v>
      </c>
      <c r="H999" t="s">
        <v>2622</v>
      </c>
      <c r="I999" t="s">
        <v>2623</v>
      </c>
      <c r="J999" t="s">
        <v>2624</v>
      </c>
      <c r="K999" t="s">
        <v>51</v>
      </c>
      <c r="L999" t="s">
        <v>2625</v>
      </c>
      <c r="M999" t="s">
        <v>35</v>
      </c>
      <c r="N999">
        <v>7488534434</v>
      </c>
      <c r="O999" t="s">
        <v>2626</v>
      </c>
      <c r="P999" t="s">
        <v>3016</v>
      </c>
      <c r="R999" t="s">
        <v>2627</v>
      </c>
      <c r="S999" t="s">
        <v>2628</v>
      </c>
      <c r="T999" t="s">
        <v>1305</v>
      </c>
      <c r="U999" t="s">
        <v>40</v>
      </c>
      <c r="V999" s="1">
        <v>43181</v>
      </c>
      <c r="W999">
        <v>0</v>
      </c>
      <c r="X999">
        <v>6</v>
      </c>
      <c r="Y999" t="s">
        <v>83</v>
      </c>
      <c r="AA999" t="s">
        <v>42</v>
      </c>
      <c r="AB999" t="s">
        <v>43</v>
      </c>
      <c r="AC999" t="s">
        <v>43</v>
      </c>
    </row>
    <row r="1000" spans="1:29" x14ac:dyDescent="0.4">
      <c r="A1000" t="s">
        <v>27</v>
      </c>
      <c r="B1000">
        <v>2459</v>
      </c>
      <c r="C1000" t="s">
        <v>3017</v>
      </c>
      <c r="E1000" t="s">
        <v>68</v>
      </c>
      <c r="F1000" t="s">
        <v>1558</v>
      </c>
      <c r="G1000" t="s">
        <v>2631</v>
      </c>
      <c r="H1000" t="s">
        <v>2632</v>
      </c>
      <c r="J1000" t="s">
        <v>2633</v>
      </c>
      <c r="K1000" t="s">
        <v>330</v>
      </c>
      <c r="L1000" t="s">
        <v>2634</v>
      </c>
      <c r="M1000" t="s">
        <v>35</v>
      </c>
      <c r="N1000">
        <v>1425621278</v>
      </c>
      <c r="O1000" t="s">
        <v>2635</v>
      </c>
      <c r="P1000" t="s">
        <v>2636</v>
      </c>
      <c r="R1000" t="s">
        <v>2637</v>
      </c>
      <c r="S1000" t="s">
        <v>2638</v>
      </c>
      <c r="T1000" t="s">
        <v>58</v>
      </c>
      <c r="U1000" t="s">
        <v>82</v>
      </c>
      <c r="V1000" s="1">
        <v>41487</v>
      </c>
      <c r="W1000">
        <v>0</v>
      </c>
      <c r="X1000">
        <v>0</v>
      </c>
      <c r="Y1000" t="s">
        <v>59</v>
      </c>
      <c r="AA1000" t="s">
        <v>42</v>
      </c>
      <c r="AB1000" t="s">
        <v>43</v>
      </c>
      <c r="AC1000" t="s">
        <v>43</v>
      </c>
    </row>
    <row r="1001" spans="1:29" x14ac:dyDescent="0.4">
      <c r="A1001" t="s">
        <v>27</v>
      </c>
      <c r="B1001">
        <v>2459</v>
      </c>
      <c r="C1001" t="s">
        <v>3017</v>
      </c>
      <c r="E1001" t="s">
        <v>68</v>
      </c>
      <c r="F1001" t="s">
        <v>1558</v>
      </c>
      <c r="G1001" t="s">
        <v>2631</v>
      </c>
      <c r="H1001" t="s">
        <v>2632</v>
      </c>
      <c r="J1001" t="s">
        <v>2633</v>
      </c>
      <c r="K1001" t="s">
        <v>330</v>
      </c>
      <c r="L1001" t="s">
        <v>2634</v>
      </c>
      <c r="M1001" t="s">
        <v>35</v>
      </c>
      <c r="N1001">
        <v>1425621278</v>
      </c>
      <c r="O1001" t="s">
        <v>2635</v>
      </c>
      <c r="P1001" t="s">
        <v>2636</v>
      </c>
      <c r="R1001" t="s">
        <v>2639</v>
      </c>
      <c r="S1001" t="s">
        <v>2640</v>
      </c>
      <c r="T1001" t="s">
        <v>138</v>
      </c>
      <c r="U1001" t="s">
        <v>82</v>
      </c>
      <c r="V1001" s="1">
        <v>43503</v>
      </c>
      <c r="W1001">
        <v>0</v>
      </c>
      <c r="X1001">
        <v>0</v>
      </c>
      <c r="Y1001" t="s">
        <v>59</v>
      </c>
      <c r="AA1001" t="s">
        <v>42</v>
      </c>
      <c r="AB1001" t="s">
        <v>43</v>
      </c>
      <c r="AC1001" t="s">
        <v>43</v>
      </c>
    </row>
    <row r="1002" spans="1:29" x14ac:dyDescent="0.4">
      <c r="A1002" t="s">
        <v>27</v>
      </c>
      <c r="B1002">
        <v>2459</v>
      </c>
      <c r="C1002" t="s">
        <v>3017</v>
      </c>
      <c r="D1002">
        <v>325</v>
      </c>
      <c r="E1002" t="s">
        <v>68</v>
      </c>
      <c r="F1002" t="s">
        <v>1558</v>
      </c>
      <c r="G1002" t="s">
        <v>2631</v>
      </c>
      <c r="H1002" t="s">
        <v>2632</v>
      </c>
      <c r="J1002" t="s">
        <v>2633</v>
      </c>
      <c r="K1002" t="s">
        <v>330</v>
      </c>
      <c r="L1002" t="s">
        <v>2634</v>
      </c>
      <c r="M1002" t="s">
        <v>35</v>
      </c>
      <c r="N1002">
        <v>1425621278</v>
      </c>
      <c r="O1002" t="s">
        <v>2635</v>
      </c>
      <c r="P1002" t="s">
        <v>3017</v>
      </c>
      <c r="R1002" t="s">
        <v>2641</v>
      </c>
      <c r="S1002" t="s">
        <v>2642</v>
      </c>
      <c r="T1002" t="s">
        <v>94</v>
      </c>
      <c r="U1002" t="s">
        <v>82</v>
      </c>
      <c r="V1002" s="1">
        <v>44667</v>
      </c>
      <c r="W1002">
        <v>0</v>
      </c>
      <c r="X1002">
        <v>11</v>
      </c>
      <c r="AA1002" t="s">
        <v>42</v>
      </c>
      <c r="AB1002" t="s">
        <v>43</v>
      </c>
      <c r="AC1002" t="s">
        <v>43</v>
      </c>
    </row>
    <row r="1003" spans="1:29" x14ac:dyDescent="0.4">
      <c r="A1003" t="s">
        <v>27</v>
      </c>
      <c r="B1003">
        <v>2459</v>
      </c>
      <c r="C1003" t="s">
        <v>3017</v>
      </c>
      <c r="D1003">
        <v>325</v>
      </c>
      <c r="E1003" t="s">
        <v>68</v>
      </c>
      <c r="F1003" t="s">
        <v>1558</v>
      </c>
      <c r="G1003" t="s">
        <v>2631</v>
      </c>
      <c r="H1003" t="s">
        <v>2632</v>
      </c>
      <c r="J1003" t="s">
        <v>2633</v>
      </c>
      <c r="K1003" t="s">
        <v>330</v>
      </c>
      <c r="L1003" t="s">
        <v>2634</v>
      </c>
      <c r="M1003" t="s">
        <v>35</v>
      </c>
      <c r="N1003">
        <v>1425621278</v>
      </c>
      <c r="O1003" t="s">
        <v>2635</v>
      </c>
      <c r="P1003" t="s">
        <v>3017</v>
      </c>
      <c r="R1003" t="s">
        <v>2641</v>
      </c>
      <c r="S1003" t="s">
        <v>2642</v>
      </c>
      <c r="T1003" t="s">
        <v>94</v>
      </c>
      <c r="U1003" t="s">
        <v>82</v>
      </c>
      <c r="V1003" s="1">
        <v>44667</v>
      </c>
      <c r="W1003">
        <v>0</v>
      </c>
      <c r="X1003">
        <v>13</v>
      </c>
      <c r="AA1003" t="s">
        <v>42</v>
      </c>
      <c r="AB1003" t="s">
        <v>43</v>
      </c>
      <c r="AC1003" t="s">
        <v>43</v>
      </c>
    </row>
    <row r="1004" spans="1:29" x14ac:dyDescent="0.4">
      <c r="A1004" t="s">
        <v>27</v>
      </c>
      <c r="B1004">
        <v>2347</v>
      </c>
      <c r="C1004" t="s">
        <v>3018</v>
      </c>
      <c r="D1004">
        <v>326</v>
      </c>
      <c r="E1004" t="s">
        <v>68</v>
      </c>
      <c r="F1004" t="s">
        <v>714</v>
      </c>
      <c r="G1004" t="s">
        <v>2643</v>
      </c>
      <c r="H1004" t="s">
        <v>2644</v>
      </c>
      <c r="J1004" t="s">
        <v>1732</v>
      </c>
      <c r="K1004" t="s">
        <v>495</v>
      </c>
      <c r="L1004" t="s">
        <v>2645</v>
      </c>
      <c r="M1004" t="s">
        <v>35</v>
      </c>
      <c r="N1004">
        <v>1424714369</v>
      </c>
      <c r="O1004" t="s">
        <v>2646</v>
      </c>
      <c r="P1004" t="s">
        <v>3018</v>
      </c>
      <c r="R1004" t="s">
        <v>2647</v>
      </c>
      <c r="S1004" t="s">
        <v>2648</v>
      </c>
      <c r="T1004" t="s">
        <v>58</v>
      </c>
      <c r="U1004" t="s">
        <v>40</v>
      </c>
      <c r="V1004" s="1">
        <v>44254</v>
      </c>
      <c r="W1004">
        <v>0</v>
      </c>
      <c r="X1004">
        <v>6</v>
      </c>
      <c r="Y1004" t="s">
        <v>83</v>
      </c>
      <c r="AA1004" t="s">
        <v>42</v>
      </c>
      <c r="AB1004" t="s">
        <v>43</v>
      </c>
      <c r="AC1004" t="s">
        <v>43</v>
      </c>
    </row>
    <row r="1005" spans="1:29" x14ac:dyDescent="0.4">
      <c r="A1005" t="s">
        <v>27</v>
      </c>
      <c r="B1005">
        <v>2347</v>
      </c>
      <c r="C1005" t="s">
        <v>3018</v>
      </c>
      <c r="D1005">
        <v>327</v>
      </c>
      <c r="E1005" t="s">
        <v>68</v>
      </c>
      <c r="F1005" t="s">
        <v>714</v>
      </c>
      <c r="G1005" t="s">
        <v>2643</v>
      </c>
      <c r="H1005" t="s">
        <v>2644</v>
      </c>
      <c r="J1005" t="s">
        <v>1732</v>
      </c>
      <c r="K1005" t="s">
        <v>495</v>
      </c>
      <c r="L1005" t="s">
        <v>2645</v>
      </c>
      <c r="M1005" t="s">
        <v>35</v>
      </c>
      <c r="N1005">
        <v>1424714369</v>
      </c>
      <c r="O1005" t="s">
        <v>2646</v>
      </c>
      <c r="P1005" t="s">
        <v>3018</v>
      </c>
      <c r="R1005" t="s">
        <v>2649</v>
      </c>
      <c r="S1005" t="s">
        <v>2650</v>
      </c>
      <c r="T1005" t="s">
        <v>58</v>
      </c>
      <c r="U1005" t="s">
        <v>40</v>
      </c>
      <c r="V1005" s="1">
        <v>42805</v>
      </c>
      <c r="W1005">
        <v>0</v>
      </c>
      <c r="X1005">
        <v>6</v>
      </c>
      <c r="Y1005" t="s">
        <v>83</v>
      </c>
      <c r="AA1005" t="s">
        <v>42</v>
      </c>
      <c r="AB1005" t="s">
        <v>43</v>
      </c>
      <c r="AC1005" t="s">
        <v>43</v>
      </c>
    </row>
    <row r="1006" spans="1:29" x14ac:dyDescent="0.4">
      <c r="A1006" t="s">
        <v>27</v>
      </c>
      <c r="B1006">
        <v>2347</v>
      </c>
      <c r="C1006" t="s">
        <v>3018</v>
      </c>
      <c r="D1006">
        <v>326</v>
      </c>
      <c r="E1006" t="s">
        <v>68</v>
      </c>
      <c r="F1006" t="s">
        <v>714</v>
      </c>
      <c r="G1006" t="s">
        <v>2643</v>
      </c>
      <c r="H1006" t="s">
        <v>2644</v>
      </c>
      <c r="J1006" t="s">
        <v>1732</v>
      </c>
      <c r="K1006" t="s">
        <v>495</v>
      </c>
      <c r="L1006" t="s">
        <v>2645</v>
      </c>
      <c r="M1006" t="s">
        <v>35</v>
      </c>
      <c r="N1006">
        <v>1424714369</v>
      </c>
      <c r="O1006" t="s">
        <v>2646</v>
      </c>
      <c r="P1006" t="s">
        <v>3018</v>
      </c>
      <c r="R1006" t="s">
        <v>2647</v>
      </c>
      <c r="S1006" t="s">
        <v>2648</v>
      </c>
      <c r="T1006" t="s">
        <v>58</v>
      </c>
      <c r="U1006" t="s">
        <v>40</v>
      </c>
      <c r="V1006" s="1">
        <v>44254</v>
      </c>
      <c r="W1006">
        <v>0</v>
      </c>
      <c r="X1006">
        <v>7</v>
      </c>
      <c r="AA1006" t="s">
        <v>42</v>
      </c>
      <c r="AB1006" t="s">
        <v>43</v>
      </c>
      <c r="AC1006" t="s">
        <v>43</v>
      </c>
    </row>
    <row r="1007" spans="1:29" x14ac:dyDescent="0.4">
      <c r="A1007" t="s">
        <v>27</v>
      </c>
      <c r="B1007">
        <v>2347</v>
      </c>
      <c r="C1007" t="s">
        <v>3018</v>
      </c>
      <c r="D1007">
        <v>327</v>
      </c>
      <c r="E1007" t="s">
        <v>68</v>
      </c>
      <c r="F1007" t="s">
        <v>714</v>
      </c>
      <c r="G1007" t="s">
        <v>2643</v>
      </c>
      <c r="H1007" t="s">
        <v>2644</v>
      </c>
      <c r="J1007" t="s">
        <v>1732</v>
      </c>
      <c r="K1007" t="s">
        <v>495</v>
      </c>
      <c r="L1007" t="s">
        <v>2645</v>
      </c>
      <c r="M1007" t="s">
        <v>35</v>
      </c>
      <c r="N1007">
        <v>1424714369</v>
      </c>
      <c r="O1007" t="s">
        <v>2646</v>
      </c>
      <c r="P1007" t="s">
        <v>3018</v>
      </c>
      <c r="R1007" t="s">
        <v>2649</v>
      </c>
      <c r="S1007" t="s">
        <v>2650</v>
      </c>
      <c r="T1007" t="s">
        <v>58</v>
      </c>
      <c r="U1007" t="s">
        <v>40</v>
      </c>
      <c r="V1007" s="1">
        <v>42805</v>
      </c>
      <c r="W1007">
        <v>0</v>
      </c>
      <c r="X1007">
        <v>7</v>
      </c>
      <c r="AA1007" t="s">
        <v>42</v>
      </c>
      <c r="AB1007" t="s">
        <v>43</v>
      </c>
      <c r="AC1007" t="s">
        <v>43</v>
      </c>
    </row>
    <row r="1008" spans="1:29" x14ac:dyDescent="0.4">
      <c r="A1008" t="s">
        <v>27</v>
      </c>
      <c r="B1008">
        <v>2347</v>
      </c>
      <c r="C1008" t="s">
        <v>3018</v>
      </c>
      <c r="D1008">
        <v>326</v>
      </c>
      <c r="E1008" t="s">
        <v>68</v>
      </c>
      <c r="F1008" t="s">
        <v>714</v>
      </c>
      <c r="G1008" t="s">
        <v>2643</v>
      </c>
      <c r="H1008" t="s">
        <v>2644</v>
      </c>
      <c r="J1008" t="s">
        <v>1732</v>
      </c>
      <c r="K1008" t="s">
        <v>495</v>
      </c>
      <c r="L1008" t="s">
        <v>2645</v>
      </c>
      <c r="M1008" t="s">
        <v>35</v>
      </c>
      <c r="N1008">
        <v>1424714369</v>
      </c>
      <c r="O1008" t="s">
        <v>2646</v>
      </c>
      <c r="P1008" t="s">
        <v>3018</v>
      </c>
      <c r="R1008" t="s">
        <v>2647</v>
      </c>
      <c r="S1008" t="s">
        <v>2648</v>
      </c>
      <c r="T1008" t="s">
        <v>58</v>
      </c>
      <c r="U1008" t="s">
        <v>40</v>
      </c>
      <c r="V1008" s="1">
        <v>44254</v>
      </c>
      <c r="W1008">
        <v>0</v>
      </c>
      <c r="X1008">
        <v>16</v>
      </c>
      <c r="AA1008" t="s">
        <v>42</v>
      </c>
      <c r="AB1008" t="s">
        <v>43</v>
      </c>
      <c r="AC1008" t="s">
        <v>43</v>
      </c>
    </row>
    <row r="1009" spans="1:29" x14ac:dyDescent="0.4">
      <c r="A1009" t="s">
        <v>27</v>
      </c>
      <c r="B1009">
        <v>2347</v>
      </c>
      <c r="C1009" t="s">
        <v>3018</v>
      </c>
      <c r="D1009">
        <v>327</v>
      </c>
      <c r="E1009" t="s">
        <v>68</v>
      </c>
      <c r="F1009" t="s">
        <v>714</v>
      </c>
      <c r="G1009" t="s">
        <v>2643</v>
      </c>
      <c r="H1009" t="s">
        <v>2644</v>
      </c>
      <c r="J1009" t="s">
        <v>1732</v>
      </c>
      <c r="K1009" t="s">
        <v>495</v>
      </c>
      <c r="L1009" t="s">
        <v>2645</v>
      </c>
      <c r="M1009" t="s">
        <v>35</v>
      </c>
      <c r="N1009">
        <v>1424714369</v>
      </c>
      <c r="O1009" t="s">
        <v>2646</v>
      </c>
      <c r="P1009" t="s">
        <v>3018</v>
      </c>
      <c r="R1009" t="s">
        <v>2649</v>
      </c>
      <c r="S1009" t="s">
        <v>2650</v>
      </c>
      <c r="T1009" t="s">
        <v>58</v>
      </c>
      <c r="U1009" t="s">
        <v>40</v>
      </c>
      <c r="V1009" s="1">
        <v>42805</v>
      </c>
      <c r="W1009">
        <v>0</v>
      </c>
      <c r="X1009">
        <v>16</v>
      </c>
      <c r="AA1009" t="s">
        <v>42</v>
      </c>
      <c r="AB1009" t="s">
        <v>43</v>
      </c>
      <c r="AC1009" t="s">
        <v>43</v>
      </c>
    </row>
    <row r="1010" spans="1:29" x14ac:dyDescent="0.4">
      <c r="A1010" t="s">
        <v>27</v>
      </c>
      <c r="B1010">
        <v>2347</v>
      </c>
      <c r="C1010" t="s">
        <v>3018</v>
      </c>
      <c r="D1010">
        <v>326</v>
      </c>
      <c r="E1010" t="s">
        <v>68</v>
      </c>
      <c r="F1010" t="s">
        <v>714</v>
      </c>
      <c r="G1010" t="s">
        <v>2643</v>
      </c>
      <c r="H1010" t="s">
        <v>2644</v>
      </c>
      <c r="J1010" t="s">
        <v>1732</v>
      </c>
      <c r="K1010" t="s">
        <v>495</v>
      </c>
      <c r="L1010" t="s">
        <v>2645</v>
      </c>
      <c r="M1010" t="s">
        <v>35</v>
      </c>
      <c r="N1010">
        <v>1424714369</v>
      </c>
      <c r="O1010" t="s">
        <v>2646</v>
      </c>
      <c r="P1010" t="s">
        <v>3018</v>
      </c>
      <c r="R1010" t="s">
        <v>2647</v>
      </c>
      <c r="S1010" t="s">
        <v>2648</v>
      </c>
      <c r="T1010" t="s">
        <v>58</v>
      </c>
      <c r="U1010" t="s">
        <v>40</v>
      </c>
      <c r="V1010" s="1">
        <v>44254</v>
      </c>
      <c r="W1010">
        <v>0</v>
      </c>
      <c r="X1010">
        <v>18</v>
      </c>
      <c r="AA1010" t="s">
        <v>42</v>
      </c>
      <c r="AB1010" t="s">
        <v>43</v>
      </c>
      <c r="AC1010" t="s">
        <v>43</v>
      </c>
    </row>
    <row r="1011" spans="1:29" x14ac:dyDescent="0.4">
      <c r="A1011" t="s">
        <v>27</v>
      </c>
      <c r="B1011">
        <v>2347</v>
      </c>
      <c r="C1011" t="s">
        <v>3018</v>
      </c>
      <c r="D1011">
        <v>327</v>
      </c>
      <c r="E1011" t="s">
        <v>68</v>
      </c>
      <c r="F1011" t="s">
        <v>714</v>
      </c>
      <c r="G1011" t="s">
        <v>2643</v>
      </c>
      <c r="H1011" t="s">
        <v>2644</v>
      </c>
      <c r="J1011" t="s">
        <v>1732</v>
      </c>
      <c r="K1011" t="s">
        <v>495</v>
      </c>
      <c r="L1011" t="s">
        <v>2645</v>
      </c>
      <c r="M1011" t="s">
        <v>35</v>
      </c>
      <c r="N1011">
        <v>1424714369</v>
      </c>
      <c r="O1011" t="s">
        <v>2646</v>
      </c>
      <c r="P1011" t="s">
        <v>3018</v>
      </c>
      <c r="R1011" t="s">
        <v>2649</v>
      </c>
      <c r="S1011" t="s">
        <v>2650</v>
      </c>
      <c r="T1011" t="s">
        <v>58</v>
      </c>
      <c r="U1011" t="s">
        <v>40</v>
      </c>
      <c r="V1011" s="1">
        <v>42805</v>
      </c>
      <c r="W1011">
        <v>0</v>
      </c>
      <c r="X1011">
        <v>18</v>
      </c>
      <c r="AA1011" t="s">
        <v>42</v>
      </c>
      <c r="AB1011" t="s">
        <v>43</v>
      </c>
      <c r="AC1011" t="s">
        <v>43</v>
      </c>
    </row>
    <row r="1012" spans="1:29" x14ac:dyDescent="0.4">
      <c r="A1012" t="s">
        <v>27</v>
      </c>
      <c r="B1012">
        <v>757</v>
      </c>
      <c r="C1012" t="s">
        <v>3019</v>
      </c>
      <c r="D1012">
        <v>329</v>
      </c>
      <c r="E1012" t="s">
        <v>68</v>
      </c>
      <c r="F1012" t="s">
        <v>2519</v>
      </c>
      <c r="G1012" t="s">
        <v>2651</v>
      </c>
      <c r="H1012" t="s">
        <v>2652</v>
      </c>
      <c r="I1012" t="s">
        <v>2653</v>
      </c>
      <c r="J1012" t="s">
        <v>691</v>
      </c>
      <c r="K1012" t="s">
        <v>242</v>
      </c>
      <c r="L1012" t="s">
        <v>2654</v>
      </c>
      <c r="M1012" t="s">
        <v>35</v>
      </c>
      <c r="N1012">
        <v>1980862957</v>
      </c>
      <c r="O1012" t="s">
        <v>2655</v>
      </c>
      <c r="P1012" t="s">
        <v>3019</v>
      </c>
      <c r="R1012" t="s">
        <v>2656</v>
      </c>
      <c r="S1012" t="s">
        <v>2657</v>
      </c>
      <c r="T1012" t="s">
        <v>94</v>
      </c>
      <c r="U1012" t="s">
        <v>40</v>
      </c>
      <c r="V1012" s="1">
        <v>44625</v>
      </c>
      <c r="W1012">
        <v>0</v>
      </c>
      <c r="X1012">
        <v>11</v>
      </c>
      <c r="AA1012" t="s">
        <v>42</v>
      </c>
      <c r="AB1012" t="s">
        <v>43</v>
      </c>
      <c r="AC1012" t="s">
        <v>43</v>
      </c>
    </row>
    <row r="1013" spans="1:29" x14ac:dyDescent="0.4">
      <c r="A1013" t="s">
        <v>27</v>
      </c>
      <c r="B1013">
        <v>757</v>
      </c>
      <c r="C1013" t="s">
        <v>3019</v>
      </c>
      <c r="D1013">
        <v>330</v>
      </c>
      <c r="E1013" t="s">
        <v>68</v>
      </c>
      <c r="F1013" t="s">
        <v>2519</v>
      </c>
      <c r="G1013" t="s">
        <v>2651</v>
      </c>
      <c r="H1013" t="s">
        <v>2652</v>
      </c>
      <c r="I1013" t="s">
        <v>2653</v>
      </c>
      <c r="J1013" t="s">
        <v>691</v>
      </c>
      <c r="K1013" t="s">
        <v>242</v>
      </c>
      <c r="L1013" t="s">
        <v>2654</v>
      </c>
      <c r="M1013" t="s">
        <v>35</v>
      </c>
      <c r="N1013">
        <v>1980862957</v>
      </c>
      <c r="O1013" t="s">
        <v>2655</v>
      </c>
      <c r="P1013" t="s">
        <v>3019</v>
      </c>
      <c r="R1013" t="s">
        <v>2658</v>
      </c>
      <c r="S1013" t="s">
        <v>2659</v>
      </c>
      <c r="T1013" t="s">
        <v>94</v>
      </c>
      <c r="U1013" t="s">
        <v>40</v>
      </c>
      <c r="V1013" s="1">
        <v>42800</v>
      </c>
      <c r="W1013">
        <v>0</v>
      </c>
      <c r="X1013">
        <v>11</v>
      </c>
      <c r="AA1013" t="s">
        <v>42</v>
      </c>
      <c r="AB1013" t="s">
        <v>43</v>
      </c>
      <c r="AC1013" t="s">
        <v>43</v>
      </c>
    </row>
    <row r="1014" spans="1:29" x14ac:dyDescent="0.4">
      <c r="A1014" t="s">
        <v>27</v>
      </c>
      <c r="B1014">
        <v>757</v>
      </c>
      <c r="C1014" t="s">
        <v>3019</v>
      </c>
      <c r="D1014">
        <v>330</v>
      </c>
      <c r="E1014" t="s">
        <v>68</v>
      </c>
      <c r="F1014" t="s">
        <v>2519</v>
      </c>
      <c r="G1014" t="s">
        <v>2651</v>
      </c>
      <c r="H1014" t="s">
        <v>2652</v>
      </c>
      <c r="I1014" t="s">
        <v>2653</v>
      </c>
      <c r="J1014" t="s">
        <v>691</v>
      </c>
      <c r="K1014" t="s">
        <v>242</v>
      </c>
      <c r="L1014" t="s">
        <v>2654</v>
      </c>
      <c r="M1014" t="s">
        <v>35</v>
      </c>
      <c r="N1014">
        <v>1980862957</v>
      </c>
      <c r="O1014" t="s">
        <v>2655</v>
      </c>
      <c r="P1014" t="s">
        <v>3019</v>
      </c>
      <c r="R1014" t="s">
        <v>2658</v>
      </c>
      <c r="S1014" t="s">
        <v>2659</v>
      </c>
      <c r="T1014" t="s">
        <v>94</v>
      </c>
      <c r="U1014" t="s">
        <v>40</v>
      </c>
      <c r="V1014" s="1">
        <v>42800</v>
      </c>
      <c r="W1014">
        <v>0</v>
      </c>
      <c r="X1014">
        <v>12</v>
      </c>
      <c r="AA1014" t="s">
        <v>42</v>
      </c>
      <c r="AB1014" t="s">
        <v>43</v>
      </c>
      <c r="AC1014" t="s">
        <v>43</v>
      </c>
    </row>
    <row r="1015" spans="1:29" x14ac:dyDescent="0.4">
      <c r="A1015" t="s">
        <v>27</v>
      </c>
      <c r="B1015">
        <v>584</v>
      </c>
      <c r="C1015" t="s">
        <v>3020</v>
      </c>
      <c r="D1015">
        <v>328</v>
      </c>
      <c r="E1015" t="s">
        <v>68</v>
      </c>
      <c r="F1015" t="s">
        <v>1333</v>
      </c>
      <c r="G1015" t="s">
        <v>2651</v>
      </c>
      <c r="H1015" t="s">
        <v>2660</v>
      </c>
      <c r="I1015" t="s">
        <v>2661</v>
      </c>
      <c r="J1015" t="s">
        <v>1732</v>
      </c>
      <c r="K1015" t="s">
        <v>495</v>
      </c>
      <c r="L1015" t="s">
        <v>2662</v>
      </c>
      <c r="M1015" t="s">
        <v>35</v>
      </c>
      <c r="N1015">
        <v>1424815168</v>
      </c>
      <c r="O1015" t="s">
        <v>2663</v>
      </c>
      <c r="P1015" t="s">
        <v>3020</v>
      </c>
      <c r="R1015" t="s">
        <v>2664</v>
      </c>
      <c r="S1015" t="s">
        <v>2665</v>
      </c>
      <c r="T1015" t="s">
        <v>169</v>
      </c>
      <c r="U1015" t="s">
        <v>40</v>
      </c>
      <c r="V1015" s="1">
        <v>43678</v>
      </c>
      <c r="W1015">
        <v>0</v>
      </c>
      <c r="X1015">
        <v>5</v>
      </c>
      <c r="Y1015" t="s">
        <v>66</v>
      </c>
      <c r="AA1015" t="s">
        <v>42</v>
      </c>
      <c r="AB1015" t="s">
        <v>43</v>
      </c>
      <c r="AC1015" t="s">
        <v>42</v>
      </c>
    </row>
    <row r="1016" spans="1:29" x14ac:dyDescent="0.4">
      <c r="A1016" t="s">
        <v>27</v>
      </c>
      <c r="B1016">
        <v>584</v>
      </c>
      <c r="C1016" t="s">
        <v>3020</v>
      </c>
      <c r="D1016">
        <v>328</v>
      </c>
      <c r="E1016" t="s">
        <v>68</v>
      </c>
      <c r="F1016" t="s">
        <v>1333</v>
      </c>
      <c r="G1016" t="s">
        <v>2651</v>
      </c>
      <c r="H1016" t="s">
        <v>2660</v>
      </c>
      <c r="I1016" t="s">
        <v>2661</v>
      </c>
      <c r="J1016" t="s">
        <v>1732</v>
      </c>
      <c r="K1016" t="s">
        <v>495</v>
      </c>
      <c r="L1016" t="s">
        <v>2662</v>
      </c>
      <c r="M1016" t="s">
        <v>35</v>
      </c>
      <c r="N1016">
        <v>1424815168</v>
      </c>
      <c r="O1016" t="s">
        <v>2663</v>
      </c>
      <c r="P1016" t="s">
        <v>3020</v>
      </c>
      <c r="R1016" t="s">
        <v>2664</v>
      </c>
      <c r="S1016" t="s">
        <v>2665</v>
      </c>
      <c r="T1016" t="s">
        <v>169</v>
      </c>
      <c r="U1016" t="s">
        <v>40</v>
      </c>
      <c r="V1016" s="1">
        <v>43678</v>
      </c>
      <c r="W1016">
        <v>0</v>
      </c>
      <c r="X1016">
        <v>6</v>
      </c>
      <c r="Y1016" t="s">
        <v>83</v>
      </c>
      <c r="AA1016" t="s">
        <v>42</v>
      </c>
      <c r="AB1016" t="s">
        <v>43</v>
      </c>
      <c r="AC1016" t="s">
        <v>42</v>
      </c>
    </row>
    <row r="1017" spans="1:29" x14ac:dyDescent="0.4">
      <c r="A1017" t="s">
        <v>27</v>
      </c>
      <c r="B1017">
        <v>584</v>
      </c>
      <c r="C1017" t="s">
        <v>3020</v>
      </c>
      <c r="D1017">
        <v>328</v>
      </c>
      <c r="E1017" t="s">
        <v>68</v>
      </c>
      <c r="F1017" t="s">
        <v>1333</v>
      </c>
      <c r="G1017" t="s">
        <v>2651</v>
      </c>
      <c r="H1017" t="s">
        <v>2660</v>
      </c>
      <c r="I1017" t="s">
        <v>2661</v>
      </c>
      <c r="J1017" t="s">
        <v>1732</v>
      </c>
      <c r="K1017" t="s">
        <v>495</v>
      </c>
      <c r="L1017" t="s">
        <v>2662</v>
      </c>
      <c r="M1017" t="s">
        <v>35</v>
      </c>
      <c r="N1017">
        <v>1424815168</v>
      </c>
      <c r="O1017" t="s">
        <v>2663</v>
      </c>
      <c r="P1017" t="s">
        <v>3020</v>
      </c>
      <c r="R1017" t="s">
        <v>2664</v>
      </c>
      <c r="S1017" t="s">
        <v>2665</v>
      </c>
      <c r="T1017" t="s">
        <v>169</v>
      </c>
      <c r="U1017" t="s">
        <v>40</v>
      </c>
      <c r="V1017" s="1">
        <v>43678</v>
      </c>
      <c r="W1017">
        <v>0</v>
      </c>
      <c r="X1017">
        <v>16</v>
      </c>
      <c r="AA1017" t="s">
        <v>42</v>
      </c>
      <c r="AB1017" t="s">
        <v>43</v>
      </c>
      <c r="AC1017" t="s">
        <v>42</v>
      </c>
    </row>
    <row r="1018" spans="1:29" x14ac:dyDescent="0.4">
      <c r="A1018" t="s">
        <v>27</v>
      </c>
      <c r="B1018">
        <v>584</v>
      </c>
      <c r="C1018" t="s">
        <v>3020</v>
      </c>
      <c r="D1018">
        <v>328</v>
      </c>
      <c r="E1018" t="s">
        <v>68</v>
      </c>
      <c r="F1018" t="s">
        <v>1333</v>
      </c>
      <c r="G1018" t="s">
        <v>2651</v>
      </c>
      <c r="H1018" t="s">
        <v>2660</v>
      </c>
      <c r="I1018" t="s">
        <v>2661</v>
      </c>
      <c r="J1018" t="s">
        <v>1732</v>
      </c>
      <c r="K1018" t="s">
        <v>495</v>
      </c>
      <c r="L1018" t="s">
        <v>2662</v>
      </c>
      <c r="M1018" t="s">
        <v>35</v>
      </c>
      <c r="N1018">
        <v>1424815168</v>
      </c>
      <c r="O1018" t="s">
        <v>2663</v>
      </c>
      <c r="P1018" t="s">
        <v>3020</v>
      </c>
      <c r="R1018" t="s">
        <v>2664</v>
      </c>
      <c r="S1018" t="s">
        <v>2665</v>
      </c>
      <c r="T1018" t="s">
        <v>169</v>
      </c>
      <c r="U1018" t="s">
        <v>40</v>
      </c>
      <c r="V1018" s="1">
        <v>43678</v>
      </c>
      <c r="W1018">
        <v>0</v>
      </c>
      <c r="X1018">
        <v>14</v>
      </c>
      <c r="AA1018" t="s">
        <v>42</v>
      </c>
      <c r="AB1018" t="s">
        <v>43</v>
      </c>
      <c r="AC1018" t="s">
        <v>42</v>
      </c>
    </row>
    <row r="1019" spans="1:29" x14ac:dyDescent="0.4">
      <c r="A1019" t="s">
        <v>27</v>
      </c>
      <c r="B1019">
        <v>549</v>
      </c>
      <c r="C1019" t="s">
        <v>3021</v>
      </c>
      <c r="D1019">
        <v>331</v>
      </c>
      <c r="E1019" t="s">
        <v>68</v>
      </c>
      <c r="F1019" t="s">
        <v>2666</v>
      </c>
      <c r="G1019" t="s">
        <v>2667</v>
      </c>
      <c r="H1019" t="s">
        <v>2668</v>
      </c>
      <c r="J1019" t="s">
        <v>1448</v>
      </c>
      <c r="K1019" t="s">
        <v>370</v>
      </c>
      <c r="L1019" t="s">
        <v>2669</v>
      </c>
      <c r="M1019" t="s">
        <v>35</v>
      </c>
      <c r="N1019" t="s">
        <v>2670</v>
      </c>
      <c r="O1019" t="s">
        <v>2671</v>
      </c>
      <c r="P1019" t="s">
        <v>3021</v>
      </c>
      <c r="R1019" t="s">
        <v>2672</v>
      </c>
      <c r="S1019" t="s">
        <v>2673</v>
      </c>
      <c r="T1019" t="s">
        <v>58</v>
      </c>
      <c r="U1019" t="s">
        <v>82</v>
      </c>
      <c r="V1019" s="1">
        <v>44536</v>
      </c>
      <c r="W1019">
        <v>0</v>
      </c>
      <c r="X1019">
        <v>5</v>
      </c>
      <c r="Y1019" t="s">
        <v>66</v>
      </c>
      <c r="AA1019" t="s">
        <v>42</v>
      </c>
      <c r="AB1019" t="s">
        <v>43</v>
      </c>
      <c r="AC1019" t="s">
        <v>43</v>
      </c>
    </row>
    <row r="1020" spans="1:29" x14ac:dyDescent="0.4">
      <c r="A1020" t="s">
        <v>27</v>
      </c>
      <c r="B1020">
        <v>549</v>
      </c>
      <c r="C1020" t="s">
        <v>3021</v>
      </c>
      <c r="D1020">
        <v>331</v>
      </c>
      <c r="E1020" t="s">
        <v>68</v>
      </c>
      <c r="F1020" t="s">
        <v>2666</v>
      </c>
      <c r="G1020" t="s">
        <v>2667</v>
      </c>
      <c r="H1020" t="s">
        <v>2668</v>
      </c>
      <c r="J1020" t="s">
        <v>1448</v>
      </c>
      <c r="K1020" t="s">
        <v>370</v>
      </c>
      <c r="L1020" t="s">
        <v>2669</v>
      </c>
      <c r="M1020" t="s">
        <v>35</v>
      </c>
      <c r="N1020" t="s">
        <v>2670</v>
      </c>
      <c r="O1020" t="s">
        <v>2671</v>
      </c>
      <c r="P1020" t="s">
        <v>3021</v>
      </c>
      <c r="R1020" t="s">
        <v>2672</v>
      </c>
      <c r="S1020" t="s">
        <v>2673</v>
      </c>
      <c r="T1020" t="s">
        <v>58</v>
      </c>
      <c r="U1020" t="s">
        <v>82</v>
      </c>
      <c r="V1020" s="1">
        <v>44536</v>
      </c>
      <c r="W1020">
        <v>0</v>
      </c>
      <c r="X1020">
        <v>6</v>
      </c>
      <c r="Y1020" t="s">
        <v>83</v>
      </c>
      <c r="AA1020" t="s">
        <v>42</v>
      </c>
      <c r="AB1020" t="s">
        <v>43</v>
      </c>
      <c r="AC1020" t="s">
        <v>43</v>
      </c>
    </row>
    <row r="1021" spans="1:29" x14ac:dyDescent="0.4">
      <c r="A1021" t="s">
        <v>27</v>
      </c>
      <c r="B1021">
        <v>549</v>
      </c>
      <c r="C1021" t="s">
        <v>3021</v>
      </c>
      <c r="D1021">
        <v>331</v>
      </c>
      <c r="E1021" t="s">
        <v>68</v>
      </c>
      <c r="F1021" t="s">
        <v>2666</v>
      </c>
      <c r="G1021" t="s">
        <v>2667</v>
      </c>
      <c r="H1021" t="s">
        <v>2668</v>
      </c>
      <c r="J1021" t="s">
        <v>1448</v>
      </c>
      <c r="K1021" t="s">
        <v>370</v>
      </c>
      <c r="L1021" t="s">
        <v>2669</v>
      </c>
      <c r="M1021" t="s">
        <v>35</v>
      </c>
      <c r="N1021" t="s">
        <v>2670</v>
      </c>
      <c r="O1021" t="s">
        <v>2671</v>
      </c>
      <c r="P1021" t="s">
        <v>3021</v>
      </c>
      <c r="R1021" t="s">
        <v>2672</v>
      </c>
      <c r="S1021" t="s">
        <v>2673</v>
      </c>
      <c r="T1021" t="s">
        <v>58</v>
      </c>
      <c r="U1021" t="s">
        <v>82</v>
      </c>
      <c r="V1021" s="1">
        <v>44536</v>
      </c>
      <c r="W1021">
        <v>0</v>
      </c>
      <c r="X1021">
        <v>15</v>
      </c>
      <c r="AA1021" t="s">
        <v>42</v>
      </c>
      <c r="AB1021" t="s">
        <v>43</v>
      </c>
      <c r="AC1021" t="s">
        <v>43</v>
      </c>
    </row>
    <row r="1022" spans="1:29" x14ac:dyDescent="0.4">
      <c r="A1022" t="s">
        <v>27</v>
      </c>
      <c r="B1022">
        <v>549</v>
      </c>
      <c r="C1022" t="s">
        <v>3021</v>
      </c>
      <c r="D1022">
        <v>331</v>
      </c>
      <c r="E1022" t="s">
        <v>68</v>
      </c>
      <c r="F1022" t="s">
        <v>2666</v>
      </c>
      <c r="G1022" t="s">
        <v>2667</v>
      </c>
      <c r="H1022" t="s">
        <v>2668</v>
      </c>
      <c r="J1022" t="s">
        <v>1448</v>
      </c>
      <c r="K1022" t="s">
        <v>370</v>
      </c>
      <c r="L1022" t="s">
        <v>2669</v>
      </c>
      <c r="M1022" t="s">
        <v>35</v>
      </c>
      <c r="N1022" t="s">
        <v>2670</v>
      </c>
      <c r="O1022" t="s">
        <v>2671</v>
      </c>
      <c r="P1022" t="s">
        <v>3021</v>
      </c>
      <c r="R1022" t="s">
        <v>2672</v>
      </c>
      <c r="S1022" t="s">
        <v>2673</v>
      </c>
      <c r="T1022" t="s">
        <v>58</v>
      </c>
      <c r="U1022" t="s">
        <v>82</v>
      </c>
      <c r="V1022" s="1">
        <v>44536</v>
      </c>
      <c r="W1022">
        <v>0</v>
      </c>
      <c r="X1022">
        <v>17</v>
      </c>
      <c r="AA1022" t="s">
        <v>42</v>
      </c>
      <c r="AB1022" t="s">
        <v>43</v>
      </c>
      <c r="AC1022" t="s">
        <v>43</v>
      </c>
    </row>
    <row r="1023" spans="1:29" x14ac:dyDescent="0.4">
      <c r="A1023" t="s">
        <v>27</v>
      </c>
      <c r="B1023">
        <v>1034</v>
      </c>
      <c r="C1023" t="s">
        <v>2682</v>
      </c>
      <c r="D1023">
        <v>332</v>
      </c>
      <c r="E1023" t="s">
        <v>68</v>
      </c>
      <c r="F1023" t="s">
        <v>2674</v>
      </c>
      <c r="G1023" t="s">
        <v>2675</v>
      </c>
      <c r="H1023" t="s">
        <v>2676</v>
      </c>
      <c r="I1023" t="s">
        <v>2677</v>
      </c>
      <c r="J1023" t="s">
        <v>2678</v>
      </c>
      <c r="K1023" t="s">
        <v>51</v>
      </c>
      <c r="L1023" t="s">
        <v>2679</v>
      </c>
      <c r="M1023" t="s">
        <v>35</v>
      </c>
      <c r="N1023" t="s">
        <v>2680</v>
      </c>
      <c r="O1023" t="s">
        <v>2681</v>
      </c>
      <c r="P1023" t="s">
        <v>2682</v>
      </c>
      <c r="R1023" t="s">
        <v>2683</v>
      </c>
      <c r="S1023" t="s">
        <v>2684</v>
      </c>
      <c r="T1023" t="s">
        <v>555</v>
      </c>
      <c r="U1023" t="s">
        <v>40</v>
      </c>
      <c r="V1023" s="1">
        <v>44423</v>
      </c>
      <c r="W1023">
        <v>0</v>
      </c>
      <c r="X1023">
        <v>11</v>
      </c>
      <c r="AA1023" t="s">
        <v>42</v>
      </c>
      <c r="AB1023" t="s">
        <v>43</v>
      </c>
      <c r="AC1023" t="s">
        <v>43</v>
      </c>
    </row>
    <row r="1024" spans="1:29" x14ac:dyDescent="0.4">
      <c r="A1024" t="s">
        <v>27</v>
      </c>
      <c r="B1024">
        <v>1267</v>
      </c>
      <c r="C1024" t="s">
        <v>3022</v>
      </c>
      <c r="E1024" t="s">
        <v>28</v>
      </c>
      <c r="F1024" t="s">
        <v>687</v>
      </c>
      <c r="G1024" t="s">
        <v>2685</v>
      </c>
      <c r="H1024" t="s">
        <v>2686</v>
      </c>
      <c r="I1024" t="s">
        <v>2687</v>
      </c>
      <c r="J1024" t="s">
        <v>2688</v>
      </c>
      <c r="K1024" t="s">
        <v>201</v>
      </c>
      <c r="L1024" t="s">
        <v>2689</v>
      </c>
      <c r="M1024" t="s">
        <v>35</v>
      </c>
      <c r="N1024" t="s">
        <v>2690</v>
      </c>
      <c r="O1024" t="s">
        <v>2691</v>
      </c>
      <c r="P1024" t="s">
        <v>2692</v>
      </c>
      <c r="R1024" t="s">
        <v>2693</v>
      </c>
      <c r="S1024" t="s">
        <v>2694</v>
      </c>
      <c r="T1024" t="s">
        <v>376</v>
      </c>
      <c r="U1024" t="s">
        <v>40</v>
      </c>
      <c r="V1024" s="1">
        <v>41433</v>
      </c>
      <c r="W1024">
        <v>0</v>
      </c>
      <c r="X1024">
        <v>0</v>
      </c>
      <c r="Y1024" t="s">
        <v>59</v>
      </c>
      <c r="AA1024" t="s">
        <v>42</v>
      </c>
      <c r="AB1024" t="s">
        <v>43</v>
      </c>
      <c r="AC1024" t="s">
        <v>43</v>
      </c>
    </row>
    <row r="1025" spans="1:29" x14ac:dyDescent="0.4">
      <c r="A1025" t="s">
        <v>27</v>
      </c>
      <c r="B1025">
        <v>1267</v>
      </c>
      <c r="C1025" t="s">
        <v>3022</v>
      </c>
      <c r="E1025" t="s">
        <v>28</v>
      </c>
      <c r="F1025" t="s">
        <v>687</v>
      </c>
      <c r="G1025" t="s">
        <v>2685</v>
      </c>
      <c r="H1025" t="s">
        <v>2686</v>
      </c>
      <c r="I1025" t="s">
        <v>2687</v>
      </c>
      <c r="J1025" t="s">
        <v>2688</v>
      </c>
      <c r="K1025" t="s">
        <v>201</v>
      </c>
      <c r="L1025" t="s">
        <v>2689</v>
      </c>
      <c r="M1025" t="s">
        <v>35</v>
      </c>
      <c r="N1025" t="s">
        <v>2690</v>
      </c>
      <c r="O1025" t="s">
        <v>2691</v>
      </c>
      <c r="P1025" t="s">
        <v>2692</v>
      </c>
      <c r="R1025" t="s">
        <v>2695</v>
      </c>
      <c r="S1025" t="s">
        <v>2696</v>
      </c>
      <c r="T1025" t="s">
        <v>2697</v>
      </c>
      <c r="U1025" t="s">
        <v>40</v>
      </c>
      <c r="V1025" s="1">
        <v>45579</v>
      </c>
      <c r="W1025">
        <v>0</v>
      </c>
      <c r="X1025">
        <v>0</v>
      </c>
      <c r="Y1025" t="s">
        <v>59</v>
      </c>
      <c r="AA1025" t="s">
        <v>42</v>
      </c>
      <c r="AB1025" t="s">
        <v>43</v>
      </c>
      <c r="AC1025" t="s">
        <v>43</v>
      </c>
    </row>
    <row r="1026" spans="1:29" x14ac:dyDescent="0.4">
      <c r="A1026" t="s">
        <v>27</v>
      </c>
      <c r="B1026">
        <v>1267</v>
      </c>
      <c r="C1026" t="s">
        <v>3022</v>
      </c>
      <c r="D1026">
        <v>333</v>
      </c>
      <c r="E1026" t="s">
        <v>28</v>
      </c>
      <c r="F1026" t="s">
        <v>687</v>
      </c>
      <c r="G1026" t="s">
        <v>2685</v>
      </c>
      <c r="H1026" t="s">
        <v>2686</v>
      </c>
      <c r="I1026" t="s">
        <v>2687</v>
      </c>
      <c r="J1026" t="s">
        <v>2688</v>
      </c>
      <c r="K1026" t="s">
        <v>201</v>
      </c>
      <c r="L1026" t="s">
        <v>2689</v>
      </c>
      <c r="M1026" t="s">
        <v>35</v>
      </c>
      <c r="N1026" t="s">
        <v>2690</v>
      </c>
      <c r="O1026" t="s">
        <v>2691</v>
      </c>
      <c r="P1026" t="s">
        <v>3022</v>
      </c>
      <c r="R1026" t="s">
        <v>2698</v>
      </c>
      <c r="S1026" t="s">
        <v>2699</v>
      </c>
      <c r="T1026" t="s">
        <v>376</v>
      </c>
      <c r="U1026" t="s">
        <v>40</v>
      </c>
      <c r="V1026" s="1">
        <v>43831</v>
      </c>
      <c r="W1026">
        <v>0</v>
      </c>
      <c r="X1026">
        <v>4</v>
      </c>
      <c r="Y1026" t="s">
        <v>65</v>
      </c>
      <c r="AA1026" t="s">
        <v>42</v>
      </c>
      <c r="AB1026" t="s">
        <v>43</v>
      </c>
      <c r="AC1026" t="s">
        <v>43</v>
      </c>
    </row>
    <row r="1027" spans="1:29" x14ac:dyDescent="0.4">
      <c r="A1027" t="s">
        <v>27</v>
      </c>
      <c r="B1027">
        <v>1267</v>
      </c>
      <c r="C1027" t="s">
        <v>3022</v>
      </c>
      <c r="D1027">
        <v>333</v>
      </c>
      <c r="E1027" t="s">
        <v>28</v>
      </c>
      <c r="F1027" t="s">
        <v>687</v>
      </c>
      <c r="G1027" t="s">
        <v>2685</v>
      </c>
      <c r="H1027" t="s">
        <v>2686</v>
      </c>
      <c r="I1027" t="s">
        <v>2687</v>
      </c>
      <c r="J1027" t="s">
        <v>2688</v>
      </c>
      <c r="K1027" t="s">
        <v>201</v>
      </c>
      <c r="L1027" t="s">
        <v>2689</v>
      </c>
      <c r="M1027" t="s">
        <v>35</v>
      </c>
      <c r="N1027" t="s">
        <v>2690</v>
      </c>
      <c r="O1027" t="s">
        <v>2691</v>
      </c>
      <c r="P1027" t="s">
        <v>3022</v>
      </c>
      <c r="R1027" t="s">
        <v>2698</v>
      </c>
      <c r="S1027" t="s">
        <v>2699</v>
      </c>
      <c r="T1027" t="s">
        <v>376</v>
      </c>
      <c r="U1027" t="s">
        <v>40</v>
      </c>
      <c r="V1027" s="1">
        <v>43831</v>
      </c>
      <c r="W1027">
        <v>0</v>
      </c>
      <c r="X1027">
        <v>5</v>
      </c>
      <c r="Y1027" t="s">
        <v>66</v>
      </c>
      <c r="AA1027" t="s">
        <v>42</v>
      </c>
      <c r="AB1027" t="s">
        <v>43</v>
      </c>
      <c r="AC1027" t="s">
        <v>43</v>
      </c>
    </row>
    <row r="1028" spans="1:29" x14ac:dyDescent="0.4">
      <c r="A1028" t="s">
        <v>27</v>
      </c>
      <c r="B1028">
        <v>1267</v>
      </c>
      <c r="C1028" t="s">
        <v>3022</v>
      </c>
      <c r="D1028">
        <v>333</v>
      </c>
      <c r="E1028" t="s">
        <v>28</v>
      </c>
      <c r="F1028" t="s">
        <v>687</v>
      </c>
      <c r="G1028" t="s">
        <v>2685</v>
      </c>
      <c r="H1028" t="s">
        <v>2686</v>
      </c>
      <c r="I1028" t="s">
        <v>2687</v>
      </c>
      <c r="J1028" t="s">
        <v>2688</v>
      </c>
      <c r="K1028" t="s">
        <v>201</v>
      </c>
      <c r="L1028" t="s">
        <v>2689</v>
      </c>
      <c r="M1028" t="s">
        <v>35</v>
      </c>
      <c r="N1028" t="s">
        <v>2690</v>
      </c>
      <c r="O1028" t="s">
        <v>2691</v>
      </c>
      <c r="P1028" t="s">
        <v>3022</v>
      </c>
      <c r="R1028" t="s">
        <v>2698</v>
      </c>
      <c r="S1028" t="s">
        <v>2699</v>
      </c>
      <c r="T1028" t="s">
        <v>376</v>
      </c>
      <c r="U1028" t="s">
        <v>40</v>
      </c>
      <c r="V1028" s="1">
        <v>43831</v>
      </c>
      <c r="W1028">
        <v>0</v>
      </c>
      <c r="X1028">
        <v>12</v>
      </c>
      <c r="AA1028" t="s">
        <v>42</v>
      </c>
      <c r="AB1028" t="s">
        <v>43</v>
      </c>
      <c r="AC1028" t="s">
        <v>43</v>
      </c>
    </row>
    <row r="1029" spans="1:29" x14ac:dyDescent="0.4">
      <c r="A1029" t="s">
        <v>27</v>
      </c>
      <c r="B1029">
        <v>1267</v>
      </c>
      <c r="C1029" t="s">
        <v>3022</v>
      </c>
      <c r="D1029">
        <v>333</v>
      </c>
      <c r="E1029" t="s">
        <v>28</v>
      </c>
      <c r="F1029" t="s">
        <v>687</v>
      </c>
      <c r="G1029" t="s">
        <v>2685</v>
      </c>
      <c r="H1029" t="s">
        <v>2686</v>
      </c>
      <c r="I1029" t="s">
        <v>2687</v>
      </c>
      <c r="J1029" t="s">
        <v>2688</v>
      </c>
      <c r="K1029" t="s">
        <v>201</v>
      </c>
      <c r="L1029" t="s">
        <v>2689</v>
      </c>
      <c r="M1029" t="s">
        <v>35</v>
      </c>
      <c r="N1029" t="s">
        <v>2690</v>
      </c>
      <c r="O1029" t="s">
        <v>2691</v>
      </c>
      <c r="P1029" t="s">
        <v>3022</v>
      </c>
      <c r="R1029" t="s">
        <v>2698</v>
      </c>
      <c r="S1029" t="s">
        <v>2699</v>
      </c>
      <c r="T1029" t="s">
        <v>376</v>
      </c>
      <c r="U1029" t="s">
        <v>40</v>
      </c>
      <c r="V1029" s="1">
        <v>43831</v>
      </c>
      <c r="W1029">
        <v>0</v>
      </c>
      <c r="X1029">
        <v>14</v>
      </c>
      <c r="AA1029" t="s">
        <v>42</v>
      </c>
      <c r="AB1029" t="s">
        <v>43</v>
      </c>
      <c r="AC1029" t="s">
        <v>43</v>
      </c>
    </row>
    <row r="1030" spans="1:29" x14ac:dyDescent="0.4">
      <c r="A1030" t="s">
        <v>27</v>
      </c>
      <c r="B1030">
        <v>1267</v>
      </c>
      <c r="C1030" t="s">
        <v>3022</v>
      </c>
      <c r="E1030" t="s">
        <v>28</v>
      </c>
      <c r="F1030" t="s">
        <v>687</v>
      </c>
      <c r="G1030" t="s">
        <v>2685</v>
      </c>
      <c r="H1030" t="s">
        <v>2686</v>
      </c>
      <c r="I1030" t="s">
        <v>2687</v>
      </c>
      <c r="J1030" t="s">
        <v>2688</v>
      </c>
      <c r="K1030" t="s">
        <v>201</v>
      </c>
      <c r="L1030" t="s">
        <v>2689</v>
      </c>
      <c r="M1030" t="s">
        <v>35</v>
      </c>
      <c r="N1030" t="s">
        <v>2690</v>
      </c>
      <c r="O1030" t="s">
        <v>2691</v>
      </c>
      <c r="P1030" t="s">
        <v>2692</v>
      </c>
      <c r="R1030" t="s">
        <v>2695</v>
      </c>
      <c r="S1030" t="s">
        <v>2696</v>
      </c>
      <c r="T1030" t="s">
        <v>2697</v>
      </c>
      <c r="U1030" t="s">
        <v>40</v>
      </c>
      <c r="V1030" s="1">
        <v>45579</v>
      </c>
      <c r="W1030">
        <v>0</v>
      </c>
      <c r="X1030">
        <v>0</v>
      </c>
      <c r="Y1030" t="s">
        <v>59</v>
      </c>
      <c r="AA1030" t="s">
        <v>42</v>
      </c>
      <c r="AB1030" t="s">
        <v>43</v>
      </c>
      <c r="AC1030" t="s">
        <v>43</v>
      </c>
    </row>
    <row r="1031" spans="1:29" x14ac:dyDescent="0.4">
      <c r="A1031" t="s">
        <v>27</v>
      </c>
      <c r="B1031">
        <v>1267</v>
      </c>
      <c r="C1031" t="s">
        <v>3022</v>
      </c>
      <c r="E1031" t="s">
        <v>28</v>
      </c>
      <c r="F1031" t="s">
        <v>687</v>
      </c>
      <c r="G1031" t="s">
        <v>2685</v>
      </c>
      <c r="H1031" t="s">
        <v>2686</v>
      </c>
      <c r="I1031" t="s">
        <v>2687</v>
      </c>
      <c r="J1031" t="s">
        <v>2688</v>
      </c>
      <c r="K1031" t="s">
        <v>201</v>
      </c>
      <c r="L1031" t="s">
        <v>2689</v>
      </c>
      <c r="M1031" t="s">
        <v>35</v>
      </c>
      <c r="N1031" t="s">
        <v>2690</v>
      </c>
      <c r="O1031" t="s">
        <v>2691</v>
      </c>
      <c r="P1031" t="s">
        <v>2692</v>
      </c>
      <c r="R1031" t="s">
        <v>2693</v>
      </c>
      <c r="S1031" t="s">
        <v>2694</v>
      </c>
      <c r="T1031" t="s">
        <v>376</v>
      </c>
      <c r="U1031" t="s">
        <v>40</v>
      </c>
      <c r="V1031" s="1">
        <v>41433</v>
      </c>
      <c r="W1031">
        <v>0</v>
      </c>
      <c r="X1031">
        <v>0</v>
      </c>
      <c r="Y1031" t="s">
        <v>59</v>
      </c>
      <c r="AA1031" t="s">
        <v>42</v>
      </c>
      <c r="AB1031" t="s">
        <v>43</v>
      </c>
      <c r="AC1031" t="s">
        <v>43</v>
      </c>
    </row>
    <row r="1032" spans="1:29" x14ac:dyDescent="0.4">
      <c r="A1032" t="s">
        <v>27</v>
      </c>
      <c r="B1032">
        <v>6003</v>
      </c>
      <c r="C1032" t="s">
        <v>2904</v>
      </c>
      <c r="D1032">
        <v>337</v>
      </c>
      <c r="E1032" t="s">
        <v>195</v>
      </c>
      <c r="F1032" t="s">
        <v>2290</v>
      </c>
      <c r="G1032" t="s">
        <v>2700</v>
      </c>
      <c r="H1032" t="s">
        <v>2701</v>
      </c>
      <c r="J1032" t="s">
        <v>1732</v>
      </c>
      <c r="K1032" t="s">
        <v>495</v>
      </c>
      <c r="L1032" t="s">
        <v>2702</v>
      </c>
      <c r="M1032" t="s">
        <v>35</v>
      </c>
      <c r="N1032">
        <v>7710524922</v>
      </c>
      <c r="O1032" t="s">
        <v>2703</v>
      </c>
      <c r="P1032" t="s">
        <v>2904</v>
      </c>
      <c r="R1032" t="s">
        <v>2906</v>
      </c>
      <c r="S1032" t="s">
        <v>2705</v>
      </c>
      <c r="T1032" t="s">
        <v>376</v>
      </c>
      <c r="U1032" t="s">
        <v>40</v>
      </c>
      <c r="V1032" s="1">
        <v>43644</v>
      </c>
      <c r="W1032">
        <v>0</v>
      </c>
      <c r="X1032">
        <v>1</v>
      </c>
      <c r="AA1032" t="s">
        <v>42</v>
      </c>
      <c r="AB1032" t="s">
        <v>43</v>
      </c>
      <c r="AC1032" t="s">
        <v>43</v>
      </c>
    </row>
    <row r="1033" spans="1:29" x14ac:dyDescent="0.4">
      <c r="A1033" t="s">
        <v>27</v>
      </c>
      <c r="B1033">
        <v>6003</v>
      </c>
      <c r="C1033" t="s">
        <v>2904</v>
      </c>
      <c r="D1033">
        <v>337</v>
      </c>
      <c r="E1033" t="s">
        <v>195</v>
      </c>
      <c r="F1033" t="s">
        <v>2290</v>
      </c>
      <c r="G1033" t="s">
        <v>2700</v>
      </c>
      <c r="H1033" t="s">
        <v>2701</v>
      </c>
      <c r="J1033" t="s">
        <v>1732</v>
      </c>
      <c r="K1033" t="s">
        <v>495</v>
      </c>
      <c r="L1033" t="s">
        <v>2702</v>
      </c>
      <c r="M1033" t="s">
        <v>35</v>
      </c>
      <c r="N1033">
        <v>7710524922</v>
      </c>
      <c r="O1033" t="s">
        <v>2703</v>
      </c>
      <c r="P1033" t="s">
        <v>2904</v>
      </c>
      <c r="R1033" t="s">
        <v>2906</v>
      </c>
      <c r="S1033" t="s">
        <v>2705</v>
      </c>
      <c r="T1033" t="s">
        <v>376</v>
      </c>
      <c r="U1033" t="s">
        <v>40</v>
      </c>
      <c r="V1033" s="1">
        <v>43644</v>
      </c>
      <c r="W1033">
        <v>0</v>
      </c>
      <c r="X1033">
        <v>2</v>
      </c>
      <c r="AA1033" t="s">
        <v>42</v>
      </c>
      <c r="AB1033" t="s">
        <v>43</v>
      </c>
      <c r="AC1033" t="s">
        <v>43</v>
      </c>
    </row>
    <row r="1034" spans="1:29" x14ac:dyDescent="0.4">
      <c r="A1034" t="s">
        <v>27</v>
      </c>
      <c r="B1034">
        <v>6003</v>
      </c>
      <c r="C1034" t="s">
        <v>2904</v>
      </c>
      <c r="D1034">
        <v>337</v>
      </c>
      <c r="E1034" t="s">
        <v>195</v>
      </c>
      <c r="F1034" t="s">
        <v>2290</v>
      </c>
      <c r="G1034" t="s">
        <v>2700</v>
      </c>
      <c r="H1034" t="s">
        <v>2701</v>
      </c>
      <c r="J1034" t="s">
        <v>1732</v>
      </c>
      <c r="K1034" t="s">
        <v>495</v>
      </c>
      <c r="L1034" t="s">
        <v>2702</v>
      </c>
      <c r="M1034" t="s">
        <v>35</v>
      </c>
      <c r="N1034">
        <v>7710524922</v>
      </c>
      <c r="O1034" t="s">
        <v>2703</v>
      </c>
      <c r="P1034" t="s">
        <v>2904</v>
      </c>
      <c r="R1034" t="s">
        <v>2906</v>
      </c>
      <c r="S1034" t="s">
        <v>2705</v>
      </c>
      <c r="T1034" t="s">
        <v>376</v>
      </c>
      <c r="U1034" t="s">
        <v>40</v>
      </c>
      <c r="V1034" s="1">
        <v>43644</v>
      </c>
      <c r="W1034">
        <v>0</v>
      </c>
      <c r="X1034">
        <v>8</v>
      </c>
      <c r="AA1034" t="s">
        <v>42</v>
      </c>
      <c r="AB1034" t="s">
        <v>43</v>
      </c>
      <c r="AC1034" t="s">
        <v>43</v>
      </c>
    </row>
    <row r="1035" spans="1:29" x14ac:dyDescent="0.4">
      <c r="A1035" t="s">
        <v>27</v>
      </c>
      <c r="B1035">
        <v>6003</v>
      </c>
      <c r="C1035" t="s">
        <v>2904</v>
      </c>
      <c r="D1035">
        <v>337</v>
      </c>
      <c r="E1035" t="s">
        <v>195</v>
      </c>
      <c r="F1035" t="s">
        <v>2290</v>
      </c>
      <c r="G1035" t="s">
        <v>2700</v>
      </c>
      <c r="H1035" t="s">
        <v>2701</v>
      </c>
      <c r="J1035" t="s">
        <v>1732</v>
      </c>
      <c r="K1035" t="s">
        <v>495</v>
      </c>
      <c r="L1035" t="s">
        <v>2702</v>
      </c>
      <c r="M1035" t="s">
        <v>35</v>
      </c>
      <c r="N1035">
        <v>7710524922</v>
      </c>
      <c r="O1035" t="s">
        <v>2703</v>
      </c>
      <c r="P1035" t="s">
        <v>2904</v>
      </c>
      <c r="R1035" t="s">
        <v>2906</v>
      </c>
      <c r="S1035" t="s">
        <v>2705</v>
      </c>
      <c r="T1035" t="s">
        <v>376</v>
      </c>
      <c r="U1035" t="s">
        <v>40</v>
      </c>
      <c r="V1035" s="1">
        <v>43644</v>
      </c>
      <c r="W1035">
        <v>0</v>
      </c>
      <c r="X1035">
        <v>9</v>
      </c>
      <c r="AA1035" t="s">
        <v>42</v>
      </c>
      <c r="AB1035" t="s">
        <v>43</v>
      </c>
      <c r="AC1035" t="s">
        <v>43</v>
      </c>
    </row>
    <row r="1036" spans="1:29" x14ac:dyDescent="0.4">
      <c r="A1036" t="s">
        <v>27</v>
      </c>
      <c r="B1036">
        <v>5191</v>
      </c>
      <c r="C1036" t="s">
        <v>3023</v>
      </c>
      <c r="D1036">
        <v>334</v>
      </c>
      <c r="E1036" t="s">
        <v>68</v>
      </c>
      <c r="F1036" t="s">
        <v>85</v>
      </c>
      <c r="G1036" t="s">
        <v>2700</v>
      </c>
      <c r="H1036" t="s">
        <v>2706</v>
      </c>
      <c r="I1036" t="s">
        <v>2707</v>
      </c>
      <c r="J1036" t="s">
        <v>2239</v>
      </c>
      <c r="K1036" t="s">
        <v>73</v>
      </c>
      <c r="L1036" t="s">
        <v>2708</v>
      </c>
      <c r="M1036" t="s">
        <v>35</v>
      </c>
      <c r="N1036">
        <v>7584050059</v>
      </c>
      <c r="O1036" t="s">
        <v>2709</v>
      </c>
      <c r="P1036" t="s">
        <v>3023</v>
      </c>
      <c r="R1036" t="s">
        <v>2710</v>
      </c>
      <c r="S1036" t="s">
        <v>2711</v>
      </c>
      <c r="T1036" t="s">
        <v>138</v>
      </c>
      <c r="U1036" t="s">
        <v>82</v>
      </c>
      <c r="V1036" s="1">
        <v>45061</v>
      </c>
      <c r="W1036">
        <v>0</v>
      </c>
      <c r="X1036">
        <v>4</v>
      </c>
      <c r="Y1036" t="s">
        <v>65</v>
      </c>
      <c r="AA1036" t="s">
        <v>42</v>
      </c>
      <c r="AB1036" t="s">
        <v>43</v>
      </c>
      <c r="AC1036" t="s">
        <v>43</v>
      </c>
    </row>
    <row r="1037" spans="1:29" x14ac:dyDescent="0.4">
      <c r="A1037" t="s">
        <v>27</v>
      </c>
      <c r="B1037">
        <v>5191</v>
      </c>
      <c r="C1037" t="s">
        <v>3023</v>
      </c>
      <c r="D1037">
        <v>336</v>
      </c>
      <c r="E1037" t="s">
        <v>68</v>
      </c>
      <c r="F1037" t="s">
        <v>85</v>
      </c>
      <c r="G1037" t="s">
        <v>2700</v>
      </c>
      <c r="H1037" t="s">
        <v>2706</v>
      </c>
      <c r="I1037" t="s">
        <v>2707</v>
      </c>
      <c r="J1037" t="s">
        <v>2239</v>
      </c>
      <c r="K1037" t="s">
        <v>73</v>
      </c>
      <c r="L1037" t="s">
        <v>2708</v>
      </c>
      <c r="M1037" t="s">
        <v>35</v>
      </c>
      <c r="N1037">
        <v>7584050059</v>
      </c>
      <c r="O1037" t="s">
        <v>2709</v>
      </c>
      <c r="P1037" t="s">
        <v>3023</v>
      </c>
      <c r="R1037" t="s">
        <v>2712</v>
      </c>
      <c r="S1037" t="s">
        <v>2713</v>
      </c>
      <c r="T1037" t="s">
        <v>58</v>
      </c>
      <c r="U1037" t="s">
        <v>82</v>
      </c>
      <c r="V1037" s="1">
        <v>44459</v>
      </c>
      <c r="W1037">
        <v>0</v>
      </c>
      <c r="X1037">
        <v>4</v>
      </c>
      <c r="Y1037" t="s">
        <v>65</v>
      </c>
      <c r="AA1037" t="s">
        <v>42</v>
      </c>
      <c r="AB1037" t="s">
        <v>43</v>
      </c>
      <c r="AC1037" t="s">
        <v>43</v>
      </c>
    </row>
    <row r="1038" spans="1:29" x14ac:dyDescent="0.4">
      <c r="A1038" t="s">
        <v>27</v>
      </c>
      <c r="B1038">
        <v>5191</v>
      </c>
      <c r="C1038" t="s">
        <v>3023</v>
      </c>
      <c r="D1038">
        <v>335</v>
      </c>
      <c r="E1038" t="s">
        <v>68</v>
      </c>
      <c r="F1038" t="s">
        <v>85</v>
      </c>
      <c r="G1038" t="s">
        <v>2700</v>
      </c>
      <c r="H1038" t="s">
        <v>2706</v>
      </c>
      <c r="I1038" t="s">
        <v>2707</v>
      </c>
      <c r="J1038" t="s">
        <v>2239</v>
      </c>
      <c r="K1038" t="s">
        <v>73</v>
      </c>
      <c r="L1038" t="s">
        <v>2708</v>
      </c>
      <c r="M1038" t="s">
        <v>35</v>
      </c>
      <c r="N1038">
        <v>7584050059</v>
      </c>
      <c r="O1038" t="s">
        <v>2709</v>
      </c>
      <c r="P1038" t="s">
        <v>3023</v>
      </c>
      <c r="R1038" t="s">
        <v>2714</v>
      </c>
      <c r="S1038" t="s">
        <v>2715</v>
      </c>
      <c r="T1038" t="s">
        <v>376</v>
      </c>
      <c r="U1038" t="s">
        <v>82</v>
      </c>
      <c r="V1038" s="1">
        <v>44717</v>
      </c>
      <c r="W1038">
        <v>0</v>
      </c>
      <c r="X1038">
        <v>5</v>
      </c>
      <c r="Y1038" t="s">
        <v>66</v>
      </c>
      <c r="AA1038" t="s">
        <v>42</v>
      </c>
      <c r="AB1038" t="s">
        <v>43</v>
      </c>
      <c r="AC1038" t="s">
        <v>43</v>
      </c>
    </row>
    <row r="1039" spans="1:29" x14ac:dyDescent="0.4">
      <c r="A1039" t="s">
        <v>27</v>
      </c>
      <c r="B1039">
        <v>5191</v>
      </c>
      <c r="C1039" t="s">
        <v>3023</v>
      </c>
      <c r="D1039">
        <v>335</v>
      </c>
      <c r="E1039" t="s">
        <v>68</v>
      </c>
      <c r="F1039" t="s">
        <v>85</v>
      </c>
      <c r="G1039" t="s">
        <v>2700</v>
      </c>
      <c r="H1039" t="s">
        <v>2706</v>
      </c>
      <c r="I1039" t="s">
        <v>2707</v>
      </c>
      <c r="J1039" t="s">
        <v>2239</v>
      </c>
      <c r="K1039" t="s">
        <v>73</v>
      </c>
      <c r="L1039" t="s">
        <v>2708</v>
      </c>
      <c r="M1039" t="s">
        <v>35</v>
      </c>
      <c r="N1039">
        <v>7584050059</v>
      </c>
      <c r="O1039" t="s">
        <v>2709</v>
      </c>
      <c r="P1039" t="s">
        <v>3023</v>
      </c>
      <c r="R1039" t="s">
        <v>2714</v>
      </c>
      <c r="S1039" t="s">
        <v>2715</v>
      </c>
      <c r="T1039" t="s">
        <v>376</v>
      </c>
      <c r="U1039" t="s">
        <v>82</v>
      </c>
      <c r="V1039" s="1">
        <v>44717</v>
      </c>
      <c r="W1039">
        <v>0</v>
      </c>
      <c r="X1039">
        <v>6</v>
      </c>
      <c r="Y1039" t="s">
        <v>83</v>
      </c>
      <c r="AA1039" t="s">
        <v>42</v>
      </c>
      <c r="AB1039" t="s">
        <v>43</v>
      </c>
      <c r="AC1039" t="s">
        <v>43</v>
      </c>
    </row>
    <row r="1040" spans="1:29" x14ac:dyDescent="0.4">
      <c r="A1040" t="s">
        <v>27</v>
      </c>
      <c r="B1040">
        <v>5191</v>
      </c>
      <c r="C1040" t="s">
        <v>3023</v>
      </c>
      <c r="D1040">
        <v>334</v>
      </c>
      <c r="E1040" t="s">
        <v>68</v>
      </c>
      <c r="F1040" t="s">
        <v>85</v>
      </c>
      <c r="G1040" t="s">
        <v>2700</v>
      </c>
      <c r="H1040" t="s">
        <v>2706</v>
      </c>
      <c r="I1040" t="s">
        <v>2707</v>
      </c>
      <c r="J1040" t="s">
        <v>2239</v>
      </c>
      <c r="K1040" t="s">
        <v>73</v>
      </c>
      <c r="L1040" t="s">
        <v>2708</v>
      </c>
      <c r="M1040" t="s">
        <v>35</v>
      </c>
      <c r="N1040">
        <v>7584050059</v>
      </c>
      <c r="O1040" t="s">
        <v>2709</v>
      </c>
      <c r="P1040" t="s">
        <v>3023</v>
      </c>
      <c r="R1040" t="s">
        <v>2710</v>
      </c>
      <c r="S1040" t="s">
        <v>2711</v>
      </c>
      <c r="T1040" t="s">
        <v>138</v>
      </c>
      <c r="U1040" t="s">
        <v>82</v>
      </c>
      <c r="V1040" s="1">
        <v>45061</v>
      </c>
      <c r="W1040">
        <v>0</v>
      </c>
      <c r="X1040">
        <v>13</v>
      </c>
      <c r="AA1040" t="s">
        <v>42</v>
      </c>
      <c r="AB1040" t="s">
        <v>43</v>
      </c>
      <c r="AC1040" t="s">
        <v>43</v>
      </c>
    </row>
    <row r="1041" spans="1:30" x14ac:dyDescent="0.4">
      <c r="A1041" t="s">
        <v>27</v>
      </c>
      <c r="B1041">
        <v>5191</v>
      </c>
      <c r="C1041" t="s">
        <v>3023</v>
      </c>
      <c r="D1041">
        <v>336</v>
      </c>
      <c r="E1041" t="s">
        <v>68</v>
      </c>
      <c r="F1041" t="s">
        <v>85</v>
      </c>
      <c r="G1041" t="s">
        <v>2700</v>
      </c>
      <c r="H1041" t="s">
        <v>2706</v>
      </c>
      <c r="I1041" t="s">
        <v>2707</v>
      </c>
      <c r="J1041" t="s">
        <v>2239</v>
      </c>
      <c r="K1041" t="s">
        <v>73</v>
      </c>
      <c r="L1041" t="s">
        <v>2708</v>
      </c>
      <c r="M1041" t="s">
        <v>35</v>
      </c>
      <c r="N1041">
        <v>7584050059</v>
      </c>
      <c r="O1041" t="s">
        <v>2709</v>
      </c>
      <c r="P1041" t="s">
        <v>3023</v>
      </c>
      <c r="R1041" t="s">
        <v>2712</v>
      </c>
      <c r="S1041" t="s">
        <v>2713</v>
      </c>
      <c r="T1041" t="s">
        <v>58</v>
      </c>
      <c r="U1041" t="s">
        <v>82</v>
      </c>
      <c r="V1041" s="1">
        <v>44459</v>
      </c>
      <c r="W1041">
        <v>0</v>
      </c>
      <c r="X1041">
        <v>13</v>
      </c>
      <c r="AA1041" t="s">
        <v>42</v>
      </c>
      <c r="AB1041" t="s">
        <v>43</v>
      </c>
      <c r="AC1041" t="s">
        <v>43</v>
      </c>
    </row>
    <row r="1042" spans="1:30" x14ac:dyDescent="0.4">
      <c r="A1042" t="s">
        <v>27</v>
      </c>
      <c r="B1042">
        <v>5191</v>
      </c>
      <c r="C1042" t="s">
        <v>3023</v>
      </c>
      <c r="D1042">
        <v>335</v>
      </c>
      <c r="E1042" t="s">
        <v>68</v>
      </c>
      <c r="F1042" t="s">
        <v>85</v>
      </c>
      <c r="G1042" t="s">
        <v>2700</v>
      </c>
      <c r="H1042" t="s">
        <v>2706</v>
      </c>
      <c r="I1042" t="s">
        <v>2707</v>
      </c>
      <c r="J1042" t="s">
        <v>2239</v>
      </c>
      <c r="K1042" t="s">
        <v>73</v>
      </c>
      <c r="L1042" t="s">
        <v>2708</v>
      </c>
      <c r="M1042" t="s">
        <v>35</v>
      </c>
      <c r="N1042">
        <v>7584050059</v>
      </c>
      <c r="O1042" t="s">
        <v>2709</v>
      </c>
      <c r="P1042" t="s">
        <v>3023</v>
      </c>
      <c r="R1042" t="s">
        <v>2714</v>
      </c>
      <c r="S1042" t="s">
        <v>2715</v>
      </c>
      <c r="T1042" t="s">
        <v>376</v>
      </c>
      <c r="U1042" t="s">
        <v>82</v>
      </c>
      <c r="V1042" s="1">
        <v>44717</v>
      </c>
      <c r="W1042">
        <v>0</v>
      </c>
      <c r="X1042">
        <v>15</v>
      </c>
      <c r="AA1042" t="s">
        <v>42</v>
      </c>
      <c r="AB1042" t="s">
        <v>43</v>
      </c>
      <c r="AC1042" t="s">
        <v>43</v>
      </c>
    </row>
    <row r="1043" spans="1:30" x14ac:dyDescent="0.4">
      <c r="A1043" t="s">
        <v>27</v>
      </c>
      <c r="B1043">
        <v>5191</v>
      </c>
      <c r="C1043" t="s">
        <v>3023</v>
      </c>
      <c r="D1043">
        <v>335</v>
      </c>
      <c r="E1043" t="s">
        <v>68</v>
      </c>
      <c r="F1043" t="s">
        <v>85</v>
      </c>
      <c r="G1043" t="s">
        <v>2700</v>
      </c>
      <c r="H1043" t="s">
        <v>2706</v>
      </c>
      <c r="I1043" t="s">
        <v>2707</v>
      </c>
      <c r="J1043" t="s">
        <v>2239</v>
      </c>
      <c r="K1043" t="s">
        <v>73</v>
      </c>
      <c r="L1043" t="s">
        <v>2708</v>
      </c>
      <c r="M1043" t="s">
        <v>35</v>
      </c>
      <c r="N1043">
        <v>7584050059</v>
      </c>
      <c r="O1043" t="s">
        <v>2709</v>
      </c>
      <c r="P1043" t="s">
        <v>3023</v>
      </c>
      <c r="R1043" t="s">
        <v>2714</v>
      </c>
      <c r="S1043" t="s">
        <v>2715</v>
      </c>
      <c r="T1043" t="s">
        <v>376</v>
      </c>
      <c r="U1043" t="s">
        <v>82</v>
      </c>
      <c r="V1043" s="1">
        <v>44717</v>
      </c>
      <c r="W1043">
        <v>0</v>
      </c>
      <c r="X1043">
        <v>17</v>
      </c>
      <c r="AA1043" t="s">
        <v>42</v>
      </c>
      <c r="AB1043" t="s">
        <v>43</v>
      </c>
      <c r="AC1043" t="s">
        <v>43</v>
      </c>
    </row>
    <row r="1044" spans="1:30" x14ac:dyDescent="0.4">
      <c r="A1044" t="s">
        <v>27</v>
      </c>
      <c r="B1044">
        <v>1839</v>
      </c>
      <c r="C1044" t="s">
        <v>3024</v>
      </c>
      <c r="D1044">
        <v>338</v>
      </c>
      <c r="E1044" t="s">
        <v>257</v>
      </c>
      <c r="F1044" t="s">
        <v>2716</v>
      </c>
      <c r="G1044" t="s">
        <v>242</v>
      </c>
      <c r="H1044" t="s">
        <v>2717</v>
      </c>
      <c r="I1044" t="s">
        <v>2718</v>
      </c>
      <c r="J1044" t="s">
        <v>2719</v>
      </c>
      <c r="K1044" t="s">
        <v>242</v>
      </c>
      <c r="L1044" t="s">
        <v>2720</v>
      </c>
      <c r="M1044" t="s">
        <v>35</v>
      </c>
      <c r="N1044">
        <v>1225793330</v>
      </c>
      <c r="O1044" t="s">
        <v>2721</v>
      </c>
      <c r="P1044" t="s">
        <v>3024</v>
      </c>
      <c r="R1044" t="s">
        <v>2722</v>
      </c>
      <c r="S1044" t="s">
        <v>2723</v>
      </c>
      <c r="T1044" t="s">
        <v>284</v>
      </c>
      <c r="U1044" t="s">
        <v>40</v>
      </c>
      <c r="V1044" s="1">
        <v>45084</v>
      </c>
      <c r="W1044">
        <v>0</v>
      </c>
      <c r="X1044">
        <v>16</v>
      </c>
      <c r="AA1044" t="s">
        <v>42</v>
      </c>
      <c r="AB1044" t="s">
        <v>43</v>
      </c>
      <c r="AC1044" t="s">
        <v>43</v>
      </c>
    </row>
    <row r="1045" spans="1:30" x14ac:dyDescent="0.4">
      <c r="A1045" t="s">
        <v>27</v>
      </c>
      <c r="B1045">
        <v>1839</v>
      </c>
      <c r="C1045" t="s">
        <v>3024</v>
      </c>
      <c r="D1045">
        <v>340</v>
      </c>
      <c r="E1045" t="s">
        <v>257</v>
      </c>
      <c r="F1045" t="s">
        <v>2716</v>
      </c>
      <c r="G1045" t="s">
        <v>242</v>
      </c>
      <c r="H1045" t="s">
        <v>2717</v>
      </c>
      <c r="I1045" t="s">
        <v>2718</v>
      </c>
      <c r="J1045" t="s">
        <v>2719</v>
      </c>
      <c r="K1045" t="s">
        <v>242</v>
      </c>
      <c r="L1045" t="s">
        <v>2720</v>
      </c>
      <c r="M1045" t="s">
        <v>35</v>
      </c>
      <c r="N1045">
        <v>1225793330</v>
      </c>
      <c r="O1045" t="s">
        <v>2721</v>
      </c>
      <c r="P1045" t="s">
        <v>3024</v>
      </c>
      <c r="R1045" t="s">
        <v>2724</v>
      </c>
      <c r="S1045" t="s">
        <v>2725</v>
      </c>
      <c r="T1045" t="s">
        <v>284</v>
      </c>
      <c r="U1045" t="s">
        <v>40</v>
      </c>
      <c r="V1045" s="1">
        <v>42346</v>
      </c>
      <c r="W1045">
        <v>0</v>
      </c>
      <c r="X1045">
        <v>18</v>
      </c>
      <c r="AA1045" t="s">
        <v>42</v>
      </c>
      <c r="AB1045" t="s">
        <v>43</v>
      </c>
      <c r="AC1045" t="s">
        <v>43</v>
      </c>
    </row>
    <row r="1046" spans="1:30" x14ac:dyDescent="0.4">
      <c r="A1046" t="s">
        <v>27</v>
      </c>
      <c r="B1046">
        <v>1839</v>
      </c>
      <c r="C1046" t="s">
        <v>3024</v>
      </c>
      <c r="D1046">
        <v>338</v>
      </c>
      <c r="E1046" t="s">
        <v>257</v>
      </c>
      <c r="F1046" t="s">
        <v>2716</v>
      </c>
      <c r="G1046" t="s">
        <v>242</v>
      </c>
      <c r="H1046" t="s">
        <v>2717</v>
      </c>
      <c r="I1046" t="s">
        <v>2718</v>
      </c>
      <c r="J1046" t="s">
        <v>2719</v>
      </c>
      <c r="K1046" t="s">
        <v>242</v>
      </c>
      <c r="L1046" t="s">
        <v>2720</v>
      </c>
      <c r="M1046" t="s">
        <v>35</v>
      </c>
      <c r="N1046">
        <v>1225793330</v>
      </c>
      <c r="O1046" t="s">
        <v>2721</v>
      </c>
      <c r="P1046" t="s">
        <v>3024</v>
      </c>
      <c r="R1046" t="s">
        <v>2722</v>
      </c>
      <c r="S1046" t="s">
        <v>2723</v>
      </c>
      <c r="T1046" t="s">
        <v>284</v>
      </c>
      <c r="U1046" t="s">
        <v>40</v>
      </c>
      <c r="V1046" s="1">
        <v>45084</v>
      </c>
      <c r="W1046">
        <v>0</v>
      </c>
      <c r="X1046">
        <v>14</v>
      </c>
      <c r="AA1046" t="s">
        <v>42</v>
      </c>
      <c r="AB1046" t="s">
        <v>43</v>
      </c>
      <c r="AC1046" t="s">
        <v>43</v>
      </c>
    </row>
    <row r="1047" spans="1:30" x14ac:dyDescent="0.4">
      <c r="A1047" t="s">
        <v>27</v>
      </c>
      <c r="B1047">
        <v>4728</v>
      </c>
      <c r="C1047" t="s">
        <v>3025</v>
      </c>
      <c r="D1047">
        <v>339</v>
      </c>
      <c r="E1047" t="s">
        <v>68</v>
      </c>
      <c r="F1047" t="s">
        <v>594</v>
      </c>
      <c r="G1047" t="s">
        <v>242</v>
      </c>
      <c r="H1047" t="s">
        <v>2717</v>
      </c>
      <c r="I1047" t="s">
        <v>2718</v>
      </c>
      <c r="J1047" t="s">
        <v>2726</v>
      </c>
      <c r="K1047" t="s">
        <v>242</v>
      </c>
      <c r="L1047" t="s">
        <v>2720</v>
      </c>
      <c r="M1047" t="s">
        <v>35</v>
      </c>
      <c r="N1047" t="s">
        <v>2727</v>
      </c>
      <c r="O1047" t="s">
        <v>2728</v>
      </c>
      <c r="P1047" t="s">
        <v>3087</v>
      </c>
      <c r="R1047" t="s">
        <v>2729</v>
      </c>
      <c r="S1047" t="s">
        <v>2730</v>
      </c>
      <c r="T1047" t="s">
        <v>284</v>
      </c>
      <c r="U1047" t="s">
        <v>82</v>
      </c>
      <c r="V1047" s="1">
        <v>43259</v>
      </c>
      <c r="W1047">
        <v>0</v>
      </c>
      <c r="X1047">
        <v>15</v>
      </c>
      <c r="AA1047" t="s">
        <v>42</v>
      </c>
      <c r="AB1047" t="s">
        <v>43</v>
      </c>
      <c r="AC1047" t="s">
        <v>43</v>
      </c>
    </row>
    <row r="1048" spans="1:30" x14ac:dyDescent="0.4">
      <c r="A1048" t="s">
        <v>27</v>
      </c>
      <c r="B1048">
        <v>4728</v>
      </c>
      <c r="C1048" t="s">
        <v>3025</v>
      </c>
      <c r="D1048">
        <v>339</v>
      </c>
      <c r="E1048" t="s">
        <v>68</v>
      </c>
      <c r="F1048" t="s">
        <v>594</v>
      </c>
      <c r="G1048" t="s">
        <v>242</v>
      </c>
      <c r="H1048" t="s">
        <v>2717</v>
      </c>
      <c r="I1048" t="s">
        <v>2718</v>
      </c>
      <c r="J1048" t="s">
        <v>2726</v>
      </c>
      <c r="K1048" t="s">
        <v>242</v>
      </c>
      <c r="L1048" t="s">
        <v>2720</v>
      </c>
      <c r="M1048" t="s">
        <v>35</v>
      </c>
      <c r="N1048" t="s">
        <v>2727</v>
      </c>
      <c r="O1048" t="s">
        <v>2728</v>
      </c>
      <c r="P1048" t="s">
        <v>3087</v>
      </c>
      <c r="R1048" t="s">
        <v>2729</v>
      </c>
      <c r="S1048" t="s">
        <v>2730</v>
      </c>
      <c r="T1048" t="s">
        <v>284</v>
      </c>
      <c r="U1048" t="s">
        <v>82</v>
      </c>
      <c r="V1048" s="1">
        <v>43259</v>
      </c>
      <c r="W1048">
        <v>0</v>
      </c>
      <c r="X1048">
        <v>17</v>
      </c>
      <c r="AA1048" t="s">
        <v>42</v>
      </c>
      <c r="AB1048" t="s">
        <v>43</v>
      </c>
      <c r="AC1048" t="s">
        <v>43</v>
      </c>
    </row>
    <row r="1049" spans="1:30" x14ac:dyDescent="0.4">
      <c r="A1049" t="s">
        <v>27</v>
      </c>
      <c r="B1049">
        <v>850</v>
      </c>
      <c r="C1049" t="s">
        <v>3026</v>
      </c>
      <c r="D1049">
        <v>342</v>
      </c>
      <c r="E1049" t="s">
        <v>28</v>
      </c>
      <c r="F1049" t="s">
        <v>2731</v>
      </c>
      <c r="G1049" t="s">
        <v>2732</v>
      </c>
      <c r="H1049" t="s">
        <v>2733</v>
      </c>
      <c r="J1049" t="s">
        <v>2734</v>
      </c>
      <c r="K1049" t="s">
        <v>189</v>
      </c>
      <c r="L1049" t="s">
        <v>2735</v>
      </c>
      <c r="M1049" t="s">
        <v>35</v>
      </c>
      <c r="N1049">
        <v>1277657769</v>
      </c>
      <c r="O1049" t="s">
        <v>2736</v>
      </c>
      <c r="P1049" t="s">
        <v>3026</v>
      </c>
      <c r="R1049" t="s">
        <v>2737</v>
      </c>
      <c r="S1049" t="s">
        <v>2738</v>
      </c>
      <c r="T1049" t="s">
        <v>284</v>
      </c>
      <c r="U1049" t="s">
        <v>82</v>
      </c>
      <c r="V1049" s="1">
        <v>43382</v>
      </c>
      <c r="W1049">
        <v>0</v>
      </c>
      <c r="X1049">
        <v>4</v>
      </c>
      <c r="Y1049" t="s">
        <v>65</v>
      </c>
      <c r="AA1049" t="s">
        <v>42</v>
      </c>
      <c r="AB1049" t="s">
        <v>43</v>
      </c>
      <c r="AC1049" t="s">
        <v>43</v>
      </c>
    </row>
    <row r="1050" spans="1:30" x14ac:dyDescent="0.4">
      <c r="A1050" t="s">
        <v>27</v>
      </c>
      <c r="B1050">
        <v>850</v>
      </c>
      <c r="C1050" t="s">
        <v>3026</v>
      </c>
      <c r="D1050">
        <v>341</v>
      </c>
      <c r="E1050" t="s">
        <v>28</v>
      </c>
      <c r="F1050" t="s">
        <v>2731</v>
      </c>
      <c r="G1050" t="s">
        <v>2732</v>
      </c>
      <c r="H1050" t="s">
        <v>2733</v>
      </c>
      <c r="J1050" t="s">
        <v>2734</v>
      </c>
      <c r="K1050" t="s">
        <v>189</v>
      </c>
      <c r="L1050" t="s">
        <v>2735</v>
      </c>
      <c r="M1050" t="s">
        <v>35</v>
      </c>
      <c r="N1050">
        <v>1277657769</v>
      </c>
      <c r="O1050" t="s">
        <v>2736</v>
      </c>
      <c r="P1050" t="s">
        <v>3026</v>
      </c>
      <c r="R1050" t="s">
        <v>2739</v>
      </c>
      <c r="S1050" t="s">
        <v>2740</v>
      </c>
      <c r="T1050" t="s">
        <v>284</v>
      </c>
      <c r="U1050" t="s">
        <v>82</v>
      </c>
      <c r="V1050" s="1">
        <v>44248</v>
      </c>
      <c r="W1050">
        <v>0</v>
      </c>
      <c r="X1050">
        <v>7</v>
      </c>
      <c r="AA1050" t="s">
        <v>42</v>
      </c>
      <c r="AB1050" t="s">
        <v>43</v>
      </c>
      <c r="AC1050" t="s">
        <v>43</v>
      </c>
    </row>
    <row r="1051" spans="1:30" x14ac:dyDescent="0.4">
      <c r="A1051" t="s">
        <v>27</v>
      </c>
      <c r="B1051">
        <v>850</v>
      </c>
      <c r="C1051" t="s">
        <v>3026</v>
      </c>
      <c r="D1051">
        <v>342</v>
      </c>
      <c r="E1051" t="s">
        <v>28</v>
      </c>
      <c r="F1051" t="s">
        <v>2731</v>
      </c>
      <c r="G1051" t="s">
        <v>2732</v>
      </c>
      <c r="H1051" t="s">
        <v>2733</v>
      </c>
      <c r="J1051" t="s">
        <v>2734</v>
      </c>
      <c r="K1051" t="s">
        <v>189</v>
      </c>
      <c r="L1051" t="s">
        <v>2735</v>
      </c>
      <c r="M1051" t="s">
        <v>35</v>
      </c>
      <c r="N1051">
        <v>1277657769</v>
      </c>
      <c r="O1051" t="s">
        <v>2736</v>
      </c>
      <c r="P1051" t="s">
        <v>3026</v>
      </c>
      <c r="R1051" t="s">
        <v>2737</v>
      </c>
      <c r="S1051" t="s">
        <v>2738</v>
      </c>
      <c r="T1051" t="s">
        <v>284</v>
      </c>
      <c r="U1051" t="s">
        <v>82</v>
      </c>
      <c r="V1051" s="1">
        <v>43382</v>
      </c>
      <c r="W1051">
        <v>0</v>
      </c>
      <c r="X1051">
        <v>13</v>
      </c>
      <c r="AA1051" t="s">
        <v>42</v>
      </c>
      <c r="AB1051" t="s">
        <v>43</v>
      </c>
      <c r="AC1051" t="s">
        <v>43</v>
      </c>
    </row>
    <row r="1052" spans="1:30" x14ac:dyDescent="0.4">
      <c r="A1052" t="s">
        <v>27</v>
      </c>
      <c r="B1052">
        <v>850</v>
      </c>
      <c r="C1052" t="s">
        <v>3026</v>
      </c>
      <c r="D1052">
        <v>341</v>
      </c>
      <c r="E1052" t="s">
        <v>28</v>
      </c>
      <c r="F1052" t="s">
        <v>2731</v>
      </c>
      <c r="G1052" t="s">
        <v>2732</v>
      </c>
      <c r="H1052" t="s">
        <v>2733</v>
      </c>
      <c r="J1052" t="s">
        <v>2734</v>
      </c>
      <c r="K1052" t="s">
        <v>189</v>
      </c>
      <c r="L1052" t="s">
        <v>2735</v>
      </c>
      <c r="M1052" t="s">
        <v>35</v>
      </c>
      <c r="N1052">
        <v>1277657769</v>
      </c>
      <c r="O1052" t="s">
        <v>2736</v>
      </c>
      <c r="P1052" t="s">
        <v>3026</v>
      </c>
      <c r="R1052" t="s">
        <v>2739</v>
      </c>
      <c r="S1052" t="s">
        <v>2740</v>
      </c>
      <c r="T1052" t="s">
        <v>284</v>
      </c>
      <c r="U1052" t="s">
        <v>82</v>
      </c>
      <c r="V1052" s="1">
        <v>44248</v>
      </c>
      <c r="W1052">
        <v>0</v>
      </c>
      <c r="X1052">
        <v>19</v>
      </c>
      <c r="AA1052" t="s">
        <v>42</v>
      </c>
      <c r="AB1052" t="s">
        <v>43</v>
      </c>
      <c r="AC1052" t="s">
        <v>43</v>
      </c>
    </row>
    <row r="1053" spans="1:30" x14ac:dyDescent="0.4">
      <c r="A1053" t="s">
        <v>27</v>
      </c>
      <c r="B1053">
        <v>649</v>
      </c>
      <c r="C1053" t="s">
        <v>2749</v>
      </c>
      <c r="D1053">
        <v>344</v>
      </c>
      <c r="E1053" t="s">
        <v>68</v>
      </c>
      <c r="F1053" t="s">
        <v>2741</v>
      </c>
      <c r="G1053" t="s">
        <v>2742</v>
      </c>
      <c r="H1053" t="s">
        <v>2743</v>
      </c>
      <c r="I1053" t="s">
        <v>2744</v>
      </c>
      <c r="J1053" t="s">
        <v>2745</v>
      </c>
      <c r="K1053" t="s">
        <v>189</v>
      </c>
      <c r="L1053" t="s">
        <v>2746</v>
      </c>
      <c r="M1053" t="s">
        <v>35</v>
      </c>
      <c r="N1053" t="s">
        <v>2747</v>
      </c>
      <c r="O1053" t="s">
        <v>2748</v>
      </c>
      <c r="P1053" t="s">
        <v>3088</v>
      </c>
      <c r="R1053" t="s">
        <v>2750</v>
      </c>
      <c r="S1053" t="s">
        <v>2751</v>
      </c>
      <c r="T1053" t="s">
        <v>376</v>
      </c>
      <c r="U1053" t="s">
        <v>40</v>
      </c>
      <c r="V1053" s="1">
        <v>43909</v>
      </c>
      <c r="W1053">
        <v>0</v>
      </c>
      <c r="X1053">
        <v>20</v>
      </c>
      <c r="AA1053" t="s">
        <v>42</v>
      </c>
      <c r="AB1053" t="s">
        <v>43</v>
      </c>
      <c r="AC1053" t="s">
        <v>43</v>
      </c>
    </row>
    <row r="1054" spans="1:30" x14ac:dyDescent="0.4">
      <c r="A1054" t="s">
        <v>27</v>
      </c>
      <c r="B1054">
        <v>649</v>
      </c>
      <c r="C1054" t="s">
        <v>2749</v>
      </c>
      <c r="D1054">
        <v>343</v>
      </c>
      <c r="E1054" t="s">
        <v>68</v>
      </c>
      <c r="F1054" t="s">
        <v>2741</v>
      </c>
      <c r="G1054" t="s">
        <v>2742</v>
      </c>
      <c r="H1054" t="s">
        <v>2743</v>
      </c>
      <c r="I1054" t="s">
        <v>2744</v>
      </c>
      <c r="J1054" t="s">
        <v>2745</v>
      </c>
      <c r="K1054" t="s">
        <v>189</v>
      </c>
      <c r="L1054" t="s">
        <v>2746</v>
      </c>
      <c r="M1054" t="s">
        <v>35</v>
      </c>
      <c r="N1054" t="s">
        <v>2747</v>
      </c>
      <c r="O1054" t="s">
        <v>2748</v>
      </c>
      <c r="P1054" t="s">
        <v>3088</v>
      </c>
      <c r="R1054" t="s">
        <v>3129</v>
      </c>
      <c r="S1054" t="s">
        <v>2753</v>
      </c>
      <c r="T1054" t="s">
        <v>94</v>
      </c>
      <c r="U1054" t="s">
        <v>40</v>
      </c>
      <c r="V1054" s="1">
        <v>42417</v>
      </c>
      <c r="W1054">
        <v>0</v>
      </c>
      <c r="X1054">
        <v>20</v>
      </c>
      <c r="AA1054" t="s">
        <v>42</v>
      </c>
      <c r="AB1054" t="s">
        <v>43</v>
      </c>
      <c r="AC1054" t="s">
        <v>43</v>
      </c>
    </row>
    <row r="1055" spans="1:30" x14ac:dyDescent="0.4">
      <c r="A1055" t="s">
        <v>27</v>
      </c>
      <c r="B1055">
        <v>4435</v>
      </c>
      <c r="C1055" t="s">
        <v>3027</v>
      </c>
      <c r="D1055">
        <v>345</v>
      </c>
      <c r="E1055" t="s">
        <v>28</v>
      </c>
      <c r="F1055" t="s">
        <v>2754</v>
      </c>
      <c r="G1055" t="s">
        <v>2755</v>
      </c>
      <c r="H1055" t="s">
        <v>2756</v>
      </c>
      <c r="I1055" t="s">
        <v>2757</v>
      </c>
      <c r="J1055" t="s">
        <v>2758</v>
      </c>
      <c r="K1055" t="s">
        <v>426</v>
      </c>
      <c r="L1055" t="s">
        <v>2759</v>
      </c>
      <c r="M1055" t="s">
        <v>35</v>
      </c>
      <c r="N1055">
        <v>1732845255</v>
      </c>
      <c r="O1055" t="s">
        <v>2760</v>
      </c>
      <c r="P1055" t="s">
        <v>3027</v>
      </c>
      <c r="R1055" t="s">
        <v>2762</v>
      </c>
      <c r="S1055" t="s">
        <v>2763</v>
      </c>
      <c r="T1055" t="s">
        <v>58</v>
      </c>
      <c r="U1055" t="s">
        <v>82</v>
      </c>
      <c r="V1055" s="1">
        <v>43226</v>
      </c>
      <c r="W1055">
        <v>0</v>
      </c>
      <c r="X1055">
        <v>4</v>
      </c>
      <c r="Y1055" t="s">
        <v>65</v>
      </c>
      <c r="AA1055" t="s">
        <v>42</v>
      </c>
      <c r="AB1055" t="s">
        <v>43</v>
      </c>
      <c r="AC1055" t="s">
        <v>43</v>
      </c>
      <c r="AD1055" t="s">
        <v>2764</v>
      </c>
    </row>
    <row r="1056" spans="1:30" x14ac:dyDescent="0.4">
      <c r="A1056" t="s">
        <v>27</v>
      </c>
      <c r="B1056">
        <v>4435</v>
      </c>
      <c r="C1056" t="s">
        <v>3027</v>
      </c>
      <c r="D1056">
        <v>346</v>
      </c>
      <c r="E1056" t="s">
        <v>28</v>
      </c>
      <c r="F1056" t="s">
        <v>2754</v>
      </c>
      <c r="G1056" t="s">
        <v>2755</v>
      </c>
      <c r="H1056" t="s">
        <v>2756</v>
      </c>
      <c r="I1056" t="s">
        <v>2757</v>
      </c>
      <c r="J1056" t="s">
        <v>2758</v>
      </c>
      <c r="K1056" t="s">
        <v>426</v>
      </c>
      <c r="L1056" t="s">
        <v>2759</v>
      </c>
      <c r="M1056" t="s">
        <v>35</v>
      </c>
      <c r="N1056">
        <v>1732845255</v>
      </c>
      <c r="O1056" t="s">
        <v>2760</v>
      </c>
      <c r="P1056" t="s">
        <v>3027</v>
      </c>
      <c r="R1056" t="s">
        <v>2765</v>
      </c>
      <c r="S1056" t="s">
        <v>2766</v>
      </c>
      <c r="T1056" t="s">
        <v>94</v>
      </c>
      <c r="U1056" t="s">
        <v>40</v>
      </c>
      <c r="V1056" s="1">
        <v>44593</v>
      </c>
      <c r="W1056">
        <v>0</v>
      </c>
      <c r="X1056">
        <v>4</v>
      </c>
      <c r="Y1056" t="s">
        <v>65</v>
      </c>
      <c r="AA1056" t="s">
        <v>42</v>
      </c>
      <c r="AB1056" t="s">
        <v>43</v>
      </c>
      <c r="AC1056" t="s">
        <v>43</v>
      </c>
      <c r="AD1056" t="s">
        <v>2764</v>
      </c>
    </row>
    <row r="1057" spans="1:30" x14ac:dyDescent="0.4">
      <c r="A1057" t="s">
        <v>27</v>
      </c>
      <c r="B1057">
        <v>4435</v>
      </c>
      <c r="C1057" t="s">
        <v>3027</v>
      </c>
      <c r="D1057">
        <v>345</v>
      </c>
      <c r="E1057" t="s">
        <v>28</v>
      </c>
      <c r="F1057" t="s">
        <v>2754</v>
      </c>
      <c r="G1057" t="s">
        <v>2755</v>
      </c>
      <c r="H1057" t="s">
        <v>2756</v>
      </c>
      <c r="I1057" t="s">
        <v>2757</v>
      </c>
      <c r="J1057" t="s">
        <v>2758</v>
      </c>
      <c r="K1057" t="s">
        <v>426</v>
      </c>
      <c r="L1057" t="s">
        <v>2759</v>
      </c>
      <c r="M1057" t="s">
        <v>35</v>
      </c>
      <c r="N1057">
        <v>1732845255</v>
      </c>
      <c r="O1057" t="s">
        <v>2760</v>
      </c>
      <c r="P1057" t="s">
        <v>3027</v>
      </c>
      <c r="R1057" t="s">
        <v>2762</v>
      </c>
      <c r="S1057" t="s">
        <v>2763</v>
      </c>
      <c r="T1057" t="s">
        <v>58</v>
      </c>
      <c r="U1057" t="s">
        <v>82</v>
      </c>
      <c r="V1057" s="1">
        <v>43226</v>
      </c>
      <c r="W1057">
        <v>0</v>
      </c>
      <c r="X1057">
        <v>5</v>
      </c>
      <c r="Y1057" t="s">
        <v>66</v>
      </c>
      <c r="AA1057" t="s">
        <v>42</v>
      </c>
      <c r="AB1057" t="s">
        <v>43</v>
      </c>
      <c r="AC1057" t="s">
        <v>43</v>
      </c>
      <c r="AD1057" t="s">
        <v>2764</v>
      </c>
    </row>
    <row r="1058" spans="1:30" x14ac:dyDescent="0.4">
      <c r="A1058" t="s">
        <v>27</v>
      </c>
      <c r="B1058">
        <v>4435</v>
      </c>
      <c r="C1058" t="s">
        <v>3027</v>
      </c>
      <c r="D1058">
        <v>346</v>
      </c>
      <c r="E1058" t="s">
        <v>28</v>
      </c>
      <c r="F1058" t="s">
        <v>2754</v>
      </c>
      <c r="G1058" t="s">
        <v>2755</v>
      </c>
      <c r="H1058" t="s">
        <v>2756</v>
      </c>
      <c r="I1058" t="s">
        <v>2757</v>
      </c>
      <c r="J1058" t="s">
        <v>2758</v>
      </c>
      <c r="K1058" t="s">
        <v>426</v>
      </c>
      <c r="L1058" t="s">
        <v>2759</v>
      </c>
      <c r="M1058" t="s">
        <v>35</v>
      </c>
      <c r="N1058">
        <v>1732845255</v>
      </c>
      <c r="O1058" t="s">
        <v>2760</v>
      </c>
      <c r="P1058" t="s">
        <v>3027</v>
      </c>
      <c r="R1058" t="s">
        <v>2765</v>
      </c>
      <c r="S1058" t="s">
        <v>2766</v>
      </c>
      <c r="T1058" t="s">
        <v>94</v>
      </c>
      <c r="U1058" t="s">
        <v>40</v>
      </c>
      <c r="V1058" s="1">
        <v>44593</v>
      </c>
      <c r="W1058">
        <v>0</v>
      </c>
      <c r="X1058">
        <v>5</v>
      </c>
      <c r="Y1058" t="s">
        <v>66</v>
      </c>
      <c r="AA1058" t="s">
        <v>42</v>
      </c>
      <c r="AB1058" t="s">
        <v>43</v>
      </c>
      <c r="AC1058" t="s">
        <v>43</v>
      </c>
      <c r="AD1058" t="s">
        <v>2764</v>
      </c>
    </row>
    <row r="1059" spans="1:30" x14ac:dyDescent="0.4">
      <c r="A1059" t="s">
        <v>27</v>
      </c>
      <c r="B1059">
        <v>4435</v>
      </c>
      <c r="C1059" t="s">
        <v>3027</v>
      </c>
      <c r="D1059">
        <v>345</v>
      </c>
      <c r="E1059" t="s">
        <v>28</v>
      </c>
      <c r="F1059" t="s">
        <v>2754</v>
      </c>
      <c r="G1059" t="s">
        <v>2755</v>
      </c>
      <c r="H1059" t="s">
        <v>2756</v>
      </c>
      <c r="I1059" t="s">
        <v>2757</v>
      </c>
      <c r="J1059" t="s">
        <v>2758</v>
      </c>
      <c r="K1059" t="s">
        <v>426</v>
      </c>
      <c r="L1059" t="s">
        <v>2759</v>
      </c>
      <c r="M1059" t="s">
        <v>35</v>
      </c>
      <c r="N1059">
        <v>1732845255</v>
      </c>
      <c r="O1059" t="s">
        <v>2760</v>
      </c>
      <c r="P1059" t="s">
        <v>3027</v>
      </c>
      <c r="R1059" t="s">
        <v>2762</v>
      </c>
      <c r="S1059" t="s">
        <v>2763</v>
      </c>
      <c r="T1059" t="s">
        <v>58</v>
      </c>
      <c r="U1059" t="s">
        <v>82</v>
      </c>
      <c r="V1059" s="1">
        <v>43226</v>
      </c>
      <c r="W1059">
        <v>0</v>
      </c>
      <c r="X1059">
        <v>6</v>
      </c>
      <c r="Y1059" t="s">
        <v>83</v>
      </c>
      <c r="AA1059" t="s">
        <v>42</v>
      </c>
      <c r="AB1059" t="s">
        <v>43</v>
      </c>
      <c r="AC1059" t="s">
        <v>43</v>
      </c>
      <c r="AD1059" t="s">
        <v>2764</v>
      </c>
    </row>
    <row r="1060" spans="1:30" x14ac:dyDescent="0.4">
      <c r="A1060" t="s">
        <v>27</v>
      </c>
      <c r="B1060">
        <v>4435</v>
      </c>
      <c r="C1060" t="s">
        <v>3027</v>
      </c>
      <c r="E1060" t="s">
        <v>28</v>
      </c>
      <c r="F1060" t="s">
        <v>2754</v>
      </c>
      <c r="G1060" t="s">
        <v>2755</v>
      </c>
      <c r="H1060" t="s">
        <v>2756</v>
      </c>
      <c r="I1060" t="s">
        <v>2757</v>
      </c>
      <c r="J1060" t="s">
        <v>2758</v>
      </c>
      <c r="K1060" t="s">
        <v>426</v>
      </c>
      <c r="L1060" t="s">
        <v>2759</v>
      </c>
      <c r="M1060" t="s">
        <v>35</v>
      </c>
      <c r="N1060">
        <v>1732845255</v>
      </c>
      <c r="O1060" t="s">
        <v>2760</v>
      </c>
      <c r="P1060" t="s">
        <v>2761</v>
      </c>
      <c r="R1060" t="s">
        <v>2767</v>
      </c>
      <c r="S1060" t="s">
        <v>2768</v>
      </c>
      <c r="T1060" t="s">
        <v>94</v>
      </c>
      <c r="U1060" t="s">
        <v>40</v>
      </c>
      <c r="V1060" s="1">
        <v>40609</v>
      </c>
      <c r="W1060">
        <v>0</v>
      </c>
      <c r="X1060">
        <v>0</v>
      </c>
      <c r="Y1060" t="s">
        <v>59</v>
      </c>
      <c r="AA1060" t="s">
        <v>42</v>
      </c>
      <c r="AB1060" t="s">
        <v>43</v>
      </c>
      <c r="AC1060" t="s">
        <v>43</v>
      </c>
      <c r="AD1060" t="s">
        <v>2764</v>
      </c>
    </row>
    <row r="1061" spans="1:30" x14ac:dyDescent="0.4">
      <c r="A1061" t="s">
        <v>27</v>
      </c>
      <c r="B1061">
        <v>4435</v>
      </c>
      <c r="C1061" t="s">
        <v>3027</v>
      </c>
      <c r="E1061" t="s">
        <v>28</v>
      </c>
      <c r="F1061" t="s">
        <v>2754</v>
      </c>
      <c r="G1061" t="s">
        <v>2755</v>
      </c>
      <c r="H1061" t="s">
        <v>2756</v>
      </c>
      <c r="I1061" t="s">
        <v>2757</v>
      </c>
      <c r="J1061" t="s">
        <v>2758</v>
      </c>
      <c r="K1061" t="s">
        <v>426</v>
      </c>
      <c r="L1061" t="s">
        <v>2759</v>
      </c>
      <c r="M1061" t="s">
        <v>35</v>
      </c>
      <c r="N1061">
        <v>1732845255</v>
      </c>
      <c r="O1061" t="s">
        <v>2760</v>
      </c>
      <c r="P1061" t="s">
        <v>2761</v>
      </c>
      <c r="R1061" t="s">
        <v>2769</v>
      </c>
      <c r="S1061" t="s">
        <v>2770</v>
      </c>
      <c r="T1061" t="s">
        <v>58</v>
      </c>
      <c r="U1061" t="s">
        <v>40</v>
      </c>
      <c r="V1061" s="1">
        <v>41192</v>
      </c>
      <c r="W1061">
        <v>0</v>
      </c>
      <c r="X1061">
        <v>0</v>
      </c>
      <c r="Y1061" t="s">
        <v>59</v>
      </c>
      <c r="AA1061" t="s">
        <v>42</v>
      </c>
      <c r="AB1061" t="s">
        <v>43</v>
      </c>
      <c r="AC1061" t="s">
        <v>43</v>
      </c>
      <c r="AD1061" t="s">
        <v>2764</v>
      </c>
    </row>
    <row r="1062" spans="1:30" x14ac:dyDescent="0.4">
      <c r="A1062" t="s">
        <v>27</v>
      </c>
      <c r="B1062">
        <v>787</v>
      </c>
      <c r="C1062" t="s">
        <v>3028</v>
      </c>
      <c r="E1062" t="s">
        <v>68</v>
      </c>
      <c r="F1062" t="s">
        <v>2771</v>
      </c>
      <c r="G1062" t="s">
        <v>2772</v>
      </c>
      <c r="H1062" t="s">
        <v>2773</v>
      </c>
      <c r="J1062" t="s">
        <v>2774</v>
      </c>
      <c r="K1062" t="s">
        <v>1227</v>
      </c>
      <c r="L1062" t="s">
        <v>2775</v>
      </c>
      <c r="M1062" t="s">
        <v>35</v>
      </c>
      <c r="N1062">
        <v>1179855172</v>
      </c>
      <c r="O1062" t="s">
        <v>2776</v>
      </c>
      <c r="P1062" t="s">
        <v>2777</v>
      </c>
      <c r="R1062" t="s">
        <v>2778</v>
      </c>
      <c r="S1062" t="s">
        <v>2779</v>
      </c>
      <c r="T1062" t="s">
        <v>94</v>
      </c>
      <c r="U1062" t="s">
        <v>40</v>
      </c>
      <c r="V1062" s="1">
        <v>40733</v>
      </c>
      <c r="W1062">
        <v>0</v>
      </c>
      <c r="X1062">
        <v>0</v>
      </c>
      <c r="Y1062" t="s">
        <v>59</v>
      </c>
      <c r="AA1062" t="s">
        <v>42</v>
      </c>
      <c r="AB1062" t="s">
        <v>43</v>
      </c>
      <c r="AC1062" t="s">
        <v>43</v>
      </c>
    </row>
    <row r="1063" spans="1:30" x14ac:dyDescent="0.4">
      <c r="A1063" t="s">
        <v>27</v>
      </c>
      <c r="B1063">
        <v>787</v>
      </c>
      <c r="C1063" t="s">
        <v>3028</v>
      </c>
      <c r="E1063" t="s">
        <v>68</v>
      </c>
      <c r="F1063" t="s">
        <v>2771</v>
      </c>
      <c r="G1063" t="s">
        <v>2772</v>
      </c>
      <c r="H1063" t="s">
        <v>2773</v>
      </c>
      <c r="J1063" t="s">
        <v>2774</v>
      </c>
      <c r="K1063" t="s">
        <v>1227</v>
      </c>
      <c r="L1063" t="s">
        <v>2775</v>
      </c>
      <c r="M1063" t="s">
        <v>35</v>
      </c>
      <c r="N1063">
        <v>1179855172</v>
      </c>
      <c r="O1063" t="s">
        <v>2776</v>
      </c>
      <c r="P1063" t="s">
        <v>2777</v>
      </c>
      <c r="R1063" t="s">
        <v>2780</v>
      </c>
      <c r="S1063" t="s">
        <v>2781</v>
      </c>
      <c r="T1063" t="s">
        <v>94</v>
      </c>
      <c r="U1063" t="s">
        <v>82</v>
      </c>
      <c r="V1063" s="1">
        <v>41012</v>
      </c>
      <c r="W1063">
        <v>0</v>
      </c>
      <c r="X1063">
        <v>0</v>
      </c>
      <c r="Y1063" t="s">
        <v>59</v>
      </c>
      <c r="AA1063" t="s">
        <v>42</v>
      </c>
      <c r="AB1063" t="s">
        <v>43</v>
      </c>
      <c r="AC1063" t="s">
        <v>43</v>
      </c>
    </row>
    <row r="1064" spans="1:30" x14ac:dyDescent="0.4">
      <c r="A1064" t="s">
        <v>27</v>
      </c>
      <c r="B1064">
        <v>787</v>
      </c>
      <c r="C1064" t="s">
        <v>3028</v>
      </c>
      <c r="D1064">
        <v>348</v>
      </c>
      <c r="E1064" t="s">
        <v>68</v>
      </c>
      <c r="F1064" t="s">
        <v>2771</v>
      </c>
      <c r="G1064" t="s">
        <v>2772</v>
      </c>
      <c r="H1064" t="s">
        <v>2773</v>
      </c>
      <c r="J1064" t="s">
        <v>2774</v>
      </c>
      <c r="K1064" t="s">
        <v>1227</v>
      </c>
      <c r="L1064" t="s">
        <v>2775</v>
      </c>
      <c r="M1064" t="s">
        <v>35</v>
      </c>
      <c r="N1064">
        <v>1179855172</v>
      </c>
      <c r="O1064" t="s">
        <v>2776</v>
      </c>
      <c r="P1064" t="s">
        <v>3028</v>
      </c>
      <c r="R1064" t="s">
        <v>2782</v>
      </c>
      <c r="S1064" t="s">
        <v>2783</v>
      </c>
      <c r="T1064" t="s">
        <v>94</v>
      </c>
      <c r="U1064" t="s">
        <v>40</v>
      </c>
      <c r="V1064" s="1">
        <v>44916</v>
      </c>
      <c r="W1064">
        <v>0</v>
      </c>
      <c r="X1064">
        <v>18</v>
      </c>
      <c r="AA1064" t="s">
        <v>42</v>
      </c>
      <c r="AB1064" t="s">
        <v>43</v>
      </c>
      <c r="AC1064" t="s">
        <v>43</v>
      </c>
    </row>
    <row r="1065" spans="1:30" x14ac:dyDescent="0.4">
      <c r="A1065" t="s">
        <v>27</v>
      </c>
      <c r="B1065">
        <v>787</v>
      </c>
      <c r="C1065" t="s">
        <v>3028</v>
      </c>
      <c r="D1065">
        <v>347</v>
      </c>
      <c r="E1065" t="s">
        <v>68</v>
      </c>
      <c r="F1065" t="s">
        <v>2771</v>
      </c>
      <c r="G1065" t="s">
        <v>2772</v>
      </c>
      <c r="H1065" t="s">
        <v>2773</v>
      </c>
      <c r="J1065" t="s">
        <v>2774</v>
      </c>
      <c r="K1065" t="s">
        <v>1227</v>
      </c>
      <c r="L1065" t="s">
        <v>2775</v>
      </c>
      <c r="M1065" t="s">
        <v>35</v>
      </c>
      <c r="N1065">
        <v>1179855172</v>
      </c>
      <c r="O1065" t="s">
        <v>2776</v>
      </c>
      <c r="P1065" t="s">
        <v>3028</v>
      </c>
      <c r="R1065" t="s">
        <v>2784</v>
      </c>
      <c r="S1065" t="s">
        <v>2785</v>
      </c>
      <c r="T1065" t="s">
        <v>94</v>
      </c>
      <c r="U1065" t="s">
        <v>82</v>
      </c>
      <c r="V1065" s="1">
        <v>43116</v>
      </c>
      <c r="W1065">
        <v>0</v>
      </c>
      <c r="X1065">
        <v>19</v>
      </c>
      <c r="AA1065" t="s">
        <v>42</v>
      </c>
      <c r="AB1065" t="s">
        <v>43</v>
      </c>
      <c r="AC1065" t="s">
        <v>43</v>
      </c>
    </row>
    <row r="1066" spans="1:30" x14ac:dyDescent="0.4">
      <c r="A1066" t="s">
        <v>27</v>
      </c>
      <c r="B1066">
        <v>787</v>
      </c>
      <c r="C1066" t="s">
        <v>3028</v>
      </c>
      <c r="D1066">
        <v>347</v>
      </c>
      <c r="E1066" t="s">
        <v>68</v>
      </c>
      <c r="F1066" t="s">
        <v>2771</v>
      </c>
      <c r="G1066" t="s">
        <v>2772</v>
      </c>
      <c r="H1066" t="s">
        <v>2773</v>
      </c>
      <c r="J1066" t="s">
        <v>2774</v>
      </c>
      <c r="K1066" t="s">
        <v>1227</v>
      </c>
      <c r="L1066" t="s">
        <v>2775</v>
      </c>
      <c r="M1066" t="s">
        <v>35</v>
      </c>
      <c r="N1066">
        <v>1179855172</v>
      </c>
      <c r="O1066" t="s">
        <v>2776</v>
      </c>
      <c r="P1066" t="s">
        <v>3028</v>
      </c>
      <c r="R1066" t="s">
        <v>2784</v>
      </c>
      <c r="S1066" t="s">
        <v>2785</v>
      </c>
      <c r="T1066" t="s">
        <v>94</v>
      </c>
      <c r="U1066" t="s">
        <v>82</v>
      </c>
      <c r="V1066" s="1">
        <v>43116</v>
      </c>
      <c r="W1066">
        <v>0</v>
      </c>
      <c r="X1066">
        <v>21</v>
      </c>
      <c r="AA1066" t="s">
        <v>42</v>
      </c>
      <c r="AB1066" t="s">
        <v>43</v>
      </c>
      <c r="AC1066" t="s">
        <v>43</v>
      </c>
    </row>
    <row r="1067" spans="1:30" x14ac:dyDescent="0.4">
      <c r="A1067" t="s">
        <v>27</v>
      </c>
      <c r="B1067">
        <v>1240</v>
      </c>
      <c r="C1067" t="s">
        <v>3029</v>
      </c>
      <c r="D1067">
        <v>349</v>
      </c>
      <c r="E1067" t="s">
        <v>68</v>
      </c>
      <c r="F1067" t="s">
        <v>2786</v>
      </c>
      <c r="G1067" t="s">
        <v>2787</v>
      </c>
      <c r="H1067" t="s">
        <v>2788</v>
      </c>
      <c r="I1067" t="s">
        <v>2789</v>
      </c>
      <c r="J1067" t="s">
        <v>225</v>
      </c>
      <c r="K1067" t="s">
        <v>426</v>
      </c>
      <c r="L1067" t="s">
        <v>2790</v>
      </c>
      <c r="M1067" t="s">
        <v>35</v>
      </c>
      <c r="N1067">
        <v>7920795013</v>
      </c>
      <c r="O1067" t="s">
        <v>2791</v>
      </c>
      <c r="P1067" t="s">
        <v>3029</v>
      </c>
      <c r="R1067" t="s">
        <v>3130</v>
      </c>
      <c r="S1067" t="s">
        <v>2793</v>
      </c>
      <c r="T1067" t="s">
        <v>3135</v>
      </c>
      <c r="U1067" t="s">
        <v>82</v>
      </c>
      <c r="V1067" s="1">
        <v>44155</v>
      </c>
      <c r="W1067">
        <v>0</v>
      </c>
      <c r="X1067">
        <v>21</v>
      </c>
      <c r="AA1067" t="s">
        <v>42</v>
      </c>
      <c r="AB1067" t="s">
        <v>43</v>
      </c>
      <c r="AC1067" t="s">
        <v>43</v>
      </c>
    </row>
    <row r="1068" spans="1:30" x14ac:dyDescent="0.4">
      <c r="A1068" t="s">
        <v>27</v>
      </c>
      <c r="B1068">
        <v>1240</v>
      </c>
      <c r="C1068" t="s">
        <v>3029</v>
      </c>
      <c r="D1068">
        <v>349</v>
      </c>
      <c r="E1068" t="s">
        <v>68</v>
      </c>
      <c r="F1068" t="s">
        <v>2786</v>
      </c>
      <c r="G1068" t="s">
        <v>2787</v>
      </c>
      <c r="H1068" t="s">
        <v>2788</v>
      </c>
      <c r="I1068" t="s">
        <v>2789</v>
      </c>
      <c r="J1068" t="s">
        <v>225</v>
      </c>
      <c r="K1068" t="s">
        <v>426</v>
      </c>
      <c r="L1068" t="s">
        <v>2790</v>
      </c>
      <c r="M1068" t="s">
        <v>35</v>
      </c>
      <c r="N1068">
        <v>7920795013</v>
      </c>
      <c r="O1068" t="s">
        <v>2791</v>
      </c>
      <c r="P1068" t="s">
        <v>3029</v>
      </c>
      <c r="R1068" t="s">
        <v>3130</v>
      </c>
      <c r="S1068" t="s">
        <v>2793</v>
      </c>
      <c r="T1068" t="s">
        <v>3135</v>
      </c>
      <c r="U1068" t="s">
        <v>82</v>
      </c>
      <c r="V1068" s="1">
        <v>44155</v>
      </c>
      <c r="W1068">
        <v>0</v>
      </c>
      <c r="X1068">
        <v>19</v>
      </c>
      <c r="AA1068" t="s">
        <v>42</v>
      </c>
      <c r="AB1068" t="s">
        <v>43</v>
      </c>
      <c r="AC1068" t="s">
        <v>43</v>
      </c>
    </row>
    <row r="1069" spans="1:30" x14ac:dyDescent="0.4">
      <c r="A1069" t="s">
        <v>27</v>
      </c>
      <c r="B1069">
        <v>5798</v>
      </c>
      <c r="C1069" t="s">
        <v>3030</v>
      </c>
      <c r="D1069">
        <v>350</v>
      </c>
      <c r="E1069" t="s">
        <v>68</v>
      </c>
      <c r="F1069" t="s">
        <v>2794</v>
      </c>
      <c r="G1069" t="s">
        <v>2795</v>
      </c>
      <c r="H1069" t="s">
        <v>2796</v>
      </c>
      <c r="I1069" t="s">
        <v>2797</v>
      </c>
      <c r="J1069" t="s">
        <v>2798</v>
      </c>
      <c r="K1069" t="s">
        <v>528</v>
      </c>
      <c r="L1069" t="s">
        <v>2799</v>
      </c>
      <c r="M1069" t="s">
        <v>35</v>
      </c>
      <c r="N1069">
        <v>7854397610</v>
      </c>
      <c r="O1069" t="s">
        <v>2800</v>
      </c>
      <c r="P1069" t="s">
        <v>3030</v>
      </c>
      <c r="R1069" t="s">
        <v>3131</v>
      </c>
      <c r="S1069" t="s">
        <v>2802</v>
      </c>
      <c r="T1069" t="s">
        <v>58</v>
      </c>
      <c r="U1069" t="s">
        <v>40</v>
      </c>
      <c r="V1069" s="1">
        <v>44688</v>
      </c>
      <c r="W1069">
        <v>0</v>
      </c>
      <c r="X1069">
        <v>8</v>
      </c>
      <c r="AA1069" t="s">
        <v>42</v>
      </c>
      <c r="AB1069" t="s">
        <v>43</v>
      </c>
      <c r="AC1069" t="s">
        <v>42</v>
      </c>
    </row>
    <row r="1070" spans="1:30" x14ac:dyDescent="0.4">
      <c r="A1070" t="s">
        <v>27</v>
      </c>
      <c r="B1070">
        <v>5798</v>
      </c>
      <c r="C1070" t="s">
        <v>3030</v>
      </c>
      <c r="D1070">
        <v>350</v>
      </c>
      <c r="E1070" t="s">
        <v>68</v>
      </c>
      <c r="F1070" t="s">
        <v>2794</v>
      </c>
      <c r="G1070" t="s">
        <v>2795</v>
      </c>
      <c r="H1070" t="s">
        <v>2796</v>
      </c>
      <c r="I1070" t="s">
        <v>2797</v>
      </c>
      <c r="J1070" t="s">
        <v>2798</v>
      </c>
      <c r="K1070" t="s">
        <v>528</v>
      </c>
      <c r="L1070" t="s">
        <v>2799</v>
      </c>
      <c r="M1070" t="s">
        <v>35</v>
      </c>
      <c r="N1070">
        <v>7854397610</v>
      </c>
      <c r="O1070" t="s">
        <v>2800</v>
      </c>
      <c r="P1070" t="s">
        <v>3030</v>
      </c>
      <c r="R1070" t="s">
        <v>3131</v>
      </c>
      <c r="S1070" t="s">
        <v>2802</v>
      </c>
      <c r="T1070" t="s">
        <v>58</v>
      </c>
      <c r="U1070" t="s">
        <v>40</v>
      </c>
      <c r="V1070" s="1">
        <v>44688</v>
      </c>
      <c r="W1070">
        <v>0</v>
      </c>
      <c r="X1070">
        <v>10</v>
      </c>
      <c r="AA1070" t="s">
        <v>42</v>
      </c>
      <c r="AB1070" t="s">
        <v>43</v>
      </c>
      <c r="AC1070" t="s">
        <v>42</v>
      </c>
    </row>
    <row r="1071" spans="1:30" x14ac:dyDescent="0.4">
      <c r="A1071" t="s">
        <v>27</v>
      </c>
      <c r="B1071" t="s">
        <v>2803</v>
      </c>
      <c r="C1071" t="s">
        <v>2811</v>
      </c>
      <c r="D1071">
        <v>208</v>
      </c>
      <c r="F1071" t="s">
        <v>2804</v>
      </c>
      <c r="G1071" t="s">
        <v>2805</v>
      </c>
      <c r="H1071" t="s">
        <v>2806</v>
      </c>
      <c r="I1071" t="s">
        <v>2807</v>
      </c>
      <c r="J1071" t="s">
        <v>2808</v>
      </c>
      <c r="K1071" t="s">
        <v>215</v>
      </c>
      <c r="L1071" t="s">
        <v>2809</v>
      </c>
      <c r="M1071" t="s">
        <v>35</v>
      </c>
      <c r="N1071">
        <v>7711807109</v>
      </c>
      <c r="O1071" s="3" t="s">
        <v>2810</v>
      </c>
      <c r="P1071" t="s">
        <v>2811</v>
      </c>
      <c r="R1071" t="s">
        <v>2812</v>
      </c>
      <c r="T1071" t="s">
        <v>555</v>
      </c>
      <c r="U1071" t="s">
        <v>40</v>
      </c>
      <c r="V1071" s="1">
        <v>42722</v>
      </c>
      <c r="W1071">
        <v>0</v>
      </c>
      <c r="X1071">
        <v>8</v>
      </c>
      <c r="AA1071" t="s">
        <v>42</v>
      </c>
      <c r="AB1071" t="s">
        <v>43</v>
      </c>
      <c r="AC1071" t="s">
        <v>43</v>
      </c>
    </row>
    <row r="1072" spans="1:30" x14ac:dyDescent="0.4">
      <c r="A1072" t="s">
        <v>27</v>
      </c>
      <c r="B1072" t="s">
        <v>2803</v>
      </c>
      <c r="C1072" t="s">
        <v>2811</v>
      </c>
      <c r="D1072">
        <v>208</v>
      </c>
      <c r="F1072" t="s">
        <v>2804</v>
      </c>
      <c r="G1072" t="s">
        <v>2805</v>
      </c>
      <c r="H1072" t="s">
        <v>2806</v>
      </c>
      <c r="I1072" t="s">
        <v>2807</v>
      </c>
      <c r="J1072" t="s">
        <v>2808</v>
      </c>
      <c r="K1072" t="s">
        <v>215</v>
      </c>
      <c r="L1072" t="s">
        <v>2809</v>
      </c>
      <c r="M1072" t="s">
        <v>35</v>
      </c>
      <c r="N1072">
        <v>7711807109</v>
      </c>
      <c r="O1072" s="3" t="s">
        <v>2810</v>
      </c>
      <c r="P1072" t="s">
        <v>2811</v>
      </c>
      <c r="R1072" t="s">
        <v>2812</v>
      </c>
      <c r="T1072" t="s">
        <v>555</v>
      </c>
      <c r="U1072" t="s">
        <v>40</v>
      </c>
      <c r="V1072" s="1">
        <v>42722</v>
      </c>
      <c r="W1072">
        <v>0</v>
      </c>
      <c r="X1072">
        <v>10</v>
      </c>
      <c r="AA1072" t="s">
        <v>42</v>
      </c>
      <c r="AB1072" t="s">
        <v>43</v>
      </c>
      <c r="AC1072" t="s">
        <v>43</v>
      </c>
    </row>
    <row r="1073" spans="1:29" x14ac:dyDescent="0.4">
      <c r="A1073" t="s">
        <v>27</v>
      </c>
      <c r="B1073" t="s">
        <v>2803</v>
      </c>
      <c r="C1073" t="s">
        <v>2811</v>
      </c>
      <c r="D1073">
        <v>208</v>
      </c>
      <c r="F1073" t="s">
        <v>2804</v>
      </c>
      <c r="G1073" t="s">
        <v>2805</v>
      </c>
      <c r="H1073" t="s">
        <v>2806</v>
      </c>
      <c r="I1073" t="s">
        <v>2807</v>
      </c>
      <c r="J1073" t="s">
        <v>2808</v>
      </c>
      <c r="K1073" t="s">
        <v>215</v>
      </c>
      <c r="L1073" t="s">
        <v>2809</v>
      </c>
      <c r="M1073" t="s">
        <v>35</v>
      </c>
      <c r="N1073">
        <v>7711807109</v>
      </c>
      <c r="O1073" s="3" t="s">
        <v>2810</v>
      </c>
      <c r="P1073" t="s">
        <v>2811</v>
      </c>
      <c r="R1073" t="s">
        <v>2812</v>
      </c>
      <c r="T1073" t="s">
        <v>555</v>
      </c>
      <c r="U1073" t="s">
        <v>40</v>
      </c>
      <c r="V1073" s="1">
        <v>42722</v>
      </c>
      <c r="W1073">
        <v>0</v>
      </c>
      <c r="X1073">
        <v>11</v>
      </c>
      <c r="AA1073" t="s">
        <v>42</v>
      </c>
      <c r="AB1073" t="s">
        <v>43</v>
      </c>
      <c r="AC1073" t="s">
        <v>43</v>
      </c>
    </row>
    <row r="1074" spans="1:29" x14ac:dyDescent="0.4">
      <c r="A1074" t="s">
        <v>27</v>
      </c>
      <c r="B1074" t="s">
        <v>2813</v>
      </c>
      <c r="C1074" t="s">
        <v>2821</v>
      </c>
      <c r="D1074">
        <v>54</v>
      </c>
      <c r="E1074" t="s">
        <v>68</v>
      </c>
      <c r="F1074" t="s">
        <v>2814</v>
      </c>
      <c r="G1074" t="s">
        <v>2815</v>
      </c>
      <c r="H1074" t="s">
        <v>2816</v>
      </c>
      <c r="I1074" t="s">
        <v>2817</v>
      </c>
      <c r="J1074" t="s">
        <v>2818</v>
      </c>
      <c r="K1074" t="s">
        <v>528</v>
      </c>
      <c r="L1074" t="s">
        <v>2819</v>
      </c>
      <c r="M1074" t="s">
        <v>35</v>
      </c>
      <c r="N1074">
        <v>1903877336</v>
      </c>
      <c r="O1074" s="3" t="s">
        <v>2820</v>
      </c>
      <c r="P1074" t="s">
        <v>2821</v>
      </c>
      <c r="R1074" t="s">
        <v>2822</v>
      </c>
      <c r="S1074" t="s">
        <v>61</v>
      </c>
      <c r="T1074" t="s">
        <v>94</v>
      </c>
      <c r="U1074" t="s">
        <v>40</v>
      </c>
      <c r="V1074" s="1">
        <v>42644</v>
      </c>
      <c r="W1074">
        <v>0</v>
      </c>
      <c r="X1074">
        <v>7</v>
      </c>
      <c r="AA1074" t="s">
        <v>42</v>
      </c>
      <c r="AB1074" t="s">
        <v>43</v>
      </c>
      <c r="AC1074" t="s">
        <v>43</v>
      </c>
    </row>
    <row r="1075" spans="1:29" x14ac:dyDescent="0.4">
      <c r="A1075" t="s">
        <v>27</v>
      </c>
      <c r="B1075" t="s">
        <v>2813</v>
      </c>
      <c r="C1075" t="s">
        <v>2821</v>
      </c>
      <c r="D1075">
        <v>54</v>
      </c>
      <c r="E1075" t="s">
        <v>68</v>
      </c>
      <c r="F1075" t="s">
        <v>2814</v>
      </c>
      <c r="G1075" t="s">
        <v>2815</v>
      </c>
      <c r="H1075" t="s">
        <v>2816</v>
      </c>
      <c r="I1075" t="s">
        <v>2817</v>
      </c>
      <c r="J1075" t="s">
        <v>2818</v>
      </c>
      <c r="K1075" t="s">
        <v>528</v>
      </c>
      <c r="L1075" t="s">
        <v>2819</v>
      </c>
      <c r="M1075" t="s">
        <v>35</v>
      </c>
      <c r="N1075">
        <v>1903877336</v>
      </c>
      <c r="O1075" s="3" t="s">
        <v>2820</v>
      </c>
      <c r="P1075" t="s">
        <v>2821</v>
      </c>
      <c r="R1075" t="s">
        <v>2822</v>
      </c>
      <c r="S1075" t="s">
        <v>61</v>
      </c>
      <c r="T1075" t="s">
        <v>94</v>
      </c>
      <c r="U1075" t="s">
        <v>40</v>
      </c>
      <c r="V1075" s="1">
        <v>42644</v>
      </c>
      <c r="W1075">
        <v>0</v>
      </c>
      <c r="X1075">
        <v>18</v>
      </c>
      <c r="AA1075" t="s">
        <v>42</v>
      </c>
      <c r="AB1075" t="s">
        <v>43</v>
      </c>
      <c r="AC1075" t="s">
        <v>43</v>
      </c>
    </row>
    <row r="1076" spans="1:29" x14ac:dyDescent="0.4">
      <c r="A1076" t="s">
        <v>27</v>
      </c>
      <c r="B1076" t="s">
        <v>2813</v>
      </c>
      <c r="C1076" t="s">
        <v>2821</v>
      </c>
      <c r="D1076">
        <v>54</v>
      </c>
      <c r="E1076" t="s">
        <v>68</v>
      </c>
      <c r="F1076" t="s">
        <v>2814</v>
      </c>
      <c r="G1076" t="s">
        <v>2815</v>
      </c>
      <c r="H1076" t="s">
        <v>2816</v>
      </c>
      <c r="I1076" t="s">
        <v>2817</v>
      </c>
      <c r="J1076" t="s">
        <v>2818</v>
      </c>
      <c r="K1076" t="s">
        <v>528</v>
      </c>
      <c r="L1076" t="s">
        <v>2819</v>
      </c>
      <c r="M1076" t="s">
        <v>35</v>
      </c>
      <c r="N1076">
        <v>1903877336</v>
      </c>
      <c r="O1076" s="3" t="s">
        <v>2820</v>
      </c>
      <c r="P1076" t="s">
        <v>2821</v>
      </c>
      <c r="R1076" t="s">
        <v>2822</v>
      </c>
      <c r="S1076" t="s">
        <v>61</v>
      </c>
      <c r="T1076" t="s">
        <v>94</v>
      </c>
      <c r="U1076" t="s">
        <v>40</v>
      </c>
      <c r="V1076" s="1">
        <v>42644</v>
      </c>
      <c r="W1076">
        <v>0</v>
      </c>
      <c r="X1076">
        <v>20</v>
      </c>
      <c r="AA1076" t="s">
        <v>42</v>
      </c>
      <c r="AB1076" t="s">
        <v>43</v>
      </c>
      <c r="AC1076" t="s">
        <v>43</v>
      </c>
    </row>
    <row r="1078" spans="1:29" x14ac:dyDescent="0.4">
      <c r="T1078" t="s">
        <v>2845</v>
      </c>
      <c r="V1078" s="6" t="s">
        <v>2844</v>
      </c>
      <c r="W1078" t="s">
        <v>2846</v>
      </c>
    </row>
    <row r="1079" spans="1:29" x14ac:dyDescent="0.4">
      <c r="T1079">
        <v>1</v>
      </c>
      <c r="U1079" t="s">
        <v>382</v>
      </c>
      <c r="W1079" t="s">
        <v>2823</v>
      </c>
      <c r="X1079">
        <f>COUNTIF($X$2:$X$1076,$T1079)</f>
        <v>6</v>
      </c>
    </row>
    <row r="1080" spans="1:29" x14ac:dyDescent="0.4">
      <c r="T1080">
        <v>2</v>
      </c>
      <c r="U1080" t="s">
        <v>382</v>
      </c>
      <c r="W1080" t="s">
        <v>2824</v>
      </c>
      <c r="X1080">
        <f>COUNTIF($X$2:$X$1076,$T1080)</f>
        <v>15</v>
      </c>
    </row>
    <row r="1081" spans="1:29" x14ac:dyDescent="0.4">
      <c r="T1081">
        <v>3</v>
      </c>
      <c r="U1081" t="s">
        <v>170</v>
      </c>
      <c r="W1081" t="s">
        <v>2825</v>
      </c>
      <c r="X1081">
        <f>COUNTIF($X$2:$X$1076,$T1081)</f>
        <v>23</v>
      </c>
    </row>
    <row r="1082" spans="1:29" x14ac:dyDescent="0.4">
      <c r="T1082">
        <v>4</v>
      </c>
      <c r="U1082" t="s">
        <v>65</v>
      </c>
      <c r="V1082" t="s">
        <v>2841</v>
      </c>
      <c r="W1082" t="s">
        <v>2826</v>
      </c>
      <c r="X1082">
        <f>COUNTIF($X$2:$X$1076,$T1082)</f>
        <v>92</v>
      </c>
      <c r="Y1082">
        <f>X1082/2</f>
        <v>46</v>
      </c>
    </row>
    <row r="1083" spans="1:29" x14ac:dyDescent="0.4">
      <c r="T1083">
        <v>5</v>
      </c>
      <c r="U1083" t="s">
        <v>66</v>
      </c>
      <c r="V1083" t="s">
        <v>2842</v>
      </c>
      <c r="W1083" t="s">
        <v>2827</v>
      </c>
      <c r="X1083">
        <f>COUNTIF($X$2:$X$1076,$T1083)</f>
        <v>91</v>
      </c>
      <c r="Y1083">
        <f>X1083/2</f>
        <v>45.5</v>
      </c>
    </row>
    <row r="1084" spans="1:29" x14ac:dyDescent="0.4">
      <c r="T1084">
        <v>6</v>
      </c>
      <c r="U1084" t="s">
        <v>83</v>
      </c>
      <c r="V1084" s="5" t="s">
        <v>41</v>
      </c>
      <c r="W1084" t="s">
        <v>2828</v>
      </c>
      <c r="X1084">
        <f>COUNTIF($X$2:$X$1076,$T1084)</f>
        <v>63</v>
      </c>
      <c r="Y1084">
        <f>X1084/2</f>
        <v>31.5</v>
      </c>
    </row>
    <row r="1085" spans="1:29" x14ac:dyDescent="0.4">
      <c r="T1085">
        <v>7</v>
      </c>
      <c r="U1085" t="s">
        <v>104</v>
      </c>
      <c r="W1085" t="s">
        <v>2829</v>
      </c>
      <c r="X1085">
        <f>COUNTIF($X$2:$X$1076,$T1085)</f>
        <v>55</v>
      </c>
    </row>
    <row r="1086" spans="1:29" x14ac:dyDescent="0.4">
      <c r="T1086">
        <v>8</v>
      </c>
      <c r="U1086" t="s">
        <v>377</v>
      </c>
      <c r="W1086" t="s">
        <v>2830</v>
      </c>
      <c r="X1086">
        <f>COUNTIF($X$2:$X$1076,$T1086)</f>
        <v>22</v>
      </c>
    </row>
    <row r="1087" spans="1:29" x14ac:dyDescent="0.4">
      <c r="T1087">
        <v>9</v>
      </c>
      <c r="U1087" t="s">
        <v>2842</v>
      </c>
      <c r="W1087" t="s">
        <v>2823</v>
      </c>
      <c r="X1087">
        <f>COUNTIF($X$2:$X$1076,$T1087)</f>
        <v>16</v>
      </c>
    </row>
    <row r="1088" spans="1:29" x14ac:dyDescent="0.4">
      <c r="T1088">
        <v>10</v>
      </c>
      <c r="U1088" t="s">
        <v>382</v>
      </c>
      <c r="W1088" t="s">
        <v>2824</v>
      </c>
      <c r="X1088">
        <f>COUNTIF($X$2:$X$1076,$T1088)</f>
        <v>23</v>
      </c>
    </row>
    <row r="1089" spans="20:24" x14ac:dyDescent="0.4">
      <c r="T1089">
        <v>11</v>
      </c>
      <c r="U1089" t="s">
        <v>297</v>
      </c>
      <c r="W1089" t="s">
        <v>2825</v>
      </c>
      <c r="X1089">
        <f>COUNTIF($X$2:$X$1076,$T1089)</f>
        <v>29</v>
      </c>
    </row>
    <row r="1090" spans="20:24" x14ac:dyDescent="0.4">
      <c r="T1090">
        <v>12</v>
      </c>
      <c r="U1090" t="s">
        <v>323</v>
      </c>
      <c r="W1090" t="s">
        <v>2831</v>
      </c>
      <c r="X1090">
        <f>COUNTIF($X$2:$X$1076,$T1090)</f>
        <v>51</v>
      </c>
    </row>
    <row r="1091" spans="20:24" x14ac:dyDescent="0.4">
      <c r="T1091">
        <v>13</v>
      </c>
      <c r="U1091" t="s">
        <v>95</v>
      </c>
      <c r="W1091" t="s">
        <v>2832</v>
      </c>
      <c r="X1091">
        <f>COUNTIF($X$2:$X$1076,$T1091)</f>
        <v>43</v>
      </c>
    </row>
    <row r="1092" spans="20:24" x14ac:dyDescent="0.4">
      <c r="T1092">
        <v>14</v>
      </c>
      <c r="U1092" t="s">
        <v>67</v>
      </c>
      <c r="W1092" t="s">
        <v>2833</v>
      </c>
      <c r="X1092">
        <f>COUNTIF($X$2:$X$1076,$T1092)</f>
        <v>55</v>
      </c>
    </row>
    <row r="1093" spans="20:24" x14ac:dyDescent="0.4">
      <c r="T1093">
        <v>15</v>
      </c>
      <c r="U1093" t="s">
        <v>84</v>
      </c>
      <c r="W1093" t="s">
        <v>2834</v>
      </c>
      <c r="X1093">
        <f>COUNTIF($X$2:$X$1076,$T1093)</f>
        <v>40</v>
      </c>
    </row>
    <row r="1094" spans="20:24" x14ac:dyDescent="0.4">
      <c r="T1094">
        <v>16</v>
      </c>
      <c r="U1094" s="5"/>
      <c r="W1094" t="s">
        <v>2835</v>
      </c>
      <c r="X1094">
        <f>COUNTIF($X$2:$X$1076,$T1094)</f>
        <v>44</v>
      </c>
    </row>
    <row r="1095" spans="20:24" x14ac:dyDescent="0.4">
      <c r="T1095">
        <v>17</v>
      </c>
      <c r="U1095" t="s">
        <v>2843</v>
      </c>
      <c r="W1095" t="s">
        <v>2836</v>
      </c>
      <c r="X1095">
        <f>COUNTIF($X$2:$X$1076,$T1095)</f>
        <v>30</v>
      </c>
    </row>
    <row r="1096" spans="20:24" x14ac:dyDescent="0.4">
      <c r="T1096">
        <v>18</v>
      </c>
      <c r="U1096" s="5" t="s">
        <v>210</v>
      </c>
      <c r="W1096" t="s">
        <v>2837</v>
      </c>
      <c r="X1096">
        <f>COUNTIF($X$2:$X$1076,$T1096)</f>
        <v>36</v>
      </c>
    </row>
    <row r="1097" spans="20:24" x14ac:dyDescent="0.4">
      <c r="T1097">
        <v>19</v>
      </c>
      <c r="U1097" t="s">
        <v>104</v>
      </c>
      <c r="W1097" t="s">
        <v>2838</v>
      </c>
      <c r="X1097">
        <f>COUNTIF($X$2:$X$1076,$T1097)</f>
        <v>28</v>
      </c>
    </row>
    <row r="1098" spans="20:24" x14ac:dyDescent="0.4">
      <c r="T1098">
        <v>20</v>
      </c>
      <c r="U1098" t="s">
        <v>141</v>
      </c>
      <c r="W1098" t="s">
        <v>2839</v>
      </c>
      <c r="X1098">
        <f>COUNTIF($X$2:$X$1076,$T1098)</f>
        <v>24</v>
      </c>
    </row>
    <row r="1099" spans="20:24" x14ac:dyDescent="0.4">
      <c r="T1099">
        <v>21</v>
      </c>
      <c r="U1099" t="s">
        <v>113</v>
      </c>
      <c r="W1099" t="s">
        <v>2840</v>
      </c>
      <c r="X1099">
        <f>COUNTIF($X$2:$X$1076,$T1099)</f>
        <v>18</v>
      </c>
    </row>
    <row r="1100" spans="20:24" x14ac:dyDescent="0.4">
      <c r="X1100" s="6">
        <f>SUM(X1079:X1099)</f>
        <v>804</v>
      </c>
    </row>
    <row r="1102" spans="20:24" x14ac:dyDescent="0.4">
      <c r="T1102">
        <v>0</v>
      </c>
      <c r="W1102" t="s">
        <v>2893</v>
      </c>
      <c r="X1102">
        <f>COUNTIF($X$2:$X$1076,$T1102)</f>
        <v>271</v>
      </c>
    </row>
  </sheetData>
  <hyperlinks>
    <hyperlink ref="O1074" r:id="rId1" xr:uid="{ECE6291D-F68D-4047-9471-CB5DAE9E2626}"/>
    <hyperlink ref="O1075" r:id="rId2" xr:uid="{DB40D038-DE32-465A-8D47-6B9C3131A2A6}"/>
    <hyperlink ref="O1076" r:id="rId3" xr:uid="{41F4A2CF-269A-424C-92C6-8E0EF29528C3}"/>
    <hyperlink ref="O1071" r:id="rId4" xr:uid="{83BBF847-85A3-4586-8D42-05C6EC525430}"/>
    <hyperlink ref="O1072" r:id="rId5" xr:uid="{58B9D572-2715-4A6B-873C-6228539F761A}"/>
    <hyperlink ref="O1073" r:id="rId6" xr:uid="{483E47AF-6364-4FBD-971C-4460085694C0}"/>
  </hyperlinks>
  <pageMargins left="0.75" right="0.75" top="1" bottom="1" header="0.5" footer="0.5"/>
  <pageSetup paperSize="9"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0F6C-8C16-440B-B2C1-198207848230}">
  <dimension ref="A1:AD1102"/>
  <sheetViews>
    <sheetView tabSelected="1" topLeftCell="Z1050" workbookViewId="0">
      <selection activeCell="AD1076" sqref="AD1076"/>
    </sheetView>
  </sheetViews>
  <sheetFormatPr defaultColWidth="11" defaultRowHeight="16" x14ac:dyDescent="0.4"/>
  <cols>
    <col min="1" max="1" width="63.08203125" bestFit="1" customWidth="1"/>
    <col min="2" max="6" width="11" customWidth="1"/>
    <col min="14" max="14" width="24.83203125" customWidth="1"/>
    <col min="16" max="16" width="39.25" bestFit="1" customWidth="1"/>
    <col min="18" max="18" width="26.33203125" customWidth="1"/>
    <col min="28" max="28" width="159.58203125" bestFit="1" customWidth="1"/>
    <col min="29" max="29" width="8.58203125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3141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3142</v>
      </c>
    </row>
    <row r="2" spans="1:30" x14ac:dyDescent="0.4">
      <c r="A2" t="s">
        <v>27</v>
      </c>
      <c r="B2">
        <v>2670</v>
      </c>
      <c r="C2" t="s">
        <v>28</v>
      </c>
      <c r="D2" t="s">
        <v>29</v>
      </c>
      <c r="E2" t="s">
        <v>30</v>
      </c>
      <c r="F2" t="s">
        <v>31</v>
      </c>
      <c r="H2" t="s">
        <v>32</v>
      </c>
      <c r="I2" t="s">
        <v>33</v>
      </c>
      <c r="J2" t="s">
        <v>34</v>
      </c>
      <c r="K2" t="s">
        <v>35</v>
      </c>
      <c r="L2">
        <v>7934997677</v>
      </c>
      <c r="M2" t="s">
        <v>36</v>
      </c>
      <c r="N2" t="s">
        <v>37</v>
      </c>
      <c r="P2" t="s">
        <v>38</v>
      </c>
      <c r="Q2" t="s">
        <v>39</v>
      </c>
      <c r="R2" t="s">
        <v>1498</v>
      </c>
      <c r="S2" t="s">
        <v>40</v>
      </c>
      <c r="T2" s="1">
        <v>45309</v>
      </c>
      <c r="U2">
        <v>0</v>
      </c>
      <c r="V2">
        <v>2</v>
      </c>
      <c r="Y2" t="s">
        <v>42</v>
      </c>
      <c r="Z2" t="s">
        <v>43</v>
      </c>
      <c r="AA2" t="s">
        <v>43</v>
      </c>
    </row>
    <row r="3" spans="1:30" x14ac:dyDescent="0.4">
      <c r="A3" t="s">
        <v>27</v>
      </c>
      <c r="B3">
        <v>2670</v>
      </c>
      <c r="C3" t="s">
        <v>28</v>
      </c>
      <c r="D3" t="s">
        <v>29</v>
      </c>
      <c r="E3" t="s">
        <v>30</v>
      </c>
      <c r="F3" t="s">
        <v>31</v>
      </c>
      <c r="H3" t="s">
        <v>32</v>
      </c>
      <c r="I3" t="s">
        <v>33</v>
      </c>
      <c r="J3" t="s">
        <v>34</v>
      </c>
      <c r="K3" t="s">
        <v>35</v>
      </c>
      <c r="L3">
        <v>7934997677</v>
      </c>
      <c r="M3" t="s">
        <v>36</v>
      </c>
      <c r="N3" t="s">
        <v>37</v>
      </c>
      <c r="P3" t="s">
        <v>3032</v>
      </c>
      <c r="Q3" t="s">
        <v>45</v>
      </c>
      <c r="R3" t="s">
        <v>46</v>
      </c>
      <c r="S3" t="s">
        <v>40</v>
      </c>
      <c r="T3" s="1">
        <v>41476</v>
      </c>
      <c r="U3">
        <v>0</v>
      </c>
      <c r="V3">
        <v>2</v>
      </c>
      <c r="Y3" t="s">
        <v>42</v>
      </c>
      <c r="Z3" t="s">
        <v>43</v>
      </c>
      <c r="AA3" t="s">
        <v>43</v>
      </c>
      <c r="AD3" t="s">
        <v>3143</v>
      </c>
    </row>
    <row r="4" spans="1:30" x14ac:dyDescent="0.4">
      <c r="A4" t="s">
        <v>27</v>
      </c>
      <c r="B4">
        <v>2649</v>
      </c>
      <c r="C4" t="s">
        <v>28</v>
      </c>
      <c r="D4" t="s">
        <v>47</v>
      </c>
      <c r="E4" t="s">
        <v>48</v>
      </c>
      <c r="F4" t="s">
        <v>49</v>
      </c>
      <c r="H4" t="s">
        <v>50</v>
      </c>
      <c r="I4" t="s">
        <v>51</v>
      </c>
      <c r="J4" t="s">
        <v>52</v>
      </c>
      <c r="K4" t="s">
        <v>35</v>
      </c>
      <c r="L4" t="s">
        <v>53</v>
      </c>
      <c r="M4" t="s">
        <v>54</v>
      </c>
      <c r="N4" t="s">
        <v>55</v>
      </c>
      <c r="P4" t="s">
        <v>56</v>
      </c>
      <c r="Q4" t="s">
        <v>57</v>
      </c>
      <c r="R4" t="s">
        <v>58</v>
      </c>
      <c r="S4" t="s">
        <v>40</v>
      </c>
      <c r="T4" s="1">
        <v>41397</v>
      </c>
      <c r="U4">
        <v>0</v>
      </c>
      <c r="V4">
        <v>0</v>
      </c>
      <c r="W4" t="s">
        <v>59</v>
      </c>
      <c r="Y4" t="s">
        <v>42</v>
      </c>
      <c r="Z4" t="s">
        <v>43</v>
      </c>
      <c r="AA4" t="s">
        <v>43</v>
      </c>
      <c r="AD4" t="s">
        <v>3143</v>
      </c>
    </row>
    <row r="5" spans="1:30" x14ac:dyDescent="0.4">
      <c r="A5" t="s">
        <v>27</v>
      </c>
      <c r="B5">
        <v>2649</v>
      </c>
      <c r="C5" t="s">
        <v>28</v>
      </c>
      <c r="D5" t="s">
        <v>47</v>
      </c>
      <c r="E5" t="s">
        <v>48</v>
      </c>
      <c r="F5" t="s">
        <v>49</v>
      </c>
      <c r="H5" t="s">
        <v>50</v>
      </c>
      <c r="I5" t="s">
        <v>51</v>
      </c>
      <c r="J5" t="s">
        <v>52</v>
      </c>
      <c r="K5" t="s">
        <v>35</v>
      </c>
      <c r="L5" t="s">
        <v>53</v>
      </c>
      <c r="M5" t="s">
        <v>54</v>
      </c>
      <c r="N5" t="s">
        <v>55</v>
      </c>
      <c r="P5" t="s">
        <v>60</v>
      </c>
      <c r="Q5" t="s">
        <v>61</v>
      </c>
      <c r="R5" t="s">
        <v>62</v>
      </c>
      <c r="S5" t="s">
        <v>40</v>
      </c>
      <c r="T5" s="1">
        <v>45630</v>
      </c>
      <c r="U5">
        <v>0</v>
      </c>
      <c r="V5">
        <v>0</v>
      </c>
      <c r="W5" t="s">
        <v>59</v>
      </c>
      <c r="Y5" t="s">
        <v>42</v>
      </c>
      <c r="Z5" t="s">
        <v>43</v>
      </c>
      <c r="AA5" t="s">
        <v>43</v>
      </c>
      <c r="AD5" t="s">
        <v>3143</v>
      </c>
    </row>
    <row r="6" spans="1:30" x14ac:dyDescent="0.4">
      <c r="A6" t="s">
        <v>27</v>
      </c>
      <c r="B6">
        <v>2649</v>
      </c>
      <c r="C6" t="s">
        <v>28</v>
      </c>
      <c r="D6" t="s">
        <v>47</v>
      </c>
      <c r="E6" t="s">
        <v>48</v>
      </c>
      <c r="F6" t="s">
        <v>49</v>
      </c>
      <c r="H6" t="s">
        <v>50</v>
      </c>
      <c r="I6" t="s">
        <v>51</v>
      </c>
      <c r="J6" t="s">
        <v>52</v>
      </c>
      <c r="K6" t="s">
        <v>35</v>
      </c>
      <c r="L6" t="s">
        <v>53</v>
      </c>
      <c r="M6" t="s">
        <v>54</v>
      </c>
      <c r="N6" t="s">
        <v>2907</v>
      </c>
      <c r="P6" t="s">
        <v>3046</v>
      </c>
      <c r="Q6" t="s">
        <v>64</v>
      </c>
      <c r="R6" t="s">
        <v>58</v>
      </c>
      <c r="S6" t="s">
        <v>40</v>
      </c>
      <c r="T6" s="1">
        <v>43157</v>
      </c>
      <c r="U6">
        <v>0</v>
      </c>
      <c r="V6">
        <v>4</v>
      </c>
      <c r="W6" t="s">
        <v>65</v>
      </c>
      <c r="Y6" t="s">
        <v>42</v>
      </c>
      <c r="Z6" t="s">
        <v>43</v>
      </c>
      <c r="AA6" t="s">
        <v>43</v>
      </c>
      <c r="AD6" t="s">
        <v>3143</v>
      </c>
    </row>
    <row r="7" spans="1:30" x14ac:dyDescent="0.4">
      <c r="A7" t="s">
        <v>27</v>
      </c>
      <c r="B7">
        <v>2649</v>
      </c>
      <c r="C7" t="s">
        <v>28</v>
      </c>
      <c r="D7" t="s">
        <v>47</v>
      </c>
      <c r="E7" t="s">
        <v>48</v>
      </c>
      <c r="F7" t="s">
        <v>49</v>
      </c>
      <c r="H7" t="s">
        <v>50</v>
      </c>
      <c r="I7" t="s">
        <v>51</v>
      </c>
      <c r="J7" t="s">
        <v>52</v>
      </c>
      <c r="K7" t="s">
        <v>35</v>
      </c>
      <c r="L7" t="s">
        <v>53</v>
      </c>
      <c r="M7" t="s">
        <v>54</v>
      </c>
      <c r="N7" t="s">
        <v>2907</v>
      </c>
      <c r="P7" t="s">
        <v>3046</v>
      </c>
      <c r="Q7" t="s">
        <v>64</v>
      </c>
      <c r="R7" t="s">
        <v>58</v>
      </c>
      <c r="S7" t="s">
        <v>40</v>
      </c>
      <c r="T7" s="1">
        <v>43157</v>
      </c>
      <c r="U7">
        <v>0</v>
      </c>
      <c r="V7">
        <v>5</v>
      </c>
      <c r="W7" t="s">
        <v>66</v>
      </c>
      <c r="Y7" t="s">
        <v>42</v>
      </c>
      <c r="Z7" t="s">
        <v>43</v>
      </c>
      <c r="AA7" t="s">
        <v>43</v>
      </c>
      <c r="AD7" t="s">
        <v>3143</v>
      </c>
    </row>
    <row r="8" spans="1:30" x14ac:dyDescent="0.4">
      <c r="A8" t="s">
        <v>27</v>
      </c>
      <c r="B8">
        <v>2649</v>
      </c>
      <c r="C8" t="s">
        <v>28</v>
      </c>
      <c r="D8" t="s">
        <v>47</v>
      </c>
      <c r="E8" t="s">
        <v>48</v>
      </c>
      <c r="F8" t="s">
        <v>49</v>
      </c>
      <c r="H8" t="s">
        <v>50</v>
      </c>
      <c r="I8" t="s">
        <v>51</v>
      </c>
      <c r="J8" t="s">
        <v>52</v>
      </c>
      <c r="K8" t="s">
        <v>35</v>
      </c>
      <c r="L8" t="s">
        <v>53</v>
      </c>
      <c r="M8" t="s">
        <v>54</v>
      </c>
      <c r="N8" t="s">
        <v>2907</v>
      </c>
      <c r="P8" t="s">
        <v>3046</v>
      </c>
      <c r="Q8" t="s">
        <v>64</v>
      </c>
      <c r="R8" t="s">
        <v>58</v>
      </c>
      <c r="S8" t="s">
        <v>40</v>
      </c>
      <c r="T8" s="1">
        <v>43157</v>
      </c>
      <c r="U8">
        <v>0</v>
      </c>
      <c r="V8">
        <v>12</v>
      </c>
      <c r="Y8" t="s">
        <v>42</v>
      </c>
      <c r="Z8" t="s">
        <v>43</v>
      </c>
      <c r="AA8" t="s">
        <v>43</v>
      </c>
      <c r="AD8" t="s">
        <v>3143</v>
      </c>
    </row>
    <row r="9" spans="1:30" x14ac:dyDescent="0.4">
      <c r="A9" t="s">
        <v>27</v>
      </c>
      <c r="B9">
        <v>2649</v>
      </c>
      <c r="C9" t="s">
        <v>28</v>
      </c>
      <c r="D9" t="s">
        <v>47</v>
      </c>
      <c r="E9" t="s">
        <v>48</v>
      </c>
      <c r="F9" t="s">
        <v>49</v>
      </c>
      <c r="H9" t="s">
        <v>50</v>
      </c>
      <c r="I9" t="s">
        <v>51</v>
      </c>
      <c r="J9" t="s">
        <v>52</v>
      </c>
      <c r="K9" t="s">
        <v>35</v>
      </c>
      <c r="L9" t="s">
        <v>53</v>
      </c>
      <c r="M9" t="s">
        <v>54</v>
      </c>
      <c r="N9" t="s">
        <v>2907</v>
      </c>
      <c r="P9" t="s">
        <v>3046</v>
      </c>
      <c r="Q9" t="s">
        <v>64</v>
      </c>
      <c r="R9" t="s">
        <v>58</v>
      </c>
      <c r="S9" t="s">
        <v>40</v>
      </c>
      <c r="T9" s="1">
        <v>43157</v>
      </c>
      <c r="U9">
        <v>0</v>
      </c>
      <c r="V9">
        <v>14</v>
      </c>
      <c r="Y9" t="s">
        <v>42</v>
      </c>
      <c r="Z9" t="s">
        <v>43</v>
      </c>
      <c r="AA9" t="s">
        <v>43</v>
      </c>
      <c r="AD9" t="s">
        <v>3143</v>
      </c>
    </row>
    <row r="10" spans="1:30" x14ac:dyDescent="0.4">
      <c r="A10" t="s">
        <v>27</v>
      </c>
      <c r="B10">
        <v>2999</v>
      </c>
      <c r="C10" t="s">
        <v>68</v>
      </c>
      <c r="D10" t="s">
        <v>69</v>
      </c>
      <c r="E10" t="s">
        <v>70</v>
      </c>
      <c r="F10" t="s">
        <v>71</v>
      </c>
      <c r="H10" t="s">
        <v>72</v>
      </c>
      <c r="I10" t="s">
        <v>73</v>
      </c>
      <c r="J10" t="s">
        <v>74</v>
      </c>
      <c r="K10" t="s">
        <v>35</v>
      </c>
      <c r="L10">
        <v>7852469499</v>
      </c>
      <c r="M10" t="s">
        <v>75</v>
      </c>
      <c r="N10" t="s">
        <v>76</v>
      </c>
      <c r="P10" t="s">
        <v>77</v>
      </c>
      <c r="Q10" t="s">
        <v>78</v>
      </c>
      <c r="R10" t="s">
        <v>79</v>
      </c>
      <c r="S10" t="s">
        <v>40</v>
      </c>
      <c r="T10" s="1">
        <v>45263</v>
      </c>
      <c r="U10">
        <v>0</v>
      </c>
      <c r="V10">
        <v>0</v>
      </c>
      <c r="W10" t="s">
        <v>59</v>
      </c>
      <c r="Y10" t="s">
        <v>42</v>
      </c>
      <c r="Z10" t="s">
        <v>43</v>
      </c>
      <c r="AA10" t="s">
        <v>43</v>
      </c>
      <c r="AD10" t="s">
        <v>3143</v>
      </c>
    </row>
    <row r="11" spans="1:30" x14ac:dyDescent="0.4">
      <c r="A11" t="s">
        <v>27</v>
      </c>
      <c r="B11">
        <v>2999</v>
      </c>
      <c r="C11" t="s">
        <v>68</v>
      </c>
      <c r="D11" t="s">
        <v>69</v>
      </c>
      <c r="E11" t="s">
        <v>70</v>
      </c>
      <c r="F11" t="s">
        <v>71</v>
      </c>
      <c r="H11" t="s">
        <v>72</v>
      </c>
      <c r="I11" t="s">
        <v>73</v>
      </c>
      <c r="J11" t="s">
        <v>74</v>
      </c>
      <c r="K11" t="s">
        <v>35</v>
      </c>
      <c r="L11">
        <v>7852469499</v>
      </c>
      <c r="M11" t="s">
        <v>75</v>
      </c>
      <c r="N11" t="s">
        <v>3070</v>
      </c>
      <c r="P11" t="s">
        <v>80</v>
      </c>
      <c r="Q11" t="s">
        <v>81</v>
      </c>
      <c r="R11" t="s">
        <v>94</v>
      </c>
      <c r="S11" t="s">
        <v>82</v>
      </c>
      <c r="T11" s="1">
        <v>43211</v>
      </c>
      <c r="U11">
        <v>0</v>
      </c>
      <c r="V11">
        <v>5</v>
      </c>
      <c r="W11" t="s">
        <v>66</v>
      </c>
      <c r="Y11" t="s">
        <v>42</v>
      </c>
      <c r="Z11" t="s">
        <v>43</v>
      </c>
      <c r="AA11" t="s">
        <v>43</v>
      </c>
      <c r="AD11" t="s">
        <v>3143</v>
      </c>
    </row>
    <row r="12" spans="1:30" x14ac:dyDescent="0.4">
      <c r="A12" t="s">
        <v>27</v>
      </c>
      <c r="B12">
        <v>2999</v>
      </c>
      <c r="C12" t="s">
        <v>68</v>
      </c>
      <c r="D12" t="s">
        <v>69</v>
      </c>
      <c r="E12" t="s">
        <v>70</v>
      </c>
      <c r="F12" t="s">
        <v>71</v>
      </c>
      <c r="H12" t="s">
        <v>72</v>
      </c>
      <c r="I12" t="s">
        <v>73</v>
      </c>
      <c r="J12" t="s">
        <v>74</v>
      </c>
      <c r="K12" t="s">
        <v>35</v>
      </c>
      <c r="L12">
        <v>7852469499</v>
      </c>
      <c r="M12" t="s">
        <v>75</v>
      </c>
      <c r="N12" t="s">
        <v>3070</v>
      </c>
      <c r="P12" t="s">
        <v>80</v>
      </c>
      <c r="Q12" t="s">
        <v>81</v>
      </c>
      <c r="R12" t="s">
        <v>94</v>
      </c>
      <c r="S12" t="s">
        <v>82</v>
      </c>
      <c r="T12" s="1">
        <v>43211</v>
      </c>
      <c r="U12">
        <v>0</v>
      </c>
      <c r="V12">
        <v>6</v>
      </c>
      <c r="W12" t="s">
        <v>83</v>
      </c>
      <c r="Y12" t="s">
        <v>42</v>
      </c>
      <c r="Z12" t="s">
        <v>43</v>
      </c>
      <c r="AA12" t="s">
        <v>43</v>
      </c>
      <c r="AD12" t="s">
        <v>3143</v>
      </c>
    </row>
    <row r="13" spans="1:30" x14ac:dyDescent="0.4">
      <c r="A13" t="s">
        <v>27</v>
      </c>
      <c r="B13">
        <v>2999</v>
      </c>
      <c r="C13" t="s">
        <v>68</v>
      </c>
      <c r="D13" t="s">
        <v>69</v>
      </c>
      <c r="E13" t="s">
        <v>70</v>
      </c>
      <c r="F13" t="s">
        <v>71</v>
      </c>
      <c r="H13" t="s">
        <v>72</v>
      </c>
      <c r="I13" t="s">
        <v>73</v>
      </c>
      <c r="J13" t="s">
        <v>74</v>
      </c>
      <c r="K13" t="s">
        <v>35</v>
      </c>
      <c r="L13">
        <v>7852469499</v>
      </c>
      <c r="M13" t="s">
        <v>75</v>
      </c>
      <c r="N13" t="s">
        <v>76</v>
      </c>
      <c r="P13" t="s">
        <v>77</v>
      </c>
      <c r="Q13" t="s">
        <v>78</v>
      </c>
      <c r="R13" t="s">
        <v>79</v>
      </c>
      <c r="S13" t="s">
        <v>40</v>
      </c>
      <c r="T13" s="1">
        <v>45263</v>
      </c>
      <c r="U13">
        <v>0</v>
      </c>
      <c r="V13">
        <v>0</v>
      </c>
      <c r="W13" t="s">
        <v>59</v>
      </c>
      <c r="Y13" t="s">
        <v>42</v>
      </c>
      <c r="Z13" t="s">
        <v>43</v>
      </c>
      <c r="AA13" t="s">
        <v>43</v>
      </c>
      <c r="AD13" t="s">
        <v>3143</v>
      </c>
    </row>
    <row r="14" spans="1:30" x14ac:dyDescent="0.4">
      <c r="A14" t="s">
        <v>27</v>
      </c>
      <c r="B14">
        <v>2999</v>
      </c>
      <c r="C14" t="s">
        <v>68</v>
      </c>
      <c r="D14" t="s">
        <v>69</v>
      </c>
      <c r="E14" t="s">
        <v>70</v>
      </c>
      <c r="F14" t="s">
        <v>71</v>
      </c>
      <c r="H14" t="s">
        <v>72</v>
      </c>
      <c r="I14" t="s">
        <v>73</v>
      </c>
      <c r="J14" t="s">
        <v>74</v>
      </c>
      <c r="K14" t="s">
        <v>35</v>
      </c>
      <c r="L14">
        <v>7852469499</v>
      </c>
      <c r="M14" t="s">
        <v>75</v>
      </c>
      <c r="N14" t="s">
        <v>3070</v>
      </c>
      <c r="P14" t="s">
        <v>80</v>
      </c>
      <c r="Q14" t="s">
        <v>81</v>
      </c>
      <c r="R14" t="s">
        <v>94</v>
      </c>
      <c r="S14" t="s">
        <v>82</v>
      </c>
      <c r="T14" s="1">
        <v>43211</v>
      </c>
      <c r="U14">
        <v>0</v>
      </c>
      <c r="V14">
        <v>15</v>
      </c>
      <c r="Y14" t="s">
        <v>42</v>
      </c>
      <c r="Z14" t="s">
        <v>43</v>
      </c>
      <c r="AA14" t="s">
        <v>43</v>
      </c>
      <c r="AD14" t="s">
        <v>3143</v>
      </c>
    </row>
    <row r="15" spans="1:30" x14ac:dyDescent="0.4">
      <c r="A15" t="s">
        <v>27</v>
      </c>
      <c r="B15">
        <v>2999</v>
      </c>
      <c r="C15" t="s">
        <v>68</v>
      </c>
      <c r="D15" t="s">
        <v>69</v>
      </c>
      <c r="E15" t="s">
        <v>70</v>
      </c>
      <c r="F15" t="s">
        <v>71</v>
      </c>
      <c r="H15" t="s">
        <v>72</v>
      </c>
      <c r="I15" t="s">
        <v>73</v>
      </c>
      <c r="J15" t="s">
        <v>74</v>
      </c>
      <c r="K15" t="s">
        <v>35</v>
      </c>
      <c r="L15">
        <v>7852469499</v>
      </c>
      <c r="M15" t="s">
        <v>75</v>
      </c>
      <c r="N15" t="s">
        <v>3070</v>
      </c>
      <c r="P15" t="s">
        <v>80</v>
      </c>
      <c r="Q15" t="s">
        <v>81</v>
      </c>
      <c r="R15" t="s">
        <v>94</v>
      </c>
      <c r="S15" t="s">
        <v>82</v>
      </c>
      <c r="T15" s="1">
        <v>43211</v>
      </c>
      <c r="U15">
        <v>0</v>
      </c>
      <c r="V15">
        <v>17</v>
      </c>
      <c r="Y15" t="s">
        <v>42</v>
      </c>
      <c r="Z15" t="s">
        <v>43</v>
      </c>
      <c r="AA15" t="s">
        <v>43</v>
      </c>
      <c r="AD15" t="s">
        <v>3143</v>
      </c>
    </row>
    <row r="16" spans="1:30" x14ac:dyDescent="0.4">
      <c r="A16" t="s">
        <v>27</v>
      </c>
      <c r="B16">
        <v>2387</v>
      </c>
      <c r="C16" t="s">
        <v>68</v>
      </c>
      <c r="D16" t="s">
        <v>85</v>
      </c>
      <c r="E16" t="s">
        <v>86</v>
      </c>
      <c r="F16" t="s">
        <v>87</v>
      </c>
      <c r="H16" t="s">
        <v>88</v>
      </c>
      <c r="I16" t="s">
        <v>89</v>
      </c>
      <c r="J16" t="s">
        <v>90</v>
      </c>
      <c r="K16" t="s">
        <v>35</v>
      </c>
      <c r="L16">
        <v>447970863728</v>
      </c>
      <c r="M16" t="s">
        <v>91</v>
      </c>
      <c r="N16" t="s">
        <v>2909</v>
      </c>
      <c r="P16" t="s">
        <v>92</v>
      </c>
      <c r="Q16" t="s">
        <v>93</v>
      </c>
      <c r="R16" t="s">
        <v>94</v>
      </c>
      <c r="S16" t="s">
        <v>82</v>
      </c>
      <c r="T16" s="1">
        <v>44971</v>
      </c>
      <c r="U16">
        <v>0</v>
      </c>
      <c r="V16">
        <v>13</v>
      </c>
      <c r="Y16" t="s">
        <v>42</v>
      </c>
      <c r="Z16" t="s">
        <v>43</v>
      </c>
      <c r="AA16" t="s">
        <v>43</v>
      </c>
      <c r="AD16" t="s">
        <v>3143</v>
      </c>
    </row>
    <row r="17" spans="1:30" x14ac:dyDescent="0.4">
      <c r="A17" t="s">
        <v>27</v>
      </c>
      <c r="B17">
        <v>2387</v>
      </c>
      <c r="C17" t="s">
        <v>68</v>
      </c>
      <c r="D17" t="s">
        <v>85</v>
      </c>
      <c r="E17" t="s">
        <v>86</v>
      </c>
      <c r="F17" t="s">
        <v>87</v>
      </c>
      <c r="H17" t="s">
        <v>88</v>
      </c>
      <c r="I17" t="s">
        <v>89</v>
      </c>
      <c r="J17" t="s">
        <v>90</v>
      </c>
      <c r="K17" t="s">
        <v>35</v>
      </c>
      <c r="L17">
        <v>447970863728</v>
      </c>
      <c r="M17" t="s">
        <v>91</v>
      </c>
      <c r="N17" t="s">
        <v>2909</v>
      </c>
      <c r="P17" t="s">
        <v>96</v>
      </c>
      <c r="Q17" t="s">
        <v>97</v>
      </c>
      <c r="R17" t="s">
        <v>94</v>
      </c>
      <c r="S17" t="s">
        <v>82</v>
      </c>
      <c r="T17" s="1">
        <v>44058</v>
      </c>
      <c r="U17">
        <v>0</v>
      </c>
      <c r="V17">
        <v>17</v>
      </c>
      <c r="Y17" t="s">
        <v>42</v>
      </c>
      <c r="Z17" t="s">
        <v>43</v>
      </c>
      <c r="AA17" t="s">
        <v>43</v>
      </c>
      <c r="AD17" t="s">
        <v>3143</v>
      </c>
    </row>
    <row r="18" spans="1:30" x14ac:dyDescent="0.4">
      <c r="A18" t="s">
        <v>27</v>
      </c>
      <c r="B18">
        <v>2387</v>
      </c>
      <c r="C18" t="s">
        <v>68</v>
      </c>
      <c r="D18" t="s">
        <v>85</v>
      </c>
      <c r="E18" t="s">
        <v>86</v>
      </c>
      <c r="F18" t="s">
        <v>87</v>
      </c>
      <c r="H18" t="s">
        <v>88</v>
      </c>
      <c r="I18" t="s">
        <v>89</v>
      </c>
      <c r="J18" t="s">
        <v>90</v>
      </c>
      <c r="K18" t="s">
        <v>35</v>
      </c>
      <c r="L18">
        <v>447970863728</v>
      </c>
      <c r="M18" t="s">
        <v>91</v>
      </c>
      <c r="N18" t="s">
        <v>2909</v>
      </c>
      <c r="P18" t="s">
        <v>98</v>
      </c>
      <c r="Q18" t="s">
        <v>99</v>
      </c>
      <c r="R18" t="s">
        <v>94</v>
      </c>
      <c r="S18" t="s">
        <v>40</v>
      </c>
      <c r="T18" s="1">
        <v>44106</v>
      </c>
      <c r="U18">
        <v>0</v>
      </c>
      <c r="V18">
        <v>18</v>
      </c>
      <c r="Y18" t="s">
        <v>42</v>
      </c>
      <c r="Z18" t="s">
        <v>43</v>
      </c>
      <c r="AA18" t="s">
        <v>43</v>
      </c>
      <c r="AD18" t="s">
        <v>3143</v>
      </c>
    </row>
    <row r="19" spans="1:30" x14ac:dyDescent="0.4">
      <c r="A19" t="s">
        <v>27</v>
      </c>
      <c r="B19">
        <v>2387</v>
      </c>
      <c r="C19" t="s">
        <v>68</v>
      </c>
      <c r="D19" t="s">
        <v>85</v>
      </c>
      <c r="E19" t="s">
        <v>86</v>
      </c>
      <c r="F19" t="s">
        <v>87</v>
      </c>
      <c r="H19" t="s">
        <v>88</v>
      </c>
      <c r="I19" t="s">
        <v>89</v>
      </c>
      <c r="J19" t="s">
        <v>90</v>
      </c>
      <c r="K19" t="s">
        <v>35</v>
      </c>
      <c r="L19">
        <v>447970863728</v>
      </c>
      <c r="M19" t="s">
        <v>91</v>
      </c>
      <c r="N19" t="s">
        <v>2909</v>
      </c>
      <c r="P19" t="s">
        <v>100</v>
      </c>
      <c r="Q19" t="s">
        <v>101</v>
      </c>
      <c r="R19" t="s">
        <v>58</v>
      </c>
      <c r="S19" t="s">
        <v>40</v>
      </c>
      <c r="T19" s="1">
        <v>42810</v>
      </c>
      <c r="U19">
        <v>0</v>
      </c>
      <c r="V19">
        <v>18</v>
      </c>
      <c r="Y19" t="s">
        <v>42</v>
      </c>
      <c r="Z19" t="s">
        <v>43</v>
      </c>
      <c r="AA19" t="s">
        <v>43</v>
      </c>
      <c r="AD19" t="s">
        <v>3143</v>
      </c>
    </row>
    <row r="20" spans="1:30" x14ac:dyDescent="0.4">
      <c r="A20" t="s">
        <v>27</v>
      </c>
      <c r="B20">
        <v>2387</v>
      </c>
      <c r="C20" t="s">
        <v>68</v>
      </c>
      <c r="D20" t="s">
        <v>85</v>
      </c>
      <c r="E20" t="s">
        <v>86</v>
      </c>
      <c r="F20" t="s">
        <v>87</v>
      </c>
      <c r="H20" t="s">
        <v>88</v>
      </c>
      <c r="I20" t="s">
        <v>89</v>
      </c>
      <c r="J20" t="s">
        <v>90</v>
      </c>
      <c r="K20" t="s">
        <v>35</v>
      </c>
      <c r="L20">
        <v>447970863728</v>
      </c>
      <c r="M20" t="s">
        <v>91</v>
      </c>
      <c r="N20" t="s">
        <v>2909</v>
      </c>
      <c r="P20" t="s">
        <v>102</v>
      </c>
      <c r="Q20" t="s">
        <v>103</v>
      </c>
      <c r="R20" t="s">
        <v>94</v>
      </c>
      <c r="S20" t="s">
        <v>82</v>
      </c>
      <c r="T20" s="1">
        <v>42996</v>
      </c>
      <c r="U20">
        <v>0</v>
      </c>
      <c r="V20">
        <v>19</v>
      </c>
      <c r="Y20" t="s">
        <v>42</v>
      </c>
      <c r="Z20" t="s">
        <v>43</v>
      </c>
      <c r="AA20" t="s">
        <v>43</v>
      </c>
      <c r="AD20" t="s">
        <v>3143</v>
      </c>
    </row>
    <row r="21" spans="1:30" ht="15" customHeight="1" x14ac:dyDescent="0.4">
      <c r="A21" t="s">
        <v>27</v>
      </c>
      <c r="B21">
        <v>1500</v>
      </c>
      <c r="C21" t="s">
        <v>68</v>
      </c>
      <c r="D21" t="s">
        <v>105</v>
      </c>
      <c r="E21" t="s">
        <v>106</v>
      </c>
      <c r="F21" t="s">
        <v>107</v>
      </c>
      <c r="G21" t="s">
        <v>108</v>
      </c>
      <c r="H21" t="s">
        <v>109</v>
      </c>
      <c r="I21" t="s">
        <v>110</v>
      </c>
      <c r="J21" t="s">
        <v>111</v>
      </c>
      <c r="K21" t="s">
        <v>35</v>
      </c>
      <c r="L21">
        <v>1566785587</v>
      </c>
      <c r="M21" t="s">
        <v>112</v>
      </c>
      <c r="N21" t="s">
        <v>113</v>
      </c>
      <c r="P21" t="s">
        <v>114</v>
      </c>
      <c r="Q21" t="s">
        <v>115</v>
      </c>
      <c r="R21" t="s">
        <v>58</v>
      </c>
      <c r="S21" t="s">
        <v>40</v>
      </c>
      <c r="T21" s="1">
        <v>43422</v>
      </c>
      <c r="U21">
        <v>0</v>
      </c>
      <c r="V21">
        <v>5</v>
      </c>
      <c r="W21" t="s">
        <v>66</v>
      </c>
      <c r="Y21" t="s">
        <v>42</v>
      </c>
      <c r="Z21" t="s">
        <v>43</v>
      </c>
      <c r="AA21" t="s">
        <v>42</v>
      </c>
      <c r="AB21" s="2" t="s">
        <v>116</v>
      </c>
      <c r="AD21" t="s">
        <v>3143</v>
      </c>
    </row>
    <row r="22" spans="1:30" ht="48" x14ac:dyDescent="0.4">
      <c r="A22" t="s">
        <v>27</v>
      </c>
      <c r="B22">
        <v>1500</v>
      </c>
      <c r="C22" t="s">
        <v>68</v>
      </c>
      <c r="D22" t="s">
        <v>105</v>
      </c>
      <c r="E22" t="s">
        <v>106</v>
      </c>
      <c r="F22" t="s">
        <v>107</v>
      </c>
      <c r="G22" t="s">
        <v>108</v>
      </c>
      <c r="H22" t="s">
        <v>109</v>
      </c>
      <c r="I22" t="s">
        <v>110</v>
      </c>
      <c r="J22" t="s">
        <v>111</v>
      </c>
      <c r="K22" t="s">
        <v>35</v>
      </c>
      <c r="L22">
        <v>1566785587</v>
      </c>
      <c r="M22" t="s">
        <v>112</v>
      </c>
      <c r="N22" t="s">
        <v>113</v>
      </c>
      <c r="P22" t="s">
        <v>117</v>
      </c>
      <c r="Q22" t="s">
        <v>118</v>
      </c>
      <c r="R22" t="s">
        <v>58</v>
      </c>
      <c r="S22" t="s">
        <v>82</v>
      </c>
      <c r="T22" s="1">
        <v>41709</v>
      </c>
      <c r="U22">
        <v>0</v>
      </c>
      <c r="V22">
        <v>0</v>
      </c>
      <c r="W22" t="s">
        <v>59</v>
      </c>
      <c r="Y22" t="s">
        <v>42</v>
      </c>
      <c r="Z22" t="s">
        <v>43</v>
      </c>
      <c r="AA22" t="s">
        <v>42</v>
      </c>
      <c r="AB22" s="2" t="s">
        <v>116</v>
      </c>
      <c r="AD22" t="s">
        <v>3143</v>
      </c>
    </row>
    <row r="23" spans="1:30" ht="48" x14ac:dyDescent="0.4">
      <c r="A23" t="s">
        <v>27</v>
      </c>
      <c r="B23">
        <v>1500</v>
      </c>
      <c r="C23" t="s">
        <v>68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  <c r="J23" t="s">
        <v>111</v>
      </c>
      <c r="K23" t="s">
        <v>35</v>
      </c>
      <c r="L23">
        <v>1566785587</v>
      </c>
      <c r="M23" t="s">
        <v>112</v>
      </c>
      <c r="N23" t="s">
        <v>113</v>
      </c>
      <c r="P23" t="s">
        <v>119</v>
      </c>
      <c r="Q23" t="s">
        <v>120</v>
      </c>
      <c r="R23" t="s">
        <v>58</v>
      </c>
      <c r="S23" t="s">
        <v>82</v>
      </c>
      <c r="T23" s="1">
        <v>43422</v>
      </c>
      <c r="U23">
        <v>0</v>
      </c>
      <c r="V23">
        <v>0</v>
      </c>
      <c r="W23" t="s">
        <v>59</v>
      </c>
      <c r="Y23" t="s">
        <v>42</v>
      </c>
      <c r="Z23" t="s">
        <v>43</v>
      </c>
      <c r="AA23" t="s">
        <v>42</v>
      </c>
      <c r="AB23" s="2" t="s">
        <v>116</v>
      </c>
      <c r="AD23" t="s">
        <v>3143</v>
      </c>
    </row>
    <row r="24" spans="1:30" ht="48" x14ac:dyDescent="0.4">
      <c r="A24" t="s">
        <v>27</v>
      </c>
      <c r="B24">
        <v>1500</v>
      </c>
      <c r="C24" t="s">
        <v>68</v>
      </c>
      <c r="D24" t="s">
        <v>105</v>
      </c>
      <c r="E24" t="s">
        <v>106</v>
      </c>
      <c r="F24" t="s">
        <v>107</v>
      </c>
      <c r="G24" t="s">
        <v>108</v>
      </c>
      <c r="H24" t="s">
        <v>109</v>
      </c>
      <c r="I24" t="s">
        <v>110</v>
      </c>
      <c r="J24" t="s">
        <v>111</v>
      </c>
      <c r="K24" t="s">
        <v>35</v>
      </c>
      <c r="L24">
        <v>1566785587</v>
      </c>
      <c r="M24" t="s">
        <v>112</v>
      </c>
      <c r="N24" t="s">
        <v>113</v>
      </c>
      <c r="P24" t="s">
        <v>121</v>
      </c>
      <c r="Q24" t="s">
        <v>122</v>
      </c>
      <c r="R24" t="s">
        <v>58</v>
      </c>
      <c r="S24" t="s">
        <v>40</v>
      </c>
      <c r="T24" s="1">
        <v>42744</v>
      </c>
      <c r="U24">
        <v>0</v>
      </c>
      <c r="V24">
        <v>0</v>
      </c>
      <c r="W24" t="s">
        <v>59</v>
      </c>
      <c r="Y24" t="s">
        <v>42</v>
      </c>
      <c r="Z24" t="s">
        <v>43</v>
      </c>
      <c r="AA24" t="s">
        <v>42</v>
      </c>
      <c r="AB24" s="2" t="s">
        <v>116</v>
      </c>
      <c r="AD24" t="s">
        <v>3143</v>
      </c>
    </row>
    <row r="25" spans="1:30" ht="48" x14ac:dyDescent="0.4">
      <c r="A25" t="s">
        <v>27</v>
      </c>
      <c r="B25">
        <v>1500</v>
      </c>
      <c r="C25" t="s">
        <v>68</v>
      </c>
      <c r="D25" t="s">
        <v>105</v>
      </c>
      <c r="E25" t="s">
        <v>106</v>
      </c>
      <c r="F25" t="s">
        <v>107</v>
      </c>
      <c r="G25" t="s">
        <v>108</v>
      </c>
      <c r="H25" t="s">
        <v>109</v>
      </c>
      <c r="I25" t="s">
        <v>110</v>
      </c>
      <c r="J25" t="s">
        <v>111</v>
      </c>
      <c r="K25" t="s">
        <v>35</v>
      </c>
      <c r="L25">
        <v>1566785587</v>
      </c>
      <c r="M25" t="s">
        <v>112</v>
      </c>
      <c r="N25" t="s">
        <v>113</v>
      </c>
      <c r="P25" t="s">
        <v>123</v>
      </c>
      <c r="Q25" t="s">
        <v>124</v>
      </c>
      <c r="R25" t="s">
        <v>58</v>
      </c>
      <c r="S25" t="s">
        <v>82</v>
      </c>
      <c r="T25" s="1">
        <v>44931</v>
      </c>
      <c r="U25">
        <v>0</v>
      </c>
      <c r="V25">
        <v>0</v>
      </c>
      <c r="W25" t="s">
        <v>59</v>
      </c>
      <c r="Y25" t="s">
        <v>42</v>
      </c>
      <c r="Z25" t="s">
        <v>43</v>
      </c>
      <c r="AA25" t="s">
        <v>42</v>
      </c>
      <c r="AB25" s="2" t="s">
        <v>116</v>
      </c>
      <c r="AD25" t="s">
        <v>3143</v>
      </c>
    </row>
    <row r="26" spans="1:30" ht="48" x14ac:dyDescent="0.4">
      <c r="A26" t="s">
        <v>27</v>
      </c>
      <c r="B26">
        <v>1500</v>
      </c>
      <c r="C26" t="s">
        <v>68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111</v>
      </c>
      <c r="K26" t="s">
        <v>35</v>
      </c>
      <c r="L26">
        <v>1566785587</v>
      </c>
      <c r="M26" t="s">
        <v>112</v>
      </c>
      <c r="N26" t="s">
        <v>113</v>
      </c>
      <c r="P26" t="s">
        <v>119</v>
      </c>
      <c r="Q26" t="s">
        <v>120</v>
      </c>
      <c r="R26" t="s">
        <v>58</v>
      </c>
      <c r="S26" t="s">
        <v>82</v>
      </c>
      <c r="T26" s="1">
        <v>43422</v>
      </c>
      <c r="U26">
        <v>0</v>
      </c>
      <c r="V26">
        <v>0</v>
      </c>
      <c r="W26" t="s">
        <v>59</v>
      </c>
      <c r="Y26" t="s">
        <v>42</v>
      </c>
      <c r="Z26" t="s">
        <v>43</v>
      </c>
      <c r="AA26" t="s">
        <v>42</v>
      </c>
      <c r="AB26" s="2" t="s">
        <v>116</v>
      </c>
      <c r="AD26" t="s">
        <v>3143</v>
      </c>
    </row>
    <row r="27" spans="1:30" ht="48" x14ac:dyDescent="0.4">
      <c r="A27" t="s">
        <v>27</v>
      </c>
      <c r="B27">
        <v>1500</v>
      </c>
      <c r="C27" t="s">
        <v>68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35</v>
      </c>
      <c r="L27">
        <v>1566785587</v>
      </c>
      <c r="M27" t="s">
        <v>112</v>
      </c>
      <c r="N27" t="s">
        <v>113</v>
      </c>
      <c r="P27" t="s">
        <v>114</v>
      </c>
      <c r="Q27" t="s">
        <v>115</v>
      </c>
      <c r="R27" t="s">
        <v>58</v>
      </c>
      <c r="S27" t="s">
        <v>40</v>
      </c>
      <c r="T27" s="1">
        <v>43422</v>
      </c>
      <c r="U27">
        <v>0</v>
      </c>
      <c r="V27">
        <v>0</v>
      </c>
      <c r="W27" t="s">
        <v>59</v>
      </c>
      <c r="Y27" t="s">
        <v>42</v>
      </c>
      <c r="Z27" t="s">
        <v>43</v>
      </c>
      <c r="AA27" t="s">
        <v>42</v>
      </c>
      <c r="AB27" s="2" t="s">
        <v>116</v>
      </c>
      <c r="AD27" t="s">
        <v>3143</v>
      </c>
    </row>
    <row r="28" spans="1:30" ht="48" x14ac:dyDescent="0.4">
      <c r="A28" t="s">
        <v>27</v>
      </c>
      <c r="B28">
        <v>1500</v>
      </c>
      <c r="C28" t="s">
        <v>68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35</v>
      </c>
      <c r="L28">
        <v>1566785587</v>
      </c>
      <c r="M28" t="s">
        <v>112</v>
      </c>
      <c r="N28" t="s">
        <v>113</v>
      </c>
      <c r="P28" t="s">
        <v>121</v>
      </c>
      <c r="Q28" t="s">
        <v>122</v>
      </c>
      <c r="R28" t="s">
        <v>58</v>
      </c>
      <c r="S28" t="s">
        <v>40</v>
      </c>
      <c r="T28" s="1">
        <v>42744</v>
      </c>
      <c r="U28">
        <v>0</v>
      </c>
      <c r="V28">
        <v>0</v>
      </c>
      <c r="W28" t="s">
        <v>59</v>
      </c>
      <c r="Y28" t="s">
        <v>42</v>
      </c>
      <c r="Z28" t="s">
        <v>43</v>
      </c>
      <c r="AA28" t="s">
        <v>42</v>
      </c>
      <c r="AB28" s="2" t="s">
        <v>116</v>
      </c>
      <c r="AD28" t="s">
        <v>3143</v>
      </c>
    </row>
    <row r="29" spans="1:30" ht="48" x14ac:dyDescent="0.4">
      <c r="A29" t="s">
        <v>27</v>
      </c>
      <c r="B29">
        <v>1500</v>
      </c>
      <c r="C29" t="s">
        <v>68</v>
      </c>
      <c r="D29" t="s">
        <v>105</v>
      </c>
      <c r="E29" t="s">
        <v>106</v>
      </c>
      <c r="F29" t="s">
        <v>107</v>
      </c>
      <c r="G29" t="s">
        <v>108</v>
      </c>
      <c r="H29" t="s">
        <v>109</v>
      </c>
      <c r="I29" t="s">
        <v>110</v>
      </c>
      <c r="J29" t="s">
        <v>111</v>
      </c>
      <c r="K29" t="s">
        <v>35</v>
      </c>
      <c r="L29">
        <v>1566785587</v>
      </c>
      <c r="M29" t="s">
        <v>112</v>
      </c>
      <c r="N29" t="s">
        <v>113</v>
      </c>
      <c r="P29" t="s">
        <v>117</v>
      </c>
      <c r="Q29" t="s">
        <v>118</v>
      </c>
      <c r="R29" t="s">
        <v>58</v>
      </c>
      <c r="S29" t="s">
        <v>82</v>
      </c>
      <c r="T29" s="1">
        <v>41709</v>
      </c>
      <c r="U29">
        <v>0</v>
      </c>
      <c r="V29">
        <v>0</v>
      </c>
      <c r="W29" t="s">
        <v>59</v>
      </c>
      <c r="Y29" t="s">
        <v>42</v>
      </c>
      <c r="Z29" t="s">
        <v>43</v>
      </c>
      <c r="AA29" t="s">
        <v>42</v>
      </c>
      <c r="AB29" s="2" t="s">
        <v>116</v>
      </c>
      <c r="AD29" t="s">
        <v>3143</v>
      </c>
    </row>
    <row r="30" spans="1:30" ht="48" x14ac:dyDescent="0.4">
      <c r="A30" t="s">
        <v>27</v>
      </c>
      <c r="B30">
        <v>1500</v>
      </c>
      <c r="C30" t="s">
        <v>68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35</v>
      </c>
      <c r="L30">
        <v>1566785587</v>
      </c>
      <c r="M30" t="s">
        <v>112</v>
      </c>
      <c r="N30" t="s">
        <v>113</v>
      </c>
      <c r="P30" t="s">
        <v>123</v>
      </c>
      <c r="Q30" t="s">
        <v>124</v>
      </c>
      <c r="R30" t="s">
        <v>58</v>
      </c>
      <c r="S30" t="s">
        <v>82</v>
      </c>
      <c r="T30" s="1">
        <v>44931</v>
      </c>
      <c r="U30">
        <v>0</v>
      </c>
      <c r="V30">
        <v>0</v>
      </c>
      <c r="W30" t="s">
        <v>59</v>
      </c>
      <c r="Y30" t="s">
        <v>42</v>
      </c>
      <c r="Z30" t="s">
        <v>43</v>
      </c>
      <c r="AA30" t="s">
        <v>42</v>
      </c>
      <c r="AB30" s="2" t="s">
        <v>116</v>
      </c>
      <c r="AD30" t="s">
        <v>3143</v>
      </c>
    </row>
    <row r="31" spans="1:30" x14ac:dyDescent="0.4">
      <c r="A31" t="s">
        <v>27</v>
      </c>
      <c r="B31">
        <v>701</v>
      </c>
      <c r="C31" t="s">
        <v>68</v>
      </c>
      <c r="D31" t="s">
        <v>125</v>
      </c>
      <c r="E31" t="s">
        <v>126</v>
      </c>
      <c r="F31" t="s">
        <v>127</v>
      </c>
      <c r="H31" t="s">
        <v>128</v>
      </c>
      <c r="I31" t="s">
        <v>129</v>
      </c>
      <c r="J31" t="s">
        <v>130</v>
      </c>
      <c r="K31" t="s">
        <v>35</v>
      </c>
      <c r="L31">
        <v>1933353038</v>
      </c>
      <c r="M31" t="s">
        <v>131</v>
      </c>
      <c r="N31" t="s">
        <v>2847</v>
      </c>
      <c r="P31" t="s">
        <v>133</v>
      </c>
      <c r="Q31" t="s">
        <v>134</v>
      </c>
      <c r="R31" t="s">
        <v>376</v>
      </c>
      <c r="S31" t="s">
        <v>82</v>
      </c>
      <c r="T31" s="1">
        <v>44890</v>
      </c>
      <c r="U31">
        <v>0</v>
      </c>
      <c r="V31">
        <v>4</v>
      </c>
      <c r="W31" t="s">
        <v>65</v>
      </c>
      <c r="X31" t="s">
        <v>135</v>
      </c>
      <c r="Y31" t="s">
        <v>42</v>
      </c>
      <c r="Z31" t="s">
        <v>43</v>
      </c>
      <c r="AA31" t="s">
        <v>43</v>
      </c>
      <c r="AD31" t="s">
        <v>3143</v>
      </c>
    </row>
    <row r="32" spans="1:30" x14ac:dyDescent="0.4">
      <c r="A32" t="s">
        <v>27</v>
      </c>
      <c r="B32">
        <v>701</v>
      </c>
      <c r="C32" t="s">
        <v>68</v>
      </c>
      <c r="D32" t="s">
        <v>125</v>
      </c>
      <c r="E32" t="s">
        <v>126</v>
      </c>
      <c r="F32" t="s">
        <v>127</v>
      </c>
      <c r="H32" t="s">
        <v>128</v>
      </c>
      <c r="I32" t="s">
        <v>129</v>
      </c>
      <c r="J32" t="s">
        <v>130</v>
      </c>
      <c r="K32" t="s">
        <v>35</v>
      </c>
      <c r="L32">
        <v>1933353038</v>
      </c>
      <c r="M32" t="s">
        <v>131</v>
      </c>
      <c r="N32" t="s">
        <v>2847</v>
      </c>
      <c r="P32" t="s">
        <v>136</v>
      </c>
      <c r="Q32" t="s">
        <v>137</v>
      </c>
      <c r="R32" t="s">
        <v>138</v>
      </c>
      <c r="S32" t="s">
        <v>82</v>
      </c>
      <c r="T32" s="1">
        <v>44754</v>
      </c>
      <c r="U32">
        <v>0</v>
      </c>
      <c r="V32">
        <v>6</v>
      </c>
      <c r="W32" t="s">
        <v>83</v>
      </c>
      <c r="X32" t="s">
        <v>135</v>
      </c>
      <c r="Y32" t="s">
        <v>42</v>
      </c>
      <c r="Z32" t="s">
        <v>43</v>
      </c>
      <c r="AA32" t="s">
        <v>43</v>
      </c>
      <c r="AD32" t="s">
        <v>3143</v>
      </c>
    </row>
    <row r="33" spans="1:30" x14ac:dyDescent="0.4">
      <c r="A33" t="s">
        <v>27</v>
      </c>
      <c r="B33">
        <v>701</v>
      </c>
      <c r="C33" t="s">
        <v>68</v>
      </c>
      <c r="D33" t="s">
        <v>125</v>
      </c>
      <c r="E33" t="s">
        <v>126</v>
      </c>
      <c r="F33" t="s">
        <v>127</v>
      </c>
      <c r="H33" t="s">
        <v>128</v>
      </c>
      <c r="I33" t="s">
        <v>129</v>
      </c>
      <c r="J33" t="s">
        <v>130</v>
      </c>
      <c r="K33" t="s">
        <v>35</v>
      </c>
      <c r="L33">
        <v>1933353038</v>
      </c>
      <c r="M33" t="s">
        <v>131</v>
      </c>
      <c r="N33" t="s">
        <v>2847</v>
      </c>
      <c r="P33" t="s">
        <v>136</v>
      </c>
      <c r="Q33" t="s">
        <v>137</v>
      </c>
      <c r="R33" t="s">
        <v>138</v>
      </c>
      <c r="S33" t="s">
        <v>82</v>
      </c>
      <c r="T33" s="1">
        <v>44754</v>
      </c>
      <c r="U33">
        <v>0</v>
      </c>
      <c r="V33">
        <v>5</v>
      </c>
      <c r="W33" t="s">
        <v>66</v>
      </c>
      <c r="X33" t="s">
        <v>135</v>
      </c>
      <c r="Y33" t="s">
        <v>42</v>
      </c>
      <c r="Z33" t="s">
        <v>43</v>
      </c>
      <c r="AA33" t="s">
        <v>43</v>
      </c>
      <c r="AD33" t="s">
        <v>3143</v>
      </c>
    </row>
    <row r="34" spans="1:30" x14ac:dyDescent="0.4">
      <c r="A34" t="s">
        <v>27</v>
      </c>
      <c r="B34">
        <v>701</v>
      </c>
      <c r="C34" t="s">
        <v>68</v>
      </c>
      <c r="D34" t="s">
        <v>125</v>
      </c>
      <c r="E34" t="s">
        <v>126</v>
      </c>
      <c r="F34" t="s">
        <v>127</v>
      </c>
      <c r="H34" t="s">
        <v>128</v>
      </c>
      <c r="I34" t="s">
        <v>129</v>
      </c>
      <c r="J34" t="s">
        <v>130</v>
      </c>
      <c r="K34" t="s">
        <v>35</v>
      </c>
      <c r="L34">
        <v>1933353038</v>
      </c>
      <c r="M34" t="s">
        <v>131</v>
      </c>
      <c r="N34" t="s">
        <v>2847</v>
      </c>
      <c r="P34" t="s">
        <v>139</v>
      </c>
      <c r="Q34" t="s">
        <v>140</v>
      </c>
      <c r="R34" t="s">
        <v>138</v>
      </c>
      <c r="S34" t="s">
        <v>40</v>
      </c>
      <c r="T34" s="1">
        <v>42657</v>
      </c>
      <c r="U34">
        <v>0</v>
      </c>
      <c r="V34">
        <v>7</v>
      </c>
      <c r="X34" t="s">
        <v>135</v>
      </c>
      <c r="Y34" t="s">
        <v>42</v>
      </c>
      <c r="Z34" t="s">
        <v>43</v>
      </c>
      <c r="AA34" t="s">
        <v>43</v>
      </c>
      <c r="AD34" t="s">
        <v>3143</v>
      </c>
    </row>
    <row r="35" spans="1:30" x14ac:dyDescent="0.4">
      <c r="A35" t="s">
        <v>27</v>
      </c>
      <c r="B35">
        <v>701</v>
      </c>
      <c r="C35" t="s">
        <v>68</v>
      </c>
      <c r="D35" t="s">
        <v>125</v>
      </c>
      <c r="E35" t="s">
        <v>126</v>
      </c>
      <c r="F35" t="s">
        <v>127</v>
      </c>
      <c r="H35" t="s">
        <v>128</v>
      </c>
      <c r="I35" t="s">
        <v>129</v>
      </c>
      <c r="J35" t="s">
        <v>130</v>
      </c>
      <c r="K35" t="s">
        <v>35</v>
      </c>
      <c r="L35">
        <v>1933353038</v>
      </c>
      <c r="M35" t="s">
        <v>131</v>
      </c>
      <c r="N35" t="s">
        <v>2847</v>
      </c>
      <c r="P35" t="s">
        <v>133</v>
      </c>
      <c r="Q35" t="s">
        <v>134</v>
      </c>
      <c r="R35" t="s">
        <v>376</v>
      </c>
      <c r="S35" t="s">
        <v>82</v>
      </c>
      <c r="T35" s="1">
        <v>44890</v>
      </c>
      <c r="U35">
        <v>0</v>
      </c>
      <c r="V35">
        <v>13</v>
      </c>
      <c r="X35" t="s">
        <v>135</v>
      </c>
      <c r="Y35" t="s">
        <v>42</v>
      </c>
      <c r="Z35" t="s">
        <v>43</v>
      </c>
      <c r="AA35" t="s">
        <v>43</v>
      </c>
      <c r="AD35" t="s">
        <v>3143</v>
      </c>
    </row>
    <row r="36" spans="1:30" x14ac:dyDescent="0.4">
      <c r="A36" t="s">
        <v>27</v>
      </c>
      <c r="B36">
        <v>701</v>
      </c>
      <c r="C36" t="s">
        <v>68</v>
      </c>
      <c r="D36" t="s">
        <v>125</v>
      </c>
      <c r="E36" t="s">
        <v>126</v>
      </c>
      <c r="F36" t="s">
        <v>127</v>
      </c>
      <c r="H36" t="s">
        <v>128</v>
      </c>
      <c r="I36" t="s">
        <v>129</v>
      </c>
      <c r="J36" t="s">
        <v>130</v>
      </c>
      <c r="K36" t="s">
        <v>35</v>
      </c>
      <c r="L36">
        <v>1933353038</v>
      </c>
      <c r="M36" t="s">
        <v>131</v>
      </c>
      <c r="N36" t="s">
        <v>2847</v>
      </c>
      <c r="P36" t="s">
        <v>136</v>
      </c>
      <c r="Q36" t="s">
        <v>137</v>
      </c>
      <c r="R36" t="s">
        <v>138</v>
      </c>
      <c r="S36" t="s">
        <v>82</v>
      </c>
      <c r="T36" s="1">
        <v>44754</v>
      </c>
      <c r="U36">
        <v>0</v>
      </c>
      <c r="V36">
        <v>15</v>
      </c>
      <c r="X36" t="s">
        <v>135</v>
      </c>
      <c r="Y36" t="s">
        <v>42</v>
      </c>
      <c r="Z36" t="s">
        <v>43</v>
      </c>
      <c r="AA36" t="s">
        <v>43</v>
      </c>
      <c r="AD36" t="s">
        <v>3143</v>
      </c>
    </row>
    <row r="37" spans="1:30" x14ac:dyDescent="0.4">
      <c r="A37" t="s">
        <v>27</v>
      </c>
      <c r="B37">
        <v>701</v>
      </c>
      <c r="C37" t="s">
        <v>68</v>
      </c>
      <c r="D37" t="s">
        <v>125</v>
      </c>
      <c r="E37" t="s">
        <v>126</v>
      </c>
      <c r="F37" t="s">
        <v>127</v>
      </c>
      <c r="H37" t="s">
        <v>128</v>
      </c>
      <c r="I37" t="s">
        <v>129</v>
      </c>
      <c r="J37" t="s">
        <v>130</v>
      </c>
      <c r="K37" t="s">
        <v>35</v>
      </c>
      <c r="L37">
        <v>1933353038</v>
      </c>
      <c r="M37" t="s">
        <v>131</v>
      </c>
      <c r="N37" t="s">
        <v>2847</v>
      </c>
      <c r="P37" t="s">
        <v>136</v>
      </c>
      <c r="Q37" t="s">
        <v>137</v>
      </c>
      <c r="R37" t="s">
        <v>138</v>
      </c>
      <c r="S37" t="s">
        <v>82</v>
      </c>
      <c r="T37" s="1">
        <v>44754</v>
      </c>
      <c r="U37">
        <v>0</v>
      </c>
      <c r="V37">
        <v>17</v>
      </c>
      <c r="X37" t="s">
        <v>135</v>
      </c>
      <c r="Y37" t="s">
        <v>42</v>
      </c>
      <c r="Z37" t="s">
        <v>43</v>
      </c>
      <c r="AA37" t="s">
        <v>43</v>
      </c>
      <c r="AD37" t="s">
        <v>3143</v>
      </c>
    </row>
    <row r="38" spans="1:30" x14ac:dyDescent="0.4">
      <c r="A38" t="s">
        <v>27</v>
      </c>
      <c r="B38">
        <v>701</v>
      </c>
      <c r="C38" t="s">
        <v>68</v>
      </c>
      <c r="D38" t="s">
        <v>125</v>
      </c>
      <c r="E38" t="s">
        <v>126</v>
      </c>
      <c r="F38" t="s">
        <v>127</v>
      </c>
      <c r="H38" t="s">
        <v>128</v>
      </c>
      <c r="I38" t="s">
        <v>129</v>
      </c>
      <c r="J38" t="s">
        <v>130</v>
      </c>
      <c r="K38" t="s">
        <v>35</v>
      </c>
      <c r="L38">
        <v>1933353038</v>
      </c>
      <c r="M38" t="s">
        <v>131</v>
      </c>
      <c r="N38" t="s">
        <v>2847</v>
      </c>
      <c r="P38" t="s">
        <v>139</v>
      </c>
      <c r="Q38" t="s">
        <v>140</v>
      </c>
      <c r="R38" t="s">
        <v>138</v>
      </c>
      <c r="S38" t="s">
        <v>40</v>
      </c>
      <c r="T38" s="1">
        <v>42657</v>
      </c>
      <c r="U38">
        <v>0</v>
      </c>
      <c r="V38">
        <v>20</v>
      </c>
      <c r="X38" t="s">
        <v>135</v>
      </c>
      <c r="Y38" t="s">
        <v>42</v>
      </c>
      <c r="Z38" t="s">
        <v>43</v>
      </c>
      <c r="AA38" t="s">
        <v>43</v>
      </c>
      <c r="AD38" t="s">
        <v>3143</v>
      </c>
    </row>
    <row r="39" spans="1:30" x14ac:dyDescent="0.4">
      <c r="A39" t="s">
        <v>27</v>
      </c>
      <c r="B39">
        <v>701</v>
      </c>
      <c r="C39" t="s">
        <v>68</v>
      </c>
      <c r="D39" t="s">
        <v>125</v>
      </c>
      <c r="E39" t="s">
        <v>126</v>
      </c>
      <c r="F39" t="s">
        <v>127</v>
      </c>
      <c r="H39" t="s">
        <v>128</v>
      </c>
      <c r="I39" t="s">
        <v>129</v>
      </c>
      <c r="J39" t="s">
        <v>130</v>
      </c>
      <c r="K39" t="s">
        <v>35</v>
      </c>
      <c r="L39">
        <v>1933353038</v>
      </c>
      <c r="M39" t="s">
        <v>131</v>
      </c>
      <c r="N39" t="s">
        <v>132</v>
      </c>
      <c r="P39" t="s">
        <v>142</v>
      </c>
      <c r="Q39" t="s">
        <v>143</v>
      </c>
      <c r="R39" t="s">
        <v>138</v>
      </c>
      <c r="S39" t="s">
        <v>40</v>
      </c>
      <c r="T39" s="1">
        <v>41005</v>
      </c>
      <c r="U39">
        <v>0</v>
      </c>
      <c r="V39">
        <v>0</v>
      </c>
      <c r="W39" t="s">
        <v>59</v>
      </c>
      <c r="X39" t="s">
        <v>135</v>
      </c>
      <c r="Y39" t="s">
        <v>42</v>
      </c>
      <c r="Z39" t="s">
        <v>43</v>
      </c>
      <c r="AA39" t="s">
        <v>43</v>
      </c>
      <c r="AD39" t="s">
        <v>3143</v>
      </c>
    </row>
    <row r="40" spans="1:30" x14ac:dyDescent="0.4">
      <c r="A40" t="s">
        <v>27</v>
      </c>
      <c r="B40">
        <v>701</v>
      </c>
      <c r="C40" t="s">
        <v>68</v>
      </c>
      <c r="D40" t="s">
        <v>125</v>
      </c>
      <c r="E40" t="s">
        <v>126</v>
      </c>
      <c r="F40" t="s">
        <v>127</v>
      </c>
      <c r="H40" t="s">
        <v>128</v>
      </c>
      <c r="I40" t="s">
        <v>129</v>
      </c>
      <c r="J40" t="s">
        <v>130</v>
      </c>
      <c r="K40" t="s">
        <v>35</v>
      </c>
      <c r="L40">
        <v>1933353038</v>
      </c>
      <c r="M40" t="s">
        <v>131</v>
      </c>
      <c r="N40" t="s">
        <v>132</v>
      </c>
      <c r="P40" t="s">
        <v>144</v>
      </c>
      <c r="Q40" t="s">
        <v>145</v>
      </c>
      <c r="R40" t="s">
        <v>146</v>
      </c>
      <c r="S40" t="s">
        <v>82</v>
      </c>
      <c r="T40" s="1">
        <v>43595</v>
      </c>
      <c r="U40">
        <v>0</v>
      </c>
      <c r="V40">
        <v>0</v>
      </c>
      <c r="W40" t="s">
        <v>59</v>
      </c>
      <c r="X40" t="s">
        <v>135</v>
      </c>
      <c r="Y40" t="s">
        <v>42</v>
      </c>
      <c r="Z40" t="s">
        <v>43</v>
      </c>
      <c r="AA40" t="s">
        <v>43</v>
      </c>
      <c r="AD40" t="s">
        <v>3143</v>
      </c>
    </row>
    <row r="41" spans="1:30" x14ac:dyDescent="0.4">
      <c r="A41" t="s">
        <v>27</v>
      </c>
      <c r="B41">
        <v>701</v>
      </c>
      <c r="C41" t="s">
        <v>68</v>
      </c>
      <c r="D41" t="s">
        <v>125</v>
      </c>
      <c r="E41" t="s">
        <v>126</v>
      </c>
      <c r="F41" t="s">
        <v>127</v>
      </c>
      <c r="H41" t="s">
        <v>128</v>
      </c>
      <c r="I41" t="s">
        <v>129</v>
      </c>
      <c r="J41" t="s">
        <v>130</v>
      </c>
      <c r="K41" t="s">
        <v>35</v>
      </c>
      <c r="L41">
        <v>1933353038</v>
      </c>
      <c r="M41" t="s">
        <v>131</v>
      </c>
      <c r="N41" t="s">
        <v>132</v>
      </c>
      <c r="P41" t="s">
        <v>147</v>
      </c>
      <c r="Q41" t="s">
        <v>148</v>
      </c>
      <c r="R41" t="s">
        <v>138</v>
      </c>
      <c r="S41" t="s">
        <v>82</v>
      </c>
      <c r="T41" s="1">
        <v>41773</v>
      </c>
      <c r="U41">
        <v>0</v>
      </c>
      <c r="V41">
        <v>0</v>
      </c>
      <c r="W41" t="s">
        <v>59</v>
      </c>
      <c r="X41" t="s">
        <v>135</v>
      </c>
      <c r="Y41" t="s">
        <v>42</v>
      </c>
      <c r="Z41" t="s">
        <v>43</v>
      </c>
      <c r="AA41" t="s">
        <v>43</v>
      </c>
      <c r="AD41" t="s">
        <v>3143</v>
      </c>
    </row>
    <row r="42" spans="1:30" x14ac:dyDescent="0.4">
      <c r="A42" t="s">
        <v>27</v>
      </c>
      <c r="B42">
        <v>701</v>
      </c>
      <c r="C42" t="s">
        <v>68</v>
      </c>
      <c r="D42" t="s">
        <v>125</v>
      </c>
      <c r="E42" t="s">
        <v>126</v>
      </c>
      <c r="F42" t="s">
        <v>127</v>
      </c>
      <c r="H42" t="s">
        <v>128</v>
      </c>
      <c r="I42" t="s">
        <v>129</v>
      </c>
      <c r="J42" t="s">
        <v>130</v>
      </c>
      <c r="K42" t="s">
        <v>35</v>
      </c>
      <c r="L42">
        <v>1933353038</v>
      </c>
      <c r="M42" t="s">
        <v>131</v>
      </c>
      <c r="N42" t="s">
        <v>132</v>
      </c>
      <c r="P42" t="s">
        <v>142</v>
      </c>
      <c r="Q42" t="s">
        <v>143</v>
      </c>
      <c r="R42" t="s">
        <v>138</v>
      </c>
      <c r="S42" t="s">
        <v>40</v>
      </c>
      <c r="T42" s="1">
        <v>41005</v>
      </c>
      <c r="U42">
        <v>0</v>
      </c>
      <c r="V42">
        <v>0</v>
      </c>
      <c r="W42" t="s">
        <v>59</v>
      </c>
      <c r="X42" t="s">
        <v>135</v>
      </c>
      <c r="Y42" t="s">
        <v>42</v>
      </c>
      <c r="Z42" t="s">
        <v>43</v>
      </c>
      <c r="AA42" t="s">
        <v>43</v>
      </c>
      <c r="AD42" t="s">
        <v>3143</v>
      </c>
    </row>
    <row r="43" spans="1:30" x14ac:dyDescent="0.4">
      <c r="A43" t="s">
        <v>27</v>
      </c>
      <c r="B43">
        <v>701</v>
      </c>
      <c r="C43" t="s">
        <v>68</v>
      </c>
      <c r="D43" t="s">
        <v>125</v>
      </c>
      <c r="E43" t="s">
        <v>126</v>
      </c>
      <c r="F43" t="s">
        <v>127</v>
      </c>
      <c r="H43" t="s">
        <v>128</v>
      </c>
      <c r="I43" t="s">
        <v>129</v>
      </c>
      <c r="J43" t="s">
        <v>130</v>
      </c>
      <c r="K43" t="s">
        <v>35</v>
      </c>
      <c r="L43">
        <v>1933353038</v>
      </c>
      <c r="M43" t="s">
        <v>131</v>
      </c>
      <c r="N43" t="s">
        <v>132</v>
      </c>
      <c r="P43" t="s">
        <v>144</v>
      </c>
      <c r="Q43" t="s">
        <v>145</v>
      </c>
      <c r="R43" t="s">
        <v>146</v>
      </c>
      <c r="S43" t="s">
        <v>82</v>
      </c>
      <c r="T43" s="1">
        <v>43595</v>
      </c>
      <c r="U43">
        <v>0</v>
      </c>
      <c r="V43">
        <v>0</v>
      </c>
      <c r="W43" t="s">
        <v>59</v>
      </c>
      <c r="X43" t="s">
        <v>135</v>
      </c>
      <c r="Y43" t="s">
        <v>42</v>
      </c>
      <c r="Z43" t="s">
        <v>43</v>
      </c>
      <c r="AA43" t="s">
        <v>43</v>
      </c>
      <c r="AD43" t="s">
        <v>3143</v>
      </c>
    </row>
    <row r="44" spans="1:30" x14ac:dyDescent="0.4">
      <c r="A44" t="s">
        <v>27</v>
      </c>
      <c r="B44">
        <v>701</v>
      </c>
      <c r="C44" t="s">
        <v>68</v>
      </c>
      <c r="D44" t="s">
        <v>125</v>
      </c>
      <c r="E44" t="s">
        <v>126</v>
      </c>
      <c r="F44" t="s">
        <v>127</v>
      </c>
      <c r="H44" t="s">
        <v>128</v>
      </c>
      <c r="I44" t="s">
        <v>129</v>
      </c>
      <c r="J44" t="s">
        <v>130</v>
      </c>
      <c r="K44" t="s">
        <v>35</v>
      </c>
      <c r="L44">
        <v>1933353038</v>
      </c>
      <c r="M44" t="s">
        <v>131</v>
      </c>
      <c r="N44" t="s">
        <v>132</v>
      </c>
      <c r="P44" t="s">
        <v>147</v>
      </c>
      <c r="Q44" t="s">
        <v>148</v>
      </c>
      <c r="R44" t="s">
        <v>138</v>
      </c>
      <c r="S44" t="s">
        <v>82</v>
      </c>
      <c r="T44" s="1">
        <v>41773</v>
      </c>
      <c r="U44">
        <v>0</v>
      </c>
      <c r="V44">
        <v>0</v>
      </c>
      <c r="W44" t="s">
        <v>59</v>
      </c>
      <c r="X44" t="s">
        <v>135</v>
      </c>
      <c r="Y44" t="s">
        <v>42</v>
      </c>
      <c r="Z44" t="s">
        <v>43</v>
      </c>
      <c r="AA44" t="s">
        <v>43</v>
      </c>
      <c r="AD44" t="s">
        <v>3143</v>
      </c>
    </row>
    <row r="45" spans="1:30" x14ac:dyDescent="0.4">
      <c r="A45" t="s">
        <v>27</v>
      </c>
      <c r="B45">
        <v>2342</v>
      </c>
      <c r="C45" t="s">
        <v>28</v>
      </c>
      <c r="D45" t="s">
        <v>149</v>
      </c>
      <c r="E45" t="s">
        <v>150</v>
      </c>
      <c r="F45" t="s">
        <v>151</v>
      </c>
      <c r="H45" t="s">
        <v>152</v>
      </c>
      <c r="I45" t="s">
        <v>73</v>
      </c>
      <c r="J45" t="s">
        <v>153</v>
      </c>
      <c r="K45" t="s">
        <v>35</v>
      </c>
      <c r="L45">
        <v>7778388879</v>
      </c>
      <c r="M45" t="s">
        <v>154</v>
      </c>
      <c r="N45" t="s">
        <v>2910</v>
      </c>
      <c r="P45" t="s">
        <v>156</v>
      </c>
      <c r="Q45" t="s">
        <v>157</v>
      </c>
      <c r="R45" t="s">
        <v>94</v>
      </c>
      <c r="S45" t="s">
        <v>40</v>
      </c>
      <c r="T45" s="1">
        <v>45348</v>
      </c>
      <c r="U45">
        <v>0</v>
      </c>
      <c r="V45">
        <v>4</v>
      </c>
      <c r="W45" t="s">
        <v>65</v>
      </c>
      <c r="Y45" t="s">
        <v>42</v>
      </c>
      <c r="Z45" t="s">
        <v>43</v>
      </c>
      <c r="AA45" t="s">
        <v>43</v>
      </c>
      <c r="AD45" t="s">
        <v>3143</v>
      </c>
    </row>
    <row r="46" spans="1:30" x14ac:dyDescent="0.4">
      <c r="A46" t="s">
        <v>27</v>
      </c>
      <c r="B46">
        <v>2342</v>
      </c>
      <c r="C46" t="s">
        <v>28</v>
      </c>
      <c r="D46" t="s">
        <v>149</v>
      </c>
      <c r="E46" t="s">
        <v>150</v>
      </c>
      <c r="F46" t="s">
        <v>151</v>
      </c>
      <c r="H46" t="s">
        <v>152</v>
      </c>
      <c r="I46" t="s">
        <v>73</v>
      </c>
      <c r="J46" t="s">
        <v>153</v>
      </c>
      <c r="K46" t="s">
        <v>35</v>
      </c>
      <c r="L46">
        <v>7778388879</v>
      </c>
      <c r="M46" t="s">
        <v>154</v>
      </c>
      <c r="N46" t="s">
        <v>2910</v>
      </c>
      <c r="P46" t="s">
        <v>158</v>
      </c>
      <c r="Q46" t="s">
        <v>159</v>
      </c>
      <c r="R46" t="s">
        <v>58</v>
      </c>
      <c r="S46" t="s">
        <v>40</v>
      </c>
      <c r="T46" s="1">
        <v>43302</v>
      </c>
      <c r="U46">
        <v>0</v>
      </c>
      <c r="V46">
        <v>5</v>
      </c>
      <c r="W46" t="s">
        <v>66</v>
      </c>
      <c r="Y46" t="s">
        <v>42</v>
      </c>
      <c r="Z46" t="s">
        <v>43</v>
      </c>
      <c r="AA46" t="s">
        <v>43</v>
      </c>
      <c r="AD46" t="s">
        <v>3143</v>
      </c>
    </row>
    <row r="47" spans="1:30" x14ac:dyDescent="0.4">
      <c r="A47" t="s">
        <v>27</v>
      </c>
      <c r="B47">
        <v>2342</v>
      </c>
      <c r="C47" t="s">
        <v>28</v>
      </c>
      <c r="D47" t="s">
        <v>149</v>
      </c>
      <c r="E47" t="s">
        <v>150</v>
      </c>
      <c r="F47" t="s">
        <v>151</v>
      </c>
      <c r="H47" t="s">
        <v>152</v>
      </c>
      <c r="I47" t="s">
        <v>73</v>
      </c>
      <c r="J47" t="s">
        <v>153</v>
      </c>
      <c r="K47" t="s">
        <v>35</v>
      </c>
      <c r="L47">
        <v>7778388879</v>
      </c>
      <c r="M47" t="s">
        <v>154</v>
      </c>
      <c r="N47" t="s">
        <v>2910</v>
      </c>
      <c r="P47" t="s">
        <v>158</v>
      </c>
      <c r="Q47" t="s">
        <v>159</v>
      </c>
      <c r="R47" t="s">
        <v>58</v>
      </c>
      <c r="S47" t="s">
        <v>40</v>
      </c>
      <c r="T47" s="1">
        <v>43302</v>
      </c>
      <c r="U47">
        <v>0</v>
      </c>
      <c r="V47">
        <v>6</v>
      </c>
      <c r="W47" t="s">
        <v>83</v>
      </c>
      <c r="Y47" t="s">
        <v>42</v>
      </c>
      <c r="Z47" t="s">
        <v>43</v>
      </c>
      <c r="AA47" t="s">
        <v>43</v>
      </c>
      <c r="AD47" t="s">
        <v>3143</v>
      </c>
    </row>
    <row r="48" spans="1:30" x14ac:dyDescent="0.4">
      <c r="A48" t="s">
        <v>27</v>
      </c>
      <c r="B48">
        <v>2342</v>
      </c>
      <c r="C48" t="s">
        <v>28</v>
      </c>
      <c r="D48" t="s">
        <v>149</v>
      </c>
      <c r="E48" t="s">
        <v>150</v>
      </c>
      <c r="F48" t="s">
        <v>151</v>
      </c>
      <c r="H48" t="s">
        <v>152</v>
      </c>
      <c r="I48" t="s">
        <v>73</v>
      </c>
      <c r="J48" t="s">
        <v>153</v>
      </c>
      <c r="K48" t="s">
        <v>35</v>
      </c>
      <c r="L48">
        <v>7778388879</v>
      </c>
      <c r="M48" t="s">
        <v>154</v>
      </c>
      <c r="N48" t="s">
        <v>155</v>
      </c>
      <c r="P48" t="s">
        <v>158</v>
      </c>
      <c r="Q48" t="s">
        <v>159</v>
      </c>
      <c r="R48" t="s">
        <v>58</v>
      </c>
      <c r="S48" t="s">
        <v>40</v>
      </c>
      <c r="T48" s="1">
        <v>43302</v>
      </c>
      <c r="U48">
        <v>0</v>
      </c>
      <c r="V48">
        <v>0</v>
      </c>
      <c r="W48" t="s">
        <v>59</v>
      </c>
      <c r="Y48" t="s">
        <v>42</v>
      </c>
      <c r="Z48" t="s">
        <v>43</v>
      </c>
      <c r="AA48" t="s">
        <v>43</v>
      </c>
      <c r="AD48" t="s">
        <v>3143</v>
      </c>
    </row>
    <row r="49" spans="1:30" x14ac:dyDescent="0.4">
      <c r="A49" t="s">
        <v>27</v>
      </c>
      <c r="B49">
        <v>2342</v>
      </c>
      <c r="C49" t="s">
        <v>28</v>
      </c>
      <c r="D49" t="s">
        <v>149</v>
      </c>
      <c r="E49" t="s">
        <v>150</v>
      </c>
      <c r="F49" t="s">
        <v>151</v>
      </c>
      <c r="H49" t="s">
        <v>152</v>
      </c>
      <c r="I49" t="s">
        <v>73</v>
      </c>
      <c r="J49" t="s">
        <v>153</v>
      </c>
      <c r="K49" t="s">
        <v>35</v>
      </c>
      <c r="L49">
        <v>7778388879</v>
      </c>
      <c r="M49" t="s">
        <v>154</v>
      </c>
      <c r="N49" t="s">
        <v>155</v>
      </c>
      <c r="P49" t="s">
        <v>156</v>
      </c>
      <c r="Q49" t="s">
        <v>157</v>
      </c>
      <c r="R49" t="s">
        <v>94</v>
      </c>
      <c r="S49" t="s">
        <v>40</v>
      </c>
      <c r="T49" s="1">
        <v>45348</v>
      </c>
      <c r="U49">
        <v>0</v>
      </c>
      <c r="V49">
        <v>0</v>
      </c>
      <c r="W49" t="s">
        <v>59</v>
      </c>
      <c r="Y49" t="s">
        <v>42</v>
      </c>
      <c r="Z49" t="s">
        <v>43</v>
      </c>
      <c r="AA49" t="s">
        <v>43</v>
      </c>
      <c r="AD49" t="s">
        <v>3143</v>
      </c>
    </row>
    <row r="50" spans="1:30" x14ac:dyDescent="0.4">
      <c r="A50" t="s">
        <v>27</v>
      </c>
      <c r="B50">
        <v>2162</v>
      </c>
      <c r="C50" t="s">
        <v>28</v>
      </c>
      <c r="D50" t="s">
        <v>160</v>
      </c>
      <c r="E50" t="s">
        <v>161</v>
      </c>
      <c r="F50" t="s">
        <v>162</v>
      </c>
      <c r="H50" t="s">
        <v>163</v>
      </c>
      <c r="I50" t="s">
        <v>164</v>
      </c>
      <c r="J50" t="s">
        <v>165</v>
      </c>
      <c r="K50" t="s">
        <v>35</v>
      </c>
      <c r="L50">
        <v>1380721236</v>
      </c>
      <c r="M50" t="s">
        <v>166</v>
      </c>
      <c r="N50" t="s">
        <v>2911</v>
      </c>
      <c r="P50" t="s">
        <v>3033</v>
      </c>
      <c r="Q50" t="s">
        <v>168</v>
      </c>
      <c r="R50" t="s">
        <v>169</v>
      </c>
      <c r="S50" t="s">
        <v>82</v>
      </c>
      <c r="T50" s="1">
        <v>41975</v>
      </c>
      <c r="U50">
        <v>0</v>
      </c>
      <c r="V50">
        <v>2</v>
      </c>
      <c r="Y50" t="s">
        <v>42</v>
      </c>
      <c r="Z50" t="s">
        <v>43</v>
      </c>
      <c r="AA50" t="s">
        <v>43</v>
      </c>
      <c r="AD50" t="s">
        <v>3143</v>
      </c>
    </row>
    <row r="51" spans="1:30" x14ac:dyDescent="0.4">
      <c r="A51" t="s">
        <v>27</v>
      </c>
      <c r="B51">
        <v>2162</v>
      </c>
      <c r="C51" t="s">
        <v>28</v>
      </c>
      <c r="D51" t="s">
        <v>160</v>
      </c>
      <c r="E51" t="s">
        <v>161</v>
      </c>
      <c r="F51" t="s">
        <v>162</v>
      </c>
      <c r="H51" t="s">
        <v>163</v>
      </c>
      <c r="I51" t="s">
        <v>164</v>
      </c>
      <c r="J51" t="s">
        <v>165</v>
      </c>
      <c r="K51" t="s">
        <v>35</v>
      </c>
      <c r="L51">
        <v>1380721236</v>
      </c>
      <c r="M51" t="s">
        <v>166</v>
      </c>
      <c r="N51" t="s">
        <v>2911</v>
      </c>
      <c r="P51" t="s">
        <v>3033</v>
      </c>
      <c r="Q51" t="s">
        <v>168</v>
      </c>
      <c r="R51" t="s">
        <v>169</v>
      </c>
      <c r="S51" t="s">
        <v>82</v>
      </c>
      <c r="T51" s="1">
        <v>41975</v>
      </c>
      <c r="U51">
        <v>0</v>
      </c>
      <c r="V51">
        <v>3</v>
      </c>
      <c r="Y51" t="s">
        <v>42</v>
      </c>
      <c r="Z51" t="s">
        <v>43</v>
      </c>
      <c r="AA51" t="s">
        <v>43</v>
      </c>
      <c r="AD51" t="s">
        <v>3143</v>
      </c>
    </row>
    <row r="52" spans="1:30" x14ac:dyDescent="0.4">
      <c r="A52" t="s">
        <v>27</v>
      </c>
      <c r="B52">
        <v>1549</v>
      </c>
      <c r="C52" t="s">
        <v>28</v>
      </c>
      <c r="D52" t="s">
        <v>171</v>
      </c>
      <c r="E52" t="s">
        <v>172</v>
      </c>
      <c r="F52" t="s">
        <v>173</v>
      </c>
      <c r="G52" t="s">
        <v>174</v>
      </c>
      <c r="H52" t="s">
        <v>175</v>
      </c>
      <c r="I52" t="s">
        <v>176</v>
      </c>
      <c r="J52" t="s">
        <v>177</v>
      </c>
      <c r="K52" t="s">
        <v>35</v>
      </c>
      <c r="L52">
        <v>7989311982</v>
      </c>
      <c r="M52" t="s">
        <v>178</v>
      </c>
      <c r="N52" t="s">
        <v>179</v>
      </c>
      <c r="P52" t="s">
        <v>180</v>
      </c>
      <c r="Q52" t="s">
        <v>181</v>
      </c>
      <c r="R52" t="s">
        <v>58</v>
      </c>
      <c r="S52" t="s">
        <v>82</v>
      </c>
      <c r="T52" s="1">
        <v>42085</v>
      </c>
      <c r="U52">
        <v>0</v>
      </c>
      <c r="V52">
        <v>0</v>
      </c>
      <c r="W52" t="s">
        <v>59</v>
      </c>
      <c r="Y52" t="s">
        <v>42</v>
      </c>
      <c r="Z52" t="s">
        <v>43</v>
      </c>
      <c r="AA52" t="s">
        <v>43</v>
      </c>
      <c r="AD52" t="s">
        <v>3143</v>
      </c>
    </row>
    <row r="53" spans="1:30" x14ac:dyDescent="0.4">
      <c r="A53" t="s">
        <v>27</v>
      </c>
      <c r="B53">
        <v>1549</v>
      </c>
      <c r="C53" t="s">
        <v>28</v>
      </c>
      <c r="D53" t="s">
        <v>171</v>
      </c>
      <c r="E53" t="s">
        <v>172</v>
      </c>
      <c r="F53" t="s">
        <v>173</v>
      </c>
      <c r="G53" t="s">
        <v>174</v>
      </c>
      <c r="H53" t="s">
        <v>175</v>
      </c>
      <c r="I53" t="s">
        <v>176</v>
      </c>
      <c r="J53" t="s">
        <v>177</v>
      </c>
      <c r="K53" t="s">
        <v>35</v>
      </c>
      <c r="L53">
        <v>7989311982</v>
      </c>
      <c r="M53" t="s">
        <v>178</v>
      </c>
      <c r="N53" t="s">
        <v>179</v>
      </c>
      <c r="P53" t="s">
        <v>182</v>
      </c>
      <c r="Q53" t="s">
        <v>183</v>
      </c>
      <c r="R53" t="s">
        <v>58</v>
      </c>
      <c r="S53" t="s">
        <v>40</v>
      </c>
      <c r="T53" s="1">
        <v>45442</v>
      </c>
      <c r="U53">
        <v>0</v>
      </c>
      <c r="V53">
        <v>0</v>
      </c>
      <c r="W53" t="s">
        <v>59</v>
      </c>
      <c r="Y53" t="s">
        <v>42</v>
      </c>
      <c r="Z53" t="s">
        <v>43</v>
      </c>
      <c r="AA53" t="s">
        <v>43</v>
      </c>
      <c r="AD53" t="s">
        <v>3143</v>
      </c>
    </row>
    <row r="54" spans="1:30" x14ac:dyDescent="0.4">
      <c r="A54" t="s">
        <v>27</v>
      </c>
      <c r="B54">
        <v>1549</v>
      </c>
      <c r="C54" t="s">
        <v>28</v>
      </c>
      <c r="D54" t="s">
        <v>171</v>
      </c>
      <c r="E54" t="s">
        <v>172</v>
      </c>
      <c r="F54" t="s">
        <v>173</v>
      </c>
      <c r="G54" t="s">
        <v>174</v>
      </c>
      <c r="H54" t="s">
        <v>175</v>
      </c>
      <c r="I54" t="s">
        <v>176</v>
      </c>
      <c r="J54" t="s">
        <v>177</v>
      </c>
      <c r="K54" t="s">
        <v>35</v>
      </c>
      <c r="L54">
        <v>7989311982</v>
      </c>
      <c r="M54" t="s">
        <v>178</v>
      </c>
      <c r="N54" t="s">
        <v>179</v>
      </c>
      <c r="P54" t="s">
        <v>180</v>
      </c>
      <c r="Q54" t="s">
        <v>181</v>
      </c>
      <c r="R54" t="s">
        <v>58</v>
      </c>
      <c r="S54" t="s">
        <v>82</v>
      </c>
      <c r="T54" s="1">
        <v>42085</v>
      </c>
      <c r="U54">
        <v>0</v>
      </c>
      <c r="V54">
        <v>0</v>
      </c>
      <c r="W54" t="s">
        <v>59</v>
      </c>
      <c r="Y54" t="s">
        <v>42</v>
      </c>
      <c r="Z54" t="s">
        <v>43</v>
      </c>
      <c r="AA54" t="s">
        <v>43</v>
      </c>
      <c r="AD54" t="s">
        <v>3143</v>
      </c>
    </row>
    <row r="55" spans="1:30" x14ac:dyDescent="0.4">
      <c r="A55" t="s">
        <v>27</v>
      </c>
      <c r="B55">
        <v>1549</v>
      </c>
      <c r="C55" t="s">
        <v>28</v>
      </c>
      <c r="D55" t="s">
        <v>171</v>
      </c>
      <c r="E55" t="s">
        <v>172</v>
      </c>
      <c r="F55" t="s">
        <v>173</v>
      </c>
      <c r="G55" t="s">
        <v>174</v>
      </c>
      <c r="H55" t="s">
        <v>175</v>
      </c>
      <c r="I55" t="s">
        <v>176</v>
      </c>
      <c r="J55" t="s">
        <v>177</v>
      </c>
      <c r="K55" t="s">
        <v>35</v>
      </c>
      <c r="L55">
        <v>7989311982</v>
      </c>
      <c r="M55" t="s">
        <v>178</v>
      </c>
      <c r="N55" t="s">
        <v>179</v>
      </c>
      <c r="P55" t="s">
        <v>182</v>
      </c>
      <c r="Q55" t="s">
        <v>183</v>
      </c>
      <c r="R55" t="s">
        <v>58</v>
      </c>
      <c r="S55" t="s">
        <v>40</v>
      </c>
      <c r="T55" s="1">
        <v>45442</v>
      </c>
      <c r="U55">
        <v>0</v>
      </c>
      <c r="V55">
        <v>0</v>
      </c>
      <c r="W55" t="s">
        <v>59</v>
      </c>
      <c r="Y55" t="s">
        <v>42</v>
      </c>
      <c r="Z55" t="s">
        <v>43</v>
      </c>
      <c r="AA55" t="s">
        <v>43</v>
      </c>
      <c r="AD55" t="s">
        <v>3143</v>
      </c>
    </row>
    <row r="56" spans="1:30" x14ac:dyDescent="0.4">
      <c r="A56" t="s">
        <v>27</v>
      </c>
      <c r="B56">
        <v>1384</v>
      </c>
      <c r="C56" t="s">
        <v>68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190</v>
      </c>
      <c r="K56" t="s">
        <v>35</v>
      </c>
      <c r="L56">
        <v>7921452558</v>
      </c>
      <c r="M56" t="s">
        <v>191</v>
      </c>
      <c r="N56" t="s">
        <v>3040</v>
      </c>
      <c r="P56" t="s">
        <v>192</v>
      </c>
      <c r="Q56" t="s">
        <v>193</v>
      </c>
      <c r="R56" t="s">
        <v>194</v>
      </c>
      <c r="S56" t="s">
        <v>40</v>
      </c>
      <c r="T56" s="1">
        <v>44514</v>
      </c>
      <c r="U56">
        <v>0</v>
      </c>
      <c r="V56">
        <v>4</v>
      </c>
      <c r="W56" t="s">
        <v>65</v>
      </c>
      <c r="Y56" t="s">
        <v>42</v>
      </c>
      <c r="Z56" t="s">
        <v>43</v>
      </c>
      <c r="AA56" t="s">
        <v>43</v>
      </c>
      <c r="AD56" t="s">
        <v>3143</v>
      </c>
    </row>
    <row r="57" spans="1:30" x14ac:dyDescent="0.4">
      <c r="A57" t="s">
        <v>27</v>
      </c>
      <c r="B57">
        <v>1384</v>
      </c>
      <c r="C57" t="s">
        <v>68</v>
      </c>
      <c r="D57" t="s">
        <v>184</v>
      </c>
      <c r="E57" t="s">
        <v>185</v>
      </c>
      <c r="F57" t="s">
        <v>186</v>
      </c>
      <c r="G57" t="s">
        <v>187</v>
      </c>
      <c r="H57" t="s">
        <v>188</v>
      </c>
      <c r="I57" t="s">
        <v>189</v>
      </c>
      <c r="J57" t="s">
        <v>190</v>
      </c>
      <c r="K57" t="s">
        <v>35</v>
      </c>
      <c r="L57">
        <v>7921452558</v>
      </c>
      <c r="M57" t="s">
        <v>191</v>
      </c>
      <c r="N57" t="s">
        <v>3040</v>
      </c>
      <c r="P57" t="s">
        <v>192</v>
      </c>
      <c r="Q57" t="s">
        <v>193</v>
      </c>
      <c r="R57" t="s">
        <v>194</v>
      </c>
      <c r="S57" t="s">
        <v>40</v>
      </c>
      <c r="T57" s="1">
        <v>44514</v>
      </c>
      <c r="U57">
        <v>0</v>
      </c>
      <c r="V57">
        <v>5</v>
      </c>
      <c r="W57" t="s">
        <v>66</v>
      </c>
      <c r="Y57" t="s">
        <v>42</v>
      </c>
      <c r="Z57" t="s">
        <v>43</v>
      </c>
      <c r="AA57" t="s">
        <v>43</v>
      </c>
      <c r="AD57" t="s">
        <v>3143</v>
      </c>
    </row>
    <row r="58" spans="1:30" x14ac:dyDescent="0.4">
      <c r="A58" t="s">
        <v>27</v>
      </c>
      <c r="B58">
        <v>1131</v>
      </c>
      <c r="C58" t="s">
        <v>195</v>
      </c>
      <c r="D58" t="s">
        <v>196</v>
      </c>
      <c r="E58" t="s">
        <v>197</v>
      </c>
      <c r="F58" t="s">
        <v>198</v>
      </c>
      <c r="G58" t="s">
        <v>199</v>
      </c>
      <c r="H58" t="s">
        <v>200</v>
      </c>
      <c r="I58" t="s">
        <v>201</v>
      </c>
      <c r="J58" t="s">
        <v>202</v>
      </c>
      <c r="K58" t="s">
        <v>35</v>
      </c>
      <c r="L58" t="s">
        <v>203</v>
      </c>
      <c r="M58" t="s">
        <v>204</v>
      </c>
      <c r="N58" t="s">
        <v>205</v>
      </c>
      <c r="P58" t="s">
        <v>206</v>
      </c>
      <c r="Q58" t="s">
        <v>207</v>
      </c>
      <c r="R58" t="s">
        <v>94</v>
      </c>
      <c r="S58" t="s">
        <v>82</v>
      </c>
      <c r="T58" s="1">
        <v>42451</v>
      </c>
      <c r="U58">
        <v>0</v>
      </c>
      <c r="V58">
        <v>0</v>
      </c>
      <c r="W58" t="s">
        <v>59</v>
      </c>
      <c r="Y58" t="s">
        <v>42</v>
      </c>
      <c r="Z58" t="s">
        <v>43</v>
      </c>
      <c r="AA58" t="s">
        <v>43</v>
      </c>
      <c r="AD58" t="s">
        <v>3143</v>
      </c>
    </row>
    <row r="59" spans="1:30" x14ac:dyDescent="0.4">
      <c r="A59" t="s">
        <v>27</v>
      </c>
      <c r="B59">
        <v>1131</v>
      </c>
      <c r="C59" t="s">
        <v>195</v>
      </c>
      <c r="D59" t="s">
        <v>196</v>
      </c>
      <c r="E59" t="s">
        <v>197</v>
      </c>
      <c r="F59" t="s">
        <v>198</v>
      </c>
      <c r="G59" t="s">
        <v>199</v>
      </c>
      <c r="H59" t="s">
        <v>200</v>
      </c>
      <c r="I59" t="s">
        <v>201</v>
      </c>
      <c r="J59" t="s">
        <v>202</v>
      </c>
      <c r="K59" t="s">
        <v>35</v>
      </c>
      <c r="L59" t="s">
        <v>203</v>
      </c>
      <c r="M59" t="s">
        <v>204</v>
      </c>
      <c r="N59" t="s">
        <v>205</v>
      </c>
      <c r="P59" t="s">
        <v>206</v>
      </c>
      <c r="Q59" t="s">
        <v>207</v>
      </c>
      <c r="R59" t="s">
        <v>94</v>
      </c>
      <c r="S59" t="s">
        <v>82</v>
      </c>
      <c r="T59" s="1">
        <v>42451</v>
      </c>
      <c r="U59">
        <v>0</v>
      </c>
      <c r="V59">
        <v>0</v>
      </c>
      <c r="W59" t="s">
        <v>59</v>
      </c>
      <c r="Y59" t="s">
        <v>42</v>
      </c>
      <c r="Z59" t="s">
        <v>43</v>
      </c>
      <c r="AA59" t="s">
        <v>43</v>
      </c>
      <c r="AD59" t="s">
        <v>3143</v>
      </c>
    </row>
    <row r="60" spans="1:30" x14ac:dyDescent="0.4">
      <c r="A60" t="s">
        <v>27</v>
      </c>
      <c r="B60">
        <v>1131</v>
      </c>
      <c r="C60" t="s">
        <v>195</v>
      </c>
      <c r="D60" t="s">
        <v>196</v>
      </c>
      <c r="E60" t="s">
        <v>197</v>
      </c>
      <c r="F60" t="s">
        <v>198</v>
      </c>
      <c r="G60" t="s">
        <v>199</v>
      </c>
      <c r="H60" t="s">
        <v>200</v>
      </c>
      <c r="I60" t="s">
        <v>201</v>
      </c>
      <c r="J60" t="s">
        <v>202</v>
      </c>
      <c r="K60" t="s">
        <v>35</v>
      </c>
      <c r="L60" t="s">
        <v>203</v>
      </c>
      <c r="M60" t="s">
        <v>204</v>
      </c>
      <c r="N60" t="s">
        <v>205</v>
      </c>
      <c r="P60" t="s">
        <v>208</v>
      </c>
      <c r="Q60" t="s">
        <v>209</v>
      </c>
      <c r="R60" t="s">
        <v>58</v>
      </c>
      <c r="S60" t="s">
        <v>40</v>
      </c>
      <c r="T60" s="1">
        <v>43217</v>
      </c>
      <c r="U60">
        <v>0</v>
      </c>
      <c r="V60">
        <v>6</v>
      </c>
      <c r="W60" t="s">
        <v>83</v>
      </c>
      <c r="Y60" t="s">
        <v>42</v>
      </c>
      <c r="Z60" t="s">
        <v>43</v>
      </c>
      <c r="AA60" t="s">
        <v>43</v>
      </c>
      <c r="AD60" t="s">
        <v>3143</v>
      </c>
    </row>
    <row r="61" spans="1:30" x14ac:dyDescent="0.4">
      <c r="A61" t="s">
        <v>27</v>
      </c>
      <c r="B61">
        <v>1131</v>
      </c>
      <c r="C61" t="s">
        <v>195</v>
      </c>
      <c r="D61" t="s">
        <v>196</v>
      </c>
      <c r="E61" t="s">
        <v>197</v>
      </c>
      <c r="F61" t="s">
        <v>198</v>
      </c>
      <c r="G61" t="s">
        <v>199</v>
      </c>
      <c r="H61" t="s">
        <v>200</v>
      </c>
      <c r="I61" t="s">
        <v>201</v>
      </c>
      <c r="J61" t="s">
        <v>202</v>
      </c>
      <c r="K61" t="s">
        <v>35</v>
      </c>
      <c r="L61" t="s">
        <v>203</v>
      </c>
      <c r="M61" t="s">
        <v>204</v>
      </c>
      <c r="N61" t="s">
        <v>205</v>
      </c>
      <c r="P61" t="s">
        <v>208</v>
      </c>
      <c r="Q61" t="s">
        <v>209</v>
      </c>
      <c r="R61" t="s">
        <v>58</v>
      </c>
      <c r="S61" t="s">
        <v>40</v>
      </c>
      <c r="T61" s="1">
        <v>43217</v>
      </c>
      <c r="U61">
        <v>0</v>
      </c>
      <c r="V61">
        <v>16</v>
      </c>
      <c r="Y61" t="s">
        <v>42</v>
      </c>
      <c r="Z61" t="s">
        <v>43</v>
      </c>
      <c r="AA61" t="s">
        <v>43</v>
      </c>
      <c r="AD61" t="s">
        <v>3143</v>
      </c>
    </row>
    <row r="62" spans="1:30" x14ac:dyDescent="0.4">
      <c r="A62" t="s">
        <v>27</v>
      </c>
      <c r="B62">
        <v>1131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200</v>
      </c>
      <c r="I62" t="s">
        <v>201</v>
      </c>
      <c r="J62" t="s">
        <v>202</v>
      </c>
      <c r="K62" t="s">
        <v>35</v>
      </c>
      <c r="L62" t="s">
        <v>203</v>
      </c>
      <c r="M62" t="s">
        <v>204</v>
      </c>
      <c r="N62" t="s">
        <v>205</v>
      </c>
      <c r="P62" t="s">
        <v>208</v>
      </c>
      <c r="Q62" t="s">
        <v>209</v>
      </c>
      <c r="R62" t="s">
        <v>58</v>
      </c>
      <c r="S62" t="s">
        <v>40</v>
      </c>
      <c r="T62" s="1">
        <v>43217</v>
      </c>
      <c r="U62">
        <v>0</v>
      </c>
      <c r="V62">
        <v>18</v>
      </c>
      <c r="Y62" t="s">
        <v>42</v>
      </c>
      <c r="Z62" t="s">
        <v>43</v>
      </c>
      <c r="AA62" t="s">
        <v>43</v>
      </c>
      <c r="AD62" t="s">
        <v>3143</v>
      </c>
    </row>
    <row r="63" spans="1:30" x14ac:dyDescent="0.4">
      <c r="A63" t="s">
        <v>27</v>
      </c>
      <c r="B63">
        <v>892</v>
      </c>
      <c r="C63" t="s">
        <v>68</v>
      </c>
      <c r="D63" t="s">
        <v>211</v>
      </c>
      <c r="E63" t="s">
        <v>212</v>
      </c>
      <c r="F63" t="s">
        <v>213</v>
      </c>
      <c r="H63" t="s">
        <v>214</v>
      </c>
      <c r="I63" t="s">
        <v>215</v>
      </c>
      <c r="J63" t="s">
        <v>216</v>
      </c>
      <c r="K63" t="s">
        <v>35</v>
      </c>
      <c r="L63">
        <v>7956649566</v>
      </c>
      <c r="M63" t="s">
        <v>217</v>
      </c>
      <c r="N63" t="s">
        <v>2913</v>
      </c>
      <c r="P63" t="s">
        <v>3089</v>
      </c>
      <c r="Q63" t="s">
        <v>219</v>
      </c>
      <c r="R63" t="s">
        <v>58</v>
      </c>
      <c r="S63" t="s">
        <v>82</v>
      </c>
      <c r="T63" s="1">
        <v>43886</v>
      </c>
      <c r="U63">
        <v>0</v>
      </c>
      <c r="V63">
        <v>13</v>
      </c>
      <c r="Y63" t="s">
        <v>42</v>
      </c>
      <c r="Z63" t="s">
        <v>43</v>
      </c>
      <c r="AA63" t="s">
        <v>42</v>
      </c>
      <c r="AB63" t="s">
        <v>220</v>
      </c>
      <c r="AD63" t="s">
        <v>3143</v>
      </c>
    </row>
    <row r="64" spans="1:30" x14ac:dyDescent="0.4">
      <c r="A64" t="s">
        <v>27</v>
      </c>
      <c r="B64">
        <v>892</v>
      </c>
      <c r="C64" t="s">
        <v>68</v>
      </c>
      <c r="D64" t="s">
        <v>211</v>
      </c>
      <c r="E64" t="s">
        <v>212</v>
      </c>
      <c r="F64" t="s">
        <v>213</v>
      </c>
      <c r="H64" t="s">
        <v>214</v>
      </c>
      <c r="I64" t="s">
        <v>215</v>
      </c>
      <c r="J64" t="s">
        <v>216</v>
      </c>
      <c r="K64" t="s">
        <v>35</v>
      </c>
      <c r="L64">
        <v>7956649566</v>
      </c>
      <c r="M64" t="s">
        <v>217</v>
      </c>
      <c r="N64" t="s">
        <v>2913</v>
      </c>
      <c r="P64" t="s">
        <v>3089</v>
      </c>
      <c r="Q64" t="s">
        <v>219</v>
      </c>
      <c r="R64" t="s">
        <v>58</v>
      </c>
      <c r="S64" t="s">
        <v>82</v>
      </c>
      <c r="T64" s="1">
        <v>43886</v>
      </c>
      <c r="U64">
        <v>0</v>
      </c>
      <c r="V64">
        <v>15</v>
      </c>
      <c r="Y64" t="s">
        <v>42</v>
      </c>
      <c r="Z64" t="s">
        <v>43</v>
      </c>
      <c r="AA64" t="s">
        <v>42</v>
      </c>
      <c r="AB64" t="s">
        <v>220</v>
      </c>
      <c r="AD64" t="s">
        <v>3143</v>
      </c>
    </row>
    <row r="65" spans="1:30" x14ac:dyDescent="0.4">
      <c r="A65" t="s">
        <v>27</v>
      </c>
      <c r="B65">
        <v>892</v>
      </c>
      <c r="C65" t="s">
        <v>68</v>
      </c>
      <c r="D65" t="s">
        <v>211</v>
      </c>
      <c r="E65" t="s">
        <v>212</v>
      </c>
      <c r="F65" t="s">
        <v>213</v>
      </c>
      <c r="H65" t="s">
        <v>214</v>
      </c>
      <c r="I65" t="s">
        <v>215</v>
      </c>
      <c r="J65" t="s">
        <v>216</v>
      </c>
      <c r="K65" t="s">
        <v>35</v>
      </c>
      <c r="L65">
        <v>7956649566</v>
      </c>
      <c r="M65" t="s">
        <v>217</v>
      </c>
      <c r="N65" t="s">
        <v>2913</v>
      </c>
      <c r="P65" t="s">
        <v>221</v>
      </c>
      <c r="Q65" t="s">
        <v>222</v>
      </c>
      <c r="R65" t="s">
        <v>58</v>
      </c>
      <c r="S65" t="s">
        <v>82</v>
      </c>
      <c r="T65" s="1">
        <v>44869</v>
      </c>
      <c r="U65">
        <v>0</v>
      </c>
      <c r="V65">
        <v>13</v>
      </c>
      <c r="Y65" t="s">
        <v>42</v>
      </c>
      <c r="Z65" t="s">
        <v>43</v>
      </c>
      <c r="AA65" t="s">
        <v>42</v>
      </c>
      <c r="AB65" t="s">
        <v>220</v>
      </c>
      <c r="AD65" t="s">
        <v>3143</v>
      </c>
    </row>
    <row r="66" spans="1:30" x14ac:dyDescent="0.4">
      <c r="A66" t="s">
        <v>27</v>
      </c>
      <c r="B66">
        <v>892</v>
      </c>
      <c r="C66" t="s">
        <v>68</v>
      </c>
      <c r="D66" t="s">
        <v>211</v>
      </c>
      <c r="E66" t="s">
        <v>212</v>
      </c>
      <c r="F66" t="s">
        <v>213</v>
      </c>
      <c r="H66" t="s">
        <v>214</v>
      </c>
      <c r="I66" t="s">
        <v>215</v>
      </c>
      <c r="J66" t="s">
        <v>216</v>
      </c>
      <c r="K66" t="s">
        <v>35</v>
      </c>
      <c r="L66">
        <v>7956649566</v>
      </c>
      <c r="M66" t="s">
        <v>217</v>
      </c>
      <c r="N66" t="s">
        <v>2913</v>
      </c>
      <c r="P66" t="s">
        <v>221</v>
      </c>
      <c r="Q66" t="s">
        <v>222</v>
      </c>
      <c r="R66" t="s">
        <v>58</v>
      </c>
      <c r="S66" t="s">
        <v>82</v>
      </c>
      <c r="T66" s="1">
        <v>44869</v>
      </c>
      <c r="U66">
        <v>0</v>
      </c>
      <c r="V66">
        <v>15</v>
      </c>
      <c r="Y66" t="s">
        <v>42</v>
      </c>
      <c r="Z66" t="s">
        <v>43</v>
      </c>
      <c r="AA66" t="s">
        <v>42</v>
      </c>
      <c r="AB66" t="s">
        <v>220</v>
      </c>
      <c r="AD66" t="s">
        <v>3143</v>
      </c>
    </row>
    <row r="67" spans="1:30" x14ac:dyDescent="0.4">
      <c r="A67" t="s">
        <v>27</v>
      </c>
      <c r="B67">
        <v>237</v>
      </c>
      <c r="C67" t="s">
        <v>68</v>
      </c>
      <c r="D67" t="s">
        <v>85</v>
      </c>
      <c r="E67" t="s">
        <v>223</v>
      </c>
      <c r="F67" t="s">
        <v>224</v>
      </c>
      <c r="H67" t="s">
        <v>225</v>
      </c>
      <c r="I67" t="s">
        <v>226</v>
      </c>
      <c r="J67" t="s">
        <v>227</v>
      </c>
      <c r="K67" t="s">
        <v>35</v>
      </c>
      <c r="L67">
        <v>1784246235</v>
      </c>
      <c r="M67" t="s">
        <v>228</v>
      </c>
      <c r="N67" t="s">
        <v>2848</v>
      </c>
      <c r="P67" t="s">
        <v>3090</v>
      </c>
      <c r="Q67" t="s">
        <v>231</v>
      </c>
      <c r="R67" t="s">
        <v>232</v>
      </c>
      <c r="S67" t="s">
        <v>40</v>
      </c>
      <c r="T67" s="1">
        <v>44817</v>
      </c>
      <c r="U67">
        <v>0</v>
      </c>
      <c r="V67">
        <v>4</v>
      </c>
      <c r="W67" t="s">
        <v>65</v>
      </c>
      <c r="X67" t="s">
        <v>135</v>
      </c>
      <c r="Y67" t="s">
        <v>42</v>
      </c>
      <c r="Z67" t="s">
        <v>43</v>
      </c>
      <c r="AA67" t="s">
        <v>43</v>
      </c>
      <c r="AD67" t="s">
        <v>3143</v>
      </c>
    </row>
    <row r="68" spans="1:30" x14ac:dyDescent="0.4">
      <c r="A68" t="s">
        <v>27</v>
      </c>
      <c r="B68">
        <v>237</v>
      </c>
      <c r="C68" t="s">
        <v>68</v>
      </c>
      <c r="D68" t="s">
        <v>85</v>
      </c>
      <c r="E68" t="s">
        <v>223</v>
      </c>
      <c r="F68" t="s">
        <v>224</v>
      </c>
      <c r="H68" t="s">
        <v>225</v>
      </c>
      <c r="I68" t="s">
        <v>226</v>
      </c>
      <c r="J68" t="s">
        <v>227</v>
      </c>
      <c r="K68" t="s">
        <v>35</v>
      </c>
      <c r="L68">
        <v>1784246235</v>
      </c>
      <c r="M68" t="s">
        <v>228</v>
      </c>
      <c r="N68" t="s">
        <v>2848</v>
      </c>
      <c r="P68" t="s">
        <v>3090</v>
      </c>
      <c r="Q68" t="s">
        <v>231</v>
      </c>
      <c r="R68" t="s">
        <v>232</v>
      </c>
      <c r="S68" t="s">
        <v>40</v>
      </c>
      <c r="T68" s="1">
        <v>44817</v>
      </c>
      <c r="U68">
        <v>0</v>
      </c>
      <c r="V68">
        <v>5</v>
      </c>
      <c r="W68" t="s">
        <v>66</v>
      </c>
      <c r="X68" t="s">
        <v>135</v>
      </c>
      <c r="Y68" t="s">
        <v>42</v>
      </c>
      <c r="Z68" t="s">
        <v>43</v>
      </c>
      <c r="AA68" t="s">
        <v>43</v>
      </c>
      <c r="AD68" t="s">
        <v>3143</v>
      </c>
    </row>
    <row r="69" spans="1:30" x14ac:dyDescent="0.4">
      <c r="A69" t="s">
        <v>27</v>
      </c>
      <c r="B69">
        <v>237</v>
      </c>
      <c r="C69" t="s">
        <v>68</v>
      </c>
      <c r="D69" t="s">
        <v>85</v>
      </c>
      <c r="E69" t="s">
        <v>223</v>
      </c>
      <c r="F69" t="s">
        <v>224</v>
      </c>
      <c r="H69" t="s">
        <v>225</v>
      </c>
      <c r="I69" t="s">
        <v>226</v>
      </c>
      <c r="J69" t="s">
        <v>227</v>
      </c>
      <c r="K69" t="s">
        <v>35</v>
      </c>
      <c r="L69">
        <v>1784246235</v>
      </c>
      <c r="M69" t="s">
        <v>228</v>
      </c>
      <c r="N69" t="s">
        <v>229</v>
      </c>
      <c r="P69" t="s">
        <v>233</v>
      </c>
      <c r="Q69" t="s">
        <v>234</v>
      </c>
      <c r="R69" t="s">
        <v>232</v>
      </c>
      <c r="S69" t="s">
        <v>40</v>
      </c>
      <c r="T69" s="1">
        <v>43008</v>
      </c>
      <c r="U69">
        <v>0</v>
      </c>
      <c r="V69">
        <v>0</v>
      </c>
      <c r="W69" t="s">
        <v>59</v>
      </c>
      <c r="X69" t="s">
        <v>135</v>
      </c>
      <c r="Y69" t="s">
        <v>42</v>
      </c>
      <c r="Z69" t="s">
        <v>43</v>
      </c>
      <c r="AA69" t="s">
        <v>43</v>
      </c>
      <c r="AD69" t="s">
        <v>3143</v>
      </c>
    </row>
    <row r="70" spans="1:30" x14ac:dyDescent="0.4">
      <c r="A70" t="s">
        <v>27</v>
      </c>
      <c r="B70">
        <v>237</v>
      </c>
      <c r="C70" t="s">
        <v>68</v>
      </c>
      <c r="D70" t="s">
        <v>85</v>
      </c>
      <c r="E70" t="s">
        <v>223</v>
      </c>
      <c r="F70" t="s">
        <v>224</v>
      </c>
      <c r="H70" t="s">
        <v>225</v>
      </c>
      <c r="I70" t="s">
        <v>226</v>
      </c>
      <c r="J70" t="s">
        <v>227</v>
      </c>
      <c r="K70" t="s">
        <v>35</v>
      </c>
      <c r="L70">
        <v>1784246235</v>
      </c>
      <c r="M70" t="s">
        <v>228</v>
      </c>
      <c r="N70" t="s">
        <v>229</v>
      </c>
      <c r="P70" t="s">
        <v>235</v>
      </c>
      <c r="Q70" t="s">
        <v>236</v>
      </c>
      <c r="R70" t="s">
        <v>237</v>
      </c>
      <c r="S70" t="s">
        <v>40</v>
      </c>
      <c r="T70" s="1">
        <v>41544</v>
      </c>
      <c r="U70">
        <v>0</v>
      </c>
      <c r="V70">
        <v>0</v>
      </c>
      <c r="W70" t="s">
        <v>59</v>
      </c>
      <c r="X70" t="s">
        <v>135</v>
      </c>
      <c r="Y70" t="s">
        <v>42</v>
      </c>
      <c r="Z70" t="s">
        <v>43</v>
      </c>
      <c r="AA70" t="s">
        <v>43</v>
      </c>
      <c r="AD70" t="s">
        <v>3143</v>
      </c>
    </row>
    <row r="71" spans="1:30" x14ac:dyDescent="0.4">
      <c r="A71" t="s">
        <v>27</v>
      </c>
      <c r="B71">
        <v>237</v>
      </c>
      <c r="C71" t="s">
        <v>68</v>
      </c>
      <c r="D71" t="s">
        <v>85</v>
      </c>
      <c r="E71" t="s">
        <v>223</v>
      </c>
      <c r="F71" t="s">
        <v>224</v>
      </c>
      <c r="H71" t="s">
        <v>225</v>
      </c>
      <c r="I71" t="s">
        <v>226</v>
      </c>
      <c r="J71" t="s">
        <v>227</v>
      </c>
      <c r="K71" t="s">
        <v>35</v>
      </c>
      <c r="L71">
        <v>1784246235</v>
      </c>
      <c r="M71" t="s">
        <v>228</v>
      </c>
      <c r="N71" t="s">
        <v>229</v>
      </c>
      <c r="P71" t="s">
        <v>235</v>
      </c>
      <c r="Q71" t="s">
        <v>236</v>
      </c>
      <c r="R71" t="s">
        <v>237</v>
      </c>
      <c r="S71" t="s">
        <v>40</v>
      </c>
      <c r="T71" s="1">
        <v>41544</v>
      </c>
      <c r="U71">
        <v>0</v>
      </c>
      <c r="V71">
        <v>0</v>
      </c>
      <c r="W71" t="s">
        <v>59</v>
      </c>
      <c r="X71" t="s">
        <v>135</v>
      </c>
      <c r="Y71" t="s">
        <v>42</v>
      </c>
      <c r="Z71" t="s">
        <v>43</v>
      </c>
      <c r="AA71" t="s">
        <v>43</v>
      </c>
      <c r="AD71" t="s">
        <v>3143</v>
      </c>
    </row>
    <row r="72" spans="1:30" x14ac:dyDescent="0.4">
      <c r="A72" t="s">
        <v>27</v>
      </c>
      <c r="B72">
        <v>237</v>
      </c>
      <c r="C72" t="s">
        <v>68</v>
      </c>
      <c r="D72" t="s">
        <v>85</v>
      </c>
      <c r="E72" t="s">
        <v>223</v>
      </c>
      <c r="F72" t="s">
        <v>224</v>
      </c>
      <c r="H72" t="s">
        <v>225</v>
      </c>
      <c r="I72" t="s">
        <v>226</v>
      </c>
      <c r="J72" t="s">
        <v>227</v>
      </c>
      <c r="K72" t="s">
        <v>35</v>
      </c>
      <c r="L72">
        <v>1784246235</v>
      </c>
      <c r="M72" t="s">
        <v>228</v>
      </c>
      <c r="N72" t="s">
        <v>2848</v>
      </c>
      <c r="P72" t="s">
        <v>3091</v>
      </c>
      <c r="Q72" t="s">
        <v>234</v>
      </c>
      <c r="R72" t="s">
        <v>232</v>
      </c>
      <c r="S72" t="s">
        <v>40</v>
      </c>
      <c r="T72" s="1">
        <v>43008</v>
      </c>
      <c r="U72">
        <v>0</v>
      </c>
      <c r="V72">
        <v>20</v>
      </c>
      <c r="X72" t="s">
        <v>135</v>
      </c>
      <c r="Y72" t="s">
        <v>42</v>
      </c>
      <c r="Z72" t="s">
        <v>43</v>
      </c>
      <c r="AA72" t="s">
        <v>43</v>
      </c>
      <c r="AD72" t="s">
        <v>3143</v>
      </c>
    </row>
    <row r="73" spans="1:30" x14ac:dyDescent="0.4">
      <c r="A73" t="s">
        <v>27</v>
      </c>
      <c r="B73">
        <v>237</v>
      </c>
      <c r="C73" t="s">
        <v>68</v>
      </c>
      <c r="D73" t="s">
        <v>85</v>
      </c>
      <c r="E73" t="s">
        <v>223</v>
      </c>
      <c r="F73" t="s">
        <v>224</v>
      </c>
      <c r="H73" t="s">
        <v>225</v>
      </c>
      <c r="I73" t="s">
        <v>226</v>
      </c>
      <c r="J73" t="s">
        <v>227</v>
      </c>
      <c r="K73" t="s">
        <v>35</v>
      </c>
      <c r="L73">
        <v>1784246235</v>
      </c>
      <c r="M73" t="s">
        <v>228</v>
      </c>
      <c r="N73" t="s">
        <v>2848</v>
      </c>
      <c r="P73" t="s">
        <v>3090</v>
      </c>
      <c r="Q73" t="s">
        <v>231</v>
      </c>
      <c r="R73" t="s">
        <v>232</v>
      </c>
      <c r="S73" t="s">
        <v>40</v>
      </c>
      <c r="T73" s="1">
        <v>44817</v>
      </c>
      <c r="U73">
        <v>0</v>
      </c>
      <c r="V73">
        <v>12</v>
      </c>
      <c r="X73" t="s">
        <v>135</v>
      </c>
      <c r="Y73" t="s">
        <v>42</v>
      </c>
      <c r="Z73" t="s">
        <v>43</v>
      </c>
      <c r="AA73" t="s">
        <v>43</v>
      </c>
      <c r="AD73" t="s">
        <v>3143</v>
      </c>
    </row>
    <row r="74" spans="1:30" x14ac:dyDescent="0.4">
      <c r="A74" t="s">
        <v>27</v>
      </c>
      <c r="B74">
        <v>681</v>
      </c>
      <c r="C74" t="s">
        <v>68</v>
      </c>
      <c r="D74" t="s">
        <v>238</v>
      </c>
      <c r="E74" t="s">
        <v>239</v>
      </c>
      <c r="F74" t="s">
        <v>240</v>
      </c>
      <c r="H74" t="s">
        <v>241</v>
      </c>
      <c r="I74" t="s">
        <v>242</v>
      </c>
      <c r="J74" t="s">
        <v>243</v>
      </c>
      <c r="K74" t="s">
        <v>35</v>
      </c>
      <c r="L74">
        <v>7977869117</v>
      </c>
      <c r="M74" t="s">
        <v>244</v>
      </c>
      <c r="N74" t="s">
        <v>245</v>
      </c>
      <c r="P74" t="s">
        <v>246</v>
      </c>
      <c r="Q74" t="s">
        <v>247</v>
      </c>
      <c r="R74" t="s">
        <v>248</v>
      </c>
      <c r="S74" t="s">
        <v>40</v>
      </c>
      <c r="T74" s="1">
        <v>40238</v>
      </c>
      <c r="U74">
        <v>0</v>
      </c>
      <c r="V74">
        <v>0</v>
      </c>
      <c r="W74" t="s">
        <v>59</v>
      </c>
      <c r="Y74" t="s">
        <v>42</v>
      </c>
      <c r="Z74" t="s">
        <v>43</v>
      </c>
      <c r="AA74" t="s">
        <v>43</v>
      </c>
      <c r="AD74" t="s">
        <v>3143</v>
      </c>
    </row>
    <row r="75" spans="1:30" x14ac:dyDescent="0.4">
      <c r="A75" t="s">
        <v>27</v>
      </c>
      <c r="B75">
        <v>681</v>
      </c>
      <c r="C75" t="s">
        <v>68</v>
      </c>
      <c r="D75" t="s">
        <v>238</v>
      </c>
      <c r="E75" t="s">
        <v>239</v>
      </c>
      <c r="F75" t="s">
        <v>240</v>
      </c>
      <c r="H75" t="s">
        <v>241</v>
      </c>
      <c r="I75" t="s">
        <v>242</v>
      </c>
      <c r="J75" t="s">
        <v>243</v>
      </c>
      <c r="K75" t="s">
        <v>35</v>
      </c>
      <c r="L75">
        <v>7977869117</v>
      </c>
      <c r="M75" t="s">
        <v>244</v>
      </c>
      <c r="N75" t="s">
        <v>245</v>
      </c>
      <c r="P75" t="s">
        <v>249</v>
      </c>
      <c r="Q75" t="s">
        <v>250</v>
      </c>
      <c r="R75" t="s">
        <v>248</v>
      </c>
      <c r="S75" t="s">
        <v>40</v>
      </c>
      <c r="T75" s="1">
        <v>40585</v>
      </c>
      <c r="U75">
        <v>0</v>
      </c>
      <c r="V75">
        <v>0</v>
      </c>
      <c r="W75" t="s">
        <v>59</v>
      </c>
      <c r="Y75" t="s">
        <v>42</v>
      </c>
      <c r="Z75" t="s">
        <v>43</v>
      </c>
      <c r="AA75" t="s">
        <v>43</v>
      </c>
      <c r="AD75" t="s">
        <v>3143</v>
      </c>
    </row>
    <row r="76" spans="1:30" x14ac:dyDescent="0.4">
      <c r="A76" t="s">
        <v>27</v>
      </c>
      <c r="B76">
        <v>681</v>
      </c>
      <c r="C76" t="s">
        <v>68</v>
      </c>
      <c r="D76" t="s">
        <v>238</v>
      </c>
      <c r="E76" t="s">
        <v>239</v>
      </c>
      <c r="F76" t="s">
        <v>240</v>
      </c>
      <c r="H76" t="s">
        <v>241</v>
      </c>
      <c r="I76" t="s">
        <v>242</v>
      </c>
      <c r="J76" t="s">
        <v>243</v>
      </c>
      <c r="K76" t="s">
        <v>35</v>
      </c>
      <c r="L76">
        <v>7977869117</v>
      </c>
      <c r="M76" t="s">
        <v>244</v>
      </c>
      <c r="N76" t="s">
        <v>245</v>
      </c>
      <c r="P76" t="s">
        <v>251</v>
      </c>
      <c r="Q76" t="s">
        <v>252</v>
      </c>
      <c r="R76" t="s">
        <v>94</v>
      </c>
      <c r="S76" t="s">
        <v>82</v>
      </c>
      <c r="T76" s="1">
        <v>45257</v>
      </c>
      <c r="U76">
        <v>0</v>
      </c>
      <c r="V76">
        <v>15</v>
      </c>
      <c r="Y76" t="s">
        <v>42</v>
      </c>
      <c r="Z76" t="s">
        <v>43</v>
      </c>
      <c r="AA76" t="s">
        <v>43</v>
      </c>
      <c r="AD76" t="s">
        <v>3143</v>
      </c>
    </row>
    <row r="77" spans="1:30" x14ac:dyDescent="0.4">
      <c r="A77" t="s">
        <v>27</v>
      </c>
      <c r="B77">
        <v>681</v>
      </c>
      <c r="C77" t="s">
        <v>68</v>
      </c>
      <c r="D77" t="s">
        <v>238</v>
      </c>
      <c r="E77" t="s">
        <v>239</v>
      </c>
      <c r="F77" t="s">
        <v>240</v>
      </c>
      <c r="H77" t="s">
        <v>241</v>
      </c>
      <c r="I77" t="s">
        <v>242</v>
      </c>
      <c r="J77" t="s">
        <v>243</v>
      </c>
      <c r="K77" t="s">
        <v>35</v>
      </c>
      <c r="L77">
        <v>7977869117</v>
      </c>
      <c r="M77" t="s">
        <v>244</v>
      </c>
      <c r="N77" t="s">
        <v>245</v>
      </c>
      <c r="P77" t="s">
        <v>251</v>
      </c>
      <c r="Q77" t="s">
        <v>252</v>
      </c>
      <c r="R77" t="s">
        <v>94</v>
      </c>
      <c r="S77" t="s">
        <v>82</v>
      </c>
      <c r="T77" s="1">
        <v>45257</v>
      </c>
      <c r="U77">
        <v>0</v>
      </c>
      <c r="V77">
        <v>17</v>
      </c>
      <c r="Y77" t="s">
        <v>42</v>
      </c>
      <c r="Z77" t="s">
        <v>43</v>
      </c>
      <c r="AA77" t="s">
        <v>43</v>
      </c>
      <c r="AD77" t="s">
        <v>3143</v>
      </c>
    </row>
    <row r="78" spans="1:30" x14ac:dyDescent="0.4">
      <c r="A78" t="s">
        <v>27</v>
      </c>
      <c r="B78">
        <v>681</v>
      </c>
      <c r="C78" t="s">
        <v>68</v>
      </c>
      <c r="D78" t="s">
        <v>238</v>
      </c>
      <c r="E78" t="s">
        <v>239</v>
      </c>
      <c r="F78" t="s">
        <v>240</v>
      </c>
      <c r="H78" t="s">
        <v>241</v>
      </c>
      <c r="I78" t="s">
        <v>242</v>
      </c>
      <c r="J78" t="s">
        <v>243</v>
      </c>
      <c r="K78" t="s">
        <v>35</v>
      </c>
      <c r="L78">
        <v>7977869117</v>
      </c>
      <c r="M78" t="s">
        <v>244</v>
      </c>
      <c r="N78" t="s">
        <v>245</v>
      </c>
      <c r="P78" t="s">
        <v>253</v>
      </c>
      <c r="Q78" t="s">
        <v>254</v>
      </c>
      <c r="R78" t="s">
        <v>94</v>
      </c>
      <c r="S78" t="s">
        <v>40</v>
      </c>
      <c r="T78" s="1">
        <v>43393</v>
      </c>
      <c r="U78">
        <v>0</v>
      </c>
      <c r="V78">
        <v>16</v>
      </c>
      <c r="Y78" t="s">
        <v>42</v>
      </c>
      <c r="Z78" t="s">
        <v>43</v>
      </c>
      <c r="AA78" t="s">
        <v>43</v>
      </c>
      <c r="AD78" t="s">
        <v>3143</v>
      </c>
    </row>
    <row r="79" spans="1:30" x14ac:dyDescent="0.4">
      <c r="A79" t="s">
        <v>27</v>
      </c>
      <c r="B79">
        <v>681</v>
      </c>
      <c r="C79" t="s">
        <v>68</v>
      </c>
      <c r="D79" t="s">
        <v>238</v>
      </c>
      <c r="E79" t="s">
        <v>239</v>
      </c>
      <c r="F79" t="s">
        <v>240</v>
      </c>
      <c r="H79" t="s">
        <v>241</v>
      </c>
      <c r="I79" t="s">
        <v>242</v>
      </c>
      <c r="J79" t="s">
        <v>243</v>
      </c>
      <c r="K79" t="s">
        <v>35</v>
      </c>
      <c r="L79">
        <v>7977869117</v>
      </c>
      <c r="M79" t="s">
        <v>244</v>
      </c>
      <c r="N79" t="s">
        <v>245</v>
      </c>
      <c r="P79" t="s">
        <v>255</v>
      </c>
      <c r="Q79" t="s">
        <v>256</v>
      </c>
      <c r="R79" t="s">
        <v>94</v>
      </c>
      <c r="S79" t="s">
        <v>82</v>
      </c>
      <c r="T79" s="1">
        <v>42069</v>
      </c>
      <c r="U79">
        <v>0</v>
      </c>
      <c r="V79">
        <v>19</v>
      </c>
      <c r="Y79" t="s">
        <v>42</v>
      </c>
      <c r="Z79" t="s">
        <v>43</v>
      </c>
      <c r="AA79" t="s">
        <v>43</v>
      </c>
      <c r="AD79" t="s">
        <v>3143</v>
      </c>
    </row>
    <row r="80" spans="1:30" x14ac:dyDescent="0.4">
      <c r="A80" t="s">
        <v>27</v>
      </c>
      <c r="B80">
        <v>681</v>
      </c>
      <c r="C80" t="s">
        <v>68</v>
      </c>
      <c r="D80" t="s">
        <v>238</v>
      </c>
      <c r="E80" t="s">
        <v>239</v>
      </c>
      <c r="F80" t="s">
        <v>240</v>
      </c>
      <c r="H80" t="s">
        <v>241</v>
      </c>
      <c r="I80" t="s">
        <v>242</v>
      </c>
      <c r="J80" t="s">
        <v>243</v>
      </c>
      <c r="K80" t="s">
        <v>35</v>
      </c>
      <c r="L80">
        <v>7977869117</v>
      </c>
      <c r="M80" t="s">
        <v>244</v>
      </c>
      <c r="N80" t="s">
        <v>245</v>
      </c>
      <c r="P80" t="s">
        <v>255</v>
      </c>
      <c r="Q80" t="s">
        <v>256</v>
      </c>
      <c r="R80" t="s">
        <v>94</v>
      </c>
      <c r="S80" t="s">
        <v>82</v>
      </c>
      <c r="T80" s="1">
        <v>42069</v>
      </c>
      <c r="U80">
        <v>0</v>
      </c>
      <c r="V80">
        <v>21</v>
      </c>
      <c r="Y80" t="s">
        <v>42</v>
      </c>
      <c r="Z80" t="s">
        <v>43</v>
      </c>
      <c r="AA80" t="s">
        <v>43</v>
      </c>
      <c r="AD80" t="s">
        <v>3143</v>
      </c>
    </row>
    <row r="81" spans="1:30" x14ac:dyDescent="0.4">
      <c r="A81" t="s">
        <v>27</v>
      </c>
      <c r="B81">
        <v>96</v>
      </c>
      <c r="C81" t="s">
        <v>257</v>
      </c>
      <c r="D81" t="s">
        <v>258</v>
      </c>
      <c r="E81" t="s">
        <v>259</v>
      </c>
      <c r="F81" t="s">
        <v>260</v>
      </c>
      <c r="G81" t="s">
        <v>261</v>
      </c>
      <c r="H81" t="s">
        <v>262</v>
      </c>
      <c r="I81" t="s">
        <v>51</v>
      </c>
      <c r="J81" t="s">
        <v>263</v>
      </c>
      <c r="K81" t="s">
        <v>35</v>
      </c>
      <c r="L81" t="s">
        <v>264</v>
      </c>
      <c r="M81" t="s">
        <v>265</v>
      </c>
      <c r="N81" t="s">
        <v>266</v>
      </c>
      <c r="P81" t="s">
        <v>267</v>
      </c>
      <c r="Q81" t="s">
        <v>268</v>
      </c>
      <c r="R81" t="s">
        <v>269</v>
      </c>
      <c r="S81" t="s">
        <v>40</v>
      </c>
      <c r="T81" s="1">
        <v>43238</v>
      </c>
      <c r="U81">
        <v>0</v>
      </c>
      <c r="V81">
        <v>0</v>
      </c>
      <c r="W81" t="s">
        <v>59</v>
      </c>
      <c r="Y81" t="s">
        <v>42</v>
      </c>
      <c r="Z81" t="s">
        <v>43</v>
      </c>
      <c r="AA81" t="s">
        <v>43</v>
      </c>
      <c r="AD81" t="s">
        <v>3143</v>
      </c>
    </row>
    <row r="82" spans="1:30" x14ac:dyDescent="0.4">
      <c r="A82" t="s">
        <v>27</v>
      </c>
      <c r="B82">
        <v>96</v>
      </c>
      <c r="C82" t="s">
        <v>257</v>
      </c>
      <c r="D82" t="s">
        <v>258</v>
      </c>
      <c r="E82" t="s">
        <v>259</v>
      </c>
      <c r="F82" t="s">
        <v>260</v>
      </c>
      <c r="G82" t="s">
        <v>261</v>
      </c>
      <c r="H82" t="s">
        <v>262</v>
      </c>
      <c r="I82" t="s">
        <v>51</v>
      </c>
      <c r="J82" t="s">
        <v>263</v>
      </c>
      <c r="K82" t="s">
        <v>35</v>
      </c>
      <c r="L82" t="s">
        <v>264</v>
      </c>
      <c r="M82" t="s">
        <v>265</v>
      </c>
      <c r="N82" t="s">
        <v>266</v>
      </c>
      <c r="P82" t="s">
        <v>270</v>
      </c>
      <c r="Q82" t="s">
        <v>271</v>
      </c>
      <c r="R82" t="s">
        <v>272</v>
      </c>
      <c r="S82" t="s">
        <v>40</v>
      </c>
      <c r="T82" s="1">
        <v>40713</v>
      </c>
      <c r="U82">
        <v>0</v>
      </c>
      <c r="V82">
        <v>0</v>
      </c>
      <c r="W82" t="s">
        <v>59</v>
      </c>
      <c r="Y82" t="s">
        <v>42</v>
      </c>
      <c r="Z82" t="s">
        <v>43</v>
      </c>
      <c r="AA82" t="s">
        <v>43</v>
      </c>
      <c r="AD82" t="s">
        <v>3143</v>
      </c>
    </row>
    <row r="83" spans="1:30" x14ac:dyDescent="0.4">
      <c r="A83" t="s">
        <v>27</v>
      </c>
      <c r="B83">
        <v>96</v>
      </c>
      <c r="C83" t="s">
        <v>257</v>
      </c>
      <c r="D83" t="s">
        <v>258</v>
      </c>
      <c r="E83" t="s">
        <v>259</v>
      </c>
      <c r="F83" t="s">
        <v>260</v>
      </c>
      <c r="G83" t="s">
        <v>261</v>
      </c>
      <c r="H83" t="s">
        <v>262</v>
      </c>
      <c r="I83" t="s">
        <v>51</v>
      </c>
      <c r="J83" t="s">
        <v>263</v>
      </c>
      <c r="K83" t="s">
        <v>35</v>
      </c>
      <c r="L83" t="s">
        <v>264</v>
      </c>
      <c r="M83" t="s">
        <v>265</v>
      </c>
      <c r="N83" t="s">
        <v>266</v>
      </c>
      <c r="P83" t="s">
        <v>267</v>
      </c>
      <c r="Q83" t="s">
        <v>268</v>
      </c>
      <c r="R83" t="s">
        <v>269</v>
      </c>
      <c r="S83" t="s">
        <v>40</v>
      </c>
      <c r="T83" s="1">
        <v>43238</v>
      </c>
      <c r="U83">
        <v>0</v>
      </c>
      <c r="V83">
        <v>0</v>
      </c>
      <c r="W83" t="s">
        <v>59</v>
      </c>
      <c r="Y83" t="s">
        <v>42</v>
      </c>
      <c r="Z83" t="s">
        <v>43</v>
      </c>
      <c r="AA83" t="s">
        <v>43</v>
      </c>
      <c r="AD83" t="s">
        <v>3143</v>
      </c>
    </row>
    <row r="84" spans="1:30" x14ac:dyDescent="0.4">
      <c r="A84" t="s">
        <v>27</v>
      </c>
      <c r="B84">
        <v>96</v>
      </c>
      <c r="C84" t="s">
        <v>257</v>
      </c>
      <c r="D84" t="s">
        <v>258</v>
      </c>
      <c r="E84" t="s">
        <v>259</v>
      </c>
      <c r="F84" t="s">
        <v>260</v>
      </c>
      <c r="G84" t="s">
        <v>261</v>
      </c>
      <c r="H84" t="s">
        <v>262</v>
      </c>
      <c r="I84" t="s">
        <v>51</v>
      </c>
      <c r="J84" t="s">
        <v>263</v>
      </c>
      <c r="K84" t="s">
        <v>35</v>
      </c>
      <c r="L84" t="s">
        <v>264</v>
      </c>
      <c r="M84" t="s">
        <v>265</v>
      </c>
      <c r="N84" t="s">
        <v>266</v>
      </c>
      <c r="P84" t="s">
        <v>270</v>
      </c>
      <c r="Q84" t="s">
        <v>271</v>
      </c>
      <c r="R84" t="s">
        <v>272</v>
      </c>
      <c r="S84" t="s">
        <v>40</v>
      </c>
      <c r="T84" s="1">
        <v>40713</v>
      </c>
      <c r="U84">
        <v>0</v>
      </c>
      <c r="V84">
        <v>0</v>
      </c>
      <c r="W84" t="s">
        <v>59</v>
      </c>
      <c r="Y84" t="s">
        <v>42</v>
      </c>
      <c r="Z84" t="s">
        <v>43</v>
      </c>
      <c r="AA84" t="s">
        <v>43</v>
      </c>
      <c r="AD84" t="s">
        <v>3143</v>
      </c>
    </row>
    <row r="85" spans="1:30" x14ac:dyDescent="0.4">
      <c r="A85" t="s">
        <v>27</v>
      </c>
      <c r="B85">
        <v>96</v>
      </c>
      <c r="C85" t="s">
        <v>257</v>
      </c>
      <c r="D85" t="s">
        <v>258</v>
      </c>
      <c r="E85" t="s">
        <v>259</v>
      </c>
      <c r="F85" t="s">
        <v>260</v>
      </c>
      <c r="G85" t="s">
        <v>261</v>
      </c>
      <c r="H85" t="s">
        <v>262</v>
      </c>
      <c r="I85" t="s">
        <v>51</v>
      </c>
      <c r="J85" t="s">
        <v>263</v>
      </c>
      <c r="K85" t="s">
        <v>35</v>
      </c>
      <c r="L85" t="s">
        <v>264</v>
      </c>
      <c r="M85" t="s">
        <v>265</v>
      </c>
      <c r="N85" t="s">
        <v>2914</v>
      </c>
      <c r="P85" t="s">
        <v>273</v>
      </c>
      <c r="Q85" t="s">
        <v>274</v>
      </c>
      <c r="R85" t="s">
        <v>3135</v>
      </c>
      <c r="S85" t="s">
        <v>82</v>
      </c>
      <c r="T85" s="1">
        <v>43330</v>
      </c>
      <c r="U85">
        <v>0</v>
      </c>
      <c r="V85">
        <v>7</v>
      </c>
      <c r="Y85" t="s">
        <v>42</v>
      </c>
      <c r="Z85" t="s">
        <v>43</v>
      </c>
      <c r="AA85" t="s">
        <v>43</v>
      </c>
      <c r="AD85" t="s">
        <v>3143</v>
      </c>
    </row>
    <row r="86" spans="1:30" x14ac:dyDescent="0.4">
      <c r="A86" t="s">
        <v>27</v>
      </c>
      <c r="B86">
        <v>96</v>
      </c>
      <c r="C86" t="s">
        <v>257</v>
      </c>
      <c r="D86" t="s">
        <v>258</v>
      </c>
      <c r="E86" t="s">
        <v>259</v>
      </c>
      <c r="F86" t="s">
        <v>260</v>
      </c>
      <c r="G86" t="s">
        <v>261</v>
      </c>
      <c r="H86" t="s">
        <v>262</v>
      </c>
      <c r="I86" t="s">
        <v>51</v>
      </c>
      <c r="J86" t="s">
        <v>263</v>
      </c>
      <c r="K86" t="s">
        <v>35</v>
      </c>
      <c r="L86" t="s">
        <v>264</v>
      </c>
      <c r="M86" t="s">
        <v>265</v>
      </c>
      <c r="N86" t="s">
        <v>2914</v>
      </c>
      <c r="P86" t="s">
        <v>273</v>
      </c>
      <c r="Q86" t="s">
        <v>274</v>
      </c>
      <c r="R86" t="s">
        <v>3135</v>
      </c>
      <c r="S86" t="s">
        <v>82</v>
      </c>
      <c r="T86" s="1">
        <v>43330</v>
      </c>
      <c r="U86">
        <v>0</v>
      </c>
      <c r="V86">
        <v>19</v>
      </c>
      <c r="Y86" t="s">
        <v>42</v>
      </c>
      <c r="Z86" t="s">
        <v>43</v>
      </c>
      <c r="AA86" t="s">
        <v>43</v>
      </c>
      <c r="AD86" t="s">
        <v>3143</v>
      </c>
    </row>
    <row r="87" spans="1:30" x14ac:dyDescent="0.4">
      <c r="A87" t="s">
        <v>27</v>
      </c>
      <c r="B87">
        <v>2370</v>
      </c>
      <c r="C87" t="s">
        <v>195</v>
      </c>
      <c r="D87" t="s">
        <v>160</v>
      </c>
      <c r="E87" t="s">
        <v>276</v>
      </c>
      <c r="F87" t="s">
        <v>277</v>
      </c>
      <c r="H87" t="s">
        <v>278</v>
      </c>
      <c r="I87" t="s">
        <v>73</v>
      </c>
      <c r="J87" t="s">
        <v>279</v>
      </c>
      <c r="K87" t="s">
        <v>35</v>
      </c>
      <c r="L87">
        <v>7941875227</v>
      </c>
      <c r="M87" t="s">
        <v>280</v>
      </c>
      <c r="N87" t="s">
        <v>2849</v>
      </c>
      <c r="P87" t="s">
        <v>3092</v>
      </c>
      <c r="Q87" t="s">
        <v>283</v>
      </c>
      <c r="R87" t="s">
        <v>284</v>
      </c>
      <c r="S87" t="s">
        <v>40</v>
      </c>
      <c r="T87" s="1">
        <v>44280</v>
      </c>
      <c r="U87">
        <v>0</v>
      </c>
      <c r="V87">
        <v>6</v>
      </c>
      <c r="W87" t="s">
        <v>83</v>
      </c>
      <c r="X87" t="s">
        <v>135</v>
      </c>
      <c r="Y87" t="s">
        <v>42</v>
      </c>
      <c r="Z87" t="s">
        <v>43</v>
      </c>
      <c r="AA87" t="s">
        <v>43</v>
      </c>
      <c r="AD87" t="s">
        <v>3143</v>
      </c>
    </row>
    <row r="88" spans="1:30" x14ac:dyDescent="0.4">
      <c r="A88" t="s">
        <v>27</v>
      </c>
      <c r="B88">
        <v>2370</v>
      </c>
      <c r="C88" t="s">
        <v>195</v>
      </c>
      <c r="D88" t="s">
        <v>160</v>
      </c>
      <c r="E88" t="s">
        <v>276</v>
      </c>
      <c r="F88" t="s">
        <v>277</v>
      </c>
      <c r="H88" t="s">
        <v>278</v>
      </c>
      <c r="I88" t="s">
        <v>73</v>
      </c>
      <c r="J88" t="s">
        <v>279</v>
      </c>
      <c r="K88" t="s">
        <v>35</v>
      </c>
      <c r="L88">
        <v>7941875227</v>
      </c>
      <c r="M88" t="s">
        <v>280</v>
      </c>
      <c r="N88" t="s">
        <v>2849</v>
      </c>
      <c r="P88" t="s">
        <v>3092</v>
      </c>
      <c r="Q88" t="s">
        <v>283</v>
      </c>
      <c r="R88" t="s">
        <v>284</v>
      </c>
      <c r="S88" t="s">
        <v>40</v>
      </c>
      <c r="T88" s="1">
        <v>44280</v>
      </c>
      <c r="U88">
        <v>0</v>
      </c>
      <c r="V88">
        <v>16</v>
      </c>
      <c r="X88" t="s">
        <v>135</v>
      </c>
      <c r="Y88" t="s">
        <v>42</v>
      </c>
      <c r="Z88" t="s">
        <v>43</v>
      </c>
      <c r="AA88" t="s">
        <v>43</v>
      </c>
      <c r="AD88" t="s">
        <v>3143</v>
      </c>
    </row>
    <row r="89" spans="1:30" x14ac:dyDescent="0.4">
      <c r="A89" t="s">
        <v>27</v>
      </c>
      <c r="B89">
        <v>2370</v>
      </c>
      <c r="C89" t="s">
        <v>195</v>
      </c>
      <c r="D89" t="s">
        <v>160</v>
      </c>
      <c r="E89" t="s">
        <v>276</v>
      </c>
      <c r="F89" t="s">
        <v>277</v>
      </c>
      <c r="H89" t="s">
        <v>278</v>
      </c>
      <c r="I89" t="s">
        <v>73</v>
      </c>
      <c r="J89" t="s">
        <v>279</v>
      </c>
      <c r="K89" t="s">
        <v>35</v>
      </c>
      <c r="L89">
        <v>7941875227</v>
      </c>
      <c r="M89" t="s">
        <v>280</v>
      </c>
      <c r="N89" t="s">
        <v>281</v>
      </c>
      <c r="P89" t="s">
        <v>285</v>
      </c>
      <c r="Q89" t="s">
        <v>286</v>
      </c>
      <c r="R89" t="s">
        <v>287</v>
      </c>
      <c r="S89" t="s">
        <v>40</v>
      </c>
      <c r="T89" s="1">
        <v>45015</v>
      </c>
      <c r="U89">
        <v>0</v>
      </c>
      <c r="V89">
        <v>0</v>
      </c>
      <c r="W89" t="s">
        <v>59</v>
      </c>
      <c r="X89" t="s">
        <v>135</v>
      </c>
      <c r="Y89" t="s">
        <v>42</v>
      </c>
      <c r="Z89" t="s">
        <v>43</v>
      </c>
      <c r="AA89" t="s">
        <v>43</v>
      </c>
      <c r="AD89" t="s">
        <v>3143</v>
      </c>
    </row>
    <row r="90" spans="1:30" x14ac:dyDescent="0.4">
      <c r="A90" t="s">
        <v>27</v>
      </c>
      <c r="B90">
        <v>2370</v>
      </c>
      <c r="C90" t="s">
        <v>195</v>
      </c>
      <c r="D90" t="s">
        <v>160</v>
      </c>
      <c r="E90" t="s">
        <v>276</v>
      </c>
      <c r="F90" t="s">
        <v>277</v>
      </c>
      <c r="H90" t="s">
        <v>278</v>
      </c>
      <c r="I90" t="s">
        <v>73</v>
      </c>
      <c r="J90" t="s">
        <v>279</v>
      </c>
      <c r="K90" t="s">
        <v>35</v>
      </c>
      <c r="L90">
        <v>7941875227</v>
      </c>
      <c r="M90" t="s">
        <v>280</v>
      </c>
      <c r="N90" t="s">
        <v>281</v>
      </c>
      <c r="P90" t="s">
        <v>285</v>
      </c>
      <c r="Q90" t="s">
        <v>286</v>
      </c>
      <c r="R90" t="s">
        <v>287</v>
      </c>
      <c r="S90" t="s">
        <v>40</v>
      </c>
      <c r="T90" s="1">
        <v>45015</v>
      </c>
      <c r="U90">
        <v>0</v>
      </c>
      <c r="V90">
        <v>0</v>
      </c>
      <c r="W90" t="s">
        <v>59</v>
      </c>
      <c r="X90" t="s">
        <v>135</v>
      </c>
      <c r="Y90" t="s">
        <v>42</v>
      </c>
      <c r="Z90" t="s">
        <v>43</v>
      </c>
      <c r="AA90" t="s">
        <v>43</v>
      </c>
      <c r="AD90" t="s">
        <v>3143</v>
      </c>
    </row>
    <row r="91" spans="1:30" ht="64" x14ac:dyDescent="0.4">
      <c r="A91" t="s">
        <v>27</v>
      </c>
      <c r="B91">
        <v>197</v>
      </c>
      <c r="C91" t="s">
        <v>257</v>
      </c>
      <c r="D91" t="s">
        <v>288</v>
      </c>
      <c r="E91" t="s">
        <v>289</v>
      </c>
      <c r="F91" t="s">
        <v>290</v>
      </c>
      <c r="H91" t="s">
        <v>291</v>
      </c>
      <c r="I91" t="s">
        <v>51</v>
      </c>
      <c r="J91" t="s">
        <v>292</v>
      </c>
      <c r="K91" t="s">
        <v>35</v>
      </c>
      <c r="L91">
        <v>441425470839</v>
      </c>
      <c r="M91" t="s">
        <v>293</v>
      </c>
      <c r="N91" t="s">
        <v>2915</v>
      </c>
      <c r="P91" t="s">
        <v>295</v>
      </c>
      <c r="Q91" t="s">
        <v>296</v>
      </c>
      <c r="R91" t="s">
        <v>94</v>
      </c>
      <c r="S91" t="s">
        <v>40</v>
      </c>
      <c r="T91" s="1">
        <v>44157</v>
      </c>
      <c r="U91">
        <v>0</v>
      </c>
      <c r="V91">
        <v>11</v>
      </c>
      <c r="Y91" t="s">
        <v>42</v>
      </c>
      <c r="Z91" t="s">
        <v>43</v>
      </c>
      <c r="AA91" t="s">
        <v>43</v>
      </c>
      <c r="AB91" s="2" t="s">
        <v>298</v>
      </c>
      <c r="AD91" t="s">
        <v>3143</v>
      </c>
    </row>
    <row r="92" spans="1:30" ht="64" x14ac:dyDescent="0.4">
      <c r="A92" t="s">
        <v>27</v>
      </c>
      <c r="B92">
        <v>197</v>
      </c>
      <c r="C92" t="s">
        <v>257</v>
      </c>
      <c r="D92" t="s">
        <v>288</v>
      </c>
      <c r="E92" t="s">
        <v>289</v>
      </c>
      <c r="F92" t="s">
        <v>290</v>
      </c>
      <c r="H92" t="s">
        <v>291</v>
      </c>
      <c r="I92" t="s">
        <v>51</v>
      </c>
      <c r="J92" t="s">
        <v>292</v>
      </c>
      <c r="K92" t="s">
        <v>35</v>
      </c>
      <c r="L92">
        <v>441425470839</v>
      </c>
      <c r="M92" t="s">
        <v>293</v>
      </c>
      <c r="N92" t="s">
        <v>2915</v>
      </c>
      <c r="P92" t="s">
        <v>294</v>
      </c>
      <c r="Q92" t="s">
        <v>299</v>
      </c>
      <c r="R92" t="s">
        <v>58</v>
      </c>
      <c r="S92" t="s">
        <v>40</v>
      </c>
      <c r="T92" s="1">
        <v>42646</v>
      </c>
      <c r="U92">
        <v>0</v>
      </c>
      <c r="V92">
        <v>12</v>
      </c>
      <c r="Y92" t="s">
        <v>42</v>
      </c>
      <c r="Z92" t="s">
        <v>43</v>
      </c>
      <c r="AA92" t="s">
        <v>43</v>
      </c>
      <c r="AB92" s="2" t="s">
        <v>298</v>
      </c>
      <c r="AD92" t="s">
        <v>3143</v>
      </c>
    </row>
    <row r="93" spans="1:30" ht="64" x14ac:dyDescent="0.4">
      <c r="A93" t="s">
        <v>27</v>
      </c>
      <c r="B93">
        <v>197</v>
      </c>
      <c r="C93" t="s">
        <v>257</v>
      </c>
      <c r="D93" t="s">
        <v>288</v>
      </c>
      <c r="E93" t="s">
        <v>289</v>
      </c>
      <c r="F93" t="s">
        <v>290</v>
      </c>
      <c r="H93" t="s">
        <v>291</v>
      </c>
      <c r="I93" t="s">
        <v>51</v>
      </c>
      <c r="J93" t="s">
        <v>292</v>
      </c>
      <c r="K93" t="s">
        <v>35</v>
      </c>
      <c r="L93">
        <v>441425470839</v>
      </c>
      <c r="M93" t="s">
        <v>293</v>
      </c>
      <c r="N93" t="s">
        <v>2915</v>
      </c>
      <c r="P93" t="s">
        <v>295</v>
      </c>
      <c r="Q93" t="s">
        <v>296</v>
      </c>
      <c r="R93" t="s">
        <v>94</v>
      </c>
      <c r="S93" t="s">
        <v>40</v>
      </c>
      <c r="T93" s="1">
        <v>44157</v>
      </c>
      <c r="U93">
        <v>0</v>
      </c>
      <c r="V93">
        <v>12</v>
      </c>
      <c r="Y93" t="s">
        <v>42</v>
      </c>
      <c r="Z93" t="s">
        <v>43</v>
      </c>
      <c r="AA93" t="s">
        <v>43</v>
      </c>
      <c r="AB93" s="2" t="s">
        <v>298</v>
      </c>
      <c r="AD93" t="s">
        <v>3143</v>
      </c>
    </row>
    <row r="94" spans="1:30" x14ac:dyDescent="0.4">
      <c r="A94" t="s">
        <v>27</v>
      </c>
      <c r="B94">
        <v>1099</v>
      </c>
      <c r="C94" t="s">
        <v>68</v>
      </c>
      <c r="D94" t="s">
        <v>300</v>
      </c>
      <c r="E94" t="s">
        <v>301</v>
      </c>
      <c r="F94" t="s">
        <v>302</v>
      </c>
      <c r="G94" t="s">
        <v>303</v>
      </c>
      <c r="H94" t="s">
        <v>200</v>
      </c>
      <c r="I94" t="s">
        <v>304</v>
      </c>
      <c r="J94" t="s">
        <v>305</v>
      </c>
      <c r="K94" t="s">
        <v>35</v>
      </c>
      <c r="L94" t="s">
        <v>306</v>
      </c>
      <c r="M94" t="s">
        <v>307</v>
      </c>
      <c r="N94" t="s">
        <v>2916</v>
      </c>
      <c r="P94" t="s">
        <v>308</v>
      </c>
      <c r="Q94" t="s">
        <v>309</v>
      </c>
      <c r="R94" t="s">
        <v>94</v>
      </c>
      <c r="S94" t="s">
        <v>82</v>
      </c>
      <c r="T94" s="1">
        <v>44690</v>
      </c>
      <c r="U94">
        <v>0</v>
      </c>
      <c r="V94">
        <v>13</v>
      </c>
      <c r="Y94" t="s">
        <v>42</v>
      </c>
      <c r="Z94" t="s">
        <v>43</v>
      </c>
      <c r="AA94" t="s">
        <v>43</v>
      </c>
      <c r="AD94" t="s">
        <v>3143</v>
      </c>
    </row>
    <row r="95" spans="1:30" x14ac:dyDescent="0.4">
      <c r="A95" t="s">
        <v>27</v>
      </c>
      <c r="B95">
        <v>1099</v>
      </c>
      <c r="C95" t="s">
        <v>68</v>
      </c>
      <c r="D95" t="s">
        <v>300</v>
      </c>
      <c r="E95" t="s">
        <v>301</v>
      </c>
      <c r="F95" t="s">
        <v>302</v>
      </c>
      <c r="G95" t="s">
        <v>303</v>
      </c>
      <c r="H95" t="s">
        <v>200</v>
      </c>
      <c r="I95" t="s">
        <v>304</v>
      </c>
      <c r="J95" t="s">
        <v>305</v>
      </c>
      <c r="K95" t="s">
        <v>35</v>
      </c>
      <c r="L95" t="s">
        <v>306</v>
      </c>
      <c r="M95" t="s">
        <v>307</v>
      </c>
      <c r="N95" t="s">
        <v>2916</v>
      </c>
      <c r="P95" t="s">
        <v>310</v>
      </c>
      <c r="Q95" t="s">
        <v>311</v>
      </c>
      <c r="R95" t="s">
        <v>58</v>
      </c>
      <c r="S95" t="s">
        <v>40</v>
      </c>
      <c r="T95" s="1">
        <v>43720</v>
      </c>
      <c r="U95">
        <v>0</v>
      </c>
      <c r="V95">
        <v>16</v>
      </c>
      <c r="Y95" t="s">
        <v>42</v>
      </c>
      <c r="Z95" t="s">
        <v>43</v>
      </c>
      <c r="AA95" t="s">
        <v>43</v>
      </c>
      <c r="AD95" t="s">
        <v>3143</v>
      </c>
    </row>
    <row r="96" spans="1:30" x14ac:dyDescent="0.4">
      <c r="A96" t="s">
        <v>27</v>
      </c>
      <c r="B96">
        <v>1099</v>
      </c>
      <c r="C96" t="s">
        <v>68</v>
      </c>
      <c r="D96" t="s">
        <v>300</v>
      </c>
      <c r="E96" t="s">
        <v>301</v>
      </c>
      <c r="F96" t="s">
        <v>302</v>
      </c>
      <c r="G96" t="s">
        <v>303</v>
      </c>
      <c r="H96" t="s">
        <v>200</v>
      </c>
      <c r="I96" t="s">
        <v>304</v>
      </c>
      <c r="J96" t="s">
        <v>305</v>
      </c>
      <c r="K96" t="s">
        <v>35</v>
      </c>
      <c r="L96" t="s">
        <v>306</v>
      </c>
      <c r="M96" t="s">
        <v>307</v>
      </c>
      <c r="N96" t="s">
        <v>2916</v>
      </c>
      <c r="P96" t="s">
        <v>312</v>
      </c>
      <c r="Q96" t="s">
        <v>313</v>
      </c>
      <c r="R96" t="s">
        <v>58</v>
      </c>
      <c r="S96" t="s">
        <v>40</v>
      </c>
      <c r="T96" s="1">
        <v>42011</v>
      </c>
      <c r="U96">
        <v>0</v>
      </c>
      <c r="V96">
        <v>18</v>
      </c>
      <c r="Y96" t="s">
        <v>42</v>
      </c>
      <c r="Z96" t="s">
        <v>43</v>
      </c>
      <c r="AA96" t="s">
        <v>43</v>
      </c>
      <c r="AD96" t="s">
        <v>3143</v>
      </c>
    </row>
    <row r="97" spans="1:30" x14ac:dyDescent="0.4">
      <c r="A97" t="s">
        <v>27</v>
      </c>
      <c r="B97">
        <v>1099</v>
      </c>
      <c r="C97" t="s">
        <v>68</v>
      </c>
      <c r="D97" t="s">
        <v>300</v>
      </c>
      <c r="E97" t="s">
        <v>301</v>
      </c>
      <c r="F97" t="s">
        <v>302</v>
      </c>
      <c r="G97" t="s">
        <v>303</v>
      </c>
      <c r="H97" t="s">
        <v>200</v>
      </c>
      <c r="I97" t="s">
        <v>304</v>
      </c>
      <c r="J97" t="s">
        <v>305</v>
      </c>
      <c r="K97" t="s">
        <v>35</v>
      </c>
      <c r="L97" t="s">
        <v>306</v>
      </c>
      <c r="M97" t="s">
        <v>307</v>
      </c>
      <c r="N97" t="s">
        <v>2916</v>
      </c>
      <c r="P97" t="s">
        <v>312</v>
      </c>
      <c r="Q97" t="s">
        <v>313</v>
      </c>
      <c r="R97" t="s">
        <v>58</v>
      </c>
      <c r="S97" t="s">
        <v>40</v>
      </c>
      <c r="T97" s="1">
        <v>42011</v>
      </c>
      <c r="U97">
        <v>0</v>
      </c>
      <c r="V97">
        <v>20</v>
      </c>
      <c r="Y97" t="s">
        <v>42</v>
      </c>
      <c r="Z97" t="s">
        <v>43</v>
      </c>
      <c r="AA97" t="s">
        <v>43</v>
      </c>
      <c r="AD97" t="s">
        <v>3143</v>
      </c>
    </row>
    <row r="98" spans="1:30" x14ac:dyDescent="0.4">
      <c r="A98" t="s">
        <v>27</v>
      </c>
      <c r="B98">
        <v>2661</v>
      </c>
      <c r="C98" t="s">
        <v>28</v>
      </c>
      <c r="D98" t="s">
        <v>314</v>
      </c>
      <c r="E98" t="s">
        <v>301</v>
      </c>
      <c r="F98" t="s">
        <v>315</v>
      </c>
      <c r="G98" t="s">
        <v>316</v>
      </c>
      <c r="H98" t="s">
        <v>72</v>
      </c>
      <c r="I98" t="s">
        <v>73</v>
      </c>
      <c r="J98" t="s">
        <v>317</v>
      </c>
      <c r="K98" t="s">
        <v>35</v>
      </c>
      <c r="L98">
        <v>7918939154</v>
      </c>
      <c r="M98" t="s">
        <v>318</v>
      </c>
      <c r="N98" t="s">
        <v>319</v>
      </c>
      <c r="P98" t="s">
        <v>320</v>
      </c>
      <c r="Q98" t="s">
        <v>321</v>
      </c>
      <c r="R98" t="s">
        <v>322</v>
      </c>
      <c r="S98" t="s">
        <v>40</v>
      </c>
      <c r="T98" s="1">
        <v>43483</v>
      </c>
      <c r="U98">
        <v>0</v>
      </c>
      <c r="V98">
        <v>12</v>
      </c>
      <c r="Y98" t="s">
        <v>42</v>
      </c>
      <c r="Z98" t="s">
        <v>43</v>
      </c>
      <c r="AA98" t="s">
        <v>43</v>
      </c>
      <c r="AD98" t="s">
        <v>3143</v>
      </c>
    </row>
    <row r="99" spans="1:30" x14ac:dyDescent="0.4">
      <c r="A99" t="s">
        <v>27</v>
      </c>
      <c r="B99">
        <v>2661</v>
      </c>
      <c r="C99" t="s">
        <v>28</v>
      </c>
      <c r="D99" t="s">
        <v>314</v>
      </c>
      <c r="E99" t="s">
        <v>301</v>
      </c>
      <c r="F99" t="s">
        <v>315</v>
      </c>
      <c r="G99" t="s">
        <v>316</v>
      </c>
      <c r="H99" t="s">
        <v>72</v>
      </c>
      <c r="I99" t="s">
        <v>73</v>
      </c>
      <c r="J99" t="s">
        <v>317</v>
      </c>
      <c r="K99" t="s">
        <v>35</v>
      </c>
      <c r="L99">
        <v>7918939154</v>
      </c>
      <c r="M99" t="s">
        <v>318</v>
      </c>
      <c r="N99" t="s">
        <v>319</v>
      </c>
      <c r="P99" t="s">
        <v>324</v>
      </c>
      <c r="Q99" t="s">
        <v>325</v>
      </c>
      <c r="R99" t="s">
        <v>322</v>
      </c>
      <c r="S99" t="s">
        <v>82</v>
      </c>
      <c r="T99" s="1">
        <v>45233</v>
      </c>
      <c r="U99">
        <v>0</v>
      </c>
      <c r="V99">
        <v>13</v>
      </c>
      <c r="Y99" t="s">
        <v>42</v>
      </c>
      <c r="Z99" t="s">
        <v>43</v>
      </c>
      <c r="AA99" t="s">
        <v>43</v>
      </c>
      <c r="AD99" t="s">
        <v>3143</v>
      </c>
    </row>
    <row r="100" spans="1:30" x14ac:dyDescent="0.4">
      <c r="A100" t="s">
        <v>27</v>
      </c>
      <c r="B100">
        <v>2661</v>
      </c>
      <c r="C100" t="s">
        <v>28</v>
      </c>
      <c r="D100" t="s">
        <v>314</v>
      </c>
      <c r="E100" t="s">
        <v>301</v>
      </c>
      <c r="F100" t="s">
        <v>315</v>
      </c>
      <c r="G100" t="s">
        <v>316</v>
      </c>
      <c r="H100" t="s">
        <v>72</v>
      </c>
      <c r="I100" t="s">
        <v>73</v>
      </c>
      <c r="J100" t="s">
        <v>317</v>
      </c>
      <c r="K100" t="s">
        <v>35</v>
      </c>
      <c r="L100">
        <v>7918939154</v>
      </c>
      <c r="M100" t="s">
        <v>318</v>
      </c>
      <c r="N100" t="s">
        <v>319</v>
      </c>
      <c r="P100" t="s">
        <v>320</v>
      </c>
      <c r="Q100" t="s">
        <v>321</v>
      </c>
      <c r="R100" t="s">
        <v>322</v>
      </c>
      <c r="S100" t="s">
        <v>40</v>
      </c>
      <c r="T100" s="1">
        <v>43483</v>
      </c>
      <c r="U100">
        <v>0</v>
      </c>
      <c r="V100">
        <v>14</v>
      </c>
      <c r="Y100" t="s">
        <v>42</v>
      </c>
      <c r="Z100" t="s">
        <v>43</v>
      </c>
      <c r="AA100" t="s">
        <v>43</v>
      </c>
      <c r="AD100" t="s">
        <v>3143</v>
      </c>
    </row>
    <row r="101" spans="1:30" x14ac:dyDescent="0.4">
      <c r="A101" t="s">
        <v>27</v>
      </c>
      <c r="B101">
        <v>2661</v>
      </c>
      <c r="C101" t="s">
        <v>28</v>
      </c>
      <c r="D101" t="s">
        <v>314</v>
      </c>
      <c r="E101" t="s">
        <v>301</v>
      </c>
      <c r="F101" t="s">
        <v>315</v>
      </c>
      <c r="G101" t="s">
        <v>316</v>
      </c>
      <c r="H101" t="s">
        <v>72</v>
      </c>
      <c r="I101" t="s">
        <v>73</v>
      </c>
      <c r="J101" t="s">
        <v>317</v>
      </c>
      <c r="K101" t="s">
        <v>35</v>
      </c>
      <c r="L101">
        <v>7918939154</v>
      </c>
      <c r="M101" t="s">
        <v>318</v>
      </c>
      <c r="N101" t="s">
        <v>319</v>
      </c>
      <c r="P101" t="s">
        <v>324</v>
      </c>
      <c r="Q101" t="s">
        <v>325</v>
      </c>
      <c r="R101" t="s">
        <v>322</v>
      </c>
      <c r="S101" t="s">
        <v>82</v>
      </c>
      <c r="T101" s="1">
        <v>45233</v>
      </c>
      <c r="U101">
        <v>0</v>
      </c>
      <c r="V101">
        <v>15</v>
      </c>
      <c r="Y101" t="s">
        <v>42</v>
      </c>
      <c r="Z101" t="s">
        <v>43</v>
      </c>
      <c r="AA101" t="s">
        <v>43</v>
      </c>
      <c r="AD101" t="s">
        <v>3143</v>
      </c>
    </row>
    <row r="102" spans="1:30" x14ac:dyDescent="0.4">
      <c r="A102" t="s">
        <v>27</v>
      </c>
      <c r="B102">
        <v>2653</v>
      </c>
      <c r="C102" t="s">
        <v>68</v>
      </c>
      <c r="D102" t="s">
        <v>326</v>
      </c>
      <c r="E102" t="s">
        <v>327</v>
      </c>
      <c r="F102" t="s">
        <v>328</v>
      </c>
      <c r="H102" t="s">
        <v>329</v>
      </c>
      <c r="I102" t="s">
        <v>330</v>
      </c>
      <c r="J102" t="s">
        <v>331</v>
      </c>
      <c r="K102" t="s">
        <v>35</v>
      </c>
      <c r="L102">
        <v>7855900003</v>
      </c>
      <c r="M102" t="s">
        <v>332</v>
      </c>
      <c r="N102" t="s">
        <v>333</v>
      </c>
      <c r="P102" t="s">
        <v>334</v>
      </c>
      <c r="Q102" t="s">
        <v>335</v>
      </c>
      <c r="R102" t="s">
        <v>3132</v>
      </c>
      <c r="S102" t="s">
        <v>40</v>
      </c>
      <c r="T102" s="1">
        <v>44234</v>
      </c>
      <c r="U102">
        <v>0</v>
      </c>
      <c r="V102">
        <v>7</v>
      </c>
      <c r="Y102" t="s">
        <v>42</v>
      </c>
      <c r="Z102" t="s">
        <v>43</v>
      </c>
      <c r="AA102" t="s">
        <v>43</v>
      </c>
      <c r="AD102" t="s">
        <v>3143</v>
      </c>
    </row>
    <row r="103" spans="1:30" x14ac:dyDescent="0.4">
      <c r="A103" t="s">
        <v>27</v>
      </c>
      <c r="B103">
        <v>2653</v>
      </c>
      <c r="C103" t="s">
        <v>68</v>
      </c>
      <c r="D103" t="s">
        <v>326</v>
      </c>
      <c r="E103" t="s">
        <v>327</v>
      </c>
      <c r="F103" t="s">
        <v>328</v>
      </c>
      <c r="H103" t="s">
        <v>329</v>
      </c>
      <c r="I103" t="s">
        <v>330</v>
      </c>
      <c r="J103" t="s">
        <v>331</v>
      </c>
      <c r="K103" t="s">
        <v>35</v>
      </c>
      <c r="L103">
        <v>7855900003</v>
      </c>
      <c r="M103" t="s">
        <v>332</v>
      </c>
      <c r="N103" t="s">
        <v>333</v>
      </c>
      <c r="P103" t="s">
        <v>334</v>
      </c>
      <c r="Q103" t="s">
        <v>335</v>
      </c>
      <c r="R103" t="s">
        <v>3132</v>
      </c>
      <c r="S103" t="s">
        <v>40</v>
      </c>
      <c r="T103" s="1">
        <v>44234</v>
      </c>
      <c r="U103">
        <v>0</v>
      </c>
      <c r="V103">
        <v>6</v>
      </c>
      <c r="W103" t="s">
        <v>83</v>
      </c>
      <c r="Y103" t="s">
        <v>42</v>
      </c>
      <c r="Z103" t="s">
        <v>43</v>
      </c>
      <c r="AA103" t="s">
        <v>43</v>
      </c>
      <c r="AD103" t="s">
        <v>3143</v>
      </c>
    </row>
    <row r="104" spans="1:30" x14ac:dyDescent="0.4">
      <c r="A104" t="s">
        <v>27</v>
      </c>
      <c r="B104">
        <v>712</v>
      </c>
      <c r="C104" t="s">
        <v>68</v>
      </c>
      <c r="D104" t="s">
        <v>47</v>
      </c>
      <c r="E104" t="s">
        <v>336</v>
      </c>
      <c r="F104" t="s">
        <v>337</v>
      </c>
      <c r="H104" t="s">
        <v>338</v>
      </c>
      <c r="I104" t="s">
        <v>189</v>
      </c>
      <c r="J104" t="s">
        <v>339</v>
      </c>
      <c r="K104" t="s">
        <v>35</v>
      </c>
      <c r="L104">
        <v>1708765846</v>
      </c>
      <c r="M104" t="s">
        <v>340</v>
      </c>
      <c r="N104" t="s">
        <v>2917</v>
      </c>
      <c r="P104" t="s">
        <v>341</v>
      </c>
      <c r="Q104" t="s">
        <v>342</v>
      </c>
      <c r="R104" t="s">
        <v>58</v>
      </c>
      <c r="S104" t="s">
        <v>40</v>
      </c>
      <c r="T104" s="1">
        <v>43607</v>
      </c>
      <c r="U104">
        <v>0</v>
      </c>
      <c r="V104">
        <v>16</v>
      </c>
      <c r="Y104" t="s">
        <v>42</v>
      </c>
      <c r="Z104" t="s">
        <v>43</v>
      </c>
      <c r="AA104" t="s">
        <v>43</v>
      </c>
      <c r="AD104" t="s">
        <v>3143</v>
      </c>
    </row>
    <row r="105" spans="1:30" x14ac:dyDescent="0.4">
      <c r="A105" t="s">
        <v>27</v>
      </c>
      <c r="B105">
        <v>712</v>
      </c>
      <c r="C105" t="s">
        <v>68</v>
      </c>
      <c r="D105" t="s">
        <v>47</v>
      </c>
      <c r="E105" t="s">
        <v>336</v>
      </c>
      <c r="F105" t="s">
        <v>337</v>
      </c>
      <c r="H105" t="s">
        <v>338</v>
      </c>
      <c r="I105" t="s">
        <v>189</v>
      </c>
      <c r="J105" t="s">
        <v>339</v>
      </c>
      <c r="K105" t="s">
        <v>35</v>
      </c>
      <c r="L105">
        <v>1708765846</v>
      </c>
      <c r="M105" t="s">
        <v>340</v>
      </c>
      <c r="N105" t="s">
        <v>2917</v>
      </c>
      <c r="P105" t="s">
        <v>343</v>
      </c>
      <c r="Q105" t="s">
        <v>344</v>
      </c>
      <c r="R105" t="s">
        <v>58</v>
      </c>
      <c r="S105" t="s">
        <v>40</v>
      </c>
      <c r="T105" s="1">
        <v>42217</v>
      </c>
      <c r="U105">
        <v>0</v>
      </c>
      <c r="V105">
        <v>18</v>
      </c>
      <c r="Y105" t="s">
        <v>42</v>
      </c>
      <c r="Z105" t="s">
        <v>43</v>
      </c>
      <c r="AA105" t="s">
        <v>43</v>
      </c>
      <c r="AD105" t="s">
        <v>3143</v>
      </c>
    </row>
    <row r="106" spans="1:30" x14ac:dyDescent="0.4">
      <c r="A106" t="s">
        <v>27</v>
      </c>
      <c r="B106">
        <v>1455</v>
      </c>
      <c r="C106" t="s">
        <v>68</v>
      </c>
      <c r="D106" t="s">
        <v>345</v>
      </c>
      <c r="E106" t="s">
        <v>346</v>
      </c>
      <c r="F106" t="s">
        <v>347</v>
      </c>
      <c r="H106" t="s">
        <v>348</v>
      </c>
      <c r="I106" t="s">
        <v>226</v>
      </c>
      <c r="J106" t="s">
        <v>349</v>
      </c>
      <c r="K106" t="s">
        <v>35</v>
      </c>
      <c r="L106">
        <v>1932761191</v>
      </c>
      <c r="M106" t="s">
        <v>350</v>
      </c>
      <c r="N106" t="s">
        <v>351</v>
      </c>
      <c r="P106" t="s">
        <v>3093</v>
      </c>
      <c r="Q106" t="s">
        <v>353</v>
      </c>
      <c r="R106" t="s">
        <v>169</v>
      </c>
      <c r="S106" t="s">
        <v>82</v>
      </c>
      <c r="T106" s="1">
        <v>44287</v>
      </c>
      <c r="U106">
        <v>0</v>
      </c>
      <c r="V106">
        <v>5</v>
      </c>
      <c r="W106" t="s">
        <v>66</v>
      </c>
      <c r="X106" t="s">
        <v>135</v>
      </c>
      <c r="Y106" t="s">
        <v>42</v>
      </c>
      <c r="Z106" t="s">
        <v>43</v>
      </c>
      <c r="AA106" t="s">
        <v>43</v>
      </c>
      <c r="AD106" t="s">
        <v>3143</v>
      </c>
    </row>
    <row r="107" spans="1:30" x14ac:dyDescent="0.4">
      <c r="A107" t="s">
        <v>27</v>
      </c>
      <c r="B107">
        <v>1455</v>
      </c>
      <c r="C107" t="s">
        <v>68</v>
      </c>
      <c r="D107" t="s">
        <v>345</v>
      </c>
      <c r="E107" t="s">
        <v>346</v>
      </c>
      <c r="F107" t="s">
        <v>347</v>
      </c>
      <c r="H107" t="s">
        <v>348</v>
      </c>
      <c r="I107" t="s">
        <v>226</v>
      </c>
      <c r="J107" t="s">
        <v>349</v>
      </c>
      <c r="K107" t="s">
        <v>35</v>
      </c>
      <c r="L107">
        <v>1932761191</v>
      </c>
      <c r="M107" t="s">
        <v>350</v>
      </c>
      <c r="N107" t="s">
        <v>351</v>
      </c>
      <c r="P107" t="s">
        <v>3093</v>
      </c>
      <c r="Q107" t="s">
        <v>353</v>
      </c>
      <c r="R107" t="s">
        <v>169</v>
      </c>
      <c r="S107" t="s">
        <v>82</v>
      </c>
      <c r="T107" s="1">
        <v>44287</v>
      </c>
      <c r="U107">
        <v>0</v>
      </c>
      <c r="V107">
        <v>6</v>
      </c>
      <c r="W107" t="s">
        <v>83</v>
      </c>
      <c r="X107" t="s">
        <v>135</v>
      </c>
      <c r="Y107" t="s">
        <v>42</v>
      </c>
      <c r="Z107" t="s">
        <v>43</v>
      </c>
      <c r="AA107" t="s">
        <v>43</v>
      </c>
      <c r="AD107" t="s">
        <v>3143</v>
      </c>
    </row>
    <row r="108" spans="1:30" x14ac:dyDescent="0.4">
      <c r="A108" t="s">
        <v>27</v>
      </c>
      <c r="B108">
        <v>1455</v>
      </c>
      <c r="C108" t="s">
        <v>68</v>
      </c>
      <c r="D108" t="s">
        <v>345</v>
      </c>
      <c r="E108" t="s">
        <v>346</v>
      </c>
      <c r="F108" t="s">
        <v>347</v>
      </c>
      <c r="H108" t="s">
        <v>348</v>
      </c>
      <c r="I108" t="s">
        <v>226</v>
      </c>
      <c r="J108" t="s">
        <v>349</v>
      </c>
      <c r="K108" t="s">
        <v>35</v>
      </c>
      <c r="L108">
        <v>1932761191</v>
      </c>
      <c r="M108" t="s">
        <v>350</v>
      </c>
      <c r="N108" t="s">
        <v>351</v>
      </c>
      <c r="P108" t="s">
        <v>3093</v>
      </c>
      <c r="Q108" t="s">
        <v>353</v>
      </c>
      <c r="R108" t="s">
        <v>169</v>
      </c>
      <c r="S108" t="s">
        <v>82</v>
      </c>
      <c r="T108" s="1">
        <v>44287</v>
      </c>
      <c r="U108">
        <v>0</v>
      </c>
      <c r="V108">
        <v>15</v>
      </c>
      <c r="X108" t="s">
        <v>135</v>
      </c>
      <c r="Y108" t="s">
        <v>42</v>
      </c>
      <c r="Z108" t="s">
        <v>43</v>
      </c>
      <c r="AA108" t="s">
        <v>43</v>
      </c>
      <c r="AD108" t="s">
        <v>3143</v>
      </c>
    </row>
    <row r="109" spans="1:30" x14ac:dyDescent="0.4">
      <c r="A109" t="s">
        <v>27</v>
      </c>
      <c r="B109">
        <v>1455</v>
      </c>
      <c r="C109" t="s">
        <v>68</v>
      </c>
      <c r="D109" t="s">
        <v>345</v>
      </c>
      <c r="E109" t="s">
        <v>346</v>
      </c>
      <c r="F109" t="s">
        <v>347</v>
      </c>
      <c r="H109" t="s">
        <v>348</v>
      </c>
      <c r="I109" t="s">
        <v>226</v>
      </c>
      <c r="J109" t="s">
        <v>349</v>
      </c>
      <c r="K109" t="s">
        <v>35</v>
      </c>
      <c r="L109">
        <v>1932761191</v>
      </c>
      <c r="M109" t="s">
        <v>350</v>
      </c>
      <c r="N109" t="s">
        <v>351</v>
      </c>
      <c r="P109" t="s">
        <v>3093</v>
      </c>
      <c r="Q109" t="s">
        <v>353</v>
      </c>
      <c r="R109" t="s">
        <v>169</v>
      </c>
      <c r="S109" t="s">
        <v>82</v>
      </c>
      <c r="T109" s="1">
        <v>44287</v>
      </c>
      <c r="U109">
        <v>0</v>
      </c>
      <c r="V109">
        <v>17</v>
      </c>
      <c r="X109" t="s">
        <v>135</v>
      </c>
      <c r="Y109" t="s">
        <v>42</v>
      </c>
      <c r="Z109" t="s">
        <v>43</v>
      </c>
      <c r="AA109" t="s">
        <v>43</v>
      </c>
      <c r="AD109" t="s">
        <v>3143</v>
      </c>
    </row>
    <row r="110" spans="1:30" x14ac:dyDescent="0.4">
      <c r="A110" t="s">
        <v>27</v>
      </c>
      <c r="B110">
        <v>1455</v>
      </c>
      <c r="C110" t="s">
        <v>68</v>
      </c>
      <c r="D110" t="s">
        <v>345</v>
      </c>
      <c r="E110" t="s">
        <v>346</v>
      </c>
      <c r="F110" t="s">
        <v>347</v>
      </c>
      <c r="H110" t="s">
        <v>348</v>
      </c>
      <c r="I110" t="s">
        <v>226</v>
      </c>
      <c r="J110" t="s">
        <v>349</v>
      </c>
      <c r="K110" t="s">
        <v>35</v>
      </c>
      <c r="L110">
        <v>1932761191</v>
      </c>
      <c r="M110" t="s">
        <v>350</v>
      </c>
      <c r="N110" t="s">
        <v>351</v>
      </c>
      <c r="P110" t="s">
        <v>354</v>
      </c>
      <c r="Q110" t="s">
        <v>355</v>
      </c>
      <c r="R110" t="s">
        <v>356</v>
      </c>
      <c r="S110" t="s">
        <v>82</v>
      </c>
      <c r="T110" s="1">
        <v>44491</v>
      </c>
      <c r="U110">
        <v>0</v>
      </c>
      <c r="V110">
        <v>0</v>
      </c>
      <c r="W110" t="s">
        <v>59</v>
      </c>
      <c r="X110" t="s">
        <v>135</v>
      </c>
      <c r="Y110" t="s">
        <v>42</v>
      </c>
      <c r="Z110" t="s">
        <v>43</v>
      </c>
      <c r="AA110" t="s">
        <v>43</v>
      </c>
      <c r="AD110" t="s">
        <v>3143</v>
      </c>
    </row>
    <row r="111" spans="1:30" x14ac:dyDescent="0.4">
      <c r="A111" t="s">
        <v>27</v>
      </c>
      <c r="B111">
        <v>1455</v>
      </c>
      <c r="C111" t="s">
        <v>68</v>
      </c>
      <c r="D111" t="s">
        <v>345</v>
      </c>
      <c r="E111" t="s">
        <v>346</v>
      </c>
      <c r="F111" t="s">
        <v>347</v>
      </c>
      <c r="H111" t="s">
        <v>348</v>
      </c>
      <c r="I111" t="s">
        <v>226</v>
      </c>
      <c r="J111" t="s">
        <v>349</v>
      </c>
      <c r="K111" t="s">
        <v>35</v>
      </c>
      <c r="L111">
        <v>1932761191</v>
      </c>
      <c r="M111" t="s">
        <v>350</v>
      </c>
      <c r="N111" t="s">
        <v>351</v>
      </c>
      <c r="P111" t="s">
        <v>357</v>
      </c>
      <c r="Q111" t="s">
        <v>358</v>
      </c>
      <c r="R111" t="s">
        <v>359</v>
      </c>
      <c r="S111" t="s">
        <v>40</v>
      </c>
      <c r="T111" s="1">
        <v>44101</v>
      </c>
      <c r="U111">
        <v>0</v>
      </c>
      <c r="V111">
        <v>0</v>
      </c>
      <c r="W111" t="s">
        <v>59</v>
      </c>
      <c r="X111" t="s">
        <v>135</v>
      </c>
      <c r="Y111" t="s">
        <v>42</v>
      </c>
      <c r="Z111" t="s">
        <v>43</v>
      </c>
      <c r="AA111" t="s">
        <v>43</v>
      </c>
      <c r="AD111" t="s">
        <v>3143</v>
      </c>
    </row>
    <row r="112" spans="1:30" x14ac:dyDescent="0.4">
      <c r="A112" t="s">
        <v>27</v>
      </c>
      <c r="B112">
        <v>1455</v>
      </c>
      <c r="C112" t="s">
        <v>68</v>
      </c>
      <c r="D112" t="s">
        <v>345</v>
      </c>
      <c r="E112" t="s">
        <v>346</v>
      </c>
      <c r="F112" t="s">
        <v>347</v>
      </c>
      <c r="H112" t="s">
        <v>348</v>
      </c>
      <c r="I112" t="s">
        <v>226</v>
      </c>
      <c r="J112" t="s">
        <v>349</v>
      </c>
      <c r="K112" t="s">
        <v>35</v>
      </c>
      <c r="L112">
        <v>1932761191</v>
      </c>
      <c r="M112" t="s">
        <v>350</v>
      </c>
      <c r="N112" t="s">
        <v>351</v>
      </c>
      <c r="P112" t="s">
        <v>360</v>
      </c>
      <c r="Q112" t="s">
        <v>361</v>
      </c>
      <c r="R112" t="s">
        <v>356</v>
      </c>
      <c r="S112" t="s">
        <v>82</v>
      </c>
      <c r="T112" s="1">
        <v>43441</v>
      </c>
      <c r="U112">
        <v>0</v>
      </c>
      <c r="V112">
        <v>0</v>
      </c>
      <c r="W112" t="s">
        <v>59</v>
      </c>
      <c r="X112" t="s">
        <v>135</v>
      </c>
      <c r="Y112" t="s">
        <v>42</v>
      </c>
      <c r="Z112" t="s">
        <v>43</v>
      </c>
      <c r="AA112" t="s">
        <v>43</v>
      </c>
      <c r="AD112" t="s">
        <v>3143</v>
      </c>
    </row>
    <row r="113" spans="1:30" x14ac:dyDescent="0.4">
      <c r="A113" t="s">
        <v>27</v>
      </c>
      <c r="B113">
        <v>1455</v>
      </c>
      <c r="C113" t="s">
        <v>68</v>
      </c>
      <c r="D113" t="s">
        <v>345</v>
      </c>
      <c r="E113" t="s">
        <v>346</v>
      </c>
      <c r="F113" t="s">
        <v>347</v>
      </c>
      <c r="H113" t="s">
        <v>348</v>
      </c>
      <c r="I113" t="s">
        <v>226</v>
      </c>
      <c r="J113" t="s">
        <v>349</v>
      </c>
      <c r="K113" t="s">
        <v>35</v>
      </c>
      <c r="L113">
        <v>1932761191</v>
      </c>
      <c r="M113" t="s">
        <v>350</v>
      </c>
      <c r="N113" t="s">
        <v>351</v>
      </c>
      <c r="P113" t="s">
        <v>362</v>
      </c>
      <c r="Q113" t="s">
        <v>363</v>
      </c>
      <c r="R113" t="s">
        <v>58</v>
      </c>
      <c r="S113" t="s">
        <v>40</v>
      </c>
      <c r="T113" s="1">
        <v>45364</v>
      </c>
      <c r="U113">
        <v>0</v>
      </c>
      <c r="V113">
        <v>0</v>
      </c>
      <c r="W113" t="s">
        <v>59</v>
      </c>
      <c r="X113" t="s">
        <v>135</v>
      </c>
      <c r="Y113" t="s">
        <v>42</v>
      </c>
      <c r="Z113" t="s">
        <v>43</v>
      </c>
      <c r="AA113" t="s">
        <v>43</v>
      </c>
      <c r="AD113" t="s">
        <v>3143</v>
      </c>
    </row>
    <row r="114" spans="1:30" x14ac:dyDescent="0.4">
      <c r="A114" t="s">
        <v>27</v>
      </c>
      <c r="B114">
        <v>1455</v>
      </c>
      <c r="C114" t="s">
        <v>68</v>
      </c>
      <c r="D114" t="s">
        <v>345</v>
      </c>
      <c r="E114" t="s">
        <v>346</v>
      </c>
      <c r="F114" t="s">
        <v>347</v>
      </c>
      <c r="H114" t="s">
        <v>348</v>
      </c>
      <c r="I114" t="s">
        <v>226</v>
      </c>
      <c r="J114" t="s">
        <v>349</v>
      </c>
      <c r="K114" t="s">
        <v>35</v>
      </c>
      <c r="L114">
        <v>1932761191</v>
      </c>
      <c r="M114" t="s">
        <v>350</v>
      </c>
      <c r="N114" t="s">
        <v>351</v>
      </c>
      <c r="P114" t="s">
        <v>364</v>
      </c>
      <c r="Q114" t="s">
        <v>365</v>
      </c>
      <c r="R114" t="s">
        <v>356</v>
      </c>
      <c r="S114" t="s">
        <v>40</v>
      </c>
      <c r="T114" s="1">
        <v>40458</v>
      </c>
      <c r="U114">
        <v>0</v>
      </c>
      <c r="V114">
        <v>0</v>
      </c>
      <c r="W114" t="s">
        <v>59</v>
      </c>
      <c r="X114" t="s">
        <v>135</v>
      </c>
      <c r="Y114" t="s">
        <v>42</v>
      </c>
      <c r="Z114" t="s">
        <v>43</v>
      </c>
      <c r="AA114" t="s">
        <v>43</v>
      </c>
      <c r="AD114" t="s">
        <v>3143</v>
      </c>
    </row>
    <row r="115" spans="1:30" x14ac:dyDescent="0.4">
      <c r="A115" t="s">
        <v>27</v>
      </c>
      <c r="B115">
        <v>1455</v>
      </c>
      <c r="C115" t="s">
        <v>68</v>
      </c>
      <c r="D115" t="s">
        <v>345</v>
      </c>
      <c r="E115" t="s">
        <v>346</v>
      </c>
      <c r="F115" t="s">
        <v>347</v>
      </c>
      <c r="H115" t="s">
        <v>348</v>
      </c>
      <c r="I115" t="s">
        <v>226</v>
      </c>
      <c r="J115" t="s">
        <v>349</v>
      </c>
      <c r="K115" t="s">
        <v>35</v>
      </c>
      <c r="L115">
        <v>1932761191</v>
      </c>
      <c r="M115" t="s">
        <v>350</v>
      </c>
      <c r="N115" t="s">
        <v>351</v>
      </c>
      <c r="P115" t="s">
        <v>354</v>
      </c>
      <c r="Q115" t="s">
        <v>355</v>
      </c>
      <c r="R115" t="s">
        <v>356</v>
      </c>
      <c r="S115" t="s">
        <v>82</v>
      </c>
      <c r="T115" s="1">
        <v>44491</v>
      </c>
      <c r="U115">
        <v>0</v>
      </c>
      <c r="V115">
        <v>0</v>
      </c>
      <c r="W115" t="s">
        <v>59</v>
      </c>
      <c r="X115" t="s">
        <v>135</v>
      </c>
      <c r="Y115" t="s">
        <v>42</v>
      </c>
      <c r="Z115" t="s">
        <v>43</v>
      </c>
      <c r="AA115" t="s">
        <v>43</v>
      </c>
      <c r="AD115" t="s">
        <v>3143</v>
      </c>
    </row>
    <row r="116" spans="1:30" x14ac:dyDescent="0.4">
      <c r="A116" t="s">
        <v>27</v>
      </c>
      <c r="B116">
        <v>1455</v>
      </c>
      <c r="C116" t="s">
        <v>68</v>
      </c>
      <c r="D116" t="s">
        <v>345</v>
      </c>
      <c r="E116" t="s">
        <v>346</v>
      </c>
      <c r="F116" t="s">
        <v>347</v>
      </c>
      <c r="H116" t="s">
        <v>348</v>
      </c>
      <c r="I116" t="s">
        <v>226</v>
      </c>
      <c r="J116" t="s">
        <v>349</v>
      </c>
      <c r="K116" t="s">
        <v>35</v>
      </c>
      <c r="L116">
        <v>1932761191</v>
      </c>
      <c r="M116" t="s">
        <v>350</v>
      </c>
      <c r="N116" t="s">
        <v>351</v>
      </c>
      <c r="P116" t="s">
        <v>357</v>
      </c>
      <c r="Q116" t="s">
        <v>358</v>
      </c>
      <c r="R116" t="s">
        <v>359</v>
      </c>
      <c r="S116" t="s">
        <v>40</v>
      </c>
      <c r="T116" s="1">
        <v>44101</v>
      </c>
      <c r="U116">
        <v>0</v>
      </c>
      <c r="V116">
        <v>0</v>
      </c>
      <c r="W116" t="s">
        <v>59</v>
      </c>
      <c r="X116" t="s">
        <v>135</v>
      </c>
      <c r="Y116" t="s">
        <v>42</v>
      </c>
      <c r="Z116" t="s">
        <v>43</v>
      </c>
      <c r="AA116" t="s">
        <v>43</v>
      </c>
      <c r="AD116" t="s">
        <v>3143</v>
      </c>
    </row>
    <row r="117" spans="1:30" x14ac:dyDescent="0.4">
      <c r="A117" t="s">
        <v>27</v>
      </c>
      <c r="B117">
        <v>1455</v>
      </c>
      <c r="C117" t="s">
        <v>68</v>
      </c>
      <c r="D117" t="s">
        <v>345</v>
      </c>
      <c r="E117" t="s">
        <v>346</v>
      </c>
      <c r="F117" t="s">
        <v>347</v>
      </c>
      <c r="H117" t="s">
        <v>348</v>
      </c>
      <c r="I117" t="s">
        <v>226</v>
      </c>
      <c r="J117" t="s">
        <v>349</v>
      </c>
      <c r="K117" t="s">
        <v>35</v>
      </c>
      <c r="L117">
        <v>1932761191</v>
      </c>
      <c r="M117" t="s">
        <v>350</v>
      </c>
      <c r="N117" t="s">
        <v>351</v>
      </c>
      <c r="P117" t="s">
        <v>360</v>
      </c>
      <c r="Q117" t="s">
        <v>361</v>
      </c>
      <c r="R117" t="s">
        <v>356</v>
      </c>
      <c r="S117" t="s">
        <v>82</v>
      </c>
      <c r="T117" s="1">
        <v>43441</v>
      </c>
      <c r="U117">
        <v>0</v>
      </c>
      <c r="V117">
        <v>0</v>
      </c>
      <c r="W117" t="s">
        <v>59</v>
      </c>
      <c r="X117" t="s">
        <v>135</v>
      </c>
      <c r="Y117" t="s">
        <v>42</v>
      </c>
      <c r="Z117" t="s">
        <v>43</v>
      </c>
      <c r="AA117" t="s">
        <v>43</v>
      </c>
      <c r="AD117" t="s">
        <v>3143</v>
      </c>
    </row>
    <row r="118" spans="1:30" x14ac:dyDescent="0.4">
      <c r="A118" t="s">
        <v>27</v>
      </c>
      <c r="B118">
        <v>1455</v>
      </c>
      <c r="C118" t="s">
        <v>68</v>
      </c>
      <c r="D118" t="s">
        <v>345</v>
      </c>
      <c r="E118" t="s">
        <v>346</v>
      </c>
      <c r="F118" t="s">
        <v>347</v>
      </c>
      <c r="H118" t="s">
        <v>348</v>
      </c>
      <c r="I118" t="s">
        <v>226</v>
      </c>
      <c r="J118" t="s">
        <v>349</v>
      </c>
      <c r="K118" t="s">
        <v>35</v>
      </c>
      <c r="L118">
        <v>1932761191</v>
      </c>
      <c r="M118" t="s">
        <v>350</v>
      </c>
      <c r="N118" t="s">
        <v>351</v>
      </c>
      <c r="P118" t="s">
        <v>362</v>
      </c>
      <c r="Q118" t="s">
        <v>363</v>
      </c>
      <c r="R118" t="s">
        <v>58</v>
      </c>
      <c r="S118" t="s">
        <v>40</v>
      </c>
      <c r="T118" s="1">
        <v>45364</v>
      </c>
      <c r="U118">
        <v>0</v>
      </c>
      <c r="V118">
        <v>0</v>
      </c>
      <c r="W118" t="s">
        <v>59</v>
      </c>
      <c r="X118" t="s">
        <v>135</v>
      </c>
      <c r="Y118" t="s">
        <v>42</v>
      </c>
      <c r="Z118" t="s">
        <v>43</v>
      </c>
      <c r="AA118" t="s">
        <v>43</v>
      </c>
      <c r="AD118" t="s">
        <v>3143</v>
      </c>
    </row>
    <row r="119" spans="1:30" x14ac:dyDescent="0.4">
      <c r="A119" t="s">
        <v>27</v>
      </c>
      <c r="B119">
        <v>1455</v>
      </c>
      <c r="C119" t="s">
        <v>68</v>
      </c>
      <c r="D119" t="s">
        <v>345</v>
      </c>
      <c r="E119" t="s">
        <v>346</v>
      </c>
      <c r="F119" t="s">
        <v>347</v>
      </c>
      <c r="H119" t="s">
        <v>348</v>
      </c>
      <c r="I119" t="s">
        <v>226</v>
      </c>
      <c r="J119" t="s">
        <v>349</v>
      </c>
      <c r="K119" t="s">
        <v>35</v>
      </c>
      <c r="L119">
        <v>1932761191</v>
      </c>
      <c r="M119" t="s">
        <v>350</v>
      </c>
      <c r="N119" t="s">
        <v>351</v>
      </c>
      <c r="P119" t="s">
        <v>364</v>
      </c>
      <c r="Q119" t="s">
        <v>365</v>
      </c>
      <c r="R119" t="s">
        <v>356</v>
      </c>
      <c r="S119" t="s">
        <v>40</v>
      </c>
      <c r="T119" s="1">
        <v>40458</v>
      </c>
      <c r="U119">
        <v>0</v>
      </c>
      <c r="V119">
        <v>0</v>
      </c>
      <c r="W119" t="s">
        <v>59</v>
      </c>
      <c r="X119" t="s">
        <v>135</v>
      </c>
      <c r="Y119" t="s">
        <v>42</v>
      </c>
      <c r="Z119" t="s">
        <v>43</v>
      </c>
      <c r="AA119" t="s">
        <v>43</v>
      </c>
      <c r="AD119" t="s">
        <v>3143</v>
      </c>
    </row>
    <row r="120" spans="1:30" x14ac:dyDescent="0.4">
      <c r="A120" t="s">
        <v>27</v>
      </c>
      <c r="B120">
        <v>4998</v>
      </c>
      <c r="C120" t="s">
        <v>195</v>
      </c>
      <c r="D120" t="s">
        <v>366</v>
      </c>
      <c r="E120" t="s">
        <v>367</v>
      </c>
      <c r="F120" t="s">
        <v>368</v>
      </c>
      <c r="H120" t="s">
        <v>369</v>
      </c>
      <c r="I120" t="s">
        <v>370</v>
      </c>
      <c r="J120" t="s">
        <v>371</v>
      </c>
      <c r="K120" t="s">
        <v>35</v>
      </c>
      <c r="L120">
        <v>1344884292</v>
      </c>
      <c r="M120" t="s">
        <v>372</v>
      </c>
      <c r="N120" t="s">
        <v>373</v>
      </c>
      <c r="P120" t="s">
        <v>374</v>
      </c>
      <c r="Q120" t="s">
        <v>375</v>
      </c>
      <c r="R120" t="s">
        <v>376</v>
      </c>
      <c r="S120" t="s">
        <v>82</v>
      </c>
      <c r="T120" s="1">
        <v>44976</v>
      </c>
      <c r="U120">
        <v>0</v>
      </c>
      <c r="V120">
        <v>8</v>
      </c>
      <c r="Y120" t="s">
        <v>42</v>
      </c>
      <c r="Z120" t="s">
        <v>43</v>
      </c>
      <c r="AA120" t="s">
        <v>43</v>
      </c>
      <c r="AD120" t="s">
        <v>3143</v>
      </c>
    </row>
    <row r="121" spans="1:30" x14ac:dyDescent="0.4">
      <c r="A121" t="s">
        <v>27</v>
      </c>
      <c r="B121">
        <v>4998</v>
      </c>
      <c r="C121" t="s">
        <v>195</v>
      </c>
      <c r="D121" t="s">
        <v>366</v>
      </c>
      <c r="E121" t="s">
        <v>367</v>
      </c>
      <c r="F121" t="s">
        <v>368</v>
      </c>
      <c r="H121" t="s">
        <v>369</v>
      </c>
      <c r="I121" t="s">
        <v>370</v>
      </c>
      <c r="J121" t="s">
        <v>371</v>
      </c>
      <c r="K121" t="s">
        <v>35</v>
      </c>
      <c r="L121">
        <v>1344884292</v>
      </c>
      <c r="M121" t="s">
        <v>372</v>
      </c>
      <c r="N121" t="s">
        <v>373</v>
      </c>
      <c r="P121" t="s">
        <v>378</v>
      </c>
      <c r="Q121" t="s">
        <v>379</v>
      </c>
      <c r="R121" t="s">
        <v>376</v>
      </c>
      <c r="S121" t="s">
        <v>82</v>
      </c>
      <c r="T121" s="1">
        <v>45927</v>
      </c>
      <c r="U121">
        <v>0</v>
      </c>
      <c r="V121">
        <v>8</v>
      </c>
      <c r="Y121" t="s">
        <v>42</v>
      </c>
      <c r="Z121" t="s">
        <v>43</v>
      </c>
      <c r="AA121" t="s">
        <v>43</v>
      </c>
      <c r="AD121" t="s">
        <v>3143</v>
      </c>
    </row>
    <row r="122" spans="1:30" x14ac:dyDescent="0.4">
      <c r="A122" t="s">
        <v>27</v>
      </c>
      <c r="B122">
        <v>4998</v>
      </c>
      <c r="C122" t="s">
        <v>195</v>
      </c>
      <c r="D122" t="s">
        <v>366</v>
      </c>
      <c r="E122" t="s">
        <v>367</v>
      </c>
      <c r="F122" t="s">
        <v>368</v>
      </c>
      <c r="H122" t="s">
        <v>369</v>
      </c>
      <c r="I122" t="s">
        <v>370</v>
      </c>
      <c r="J122" t="s">
        <v>371</v>
      </c>
      <c r="K122" t="s">
        <v>35</v>
      </c>
      <c r="L122">
        <v>1344884292</v>
      </c>
      <c r="M122" t="s">
        <v>372</v>
      </c>
      <c r="N122" t="s">
        <v>373</v>
      </c>
      <c r="P122" t="s">
        <v>380</v>
      </c>
      <c r="Q122" t="s">
        <v>381</v>
      </c>
      <c r="R122" t="s">
        <v>376</v>
      </c>
      <c r="S122" t="s">
        <v>82</v>
      </c>
      <c r="T122" s="1">
        <v>42667</v>
      </c>
      <c r="U122">
        <v>0</v>
      </c>
      <c r="V122">
        <v>10</v>
      </c>
      <c r="Y122" t="s">
        <v>42</v>
      </c>
      <c r="Z122" t="s">
        <v>43</v>
      </c>
      <c r="AA122" t="s">
        <v>43</v>
      </c>
      <c r="AD122" t="s">
        <v>3143</v>
      </c>
    </row>
    <row r="123" spans="1:30" x14ac:dyDescent="0.4">
      <c r="A123" t="s">
        <v>27</v>
      </c>
      <c r="B123">
        <v>405</v>
      </c>
      <c r="C123" t="s">
        <v>195</v>
      </c>
      <c r="D123" t="s">
        <v>383</v>
      </c>
      <c r="E123" t="s">
        <v>384</v>
      </c>
      <c r="F123" t="s">
        <v>385</v>
      </c>
      <c r="G123" t="s">
        <v>386</v>
      </c>
      <c r="H123" t="s">
        <v>387</v>
      </c>
      <c r="I123" t="s">
        <v>242</v>
      </c>
      <c r="J123" t="s">
        <v>388</v>
      </c>
      <c r="K123" t="s">
        <v>35</v>
      </c>
      <c r="L123">
        <v>1980629343</v>
      </c>
      <c r="M123" t="s">
        <v>389</v>
      </c>
      <c r="N123" t="s">
        <v>2850</v>
      </c>
      <c r="P123" t="s">
        <v>390</v>
      </c>
      <c r="Q123" t="s">
        <v>391</v>
      </c>
      <c r="R123" t="s">
        <v>58</v>
      </c>
      <c r="S123" t="s">
        <v>82</v>
      </c>
      <c r="T123" s="1">
        <v>41630</v>
      </c>
      <c r="U123">
        <v>0</v>
      </c>
      <c r="V123">
        <v>0</v>
      </c>
      <c r="W123" t="s">
        <v>59</v>
      </c>
      <c r="X123" t="s">
        <v>392</v>
      </c>
      <c r="Y123" t="s">
        <v>42</v>
      </c>
      <c r="Z123" t="s">
        <v>43</v>
      </c>
      <c r="AA123" t="s">
        <v>43</v>
      </c>
      <c r="AB123" t="s">
        <v>393</v>
      </c>
      <c r="AD123" t="s">
        <v>3143</v>
      </c>
    </row>
    <row r="124" spans="1:30" x14ac:dyDescent="0.4">
      <c r="A124" t="s">
        <v>27</v>
      </c>
      <c r="B124">
        <v>405</v>
      </c>
      <c r="C124" t="s">
        <v>195</v>
      </c>
      <c r="D124" t="s">
        <v>383</v>
      </c>
      <c r="E124" t="s">
        <v>384</v>
      </c>
      <c r="F124" t="s">
        <v>385</v>
      </c>
      <c r="G124" t="s">
        <v>386</v>
      </c>
      <c r="H124" t="s">
        <v>387</v>
      </c>
      <c r="I124" t="s">
        <v>242</v>
      </c>
      <c r="J124" t="s">
        <v>388</v>
      </c>
      <c r="K124" t="s">
        <v>35</v>
      </c>
      <c r="L124">
        <v>1980629343</v>
      </c>
      <c r="M124" t="s">
        <v>389</v>
      </c>
      <c r="N124" t="s">
        <v>2850</v>
      </c>
      <c r="P124" t="s">
        <v>390</v>
      </c>
      <c r="Q124" t="s">
        <v>391</v>
      </c>
      <c r="R124" t="s">
        <v>58</v>
      </c>
      <c r="S124" t="s">
        <v>82</v>
      </c>
      <c r="T124" s="1">
        <v>41630</v>
      </c>
      <c r="U124">
        <v>0</v>
      </c>
      <c r="V124">
        <v>0</v>
      </c>
      <c r="W124" t="s">
        <v>59</v>
      </c>
      <c r="X124" t="s">
        <v>392</v>
      </c>
      <c r="Y124" t="s">
        <v>42</v>
      </c>
      <c r="Z124" t="s">
        <v>43</v>
      </c>
      <c r="AA124" t="s">
        <v>43</v>
      </c>
      <c r="AB124" t="s">
        <v>393</v>
      </c>
      <c r="AD124" t="s">
        <v>3143</v>
      </c>
    </row>
    <row r="125" spans="1:30" x14ac:dyDescent="0.4">
      <c r="A125" t="s">
        <v>27</v>
      </c>
      <c r="B125">
        <v>405</v>
      </c>
      <c r="C125" t="s">
        <v>195</v>
      </c>
      <c r="D125" t="s">
        <v>383</v>
      </c>
      <c r="E125" t="s">
        <v>384</v>
      </c>
      <c r="F125" t="s">
        <v>385</v>
      </c>
      <c r="G125" t="s">
        <v>386</v>
      </c>
      <c r="H125" t="s">
        <v>387</v>
      </c>
      <c r="I125" t="s">
        <v>242</v>
      </c>
      <c r="J125" t="s">
        <v>388</v>
      </c>
      <c r="K125" t="s">
        <v>35</v>
      </c>
      <c r="L125">
        <v>1980629343</v>
      </c>
      <c r="M125" t="s">
        <v>389</v>
      </c>
      <c r="N125" t="s">
        <v>2850</v>
      </c>
      <c r="P125" t="s">
        <v>394</v>
      </c>
      <c r="Q125" t="s">
        <v>395</v>
      </c>
      <c r="R125" t="s">
        <v>58</v>
      </c>
      <c r="S125" t="s">
        <v>82</v>
      </c>
      <c r="T125" s="1">
        <v>43339</v>
      </c>
      <c r="U125">
        <v>0</v>
      </c>
      <c r="V125">
        <v>5</v>
      </c>
      <c r="W125" t="s">
        <v>66</v>
      </c>
      <c r="X125" t="s">
        <v>392</v>
      </c>
      <c r="Y125" t="s">
        <v>42</v>
      </c>
      <c r="Z125" t="s">
        <v>43</v>
      </c>
      <c r="AA125" t="s">
        <v>43</v>
      </c>
      <c r="AB125" t="s">
        <v>393</v>
      </c>
      <c r="AD125" t="s">
        <v>3143</v>
      </c>
    </row>
    <row r="126" spans="1:30" x14ac:dyDescent="0.4">
      <c r="A126" t="s">
        <v>27</v>
      </c>
      <c r="B126">
        <v>405</v>
      </c>
      <c r="C126" t="s">
        <v>195</v>
      </c>
      <c r="D126" t="s">
        <v>383</v>
      </c>
      <c r="E126" t="s">
        <v>384</v>
      </c>
      <c r="F126" t="s">
        <v>385</v>
      </c>
      <c r="G126" t="s">
        <v>386</v>
      </c>
      <c r="H126" t="s">
        <v>387</v>
      </c>
      <c r="I126" t="s">
        <v>242</v>
      </c>
      <c r="J126" t="s">
        <v>388</v>
      </c>
      <c r="K126" t="s">
        <v>35</v>
      </c>
      <c r="L126">
        <v>1980629343</v>
      </c>
      <c r="M126" t="s">
        <v>389</v>
      </c>
      <c r="N126" t="s">
        <v>2850</v>
      </c>
      <c r="P126" t="s">
        <v>396</v>
      </c>
      <c r="Q126" t="s">
        <v>397</v>
      </c>
      <c r="R126" t="s">
        <v>58</v>
      </c>
      <c r="S126" t="s">
        <v>82</v>
      </c>
      <c r="T126" s="1">
        <v>44904</v>
      </c>
      <c r="U126">
        <v>0</v>
      </c>
      <c r="V126">
        <v>4</v>
      </c>
      <c r="W126" t="s">
        <v>65</v>
      </c>
      <c r="X126" t="s">
        <v>392</v>
      </c>
      <c r="Y126" t="s">
        <v>42</v>
      </c>
      <c r="Z126" t="s">
        <v>43</v>
      </c>
      <c r="AA126" t="s">
        <v>43</v>
      </c>
      <c r="AB126" t="s">
        <v>393</v>
      </c>
      <c r="AD126" t="s">
        <v>3143</v>
      </c>
    </row>
    <row r="127" spans="1:30" x14ac:dyDescent="0.4">
      <c r="A127" t="s">
        <v>27</v>
      </c>
      <c r="B127">
        <v>405</v>
      </c>
      <c r="C127" t="s">
        <v>195</v>
      </c>
      <c r="D127" t="s">
        <v>383</v>
      </c>
      <c r="E127" t="s">
        <v>384</v>
      </c>
      <c r="F127" t="s">
        <v>385</v>
      </c>
      <c r="G127" t="s">
        <v>386</v>
      </c>
      <c r="H127" t="s">
        <v>387</v>
      </c>
      <c r="I127" t="s">
        <v>242</v>
      </c>
      <c r="J127" t="s">
        <v>388</v>
      </c>
      <c r="K127" t="s">
        <v>35</v>
      </c>
      <c r="L127">
        <v>1980629343</v>
      </c>
      <c r="M127" t="s">
        <v>389</v>
      </c>
      <c r="N127" t="s">
        <v>2850</v>
      </c>
      <c r="P127" t="s">
        <v>394</v>
      </c>
      <c r="Q127" t="s">
        <v>395</v>
      </c>
      <c r="R127" t="s">
        <v>58</v>
      </c>
      <c r="S127" t="s">
        <v>82</v>
      </c>
      <c r="T127" s="1">
        <v>43339</v>
      </c>
      <c r="U127">
        <v>0</v>
      </c>
      <c r="V127">
        <v>6</v>
      </c>
      <c r="W127" t="s">
        <v>83</v>
      </c>
      <c r="X127" t="s">
        <v>392</v>
      </c>
      <c r="Y127" t="s">
        <v>42</v>
      </c>
      <c r="Z127" t="s">
        <v>43</v>
      </c>
      <c r="AA127" t="s">
        <v>43</v>
      </c>
      <c r="AB127" t="s">
        <v>393</v>
      </c>
      <c r="AD127" t="s">
        <v>3143</v>
      </c>
    </row>
    <row r="128" spans="1:30" x14ac:dyDescent="0.4">
      <c r="A128" t="s">
        <v>27</v>
      </c>
      <c r="B128">
        <v>405</v>
      </c>
      <c r="C128" t="s">
        <v>195</v>
      </c>
      <c r="D128" t="s">
        <v>383</v>
      </c>
      <c r="E128" t="s">
        <v>384</v>
      </c>
      <c r="F128" t="s">
        <v>385</v>
      </c>
      <c r="G128" t="s">
        <v>386</v>
      </c>
      <c r="H128" t="s">
        <v>387</v>
      </c>
      <c r="I128" t="s">
        <v>242</v>
      </c>
      <c r="J128" t="s">
        <v>388</v>
      </c>
      <c r="K128" t="s">
        <v>35</v>
      </c>
      <c r="L128">
        <v>1980629343</v>
      </c>
      <c r="M128" t="s">
        <v>389</v>
      </c>
      <c r="N128" t="s">
        <v>2850</v>
      </c>
      <c r="P128" t="s">
        <v>396</v>
      </c>
      <c r="Q128" t="s">
        <v>397</v>
      </c>
      <c r="R128" t="s">
        <v>58</v>
      </c>
      <c r="S128" t="s">
        <v>82</v>
      </c>
      <c r="T128" s="1">
        <v>44904</v>
      </c>
      <c r="U128">
        <v>0</v>
      </c>
      <c r="V128">
        <v>13</v>
      </c>
      <c r="X128" t="s">
        <v>392</v>
      </c>
      <c r="Y128" t="s">
        <v>42</v>
      </c>
      <c r="Z128" t="s">
        <v>43</v>
      </c>
      <c r="AA128" t="s">
        <v>43</v>
      </c>
      <c r="AB128" t="s">
        <v>393</v>
      </c>
      <c r="AD128" t="s">
        <v>3143</v>
      </c>
    </row>
    <row r="129" spans="1:30" x14ac:dyDescent="0.4">
      <c r="A129" t="s">
        <v>27</v>
      </c>
      <c r="B129">
        <v>405</v>
      </c>
      <c r="C129" t="s">
        <v>195</v>
      </c>
      <c r="D129" t="s">
        <v>383</v>
      </c>
      <c r="E129" t="s">
        <v>384</v>
      </c>
      <c r="F129" t="s">
        <v>385</v>
      </c>
      <c r="G129" t="s">
        <v>386</v>
      </c>
      <c r="H129" t="s">
        <v>387</v>
      </c>
      <c r="I129" t="s">
        <v>242</v>
      </c>
      <c r="J129" t="s">
        <v>388</v>
      </c>
      <c r="K129" t="s">
        <v>35</v>
      </c>
      <c r="L129">
        <v>1980629343</v>
      </c>
      <c r="M129" t="s">
        <v>389</v>
      </c>
      <c r="N129" t="s">
        <v>2850</v>
      </c>
      <c r="P129" t="s">
        <v>394</v>
      </c>
      <c r="Q129" t="s">
        <v>395</v>
      </c>
      <c r="R129" t="s">
        <v>58</v>
      </c>
      <c r="S129" t="s">
        <v>82</v>
      </c>
      <c r="T129" s="1">
        <v>43339</v>
      </c>
      <c r="U129">
        <v>0</v>
      </c>
      <c r="V129">
        <v>15</v>
      </c>
      <c r="X129" t="s">
        <v>392</v>
      </c>
      <c r="Y129" t="s">
        <v>42</v>
      </c>
      <c r="Z129" t="s">
        <v>43</v>
      </c>
      <c r="AA129" t="s">
        <v>43</v>
      </c>
      <c r="AB129" t="s">
        <v>393</v>
      </c>
      <c r="AD129" t="s">
        <v>3143</v>
      </c>
    </row>
    <row r="130" spans="1:30" x14ac:dyDescent="0.4">
      <c r="A130" t="s">
        <v>27</v>
      </c>
      <c r="B130">
        <v>405</v>
      </c>
      <c r="C130" t="s">
        <v>195</v>
      </c>
      <c r="D130" t="s">
        <v>383</v>
      </c>
      <c r="E130" t="s">
        <v>384</v>
      </c>
      <c r="F130" t="s">
        <v>385</v>
      </c>
      <c r="G130" t="s">
        <v>386</v>
      </c>
      <c r="H130" t="s">
        <v>387</v>
      </c>
      <c r="I130" t="s">
        <v>242</v>
      </c>
      <c r="J130" t="s">
        <v>388</v>
      </c>
      <c r="K130" t="s">
        <v>35</v>
      </c>
      <c r="L130">
        <v>1980629343</v>
      </c>
      <c r="M130" t="s">
        <v>389</v>
      </c>
      <c r="N130" t="s">
        <v>2850</v>
      </c>
      <c r="P130" t="s">
        <v>394</v>
      </c>
      <c r="Q130" t="s">
        <v>395</v>
      </c>
      <c r="R130" t="s">
        <v>58</v>
      </c>
      <c r="S130" t="s">
        <v>82</v>
      </c>
      <c r="T130" s="1">
        <v>43339</v>
      </c>
      <c r="U130">
        <v>0</v>
      </c>
      <c r="V130">
        <v>17</v>
      </c>
      <c r="X130" t="s">
        <v>392</v>
      </c>
      <c r="Y130" t="s">
        <v>42</v>
      </c>
      <c r="Z130" t="s">
        <v>43</v>
      </c>
      <c r="AA130" t="s">
        <v>43</v>
      </c>
      <c r="AB130" t="s">
        <v>393</v>
      </c>
      <c r="AD130" t="s">
        <v>3143</v>
      </c>
    </row>
    <row r="131" spans="1:30" x14ac:dyDescent="0.4">
      <c r="A131" t="s">
        <v>27</v>
      </c>
      <c r="B131">
        <v>195</v>
      </c>
      <c r="C131" t="s">
        <v>195</v>
      </c>
      <c r="D131" t="s">
        <v>398</v>
      </c>
      <c r="E131" t="s">
        <v>399</v>
      </c>
      <c r="F131" t="s">
        <v>400</v>
      </c>
      <c r="G131" t="s">
        <v>401</v>
      </c>
      <c r="H131" t="s">
        <v>402</v>
      </c>
      <c r="I131" t="s">
        <v>73</v>
      </c>
      <c r="J131" t="s">
        <v>403</v>
      </c>
      <c r="K131" t="s">
        <v>35</v>
      </c>
      <c r="L131">
        <v>7799071166</v>
      </c>
      <c r="M131" t="s">
        <v>404</v>
      </c>
      <c r="N131" t="s">
        <v>95</v>
      </c>
      <c r="P131" t="s">
        <v>405</v>
      </c>
      <c r="Q131" t="s">
        <v>406</v>
      </c>
      <c r="R131" t="s">
        <v>94</v>
      </c>
      <c r="S131" t="s">
        <v>40</v>
      </c>
      <c r="T131" s="1">
        <v>41884</v>
      </c>
      <c r="U131">
        <v>0</v>
      </c>
      <c r="V131">
        <v>0</v>
      </c>
      <c r="W131" t="s">
        <v>59</v>
      </c>
      <c r="X131" t="s">
        <v>407</v>
      </c>
      <c r="Y131" t="s">
        <v>42</v>
      </c>
      <c r="Z131" t="s">
        <v>43</v>
      </c>
      <c r="AA131" t="s">
        <v>42</v>
      </c>
      <c r="AB131" t="s">
        <v>408</v>
      </c>
      <c r="AD131" t="s">
        <v>3143</v>
      </c>
    </row>
    <row r="132" spans="1:30" x14ac:dyDescent="0.4">
      <c r="A132" t="s">
        <v>27</v>
      </c>
      <c r="B132">
        <v>195</v>
      </c>
      <c r="C132" t="s">
        <v>195</v>
      </c>
      <c r="D132" t="s">
        <v>398</v>
      </c>
      <c r="E132" t="s">
        <v>399</v>
      </c>
      <c r="F132" t="s">
        <v>400</v>
      </c>
      <c r="G132" t="s">
        <v>401</v>
      </c>
      <c r="H132" t="s">
        <v>402</v>
      </c>
      <c r="I132" t="s">
        <v>73</v>
      </c>
      <c r="J132" t="s">
        <v>403</v>
      </c>
      <c r="K132" t="s">
        <v>35</v>
      </c>
      <c r="L132">
        <v>7799071166</v>
      </c>
      <c r="M132" t="s">
        <v>404</v>
      </c>
      <c r="N132" t="s">
        <v>95</v>
      </c>
      <c r="P132" t="s">
        <v>409</v>
      </c>
      <c r="Q132" t="s">
        <v>410</v>
      </c>
      <c r="R132" t="s">
        <v>3062</v>
      </c>
      <c r="S132" t="s">
        <v>40</v>
      </c>
      <c r="T132" s="1">
        <v>41340</v>
      </c>
      <c r="U132">
        <v>0</v>
      </c>
      <c r="V132">
        <v>0</v>
      </c>
      <c r="W132" t="s">
        <v>59</v>
      </c>
      <c r="X132" t="s">
        <v>407</v>
      </c>
      <c r="Y132" t="s">
        <v>42</v>
      </c>
      <c r="Z132" t="s">
        <v>43</v>
      </c>
      <c r="AA132" t="s">
        <v>42</v>
      </c>
      <c r="AB132" t="s">
        <v>408</v>
      </c>
      <c r="AD132" t="s">
        <v>3143</v>
      </c>
    </row>
    <row r="133" spans="1:30" x14ac:dyDescent="0.4">
      <c r="A133" t="s">
        <v>27</v>
      </c>
      <c r="B133">
        <v>195</v>
      </c>
      <c r="C133" t="s">
        <v>195</v>
      </c>
      <c r="D133" t="s">
        <v>398</v>
      </c>
      <c r="E133" t="s">
        <v>399</v>
      </c>
      <c r="F133" t="s">
        <v>400</v>
      </c>
      <c r="G133" t="s">
        <v>401</v>
      </c>
      <c r="H133" t="s">
        <v>402</v>
      </c>
      <c r="I133" t="s">
        <v>73</v>
      </c>
      <c r="J133" t="s">
        <v>403</v>
      </c>
      <c r="K133" t="s">
        <v>35</v>
      </c>
      <c r="L133">
        <v>7799071166</v>
      </c>
      <c r="M133" t="s">
        <v>404</v>
      </c>
      <c r="N133" t="s">
        <v>95</v>
      </c>
      <c r="P133" t="s">
        <v>411</v>
      </c>
      <c r="Q133" t="s">
        <v>412</v>
      </c>
      <c r="R133" t="s">
        <v>376</v>
      </c>
      <c r="S133" t="s">
        <v>82</v>
      </c>
      <c r="T133" s="1">
        <v>44603</v>
      </c>
      <c r="U133">
        <v>0</v>
      </c>
      <c r="V133">
        <v>0</v>
      </c>
      <c r="W133" t="s">
        <v>59</v>
      </c>
      <c r="X133" t="s">
        <v>407</v>
      </c>
      <c r="Y133" t="s">
        <v>42</v>
      </c>
      <c r="Z133" t="s">
        <v>43</v>
      </c>
      <c r="AA133" t="s">
        <v>42</v>
      </c>
      <c r="AB133" t="s">
        <v>408</v>
      </c>
      <c r="AD133" t="s">
        <v>3143</v>
      </c>
    </row>
    <row r="134" spans="1:30" x14ac:dyDescent="0.4">
      <c r="A134" t="s">
        <v>27</v>
      </c>
      <c r="B134">
        <v>195</v>
      </c>
      <c r="C134" t="s">
        <v>195</v>
      </c>
      <c r="D134" t="s">
        <v>398</v>
      </c>
      <c r="E134" t="s">
        <v>399</v>
      </c>
      <c r="F134" t="s">
        <v>400</v>
      </c>
      <c r="G134" t="s">
        <v>401</v>
      </c>
      <c r="H134" t="s">
        <v>402</v>
      </c>
      <c r="I134" t="s">
        <v>73</v>
      </c>
      <c r="J134" t="s">
        <v>403</v>
      </c>
      <c r="K134" t="s">
        <v>35</v>
      </c>
      <c r="L134">
        <v>7799071166</v>
      </c>
      <c r="M134" t="s">
        <v>404</v>
      </c>
      <c r="N134" t="s">
        <v>95</v>
      </c>
      <c r="P134" t="s">
        <v>414</v>
      </c>
      <c r="Q134" t="s">
        <v>415</v>
      </c>
      <c r="R134" t="s">
        <v>416</v>
      </c>
      <c r="S134" t="s">
        <v>82</v>
      </c>
      <c r="T134" s="1">
        <v>42809</v>
      </c>
      <c r="U134">
        <v>0</v>
      </c>
      <c r="V134">
        <v>0</v>
      </c>
      <c r="W134" t="s">
        <v>59</v>
      </c>
      <c r="X134" t="s">
        <v>407</v>
      </c>
      <c r="Y134" t="s">
        <v>42</v>
      </c>
      <c r="Z134" t="s">
        <v>43</v>
      </c>
      <c r="AA134" t="s">
        <v>42</v>
      </c>
      <c r="AB134" t="s">
        <v>408</v>
      </c>
      <c r="AD134" t="s">
        <v>3143</v>
      </c>
    </row>
    <row r="135" spans="1:30" x14ac:dyDescent="0.4">
      <c r="A135" t="s">
        <v>27</v>
      </c>
      <c r="B135">
        <v>195</v>
      </c>
      <c r="C135" t="s">
        <v>195</v>
      </c>
      <c r="D135" t="s">
        <v>398</v>
      </c>
      <c r="E135" t="s">
        <v>399</v>
      </c>
      <c r="F135" t="s">
        <v>400</v>
      </c>
      <c r="G135" t="s">
        <v>401</v>
      </c>
      <c r="H135" t="s">
        <v>402</v>
      </c>
      <c r="I135" t="s">
        <v>73</v>
      </c>
      <c r="J135" t="s">
        <v>403</v>
      </c>
      <c r="K135" t="s">
        <v>35</v>
      </c>
      <c r="L135">
        <v>7799071166</v>
      </c>
      <c r="M135" t="s">
        <v>404</v>
      </c>
      <c r="N135" t="s">
        <v>95</v>
      </c>
      <c r="P135" t="s">
        <v>417</v>
      </c>
      <c r="Q135" t="s">
        <v>418</v>
      </c>
      <c r="R135" t="s">
        <v>58</v>
      </c>
      <c r="S135" t="s">
        <v>40</v>
      </c>
      <c r="T135" s="1">
        <v>45015</v>
      </c>
      <c r="U135">
        <v>0</v>
      </c>
      <c r="V135">
        <v>4</v>
      </c>
      <c r="W135" t="s">
        <v>65</v>
      </c>
      <c r="X135" t="s">
        <v>407</v>
      </c>
      <c r="Y135" t="s">
        <v>42</v>
      </c>
      <c r="Z135" t="s">
        <v>43</v>
      </c>
      <c r="AA135" t="s">
        <v>42</v>
      </c>
      <c r="AB135" t="s">
        <v>408</v>
      </c>
      <c r="AD135" t="s">
        <v>3143</v>
      </c>
    </row>
    <row r="136" spans="1:30" x14ac:dyDescent="0.4">
      <c r="A136" t="s">
        <v>27</v>
      </c>
      <c r="B136">
        <v>195</v>
      </c>
      <c r="C136" t="s">
        <v>195</v>
      </c>
      <c r="D136" t="s">
        <v>398</v>
      </c>
      <c r="E136" t="s">
        <v>399</v>
      </c>
      <c r="F136" t="s">
        <v>400</v>
      </c>
      <c r="G136" t="s">
        <v>401</v>
      </c>
      <c r="H136" t="s">
        <v>402</v>
      </c>
      <c r="I136" t="s">
        <v>73</v>
      </c>
      <c r="J136" t="s">
        <v>403</v>
      </c>
      <c r="K136" t="s">
        <v>35</v>
      </c>
      <c r="L136">
        <v>7799071166</v>
      </c>
      <c r="M136" t="s">
        <v>404</v>
      </c>
      <c r="N136" t="s">
        <v>95</v>
      </c>
      <c r="P136" t="s">
        <v>419</v>
      </c>
      <c r="Q136" t="s">
        <v>420</v>
      </c>
      <c r="R136" t="s">
        <v>232</v>
      </c>
      <c r="S136" t="s">
        <v>40</v>
      </c>
      <c r="T136" s="1">
        <v>43063</v>
      </c>
      <c r="U136">
        <v>0</v>
      </c>
      <c r="V136">
        <v>6</v>
      </c>
      <c r="W136" t="s">
        <v>83</v>
      </c>
      <c r="X136" t="s">
        <v>407</v>
      </c>
      <c r="Y136" t="s">
        <v>42</v>
      </c>
      <c r="Z136" t="s">
        <v>43</v>
      </c>
      <c r="AA136" t="s">
        <v>42</v>
      </c>
      <c r="AB136" t="s">
        <v>408</v>
      </c>
      <c r="AD136" t="s">
        <v>3143</v>
      </c>
    </row>
    <row r="137" spans="1:30" x14ac:dyDescent="0.4">
      <c r="A137" t="s">
        <v>27</v>
      </c>
      <c r="B137">
        <v>195</v>
      </c>
      <c r="C137" t="s">
        <v>195</v>
      </c>
      <c r="D137" t="s">
        <v>398</v>
      </c>
      <c r="E137" t="s">
        <v>399</v>
      </c>
      <c r="F137" t="s">
        <v>400</v>
      </c>
      <c r="G137" t="s">
        <v>401</v>
      </c>
      <c r="H137" t="s">
        <v>402</v>
      </c>
      <c r="I137" t="s">
        <v>73</v>
      </c>
      <c r="J137" t="s">
        <v>403</v>
      </c>
      <c r="K137" t="s">
        <v>35</v>
      </c>
      <c r="L137">
        <v>7799071166</v>
      </c>
      <c r="M137" t="s">
        <v>404</v>
      </c>
      <c r="N137" t="s">
        <v>95</v>
      </c>
      <c r="P137" t="s">
        <v>417</v>
      </c>
      <c r="Q137" t="s">
        <v>418</v>
      </c>
      <c r="R137" t="s">
        <v>58</v>
      </c>
      <c r="S137" t="s">
        <v>40</v>
      </c>
      <c r="T137" s="1">
        <v>45015</v>
      </c>
      <c r="U137">
        <v>0</v>
      </c>
      <c r="V137">
        <v>0</v>
      </c>
      <c r="W137" t="s">
        <v>59</v>
      </c>
      <c r="X137" t="s">
        <v>407</v>
      </c>
      <c r="Y137" t="s">
        <v>42</v>
      </c>
      <c r="Z137" t="s">
        <v>43</v>
      </c>
      <c r="AA137" t="s">
        <v>42</v>
      </c>
      <c r="AB137" t="s">
        <v>408</v>
      </c>
      <c r="AD137" t="s">
        <v>3143</v>
      </c>
    </row>
    <row r="138" spans="1:30" x14ac:dyDescent="0.4">
      <c r="A138" t="s">
        <v>27</v>
      </c>
      <c r="B138">
        <v>195</v>
      </c>
      <c r="C138" t="s">
        <v>195</v>
      </c>
      <c r="D138" t="s">
        <v>398</v>
      </c>
      <c r="E138" t="s">
        <v>399</v>
      </c>
      <c r="F138" t="s">
        <v>400</v>
      </c>
      <c r="G138" t="s">
        <v>401</v>
      </c>
      <c r="H138" t="s">
        <v>402</v>
      </c>
      <c r="I138" t="s">
        <v>73</v>
      </c>
      <c r="J138" t="s">
        <v>403</v>
      </c>
      <c r="K138" t="s">
        <v>35</v>
      </c>
      <c r="L138">
        <v>7799071166</v>
      </c>
      <c r="M138" t="s">
        <v>404</v>
      </c>
      <c r="N138" t="s">
        <v>95</v>
      </c>
      <c r="P138" t="s">
        <v>419</v>
      </c>
      <c r="Q138" t="s">
        <v>420</v>
      </c>
      <c r="R138" t="s">
        <v>232</v>
      </c>
      <c r="S138" t="s">
        <v>40</v>
      </c>
      <c r="T138" s="1">
        <v>43063</v>
      </c>
      <c r="U138">
        <v>0</v>
      </c>
      <c r="V138">
        <v>0</v>
      </c>
      <c r="W138" t="s">
        <v>59</v>
      </c>
      <c r="X138" t="s">
        <v>407</v>
      </c>
      <c r="Y138" t="s">
        <v>42</v>
      </c>
      <c r="Z138" t="s">
        <v>43</v>
      </c>
      <c r="AA138" t="s">
        <v>42</v>
      </c>
      <c r="AB138" t="s">
        <v>408</v>
      </c>
      <c r="AD138" t="s">
        <v>3143</v>
      </c>
    </row>
    <row r="139" spans="1:30" x14ac:dyDescent="0.4">
      <c r="A139" t="s">
        <v>27</v>
      </c>
      <c r="B139">
        <v>195</v>
      </c>
      <c r="C139" t="s">
        <v>195</v>
      </c>
      <c r="D139" t="s">
        <v>398</v>
      </c>
      <c r="E139" t="s">
        <v>399</v>
      </c>
      <c r="F139" t="s">
        <v>400</v>
      </c>
      <c r="G139" t="s">
        <v>401</v>
      </c>
      <c r="H139" t="s">
        <v>402</v>
      </c>
      <c r="I139" t="s">
        <v>73</v>
      </c>
      <c r="J139" t="s">
        <v>403</v>
      </c>
      <c r="K139" t="s">
        <v>35</v>
      </c>
      <c r="L139">
        <v>7799071166</v>
      </c>
      <c r="M139" t="s">
        <v>404</v>
      </c>
      <c r="N139" t="s">
        <v>95</v>
      </c>
      <c r="P139" t="s">
        <v>409</v>
      </c>
      <c r="Q139" t="s">
        <v>410</v>
      </c>
      <c r="R139" t="s">
        <v>3062</v>
      </c>
      <c r="S139" t="s">
        <v>40</v>
      </c>
      <c r="T139" s="1">
        <v>41340</v>
      </c>
      <c r="U139">
        <v>0</v>
      </c>
      <c r="V139">
        <v>0</v>
      </c>
      <c r="W139" t="s">
        <v>59</v>
      </c>
      <c r="X139" t="s">
        <v>407</v>
      </c>
      <c r="Y139" t="s">
        <v>42</v>
      </c>
      <c r="Z139" t="s">
        <v>43</v>
      </c>
      <c r="AA139" t="s">
        <v>42</v>
      </c>
      <c r="AB139" t="s">
        <v>408</v>
      </c>
      <c r="AD139" t="s">
        <v>3143</v>
      </c>
    </row>
    <row r="140" spans="1:30" x14ac:dyDescent="0.4">
      <c r="A140" t="s">
        <v>27</v>
      </c>
      <c r="B140">
        <v>195</v>
      </c>
      <c r="C140" t="s">
        <v>195</v>
      </c>
      <c r="D140" t="s">
        <v>398</v>
      </c>
      <c r="E140" t="s">
        <v>399</v>
      </c>
      <c r="F140" t="s">
        <v>400</v>
      </c>
      <c r="G140" t="s">
        <v>401</v>
      </c>
      <c r="H140" t="s">
        <v>402</v>
      </c>
      <c r="I140" t="s">
        <v>73</v>
      </c>
      <c r="J140" t="s">
        <v>403</v>
      </c>
      <c r="K140" t="s">
        <v>35</v>
      </c>
      <c r="L140">
        <v>7799071166</v>
      </c>
      <c r="M140" t="s">
        <v>404</v>
      </c>
      <c r="N140" t="s">
        <v>95</v>
      </c>
      <c r="P140" t="s">
        <v>411</v>
      </c>
      <c r="Q140" t="s">
        <v>412</v>
      </c>
      <c r="R140" t="s">
        <v>376</v>
      </c>
      <c r="S140" t="s">
        <v>82</v>
      </c>
      <c r="T140" s="1">
        <v>44603</v>
      </c>
      <c r="U140">
        <v>0</v>
      </c>
      <c r="V140">
        <v>0</v>
      </c>
      <c r="W140" t="s">
        <v>59</v>
      </c>
      <c r="X140" t="s">
        <v>407</v>
      </c>
      <c r="Y140" t="s">
        <v>42</v>
      </c>
      <c r="Z140" t="s">
        <v>43</v>
      </c>
      <c r="AA140" t="s">
        <v>42</v>
      </c>
      <c r="AB140" t="s">
        <v>408</v>
      </c>
      <c r="AD140" t="s">
        <v>3143</v>
      </c>
    </row>
    <row r="141" spans="1:30" x14ac:dyDescent="0.4">
      <c r="A141" t="s">
        <v>27</v>
      </c>
      <c r="B141">
        <v>195</v>
      </c>
      <c r="C141" t="s">
        <v>195</v>
      </c>
      <c r="D141" t="s">
        <v>398</v>
      </c>
      <c r="E141" t="s">
        <v>399</v>
      </c>
      <c r="F141" t="s">
        <v>400</v>
      </c>
      <c r="G141" t="s">
        <v>401</v>
      </c>
      <c r="H141" t="s">
        <v>402</v>
      </c>
      <c r="I141" t="s">
        <v>73</v>
      </c>
      <c r="J141" t="s">
        <v>403</v>
      </c>
      <c r="K141" t="s">
        <v>35</v>
      </c>
      <c r="L141">
        <v>7799071166</v>
      </c>
      <c r="M141" t="s">
        <v>404</v>
      </c>
      <c r="N141" t="s">
        <v>95</v>
      </c>
      <c r="P141" t="s">
        <v>414</v>
      </c>
      <c r="Q141" t="s">
        <v>415</v>
      </c>
      <c r="R141" t="s">
        <v>416</v>
      </c>
      <c r="S141" t="s">
        <v>82</v>
      </c>
      <c r="T141" s="1">
        <v>42809</v>
      </c>
      <c r="U141">
        <v>0</v>
      </c>
      <c r="V141">
        <v>0</v>
      </c>
      <c r="W141" t="s">
        <v>59</v>
      </c>
      <c r="X141" t="s">
        <v>407</v>
      </c>
      <c r="Y141" t="s">
        <v>42</v>
      </c>
      <c r="Z141" t="s">
        <v>43</v>
      </c>
      <c r="AA141" t="s">
        <v>42</v>
      </c>
      <c r="AB141" t="s">
        <v>408</v>
      </c>
      <c r="AD141" t="s">
        <v>3143</v>
      </c>
    </row>
    <row r="142" spans="1:30" x14ac:dyDescent="0.4">
      <c r="A142" t="s">
        <v>27</v>
      </c>
      <c r="B142">
        <v>195</v>
      </c>
      <c r="C142" t="s">
        <v>195</v>
      </c>
      <c r="D142" t="s">
        <v>398</v>
      </c>
      <c r="E142" t="s">
        <v>399</v>
      </c>
      <c r="F142" t="s">
        <v>400</v>
      </c>
      <c r="G142" t="s">
        <v>401</v>
      </c>
      <c r="H142" t="s">
        <v>402</v>
      </c>
      <c r="I142" t="s">
        <v>73</v>
      </c>
      <c r="J142" t="s">
        <v>403</v>
      </c>
      <c r="K142" t="s">
        <v>35</v>
      </c>
      <c r="L142">
        <v>7799071166</v>
      </c>
      <c r="M142" t="s">
        <v>404</v>
      </c>
      <c r="N142" t="s">
        <v>95</v>
      </c>
      <c r="P142" t="s">
        <v>405</v>
      </c>
      <c r="Q142" t="s">
        <v>406</v>
      </c>
      <c r="R142" t="s">
        <v>94</v>
      </c>
      <c r="S142" t="s">
        <v>40</v>
      </c>
      <c r="T142" s="1">
        <v>41884</v>
      </c>
      <c r="U142">
        <v>0</v>
      </c>
      <c r="V142">
        <v>0</v>
      </c>
      <c r="W142" t="s">
        <v>59</v>
      </c>
      <c r="X142" t="s">
        <v>407</v>
      </c>
      <c r="Y142" t="s">
        <v>42</v>
      </c>
      <c r="Z142" t="s">
        <v>43</v>
      </c>
      <c r="AA142" t="s">
        <v>42</v>
      </c>
      <c r="AB142" t="s">
        <v>408</v>
      </c>
      <c r="AD142" t="s">
        <v>3143</v>
      </c>
    </row>
    <row r="143" spans="1:30" x14ac:dyDescent="0.4">
      <c r="A143" t="s">
        <v>27</v>
      </c>
      <c r="B143">
        <v>4494</v>
      </c>
      <c r="C143" t="s">
        <v>195</v>
      </c>
      <c r="D143" t="s">
        <v>421</v>
      </c>
      <c r="E143" t="s">
        <v>422</v>
      </c>
      <c r="F143" t="s">
        <v>423</v>
      </c>
      <c r="G143" t="s">
        <v>424</v>
      </c>
      <c r="H143" t="s">
        <v>425</v>
      </c>
      <c r="I143" t="s">
        <v>426</v>
      </c>
      <c r="J143" t="s">
        <v>427</v>
      </c>
      <c r="K143" t="s">
        <v>35</v>
      </c>
      <c r="L143" t="s">
        <v>428</v>
      </c>
      <c r="M143" t="s">
        <v>429</v>
      </c>
      <c r="N143" t="s">
        <v>3071</v>
      </c>
      <c r="P143" t="s">
        <v>431</v>
      </c>
      <c r="Q143" t="s">
        <v>432</v>
      </c>
      <c r="R143" t="s">
        <v>58</v>
      </c>
      <c r="S143" t="s">
        <v>40</v>
      </c>
      <c r="T143" s="1">
        <v>43668</v>
      </c>
      <c r="U143">
        <v>0</v>
      </c>
      <c r="V143">
        <v>7</v>
      </c>
      <c r="Y143" t="s">
        <v>42</v>
      </c>
      <c r="Z143" t="s">
        <v>43</v>
      </c>
      <c r="AA143" t="s">
        <v>43</v>
      </c>
      <c r="AD143" t="s">
        <v>3143</v>
      </c>
    </row>
    <row r="144" spans="1:30" x14ac:dyDescent="0.4">
      <c r="A144" t="s">
        <v>27</v>
      </c>
      <c r="B144">
        <v>4494</v>
      </c>
      <c r="C144" t="s">
        <v>195</v>
      </c>
      <c r="D144" t="s">
        <v>421</v>
      </c>
      <c r="E144" t="s">
        <v>422</v>
      </c>
      <c r="F144" t="s">
        <v>423</v>
      </c>
      <c r="G144" t="s">
        <v>424</v>
      </c>
      <c r="H144" t="s">
        <v>425</v>
      </c>
      <c r="I144" t="s">
        <v>426</v>
      </c>
      <c r="J144" t="s">
        <v>427</v>
      </c>
      <c r="K144" t="s">
        <v>35</v>
      </c>
      <c r="L144" t="s">
        <v>428</v>
      </c>
      <c r="M144" t="s">
        <v>429</v>
      </c>
      <c r="N144" t="s">
        <v>430</v>
      </c>
      <c r="P144" t="s">
        <v>433</v>
      </c>
      <c r="Q144" t="s">
        <v>434</v>
      </c>
      <c r="R144" t="s">
        <v>58</v>
      </c>
      <c r="S144" t="s">
        <v>40</v>
      </c>
      <c r="T144" s="1">
        <v>42210</v>
      </c>
      <c r="U144">
        <v>0</v>
      </c>
      <c r="V144">
        <v>0</v>
      </c>
      <c r="W144" t="s">
        <v>59</v>
      </c>
      <c r="Y144" t="s">
        <v>42</v>
      </c>
      <c r="Z144" t="s">
        <v>43</v>
      </c>
      <c r="AA144" t="s">
        <v>43</v>
      </c>
      <c r="AD144" t="s">
        <v>3143</v>
      </c>
    </row>
    <row r="145" spans="1:30" x14ac:dyDescent="0.4">
      <c r="A145" t="s">
        <v>27</v>
      </c>
      <c r="B145">
        <v>4494</v>
      </c>
      <c r="C145" t="s">
        <v>195</v>
      </c>
      <c r="D145" t="s">
        <v>421</v>
      </c>
      <c r="E145" t="s">
        <v>422</v>
      </c>
      <c r="F145" t="s">
        <v>423</v>
      </c>
      <c r="G145" t="s">
        <v>424</v>
      </c>
      <c r="H145" t="s">
        <v>425</v>
      </c>
      <c r="I145" t="s">
        <v>426</v>
      </c>
      <c r="J145" t="s">
        <v>427</v>
      </c>
      <c r="K145" t="s">
        <v>35</v>
      </c>
      <c r="L145" t="s">
        <v>428</v>
      </c>
      <c r="M145" t="s">
        <v>429</v>
      </c>
      <c r="N145" t="s">
        <v>3071</v>
      </c>
      <c r="P145" t="s">
        <v>431</v>
      </c>
      <c r="Q145" t="s">
        <v>432</v>
      </c>
      <c r="R145" t="s">
        <v>58</v>
      </c>
      <c r="S145" t="s">
        <v>40</v>
      </c>
      <c r="T145" s="1">
        <v>43668</v>
      </c>
      <c r="U145">
        <v>0</v>
      </c>
      <c r="V145">
        <v>20</v>
      </c>
      <c r="Y145" t="s">
        <v>42</v>
      </c>
      <c r="Z145" t="s">
        <v>43</v>
      </c>
      <c r="AA145" t="s">
        <v>43</v>
      </c>
      <c r="AD145" t="s">
        <v>3143</v>
      </c>
    </row>
    <row r="146" spans="1:30" x14ac:dyDescent="0.4">
      <c r="A146" t="s">
        <v>27</v>
      </c>
      <c r="B146">
        <v>2410</v>
      </c>
      <c r="C146" t="s">
        <v>68</v>
      </c>
      <c r="D146" t="s">
        <v>435</v>
      </c>
      <c r="E146" t="s">
        <v>436</v>
      </c>
      <c r="F146" t="s">
        <v>437</v>
      </c>
      <c r="G146" t="s">
        <v>438</v>
      </c>
      <c r="H146" t="s">
        <v>439</v>
      </c>
      <c r="I146" t="s">
        <v>215</v>
      </c>
      <c r="J146" t="s">
        <v>440</v>
      </c>
      <c r="K146" t="s">
        <v>35</v>
      </c>
      <c r="L146" t="s">
        <v>441</v>
      </c>
      <c r="M146" t="s">
        <v>442</v>
      </c>
      <c r="N146" t="s">
        <v>2919</v>
      </c>
      <c r="P146" t="s">
        <v>443</v>
      </c>
      <c r="Q146" t="s">
        <v>444</v>
      </c>
      <c r="R146" t="s">
        <v>284</v>
      </c>
      <c r="S146" t="s">
        <v>40</v>
      </c>
      <c r="T146" s="1">
        <v>43532</v>
      </c>
      <c r="U146">
        <v>0</v>
      </c>
      <c r="V146">
        <v>18</v>
      </c>
      <c r="Y146" t="s">
        <v>42</v>
      </c>
      <c r="Z146" t="s">
        <v>43</v>
      </c>
      <c r="AA146" t="s">
        <v>42</v>
      </c>
      <c r="AD146" t="s">
        <v>3143</v>
      </c>
    </row>
    <row r="147" spans="1:30" x14ac:dyDescent="0.4">
      <c r="A147" t="s">
        <v>27</v>
      </c>
      <c r="B147">
        <v>2941</v>
      </c>
      <c r="C147" t="s">
        <v>68</v>
      </c>
      <c r="D147" t="s">
        <v>445</v>
      </c>
      <c r="E147" t="s">
        <v>446</v>
      </c>
      <c r="F147" t="s">
        <v>447</v>
      </c>
      <c r="G147" t="s">
        <v>448</v>
      </c>
      <c r="H147" t="s">
        <v>449</v>
      </c>
      <c r="I147" t="s">
        <v>226</v>
      </c>
      <c r="J147" t="s">
        <v>450</v>
      </c>
      <c r="K147" t="s">
        <v>35</v>
      </c>
      <c r="L147">
        <v>2083644140</v>
      </c>
      <c r="M147" t="s">
        <v>451</v>
      </c>
      <c r="N147" t="s">
        <v>3072</v>
      </c>
      <c r="P147" t="s">
        <v>453</v>
      </c>
      <c r="Q147" t="s">
        <v>454</v>
      </c>
      <c r="R147" t="s">
        <v>169</v>
      </c>
      <c r="S147" t="s">
        <v>40</v>
      </c>
      <c r="T147" s="1">
        <v>43277</v>
      </c>
      <c r="U147">
        <v>0</v>
      </c>
      <c r="V147">
        <v>6</v>
      </c>
      <c r="W147" t="s">
        <v>83</v>
      </c>
      <c r="Y147" t="s">
        <v>42</v>
      </c>
      <c r="Z147" t="s">
        <v>43</v>
      </c>
      <c r="AA147" t="s">
        <v>43</v>
      </c>
      <c r="AD147" t="s">
        <v>3143</v>
      </c>
    </row>
    <row r="148" spans="1:30" x14ac:dyDescent="0.4">
      <c r="A148" t="s">
        <v>27</v>
      </c>
      <c r="B148">
        <v>2941</v>
      </c>
      <c r="C148" t="s">
        <v>68</v>
      </c>
      <c r="D148" t="s">
        <v>445</v>
      </c>
      <c r="E148" t="s">
        <v>446</v>
      </c>
      <c r="F148" t="s">
        <v>447</v>
      </c>
      <c r="G148" t="s">
        <v>448</v>
      </c>
      <c r="H148" t="s">
        <v>449</v>
      </c>
      <c r="I148" t="s">
        <v>226</v>
      </c>
      <c r="J148" t="s">
        <v>450</v>
      </c>
      <c r="K148" t="s">
        <v>35</v>
      </c>
      <c r="L148">
        <v>2083644140</v>
      </c>
      <c r="M148" t="s">
        <v>451</v>
      </c>
      <c r="N148" t="s">
        <v>452</v>
      </c>
      <c r="P148" t="s">
        <v>453</v>
      </c>
      <c r="Q148" t="s">
        <v>454</v>
      </c>
      <c r="R148" t="s">
        <v>169</v>
      </c>
      <c r="S148" t="s">
        <v>40</v>
      </c>
      <c r="T148" s="1">
        <v>43277</v>
      </c>
      <c r="U148">
        <v>0</v>
      </c>
      <c r="V148">
        <v>0</v>
      </c>
      <c r="W148" t="s">
        <v>59</v>
      </c>
      <c r="Y148" t="s">
        <v>42</v>
      </c>
      <c r="Z148" t="s">
        <v>43</v>
      </c>
      <c r="AA148" t="s">
        <v>43</v>
      </c>
      <c r="AD148" t="s">
        <v>3143</v>
      </c>
    </row>
    <row r="149" spans="1:30" x14ac:dyDescent="0.4">
      <c r="A149" t="s">
        <v>27</v>
      </c>
      <c r="B149">
        <v>2952</v>
      </c>
      <c r="C149" t="s">
        <v>68</v>
      </c>
      <c r="D149" t="s">
        <v>211</v>
      </c>
      <c r="E149" t="s">
        <v>455</v>
      </c>
      <c r="F149" t="s">
        <v>456</v>
      </c>
      <c r="G149" t="s">
        <v>457</v>
      </c>
      <c r="H149" t="s">
        <v>458</v>
      </c>
      <c r="I149" t="s">
        <v>73</v>
      </c>
      <c r="J149" t="s">
        <v>459</v>
      </c>
      <c r="K149" t="s">
        <v>35</v>
      </c>
      <c r="L149">
        <v>1737765745</v>
      </c>
      <c r="M149" t="s">
        <v>460</v>
      </c>
      <c r="N149" t="s">
        <v>461</v>
      </c>
      <c r="P149" t="s">
        <v>462</v>
      </c>
      <c r="Q149" t="s">
        <v>463</v>
      </c>
      <c r="R149" t="s">
        <v>58</v>
      </c>
      <c r="S149" t="s">
        <v>40</v>
      </c>
      <c r="T149" s="1">
        <v>43843</v>
      </c>
      <c r="U149">
        <v>0</v>
      </c>
      <c r="V149">
        <v>6</v>
      </c>
      <c r="W149" t="s">
        <v>83</v>
      </c>
      <c r="X149" t="s">
        <v>464</v>
      </c>
      <c r="Y149" t="s">
        <v>42</v>
      </c>
      <c r="Z149" t="s">
        <v>43</v>
      </c>
      <c r="AA149" t="s">
        <v>42</v>
      </c>
      <c r="AD149" t="s">
        <v>3143</v>
      </c>
    </row>
    <row r="150" spans="1:30" x14ac:dyDescent="0.4">
      <c r="A150" t="s">
        <v>27</v>
      </c>
      <c r="B150">
        <v>2952</v>
      </c>
      <c r="C150" t="s">
        <v>68</v>
      </c>
      <c r="D150" t="s">
        <v>211</v>
      </c>
      <c r="E150" t="s">
        <v>455</v>
      </c>
      <c r="F150" t="s">
        <v>456</v>
      </c>
      <c r="G150" t="s">
        <v>457</v>
      </c>
      <c r="H150" t="s">
        <v>458</v>
      </c>
      <c r="I150" t="s">
        <v>73</v>
      </c>
      <c r="J150" t="s">
        <v>459</v>
      </c>
      <c r="K150" t="s">
        <v>35</v>
      </c>
      <c r="L150">
        <v>1737765745</v>
      </c>
      <c r="M150" t="s">
        <v>460</v>
      </c>
      <c r="N150" t="s">
        <v>461</v>
      </c>
      <c r="P150" t="s">
        <v>462</v>
      </c>
      <c r="Q150" t="s">
        <v>463</v>
      </c>
      <c r="R150" t="s">
        <v>58</v>
      </c>
      <c r="S150" t="s">
        <v>40</v>
      </c>
      <c r="T150" s="1">
        <v>43843</v>
      </c>
      <c r="U150">
        <v>0</v>
      </c>
      <c r="V150">
        <v>7</v>
      </c>
      <c r="X150" t="s">
        <v>464</v>
      </c>
      <c r="Y150" t="s">
        <v>42</v>
      </c>
      <c r="Z150" t="s">
        <v>43</v>
      </c>
      <c r="AA150" t="s">
        <v>42</v>
      </c>
      <c r="AD150" t="s">
        <v>3143</v>
      </c>
    </row>
    <row r="151" spans="1:30" x14ac:dyDescent="0.4">
      <c r="A151" t="s">
        <v>27</v>
      </c>
      <c r="B151">
        <v>2952</v>
      </c>
      <c r="C151" t="s">
        <v>68</v>
      </c>
      <c r="D151" t="s">
        <v>211</v>
      </c>
      <c r="E151" t="s">
        <v>455</v>
      </c>
      <c r="F151" t="s">
        <v>456</v>
      </c>
      <c r="G151" t="s">
        <v>457</v>
      </c>
      <c r="H151" t="s">
        <v>458</v>
      </c>
      <c r="I151" t="s">
        <v>73</v>
      </c>
      <c r="J151" t="s">
        <v>459</v>
      </c>
      <c r="K151" t="s">
        <v>35</v>
      </c>
      <c r="L151">
        <v>1737765745</v>
      </c>
      <c r="M151" t="s">
        <v>460</v>
      </c>
      <c r="N151" t="s">
        <v>461</v>
      </c>
      <c r="P151" t="s">
        <v>462</v>
      </c>
      <c r="Q151" t="s">
        <v>463</v>
      </c>
      <c r="R151" t="s">
        <v>58</v>
      </c>
      <c r="S151" t="s">
        <v>40</v>
      </c>
      <c r="T151" s="1">
        <v>43843</v>
      </c>
      <c r="U151">
        <v>0</v>
      </c>
      <c r="V151">
        <v>16</v>
      </c>
      <c r="X151" t="s">
        <v>464</v>
      </c>
      <c r="Y151" t="s">
        <v>42</v>
      </c>
      <c r="Z151" t="s">
        <v>43</v>
      </c>
      <c r="AA151" t="s">
        <v>42</v>
      </c>
      <c r="AD151" t="s">
        <v>3143</v>
      </c>
    </row>
    <row r="152" spans="1:30" x14ac:dyDescent="0.4">
      <c r="A152" t="s">
        <v>27</v>
      </c>
      <c r="B152">
        <v>2952</v>
      </c>
      <c r="C152" t="s">
        <v>68</v>
      </c>
      <c r="D152" t="s">
        <v>211</v>
      </c>
      <c r="E152" t="s">
        <v>455</v>
      </c>
      <c r="F152" t="s">
        <v>456</v>
      </c>
      <c r="G152" t="s">
        <v>457</v>
      </c>
      <c r="H152" t="s">
        <v>458</v>
      </c>
      <c r="I152" t="s">
        <v>73</v>
      </c>
      <c r="J152" t="s">
        <v>459</v>
      </c>
      <c r="K152" t="s">
        <v>35</v>
      </c>
      <c r="L152">
        <v>1737765745</v>
      </c>
      <c r="M152" t="s">
        <v>460</v>
      </c>
      <c r="N152" t="s">
        <v>461</v>
      </c>
      <c r="P152" t="s">
        <v>462</v>
      </c>
      <c r="Q152" t="s">
        <v>463</v>
      </c>
      <c r="R152" t="s">
        <v>58</v>
      </c>
      <c r="S152" t="s">
        <v>40</v>
      </c>
      <c r="T152" s="1">
        <v>43843</v>
      </c>
      <c r="U152">
        <v>0</v>
      </c>
      <c r="V152">
        <v>18</v>
      </c>
      <c r="X152" t="s">
        <v>464</v>
      </c>
      <c r="Y152" t="s">
        <v>42</v>
      </c>
      <c r="Z152" t="s">
        <v>43</v>
      </c>
      <c r="AA152" t="s">
        <v>42</v>
      </c>
      <c r="AD152" t="s">
        <v>3143</v>
      </c>
    </row>
    <row r="153" spans="1:30" x14ac:dyDescent="0.4">
      <c r="A153" t="s">
        <v>27</v>
      </c>
      <c r="B153">
        <v>5543</v>
      </c>
      <c r="C153" t="s">
        <v>68</v>
      </c>
      <c r="D153" t="s">
        <v>465</v>
      </c>
      <c r="E153" t="s">
        <v>466</v>
      </c>
      <c r="F153" t="s">
        <v>467</v>
      </c>
      <c r="G153" t="s">
        <v>468</v>
      </c>
      <c r="H153" t="s">
        <v>50</v>
      </c>
      <c r="I153" t="s">
        <v>51</v>
      </c>
      <c r="J153" t="s">
        <v>469</v>
      </c>
      <c r="K153" t="s">
        <v>35</v>
      </c>
      <c r="L153">
        <v>7989308731</v>
      </c>
      <c r="M153" t="s">
        <v>470</v>
      </c>
      <c r="N153" t="s">
        <v>2921</v>
      </c>
      <c r="P153" t="s">
        <v>472</v>
      </c>
      <c r="Q153" t="s">
        <v>473</v>
      </c>
      <c r="R153" t="s">
        <v>474</v>
      </c>
      <c r="S153" t="s">
        <v>82</v>
      </c>
      <c r="T153" s="1">
        <v>43792</v>
      </c>
      <c r="U153">
        <v>0</v>
      </c>
      <c r="V153">
        <v>3</v>
      </c>
      <c r="Y153" t="s">
        <v>42</v>
      </c>
      <c r="Z153" t="s">
        <v>43</v>
      </c>
      <c r="AA153" t="s">
        <v>43</v>
      </c>
      <c r="AD153" t="s">
        <v>3143</v>
      </c>
    </row>
    <row r="154" spans="1:30" x14ac:dyDescent="0.4">
      <c r="A154" t="s">
        <v>27</v>
      </c>
      <c r="B154">
        <v>5543</v>
      </c>
      <c r="C154" t="s">
        <v>68</v>
      </c>
      <c r="D154" t="s">
        <v>465</v>
      </c>
      <c r="E154" t="s">
        <v>466</v>
      </c>
      <c r="F154" t="s">
        <v>467</v>
      </c>
      <c r="G154" t="s">
        <v>468</v>
      </c>
      <c r="H154" t="s">
        <v>50</v>
      </c>
      <c r="I154" t="s">
        <v>51</v>
      </c>
      <c r="J154" t="s">
        <v>469</v>
      </c>
      <c r="K154" t="s">
        <v>35</v>
      </c>
      <c r="L154">
        <v>7989308731</v>
      </c>
      <c r="M154" t="s">
        <v>470</v>
      </c>
      <c r="N154" t="s">
        <v>2921</v>
      </c>
      <c r="P154" t="s">
        <v>472</v>
      </c>
      <c r="Q154" t="s">
        <v>473</v>
      </c>
      <c r="R154" t="s">
        <v>474</v>
      </c>
      <c r="S154" t="s">
        <v>82</v>
      </c>
      <c r="T154" s="1">
        <v>43792</v>
      </c>
      <c r="U154">
        <v>0</v>
      </c>
      <c r="V154">
        <v>11</v>
      </c>
      <c r="Y154" t="s">
        <v>42</v>
      </c>
      <c r="Z154" t="s">
        <v>43</v>
      </c>
      <c r="AA154" t="s">
        <v>43</v>
      </c>
      <c r="AD154" t="s">
        <v>3143</v>
      </c>
    </row>
    <row r="155" spans="1:30" x14ac:dyDescent="0.4">
      <c r="A155" t="s">
        <v>27</v>
      </c>
      <c r="B155">
        <v>5543</v>
      </c>
      <c r="C155" t="s">
        <v>68</v>
      </c>
      <c r="D155" t="s">
        <v>465</v>
      </c>
      <c r="E155" t="s">
        <v>466</v>
      </c>
      <c r="F155" t="s">
        <v>467</v>
      </c>
      <c r="G155" t="s">
        <v>468</v>
      </c>
      <c r="H155" t="s">
        <v>50</v>
      </c>
      <c r="I155" t="s">
        <v>51</v>
      </c>
      <c r="J155" t="s">
        <v>469</v>
      </c>
      <c r="K155" t="s">
        <v>35</v>
      </c>
      <c r="L155">
        <v>7989308731</v>
      </c>
      <c r="M155" t="s">
        <v>470</v>
      </c>
      <c r="N155" t="s">
        <v>2921</v>
      </c>
      <c r="P155" t="s">
        <v>475</v>
      </c>
      <c r="Q155" t="s">
        <v>476</v>
      </c>
      <c r="R155" t="s">
        <v>474</v>
      </c>
      <c r="S155" t="s">
        <v>40</v>
      </c>
      <c r="T155" s="1">
        <v>42893</v>
      </c>
      <c r="U155">
        <v>0</v>
      </c>
      <c r="V155">
        <v>3</v>
      </c>
      <c r="Y155" t="s">
        <v>42</v>
      </c>
      <c r="Z155" t="s">
        <v>43</v>
      </c>
      <c r="AA155" t="s">
        <v>43</v>
      </c>
      <c r="AD155" t="s">
        <v>3143</v>
      </c>
    </row>
    <row r="156" spans="1:30" x14ac:dyDescent="0.4">
      <c r="A156" t="s">
        <v>27</v>
      </c>
      <c r="B156">
        <v>5543</v>
      </c>
      <c r="C156" t="s">
        <v>68</v>
      </c>
      <c r="D156" t="s">
        <v>465</v>
      </c>
      <c r="E156" t="s">
        <v>466</v>
      </c>
      <c r="F156" t="s">
        <v>467</v>
      </c>
      <c r="G156" t="s">
        <v>468</v>
      </c>
      <c r="H156" t="s">
        <v>50</v>
      </c>
      <c r="I156" t="s">
        <v>51</v>
      </c>
      <c r="J156" t="s">
        <v>469</v>
      </c>
      <c r="K156" t="s">
        <v>35</v>
      </c>
      <c r="L156">
        <v>7989308731</v>
      </c>
      <c r="M156" t="s">
        <v>470</v>
      </c>
      <c r="N156" t="s">
        <v>2921</v>
      </c>
      <c r="P156" t="s">
        <v>475</v>
      </c>
      <c r="Q156" t="s">
        <v>476</v>
      </c>
      <c r="R156" t="s">
        <v>474</v>
      </c>
      <c r="S156" t="s">
        <v>40</v>
      </c>
      <c r="T156" s="1">
        <v>42893</v>
      </c>
      <c r="U156">
        <v>0</v>
      </c>
      <c r="V156">
        <v>11</v>
      </c>
      <c r="Y156" t="s">
        <v>42</v>
      </c>
      <c r="Z156" t="s">
        <v>43</v>
      </c>
      <c r="AA156" t="s">
        <v>43</v>
      </c>
      <c r="AD156" t="s">
        <v>3143</v>
      </c>
    </row>
    <row r="157" spans="1:30" x14ac:dyDescent="0.4">
      <c r="A157" t="s">
        <v>27</v>
      </c>
      <c r="B157">
        <v>5543</v>
      </c>
      <c r="C157" t="s">
        <v>68</v>
      </c>
      <c r="D157" t="s">
        <v>465</v>
      </c>
      <c r="E157" t="s">
        <v>466</v>
      </c>
      <c r="F157" t="s">
        <v>467</v>
      </c>
      <c r="G157" t="s">
        <v>468</v>
      </c>
      <c r="H157" t="s">
        <v>50</v>
      </c>
      <c r="I157" t="s">
        <v>51</v>
      </c>
      <c r="J157" t="s">
        <v>469</v>
      </c>
      <c r="K157" t="s">
        <v>35</v>
      </c>
      <c r="L157">
        <v>7989308731</v>
      </c>
      <c r="M157" t="s">
        <v>470</v>
      </c>
      <c r="N157" t="s">
        <v>471</v>
      </c>
      <c r="P157" t="s">
        <v>477</v>
      </c>
      <c r="Q157" t="s">
        <v>478</v>
      </c>
      <c r="R157" t="s">
        <v>474</v>
      </c>
      <c r="S157" t="s">
        <v>40</v>
      </c>
      <c r="T157" s="1">
        <v>43792</v>
      </c>
      <c r="U157">
        <v>0</v>
      </c>
      <c r="V157">
        <v>0</v>
      </c>
      <c r="W157" t="s">
        <v>59</v>
      </c>
      <c r="Y157" t="s">
        <v>42</v>
      </c>
      <c r="Z157" t="s">
        <v>43</v>
      </c>
      <c r="AA157" t="s">
        <v>43</v>
      </c>
      <c r="AD157" t="s">
        <v>3143</v>
      </c>
    </row>
    <row r="158" spans="1:30" x14ac:dyDescent="0.4">
      <c r="A158" t="s">
        <v>27</v>
      </c>
      <c r="B158">
        <v>5543</v>
      </c>
      <c r="C158" t="s">
        <v>68</v>
      </c>
      <c r="D158" t="s">
        <v>465</v>
      </c>
      <c r="E158" t="s">
        <v>466</v>
      </c>
      <c r="F158" t="s">
        <v>467</v>
      </c>
      <c r="G158" t="s">
        <v>468</v>
      </c>
      <c r="H158" t="s">
        <v>50</v>
      </c>
      <c r="I158" t="s">
        <v>51</v>
      </c>
      <c r="J158" t="s">
        <v>469</v>
      </c>
      <c r="K158" t="s">
        <v>35</v>
      </c>
      <c r="L158">
        <v>7989308731</v>
      </c>
      <c r="M158" t="s">
        <v>470</v>
      </c>
      <c r="N158" t="s">
        <v>471</v>
      </c>
      <c r="P158" t="s">
        <v>479</v>
      </c>
      <c r="Q158" t="s">
        <v>480</v>
      </c>
      <c r="R158" t="s">
        <v>474</v>
      </c>
      <c r="S158" t="s">
        <v>82</v>
      </c>
      <c r="T158" s="1">
        <v>41510</v>
      </c>
      <c r="U158">
        <v>0</v>
      </c>
      <c r="V158">
        <v>0</v>
      </c>
      <c r="W158" t="s">
        <v>59</v>
      </c>
      <c r="Y158" t="s">
        <v>42</v>
      </c>
      <c r="Z158" t="s">
        <v>43</v>
      </c>
      <c r="AA158" t="s">
        <v>43</v>
      </c>
      <c r="AD158" t="s">
        <v>3143</v>
      </c>
    </row>
    <row r="159" spans="1:30" x14ac:dyDescent="0.4">
      <c r="A159" t="s">
        <v>27</v>
      </c>
      <c r="B159">
        <v>5543</v>
      </c>
      <c r="C159" t="s">
        <v>68</v>
      </c>
      <c r="D159" t="s">
        <v>465</v>
      </c>
      <c r="E159" t="s">
        <v>466</v>
      </c>
      <c r="F159" t="s">
        <v>467</v>
      </c>
      <c r="G159" t="s">
        <v>468</v>
      </c>
      <c r="H159" t="s">
        <v>50</v>
      </c>
      <c r="I159" t="s">
        <v>51</v>
      </c>
      <c r="J159" t="s">
        <v>469</v>
      </c>
      <c r="K159" t="s">
        <v>35</v>
      </c>
      <c r="L159">
        <v>7989308731</v>
      </c>
      <c r="M159" t="s">
        <v>470</v>
      </c>
      <c r="N159" t="s">
        <v>471</v>
      </c>
      <c r="P159" t="s">
        <v>477</v>
      </c>
      <c r="Q159" t="s">
        <v>478</v>
      </c>
      <c r="R159" t="s">
        <v>474</v>
      </c>
      <c r="S159" t="s">
        <v>40</v>
      </c>
      <c r="T159" s="1">
        <v>43792</v>
      </c>
      <c r="U159">
        <v>0</v>
      </c>
      <c r="V159">
        <v>0</v>
      </c>
      <c r="W159" t="s">
        <v>59</v>
      </c>
      <c r="Y159" t="s">
        <v>42</v>
      </c>
      <c r="Z159" t="s">
        <v>43</v>
      </c>
      <c r="AA159" t="s">
        <v>43</v>
      </c>
      <c r="AD159" t="s">
        <v>3143</v>
      </c>
    </row>
    <row r="160" spans="1:30" x14ac:dyDescent="0.4">
      <c r="A160" t="s">
        <v>27</v>
      </c>
      <c r="B160">
        <v>5543</v>
      </c>
      <c r="C160" t="s">
        <v>68</v>
      </c>
      <c r="D160" t="s">
        <v>465</v>
      </c>
      <c r="E160" t="s">
        <v>466</v>
      </c>
      <c r="F160" t="s">
        <v>467</v>
      </c>
      <c r="G160" t="s">
        <v>468</v>
      </c>
      <c r="H160" t="s">
        <v>50</v>
      </c>
      <c r="I160" t="s">
        <v>51</v>
      </c>
      <c r="J160" t="s">
        <v>469</v>
      </c>
      <c r="K160" t="s">
        <v>35</v>
      </c>
      <c r="L160">
        <v>7989308731</v>
      </c>
      <c r="M160" t="s">
        <v>470</v>
      </c>
      <c r="N160" t="s">
        <v>471</v>
      </c>
      <c r="P160" t="s">
        <v>479</v>
      </c>
      <c r="Q160" t="s">
        <v>480</v>
      </c>
      <c r="R160" t="s">
        <v>474</v>
      </c>
      <c r="S160" t="s">
        <v>82</v>
      </c>
      <c r="T160" s="1">
        <v>41510</v>
      </c>
      <c r="U160">
        <v>0</v>
      </c>
      <c r="V160">
        <v>0</v>
      </c>
      <c r="W160" t="s">
        <v>59</v>
      </c>
      <c r="Y160" t="s">
        <v>42</v>
      </c>
      <c r="Z160" t="s">
        <v>43</v>
      </c>
      <c r="AA160" t="s">
        <v>43</v>
      </c>
      <c r="AD160" t="s">
        <v>3143</v>
      </c>
    </row>
    <row r="161" spans="1:30" x14ac:dyDescent="0.4">
      <c r="A161" t="s">
        <v>27</v>
      </c>
      <c r="B161">
        <v>5147</v>
      </c>
      <c r="C161" t="s">
        <v>257</v>
      </c>
      <c r="D161" t="s">
        <v>481</v>
      </c>
      <c r="E161" t="s">
        <v>482</v>
      </c>
      <c r="F161" t="s">
        <v>483</v>
      </c>
      <c r="H161" t="s">
        <v>484</v>
      </c>
      <c r="I161" t="s">
        <v>242</v>
      </c>
      <c r="J161" t="s">
        <v>485</v>
      </c>
      <c r="K161" t="s">
        <v>35</v>
      </c>
      <c r="L161">
        <v>7527058454</v>
      </c>
      <c r="M161" t="s">
        <v>486</v>
      </c>
      <c r="N161" t="s">
        <v>2851</v>
      </c>
      <c r="P161" t="s">
        <v>487</v>
      </c>
      <c r="Q161" t="s">
        <v>488</v>
      </c>
      <c r="R161" t="s">
        <v>1305</v>
      </c>
      <c r="S161" t="s">
        <v>82</v>
      </c>
      <c r="T161" s="1">
        <v>44597</v>
      </c>
      <c r="U161">
        <v>0</v>
      </c>
      <c r="V161">
        <v>3</v>
      </c>
      <c r="X161" t="s">
        <v>407</v>
      </c>
      <c r="Y161" t="s">
        <v>42</v>
      </c>
      <c r="Z161" t="s">
        <v>43</v>
      </c>
      <c r="AA161" t="s">
        <v>42</v>
      </c>
      <c r="AD161" t="s">
        <v>3143</v>
      </c>
    </row>
    <row r="162" spans="1:30" x14ac:dyDescent="0.4">
      <c r="A162" t="s">
        <v>27</v>
      </c>
      <c r="B162">
        <v>5147</v>
      </c>
      <c r="C162" t="s">
        <v>257</v>
      </c>
      <c r="D162" t="s">
        <v>481</v>
      </c>
      <c r="E162" t="s">
        <v>482</v>
      </c>
      <c r="F162" t="s">
        <v>483</v>
      </c>
      <c r="H162" t="s">
        <v>484</v>
      </c>
      <c r="I162" t="s">
        <v>242</v>
      </c>
      <c r="J162" t="s">
        <v>485</v>
      </c>
      <c r="K162" t="s">
        <v>35</v>
      </c>
      <c r="L162">
        <v>7527058454</v>
      </c>
      <c r="M162" t="s">
        <v>486</v>
      </c>
      <c r="N162" t="s">
        <v>2851</v>
      </c>
      <c r="P162" t="s">
        <v>489</v>
      </c>
      <c r="Q162" t="s">
        <v>490</v>
      </c>
      <c r="R162" t="s">
        <v>1498</v>
      </c>
      <c r="S162" t="s">
        <v>82</v>
      </c>
      <c r="T162" s="1">
        <v>43832</v>
      </c>
      <c r="U162">
        <v>0</v>
      </c>
      <c r="V162">
        <v>3</v>
      </c>
      <c r="X162" t="s">
        <v>407</v>
      </c>
      <c r="Y162" t="s">
        <v>42</v>
      </c>
      <c r="Z162" t="s">
        <v>43</v>
      </c>
      <c r="AA162" t="s">
        <v>42</v>
      </c>
      <c r="AD162" t="s">
        <v>3143</v>
      </c>
    </row>
    <row r="163" spans="1:30" x14ac:dyDescent="0.4">
      <c r="A163" t="s">
        <v>27</v>
      </c>
      <c r="B163">
        <v>5147</v>
      </c>
      <c r="C163" t="s">
        <v>257</v>
      </c>
      <c r="D163" t="s">
        <v>481</v>
      </c>
      <c r="E163" t="s">
        <v>482</v>
      </c>
      <c r="F163" t="s">
        <v>483</v>
      </c>
      <c r="H163" t="s">
        <v>484</v>
      </c>
      <c r="I163" t="s">
        <v>242</v>
      </c>
      <c r="J163" t="s">
        <v>485</v>
      </c>
      <c r="K163" t="s">
        <v>35</v>
      </c>
      <c r="L163">
        <v>7527058454</v>
      </c>
      <c r="M163" t="s">
        <v>486</v>
      </c>
      <c r="N163" t="s">
        <v>2851</v>
      </c>
      <c r="P163" t="s">
        <v>489</v>
      </c>
      <c r="Q163" t="s">
        <v>490</v>
      </c>
      <c r="R163" t="s">
        <v>1498</v>
      </c>
      <c r="S163" t="s">
        <v>82</v>
      </c>
      <c r="T163" s="1">
        <v>43832</v>
      </c>
      <c r="U163">
        <v>0</v>
      </c>
      <c r="V163">
        <v>4</v>
      </c>
      <c r="W163" t="s">
        <v>65</v>
      </c>
      <c r="X163" t="s">
        <v>407</v>
      </c>
      <c r="Y163" t="s">
        <v>42</v>
      </c>
      <c r="Z163" t="s">
        <v>43</v>
      </c>
      <c r="AA163" t="s">
        <v>42</v>
      </c>
      <c r="AD163" t="s">
        <v>3143</v>
      </c>
    </row>
    <row r="164" spans="1:30" x14ac:dyDescent="0.4">
      <c r="A164" t="s">
        <v>27</v>
      </c>
      <c r="B164">
        <v>5147</v>
      </c>
      <c r="C164" t="s">
        <v>257</v>
      </c>
      <c r="D164" t="s">
        <v>481</v>
      </c>
      <c r="E164" t="s">
        <v>482</v>
      </c>
      <c r="F164" t="s">
        <v>483</v>
      </c>
      <c r="H164" t="s">
        <v>484</v>
      </c>
      <c r="I164" t="s">
        <v>242</v>
      </c>
      <c r="J164" t="s">
        <v>485</v>
      </c>
      <c r="K164" t="s">
        <v>35</v>
      </c>
      <c r="L164">
        <v>7527058454</v>
      </c>
      <c r="M164" t="s">
        <v>486</v>
      </c>
      <c r="N164" t="s">
        <v>2851</v>
      </c>
      <c r="P164" t="s">
        <v>487</v>
      </c>
      <c r="Q164" t="s">
        <v>488</v>
      </c>
      <c r="R164" t="s">
        <v>1305</v>
      </c>
      <c r="S164" t="s">
        <v>82</v>
      </c>
      <c r="T164" s="1">
        <v>44597</v>
      </c>
      <c r="U164">
        <v>0</v>
      </c>
      <c r="V164">
        <v>11</v>
      </c>
      <c r="X164" t="s">
        <v>407</v>
      </c>
      <c r="Y164" t="s">
        <v>42</v>
      </c>
      <c r="Z164" t="s">
        <v>43</v>
      </c>
      <c r="AA164" t="s">
        <v>42</v>
      </c>
      <c r="AD164" t="s">
        <v>3143</v>
      </c>
    </row>
    <row r="165" spans="1:30" x14ac:dyDescent="0.4">
      <c r="A165" t="s">
        <v>27</v>
      </c>
      <c r="B165">
        <v>5147</v>
      </c>
      <c r="C165" t="s">
        <v>257</v>
      </c>
      <c r="D165" t="s">
        <v>481</v>
      </c>
      <c r="E165" t="s">
        <v>482</v>
      </c>
      <c r="F165" t="s">
        <v>483</v>
      </c>
      <c r="H165" t="s">
        <v>484</v>
      </c>
      <c r="I165" t="s">
        <v>242</v>
      </c>
      <c r="J165" t="s">
        <v>485</v>
      </c>
      <c r="K165" t="s">
        <v>35</v>
      </c>
      <c r="L165">
        <v>7527058454</v>
      </c>
      <c r="M165" t="s">
        <v>486</v>
      </c>
      <c r="N165" t="s">
        <v>2851</v>
      </c>
      <c r="P165" t="s">
        <v>489</v>
      </c>
      <c r="Q165" t="s">
        <v>490</v>
      </c>
      <c r="R165" t="s">
        <v>1498</v>
      </c>
      <c r="S165" t="s">
        <v>82</v>
      </c>
      <c r="T165" s="1">
        <v>43832</v>
      </c>
      <c r="U165">
        <v>0</v>
      </c>
      <c r="V165">
        <v>11</v>
      </c>
      <c r="X165" t="s">
        <v>407</v>
      </c>
      <c r="Y165" t="s">
        <v>42</v>
      </c>
      <c r="Z165" t="s">
        <v>43</v>
      </c>
      <c r="AA165" t="s">
        <v>42</v>
      </c>
      <c r="AD165" t="s">
        <v>3143</v>
      </c>
    </row>
    <row r="166" spans="1:30" x14ac:dyDescent="0.4">
      <c r="A166" t="s">
        <v>27</v>
      </c>
      <c r="B166">
        <v>5147</v>
      </c>
      <c r="C166" t="s">
        <v>257</v>
      </c>
      <c r="D166" t="s">
        <v>481</v>
      </c>
      <c r="E166" t="s">
        <v>482</v>
      </c>
      <c r="F166" t="s">
        <v>483</v>
      </c>
      <c r="H166" t="s">
        <v>484</v>
      </c>
      <c r="I166" t="s">
        <v>242</v>
      </c>
      <c r="J166" t="s">
        <v>485</v>
      </c>
      <c r="K166" t="s">
        <v>35</v>
      </c>
      <c r="L166">
        <v>7527058454</v>
      </c>
      <c r="M166" t="s">
        <v>486</v>
      </c>
      <c r="N166" t="s">
        <v>2851</v>
      </c>
      <c r="P166" t="s">
        <v>487</v>
      </c>
      <c r="Q166" t="s">
        <v>488</v>
      </c>
      <c r="R166" t="s">
        <v>1305</v>
      </c>
      <c r="S166" t="s">
        <v>82</v>
      </c>
      <c r="T166" s="1">
        <v>44597</v>
      </c>
      <c r="U166">
        <v>0</v>
      </c>
      <c r="V166">
        <v>13</v>
      </c>
      <c r="X166" t="s">
        <v>407</v>
      </c>
      <c r="Y166" t="s">
        <v>42</v>
      </c>
      <c r="Z166" t="s">
        <v>43</v>
      </c>
      <c r="AA166" t="s">
        <v>42</v>
      </c>
      <c r="AD166" t="s">
        <v>3143</v>
      </c>
    </row>
    <row r="167" spans="1:30" x14ac:dyDescent="0.4">
      <c r="A167" t="s">
        <v>27</v>
      </c>
      <c r="B167">
        <v>5147</v>
      </c>
      <c r="C167" t="s">
        <v>257</v>
      </c>
      <c r="D167" t="s">
        <v>481</v>
      </c>
      <c r="E167" t="s">
        <v>482</v>
      </c>
      <c r="F167" t="s">
        <v>483</v>
      </c>
      <c r="H167" t="s">
        <v>484</v>
      </c>
      <c r="I167" t="s">
        <v>242</v>
      </c>
      <c r="J167" t="s">
        <v>485</v>
      </c>
      <c r="K167" t="s">
        <v>35</v>
      </c>
      <c r="L167">
        <v>7527058454</v>
      </c>
      <c r="M167" t="s">
        <v>486</v>
      </c>
      <c r="N167" t="s">
        <v>2851</v>
      </c>
      <c r="P167" t="s">
        <v>487</v>
      </c>
      <c r="Q167" t="s">
        <v>488</v>
      </c>
      <c r="R167" t="s">
        <v>1305</v>
      </c>
      <c r="S167" t="s">
        <v>82</v>
      </c>
      <c r="T167" s="1">
        <v>44597</v>
      </c>
      <c r="U167">
        <v>0</v>
      </c>
      <c r="V167">
        <v>4</v>
      </c>
      <c r="W167" t="s">
        <v>65</v>
      </c>
      <c r="X167" t="s">
        <v>407</v>
      </c>
      <c r="Y167" t="s">
        <v>42</v>
      </c>
      <c r="Z167" t="s">
        <v>43</v>
      </c>
      <c r="AA167" t="s">
        <v>42</v>
      </c>
      <c r="AD167" t="s">
        <v>3143</v>
      </c>
    </row>
    <row r="168" spans="1:30" x14ac:dyDescent="0.4">
      <c r="A168" t="s">
        <v>27</v>
      </c>
      <c r="B168">
        <v>5147</v>
      </c>
      <c r="C168" t="s">
        <v>257</v>
      </c>
      <c r="D168" t="s">
        <v>481</v>
      </c>
      <c r="E168" t="s">
        <v>482</v>
      </c>
      <c r="F168" t="s">
        <v>483</v>
      </c>
      <c r="H168" t="s">
        <v>484</v>
      </c>
      <c r="I168" t="s">
        <v>242</v>
      </c>
      <c r="J168" t="s">
        <v>485</v>
      </c>
      <c r="K168" t="s">
        <v>35</v>
      </c>
      <c r="L168">
        <v>7527058454</v>
      </c>
      <c r="M168" t="s">
        <v>486</v>
      </c>
      <c r="N168" t="s">
        <v>2851</v>
      </c>
      <c r="P168" t="s">
        <v>489</v>
      </c>
      <c r="Q168" t="s">
        <v>490</v>
      </c>
      <c r="R168" t="s">
        <v>1498</v>
      </c>
      <c r="S168" t="s">
        <v>82</v>
      </c>
      <c r="T168" s="1">
        <v>43832</v>
      </c>
      <c r="U168">
        <v>0</v>
      </c>
      <c r="V168">
        <v>13</v>
      </c>
      <c r="X168" t="s">
        <v>407</v>
      </c>
      <c r="Y168" t="s">
        <v>42</v>
      </c>
      <c r="Z168" t="s">
        <v>43</v>
      </c>
      <c r="AA168" t="s">
        <v>42</v>
      </c>
      <c r="AD168" t="s">
        <v>3143</v>
      </c>
    </row>
    <row r="169" spans="1:30" x14ac:dyDescent="0.4">
      <c r="A169" t="s">
        <v>27</v>
      </c>
      <c r="B169">
        <v>213</v>
      </c>
      <c r="C169" t="s">
        <v>68</v>
      </c>
      <c r="D169" t="s">
        <v>491</v>
      </c>
      <c r="E169" t="s">
        <v>492</v>
      </c>
      <c r="F169" t="s">
        <v>493</v>
      </c>
      <c r="H169" t="s">
        <v>494</v>
      </c>
      <c r="I169" t="s">
        <v>495</v>
      </c>
      <c r="J169" t="s">
        <v>496</v>
      </c>
      <c r="K169" t="s">
        <v>35</v>
      </c>
      <c r="L169">
        <v>1273696474</v>
      </c>
      <c r="M169" t="s">
        <v>497</v>
      </c>
      <c r="N169" t="s">
        <v>2852</v>
      </c>
      <c r="P169" t="s">
        <v>498</v>
      </c>
      <c r="Q169" t="s">
        <v>499</v>
      </c>
      <c r="R169" t="s">
        <v>58</v>
      </c>
      <c r="S169" t="s">
        <v>40</v>
      </c>
      <c r="T169" s="1">
        <v>44951</v>
      </c>
      <c r="U169">
        <v>0</v>
      </c>
      <c r="V169">
        <v>3</v>
      </c>
      <c r="X169" t="s">
        <v>135</v>
      </c>
      <c r="Y169" t="s">
        <v>42</v>
      </c>
      <c r="Z169" t="s">
        <v>43</v>
      </c>
      <c r="AA169" t="s">
        <v>43</v>
      </c>
      <c r="AD169" t="s">
        <v>3143</v>
      </c>
    </row>
    <row r="170" spans="1:30" x14ac:dyDescent="0.4">
      <c r="A170" t="s">
        <v>27</v>
      </c>
      <c r="B170">
        <v>213</v>
      </c>
      <c r="C170" t="s">
        <v>68</v>
      </c>
      <c r="D170" t="s">
        <v>491</v>
      </c>
      <c r="E170" t="s">
        <v>492</v>
      </c>
      <c r="F170" t="s">
        <v>493</v>
      </c>
      <c r="H170" t="s">
        <v>494</v>
      </c>
      <c r="I170" t="s">
        <v>495</v>
      </c>
      <c r="J170" t="s">
        <v>496</v>
      </c>
      <c r="K170" t="s">
        <v>35</v>
      </c>
      <c r="L170">
        <v>1273696474</v>
      </c>
      <c r="M170" t="s">
        <v>497</v>
      </c>
      <c r="N170" t="s">
        <v>2852</v>
      </c>
      <c r="P170" t="s">
        <v>498</v>
      </c>
      <c r="Q170" t="s">
        <v>499</v>
      </c>
      <c r="R170" t="s">
        <v>58</v>
      </c>
      <c r="S170" t="s">
        <v>40</v>
      </c>
      <c r="T170" s="1">
        <v>44951</v>
      </c>
      <c r="U170">
        <v>0</v>
      </c>
      <c r="V170">
        <v>4</v>
      </c>
      <c r="W170" t="s">
        <v>65</v>
      </c>
      <c r="X170" t="s">
        <v>135</v>
      </c>
      <c r="Y170" t="s">
        <v>42</v>
      </c>
      <c r="Z170" t="s">
        <v>43</v>
      </c>
      <c r="AA170" t="s">
        <v>43</v>
      </c>
      <c r="AD170" t="s">
        <v>3143</v>
      </c>
    </row>
    <row r="171" spans="1:30" x14ac:dyDescent="0.4">
      <c r="A171" t="s">
        <v>27</v>
      </c>
      <c r="B171">
        <v>213</v>
      </c>
      <c r="C171" t="s">
        <v>68</v>
      </c>
      <c r="D171" t="s">
        <v>491</v>
      </c>
      <c r="E171" t="s">
        <v>492</v>
      </c>
      <c r="F171" t="s">
        <v>493</v>
      </c>
      <c r="H171" t="s">
        <v>494</v>
      </c>
      <c r="I171" t="s">
        <v>495</v>
      </c>
      <c r="J171" t="s">
        <v>496</v>
      </c>
      <c r="K171" t="s">
        <v>35</v>
      </c>
      <c r="L171">
        <v>1273696474</v>
      </c>
      <c r="M171" t="s">
        <v>497</v>
      </c>
      <c r="N171" t="s">
        <v>2852</v>
      </c>
      <c r="P171" t="s">
        <v>498</v>
      </c>
      <c r="Q171" t="s">
        <v>499</v>
      </c>
      <c r="R171" t="s">
        <v>58</v>
      </c>
      <c r="S171" t="s">
        <v>40</v>
      </c>
      <c r="T171" s="1">
        <v>44951</v>
      </c>
      <c r="U171">
        <v>0</v>
      </c>
      <c r="V171">
        <v>11</v>
      </c>
      <c r="X171" t="s">
        <v>135</v>
      </c>
      <c r="Y171" t="s">
        <v>42</v>
      </c>
      <c r="Z171" t="s">
        <v>43</v>
      </c>
      <c r="AA171" t="s">
        <v>43</v>
      </c>
      <c r="AD171" t="s">
        <v>3143</v>
      </c>
    </row>
    <row r="172" spans="1:30" x14ac:dyDescent="0.4">
      <c r="A172" t="s">
        <v>27</v>
      </c>
      <c r="B172">
        <v>213</v>
      </c>
      <c r="C172" t="s">
        <v>68</v>
      </c>
      <c r="D172" t="s">
        <v>491</v>
      </c>
      <c r="E172" t="s">
        <v>492</v>
      </c>
      <c r="F172" t="s">
        <v>493</v>
      </c>
      <c r="H172" t="s">
        <v>494</v>
      </c>
      <c r="I172" t="s">
        <v>495</v>
      </c>
      <c r="J172" t="s">
        <v>496</v>
      </c>
      <c r="K172" t="s">
        <v>35</v>
      </c>
      <c r="L172">
        <v>1273696474</v>
      </c>
      <c r="M172" t="s">
        <v>497</v>
      </c>
      <c r="N172" t="s">
        <v>2852</v>
      </c>
      <c r="P172" t="s">
        <v>498</v>
      </c>
      <c r="Q172" t="s">
        <v>499</v>
      </c>
      <c r="R172" t="s">
        <v>58</v>
      </c>
      <c r="S172" t="s">
        <v>40</v>
      </c>
      <c r="T172" s="1">
        <v>44951</v>
      </c>
      <c r="U172">
        <v>0</v>
      </c>
      <c r="V172">
        <v>12</v>
      </c>
      <c r="X172" t="s">
        <v>135</v>
      </c>
      <c r="Y172" t="s">
        <v>42</v>
      </c>
      <c r="Z172" t="s">
        <v>43</v>
      </c>
      <c r="AA172" t="s">
        <v>43</v>
      </c>
      <c r="AD172" t="s">
        <v>3143</v>
      </c>
    </row>
    <row r="173" spans="1:30" ht="64" x14ac:dyDescent="0.4">
      <c r="A173" t="s">
        <v>27</v>
      </c>
      <c r="B173">
        <v>402</v>
      </c>
      <c r="C173" t="s">
        <v>68</v>
      </c>
      <c r="D173" t="s">
        <v>501</v>
      </c>
      <c r="E173" t="s">
        <v>502</v>
      </c>
      <c r="F173" t="s">
        <v>503</v>
      </c>
      <c r="G173" t="s">
        <v>504</v>
      </c>
      <c r="H173" t="s">
        <v>50</v>
      </c>
      <c r="I173" t="s">
        <v>51</v>
      </c>
      <c r="J173" t="s">
        <v>505</v>
      </c>
      <c r="K173" t="s">
        <v>35</v>
      </c>
      <c r="L173">
        <v>2380471430</v>
      </c>
      <c r="M173" t="s">
        <v>506</v>
      </c>
      <c r="N173" t="s">
        <v>66</v>
      </c>
      <c r="P173" t="s">
        <v>507</v>
      </c>
      <c r="Q173" t="s">
        <v>508</v>
      </c>
      <c r="R173" t="s">
        <v>3061</v>
      </c>
      <c r="S173" t="s">
        <v>82</v>
      </c>
      <c r="T173" s="1">
        <v>44112</v>
      </c>
      <c r="U173">
        <v>0</v>
      </c>
      <c r="V173">
        <v>0</v>
      </c>
      <c r="W173" t="s">
        <v>59</v>
      </c>
      <c r="Y173" t="s">
        <v>42</v>
      </c>
      <c r="Z173" t="s">
        <v>43</v>
      </c>
      <c r="AA173" t="s">
        <v>43</v>
      </c>
      <c r="AB173" s="2" t="s">
        <v>509</v>
      </c>
      <c r="AD173" t="s">
        <v>3143</v>
      </c>
    </row>
    <row r="174" spans="1:30" ht="64" x14ac:dyDescent="0.4">
      <c r="A174" t="s">
        <v>27</v>
      </c>
      <c r="B174">
        <v>402</v>
      </c>
      <c r="C174" t="s">
        <v>68</v>
      </c>
      <c r="D174" t="s">
        <v>501</v>
      </c>
      <c r="E174" t="s">
        <v>502</v>
      </c>
      <c r="F174" t="s">
        <v>503</v>
      </c>
      <c r="G174" t="s">
        <v>504</v>
      </c>
      <c r="H174" t="s">
        <v>50</v>
      </c>
      <c r="I174" t="s">
        <v>51</v>
      </c>
      <c r="J174" t="s">
        <v>505</v>
      </c>
      <c r="K174" t="s">
        <v>35</v>
      </c>
      <c r="L174">
        <v>2380471430</v>
      </c>
      <c r="M174" t="s">
        <v>506</v>
      </c>
      <c r="N174" t="s">
        <v>66</v>
      </c>
      <c r="P174" t="s">
        <v>510</v>
      </c>
      <c r="Q174" t="s">
        <v>511</v>
      </c>
      <c r="R174" t="s">
        <v>376</v>
      </c>
      <c r="S174" t="s">
        <v>40</v>
      </c>
      <c r="T174" s="1">
        <v>43797</v>
      </c>
      <c r="U174">
        <v>0</v>
      </c>
      <c r="V174">
        <v>0</v>
      </c>
      <c r="W174" t="s">
        <v>59</v>
      </c>
      <c r="Y174" t="s">
        <v>42</v>
      </c>
      <c r="Z174" t="s">
        <v>43</v>
      </c>
      <c r="AA174" t="s">
        <v>43</v>
      </c>
      <c r="AB174" s="2" t="s">
        <v>509</v>
      </c>
      <c r="AD174" t="s">
        <v>3143</v>
      </c>
    </row>
    <row r="175" spans="1:30" ht="64" x14ac:dyDescent="0.4">
      <c r="A175" t="s">
        <v>27</v>
      </c>
      <c r="B175">
        <v>402</v>
      </c>
      <c r="C175" t="s">
        <v>68</v>
      </c>
      <c r="D175" t="s">
        <v>501</v>
      </c>
      <c r="E175" t="s">
        <v>502</v>
      </c>
      <c r="F175" t="s">
        <v>503</v>
      </c>
      <c r="G175" t="s">
        <v>504</v>
      </c>
      <c r="H175" t="s">
        <v>50</v>
      </c>
      <c r="I175" t="s">
        <v>51</v>
      </c>
      <c r="J175" t="s">
        <v>505</v>
      </c>
      <c r="K175" t="s">
        <v>35</v>
      </c>
      <c r="L175">
        <v>2380471430</v>
      </c>
      <c r="M175" t="s">
        <v>506</v>
      </c>
      <c r="N175" t="s">
        <v>66</v>
      </c>
      <c r="P175" t="s">
        <v>512</v>
      </c>
      <c r="Q175" t="s">
        <v>513</v>
      </c>
      <c r="R175" t="s">
        <v>376</v>
      </c>
      <c r="S175" t="s">
        <v>82</v>
      </c>
      <c r="T175" s="1">
        <v>42067</v>
      </c>
      <c r="U175">
        <v>0</v>
      </c>
      <c r="V175">
        <v>0</v>
      </c>
      <c r="W175" t="s">
        <v>59</v>
      </c>
      <c r="Y175" t="s">
        <v>42</v>
      </c>
      <c r="Z175" t="s">
        <v>43</v>
      </c>
      <c r="AA175" t="s">
        <v>43</v>
      </c>
      <c r="AB175" s="2" t="s">
        <v>509</v>
      </c>
      <c r="AD175" t="s">
        <v>3143</v>
      </c>
    </row>
    <row r="176" spans="1:30" ht="64" x14ac:dyDescent="0.4">
      <c r="A176" t="s">
        <v>27</v>
      </c>
      <c r="B176">
        <v>402</v>
      </c>
      <c r="C176" t="s">
        <v>68</v>
      </c>
      <c r="D176" t="s">
        <v>501</v>
      </c>
      <c r="E176" t="s">
        <v>502</v>
      </c>
      <c r="F176" t="s">
        <v>503</v>
      </c>
      <c r="G176" t="s">
        <v>504</v>
      </c>
      <c r="H176" t="s">
        <v>50</v>
      </c>
      <c r="I176" t="s">
        <v>51</v>
      </c>
      <c r="J176" t="s">
        <v>505</v>
      </c>
      <c r="K176" t="s">
        <v>35</v>
      </c>
      <c r="L176">
        <v>2380471430</v>
      </c>
      <c r="M176" t="s">
        <v>506</v>
      </c>
      <c r="N176" t="s">
        <v>66</v>
      </c>
      <c r="P176" t="s">
        <v>512</v>
      </c>
      <c r="Q176" t="s">
        <v>513</v>
      </c>
      <c r="R176" t="s">
        <v>376</v>
      </c>
      <c r="S176" t="s">
        <v>82</v>
      </c>
      <c r="T176" s="1">
        <v>42067</v>
      </c>
      <c r="U176">
        <v>0</v>
      </c>
      <c r="V176">
        <v>0</v>
      </c>
      <c r="W176" t="s">
        <v>59</v>
      </c>
      <c r="Y176" t="s">
        <v>42</v>
      </c>
      <c r="Z176" t="s">
        <v>43</v>
      </c>
      <c r="AA176" t="s">
        <v>43</v>
      </c>
      <c r="AB176" s="2" t="s">
        <v>509</v>
      </c>
      <c r="AD176" t="s">
        <v>3143</v>
      </c>
    </row>
    <row r="177" spans="1:30" ht="32" x14ac:dyDescent="0.4">
      <c r="A177" t="s">
        <v>27</v>
      </c>
      <c r="B177">
        <v>402</v>
      </c>
      <c r="C177" t="s">
        <v>68</v>
      </c>
      <c r="D177" t="s">
        <v>501</v>
      </c>
      <c r="E177" t="s">
        <v>502</v>
      </c>
      <c r="F177" t="s">
        <v>503</v>
      </c>
      <c r="G177" t="s">
        <v>504</v>
      </c>
      <c r="H177" t="s">
        <v>50</v>
      </c>
      <c r="I177" t="s">
        <v>51</v>
      </c>
      <c r="J177" t="s">
        <v>505</v>
      </c>
      <c r="K177" t="s">
        <v>35</v>
      </c>
      <c r="L177">
        <v>2380471430</v>
      </c>
      <c r="M177" t="s">
        <v>506</v>
      </c>
      <c r="N177" t="s">
        <v>66</v>
      </c>
      <c r="P177" t="s">
        <v>3094</v>
      </c>
      <c r="Q177" t="s">
        <v>508</v>
      </c>
      <c r="R177" t="s">
        <v>3061</v>
      </c>
      <c r="S177" t="s">
        <v>82</v>
      </c>
      <c r="T177" s="1">
        <v>44112</v>
      </c>
      <c r="U177">
        <v>0</v>
      </c>
      <c r="V177">
        <v>13</v>
      </c>
      <c r="Y177" t="s">
        <v>42</v>
      </c>
      <c r="Z177" t="s">
        <v>43</v>
      </c>
      <c r="AA177" t="s">
        <v>43</v>
      </c>
      <c r="AB177" s="2" t="s">
        <v>509</v>
      </c>
      <c r="AD177" t="s">
        <v>3143</v>
      </c>
    </row>
    <row r="178" spans="1:30" ht="32" x14ac:dyDescent="0.4">
      <c r="A178" t="s">
        <v>27</v>
      </c>
      <c r="B178">
        <v>402</v>
      </c>
      <c r="C178" t="s">
        <v>68</v>
      </c>
      <c r="D178" t="s">
        <v>501</v>
      </c>
      <c r="E178" t="s">
        <v>502</v>
      </c>
      <c r="F178" t="s">
        <v>503</v>
      </c>
      <c r="G178" t="s">
        <v>504</v>
      </c>
      <c r="H178" t="s">
        <v>50</v>
      </c>
      <c r="I178" t="s">
        <v>51</v>
      </c>
      <c r="J178" t="s">
        <v>505</v>
      </c>
      <c r="K178" t="s">
        <v>35</v>
      </c>
      <c r="L178">
        <v>2380471430</v>
      </c>
      <c r="M178" t="s">
        <v>506</v>
      </c>
      <c r="N178" t="s">
        <v>66</v>
      </c>
      <c r="P178" t="s">
        <v>3095</v>
      </c>
      <c r="Q178" t="s">
        <v>511</v>
      </c>
      <c r="R178" t="s">
        <v>376</v>
      </c>
      <c r="S178" t="s">
        <v>40</v>
      </c>
      <c r="T178" s="1">
        <v>43797</v>
      </c>
      <c r="U178">
        <v>0</v>
      </c>
      <c r="V178">
        <v>12</v>
      </c>
      <c r="Y178" t="s">
        <v>42</v>
      </c>
      <c r="Z178" t="s">
        <v>43</v>
      </c>
      <c r="AA178" t="s">
        <v>43</v>
      </c>
      <c r="AB178" s="2" t="s">
        <v>509</v>
      </c>
      <c r="AD178" t="s">
        <v>3143</v>
      </c>
    </row>
    <row r="179" spans="1:30" ht="96" x14ac:dyDescent="0.4">
      <c r="A179" t="s">
        <v>27</v>
      </c>
      <c r="B179">
        <v>2646</v>
      </c>
      <c r="C179" t="s">
        <v>257</v>
      </c>
      <c r="D179" t="s">
        <v>514</v>
      </c>
      <c r="E179" t="s">
        <v>502</v>
      </c>
      <c r="F179" t="s">
        <v>503</v>
      </c>
      <c r="G179" t="s">
        <v>504</v>
      </c>
      <c r="H179" t="s">
        <v>50</v>
      </c>
      <c r="I179" t="s">
        <v>51</v>
      </c>
      <c r="J179" t="s">
        <v>505</v>
      </c>
      <c r="K179" t="s">
        <v>35</v>
      </c>
      <c r="L179" t="s">
        <v>515</v>
      </c>
      <c r="M179" t="s">
        <v>506</v>
      </c>
      <c r="N179" t="s">
        <v>516</v>
      </c>
      <c r="P179" t="s">
        <v>517</v>
      </c>
      <c r="Q179" t="s">
        <v>518</v>
      </c>
      <c r="R179" t="s">
        <v>376</v>
      </c>
      <c r="S179" t="s">
        <v>40</v>
      </c>
      <c r="T179" s="1">
        <v>44499</v>
      </c>
      <c r="U179">
        <v>0</v>
      </c>
      <c r="V179">
        <v>0</v>
      </c>
      <c r="W179" t="s">
        <v>59</v>
      </c>
      <c r="Y179" t="s">
        <v>42</v>
      </c>
      <c r="Z179" t="s">
        <v>43</v>
      </c>
      <c r="AA179" t="s">
        <v>43</v>
      </c>
      <c r="AB179" s="2" t="s">
        <v>519</v>
      </c>
      <c r="AD179" t="s">
        <v>3143</v>
      </c>
    </row>
    <row r="180" spans="1:30" ht="96" x14ac:dyDescent="0.4">
      <c r="A180" t="s">
        <v>27</v>
      </c>
      <c r="B180">
        <v>2646</v>
      </c>
      <c r="C180" t="s">
        <v>257</v>
      </c>
      <c r="D180" t="s">
        <v>514</v>
      </c>
      <c r="E180" t="s">
        <v>502</v>
      </c>
      <c r="F180" t="s">
        <v>503</v>
      </c>
      <c r="G180" t="s">
        <v>504</v>
      </c>
      <c r="H180" t="s">
        <v>50</v>
      </c>
      <c r="I180" t="s">
        <v>51</v>
      </c>
      <c r="J180" t="s">
        <v>505</v>
      </c>
      <c r="K180" t="s">
        <v>35</v>
      </c>
      <c r="L180" t="s">
        <v>515</v>
      </c>
      <c r="M180" t="s">
        <v>506</v>
      </c>
      <c r="N180" t="s">
        <v>516</v>
      </c>
      <c r="P180" t="s">
        <v>517</v>
      </c>
      <c r="Q180" t="s">
        <v>518</v>
      </c>
      <c r="R180" t="s">
        <v>376</v>
      </c>
      <c r="S180" t="s">
        <v>40</v>
      </c>
      <c r="T180" s="1">
        <v>44499</v>
      </c>
      <c r="U180">
        <v>0</v>
      </c>
      <c r="V180">
        <v>0</v>
      </c>
      <c r="W180" t="s">
        <v>59</v>
      </c>
      <c r="Y180" t="s">
        <v>42</v>
      </c>
      <c r="Z180" t="s">
        <v>43</v>
      </c>
      <c r="AA180" t="s">
        <v>43</v>
      </c>
      <c r="AB180" s="2" t="s">
        <v>519</v>
      </c>
      <c r="AD180" t="s">
        <v>3143</v>
      </c>
    </row>
    <row r="181" spans="1:30" ht="96" x14ac:dyDescent="0.4">
      <c r="A181" t="s">
        <v>27</v>
      </c>
      <c r="B181">
        <v>2646</v>
      </c>
      <c r="C181" t="s">
        <v>257</v>
      </c>
      <c r="D181" t="s">
        <v>514</v>
      </c>
      <c r="E181" t="s">
        <v>502</v>
      </c>
      <c r="F181" t="s">
        <v>503</v>
      </c>
      <c r="G181" t="s">
        <v>504</v>
      </c>
      <c r="H181" t="s">
        <v>50</v>
      </c>
      <c r="I181" t="s">
        <v>51</v>
      </c>
      <c r="J181" t="s">
        <v>505</v>
      </c>
      <c r="K181" t="s">
        <v>35</v>
      </c>
      <c r="L181" t="s">
        <v>515</v>
      </c>
      <c r="M181" t="s">
        <v>506</v>
      </c>
      <c r="N181" t="s">
        <v>516</v>
      </c>
      <c r="P181" t="s">
        <v>520</v>
      </c>
      <c r="Q181" t="s">
        <v>521</v>
      </c>
      <c r="R181" t="s">
        <v>376</v>
      </c>
      <c r="S181" t="s">
        <v>40</v>
      </c>
      <c r="T181" s="1">
        <v>45536</v>
      </c>
      <c r="U181">
        <v>0</v>
      </c>
      <c r="V181">
        <v>0</v>
      </c>
      <c r="W181" t="s">
        <v>59</v>
      </c>
      <c r="Y181" t="s">
        <v>42</v>
      </c>
      <c r="Z181" t="s">
        <v>43</v>
      </c>
      <c r="AA181" t="s">
        <v>43</v>
      </c>
      <c r="AB181" s="2" t="s">
        <v>519</v>
      </c>
      <c r="AD181" t="s">
        <v>3143</v>
      </c>
    </row>
    <row r="182" spans="1:30" ht="96" x14ac:dyDescent="0.4">
      <c r="A182" t="s">
        <v>27</v>
      </c>
      <c r="B182">
        <v>2646</v>
      </c>
      <c r="C182" t="s">
        <v>257</v>
      </c>
      <c r="D182" t="s">
        <v>514</v>
      </c>
      <c r="E182" t="s">
        <v>502</v>
      </c>
      <c r="F182" t="s">
        <v>503</v>
      </c>
      <c r="G182" t="s">
        <v>504</v>
      </c>
      <c r="H182" t="s">
        <v>50</v>
      </c>
      <c r="I182" t="s">
        <v>51</v>
      </c>
      <c r="J182" t="s">
        <v>505</v>
      </c>
      <c r="K182" t="s">
        <v>35</v>
      </c>
      <c r="L182" t="s">
        <v>515</v>
      </c>
      <c r="M182" t="s">
        <v>506</v>
      </c>
      <c r="N182" t="s">
        <v>516</v>
      </c>
      <c r="P182" t="s">
        <v>520</v>
      </c>
      <c r="Q182" t="s">
        <v>521</v>
      </c>
      <c r="R182" t="s">
        <v>376</v>
      </c>
      <c r="S182" t="s">
        <v>40</v>
      </c>
      <c r="T182" s="1">
        <v>45536</v>
      </c>
      <c r="U182">
        <v>0</v>
      </c>
      <c r="V182">
        <v>0</v>
      </c>
      <c r="W182" t="s">
        <v>59</v>
      </c>
      <c r="Y182" t="s">
        <v>42</v>
      </c>
      <c r="Z182" t="s">
        <v>43</v>
      </c>
      <c r="AA182" t="s">
        <v>43</v>
      </c>
      <c r="AB182" s="2" t="s">
        <v>519</v>
      </c>
      <c r="AD182" t="s">
        <v>3143</v>
      </c>
    </row>
    <row r="183" spans="1:30" ht="96" x14ac:dyDescent="0.4">
      <c r="A183" t="s">
        <v>27</v>
      </c>
      <c r="B183">
        <v>2646</v>
      </c>
      <c r="C183" t="s">
        <v>257</v>
      </c>
      <c r="D183" t="s">
        <v>514</v>
      </c>
      <c r="E183" t="s">
        <v>502</v>
      </c>
      <c r="F183" t="s">
        <v>503</v>
      </c>
      <c r="G183" t="s">
        <v>504</v>
      </c>
      <c r="H183" t="s">
        <v>50</v>
      </c>
      <c r="I183" t="s">
        <v>51</v>
      </c>
      <c r="J183" t="s">
        <v>505</v>
      </c>
      <c r="K183" t="s">
        <v>35</v>
      </c>
      <c r="L183" t="s">
        <v>515</v>
      </c>
      <c r="M183" t="s">
        <v>506</v>
      </c>
      <c r="N183" t="s">
        <v>3064</v>
      </c>
      <c r="P183" t="s">
        <v>3096</v>
      </c>
      <c r="Q183" t="s">
        <v>523</v>
      </c>
      <c r="R183" t="s">
        <v>376</v>
      </c>
      <c r="S183" t="s">
        <v>40</v>
      </c>
      <c r="T183" s="1">
        <v>42503</v>
      </c>
      <c r="U183">
        <v>0</v>
      </c>
      <c r="V183">
        <v>5</v>
      </c>
      <c r="W183" t="s">
        <v>66</v>
      </c>
      <c r="Y183" t="s">
        <v>42</v>
      </c>
      <c r="Z183" t="s">
        <v>43</v>
      </c>
      <c r="AA183" t="s">
        <v>43</v>
      </c>
      <c r="AB183" s="2" t="s">
        <v>519</v>
      </c>
      <c r="AD183" t="s">
        <v>3143</v>
      </c>
    </row>
    <row r="184" spans="1:30" ht="96" x14ac:dyDescent="0.4">
      <c r="A184" t="s">
        <v>27</v>
      </c>
      <c r="B184">
        <v>2646</v>
      </c>
      <c r="C184" t="s">
        <v>257</v>
      </c>
      <c r="D184" t="s">
        <v>514</v>
      </c>
      <c r="E184" t="s">
        <v>502</v>
      </c>
      <c r="F184" t="s">
        <v>503</v>
      </c>
      <c r="G184" t="s">
        <v>504</v>
      </c>
      <c r="H184" t="s">
        <v>50</v>
      </c>
      <c r="I184" t="s">
        <v>51</v>
      </c>
      <c r="J184" t="s">
        <v>505</v>
      </c>
      <c r="K184" t="s">
        <v>35</v>
      </c>
      <c r="L184" t="s">
        <v>515</v>
      </c>
      <c r="M184" t="s">
        <v>506</v>
      </c>
      <c r="N184" t="s">
        <v>3064</v>
      </c>
      <c r="P184" t="s">
        <v>3096</v>
      </c>
      <c r="Q184" t="s">
        <v>523</v>
      </c>
      <c r="R184" t="s">
        <v>376</v>
      </c>
      <c r="S184" t="s">
        <v>40</v>
      </c>
      <c r="T184" s="1">
        <v>42503</v>
      </c>
      <c r="U184">
        <v>0</v>
      </c>
      <c r="V184">
        <v>6</v>
      </c>
      <c r="W184" t="s">
        <v>83</v>
      </c>
      <c r="Y184" t="s">
        <v>42</v>
      </c>
      <c r="Z184" t="s">
        <v>43</v>
      </c>
      <c r="AA184" t="s">
        <v>43</v>
      </c>
      <c r="AB184" s="2" t="s">
        <v>519</v>
      </c>
      <c r="AD184" t="s">
        <v>3143</v>
      </c>
    </row>
    <row r="185" spans="1:30" ht="96" x14ac:dyDescent="0.4">
      <c r="A185" t="s">
        <v>27</v>
      </c>
      <c r="B185">
        <v>2646</v>
      </c>
      <c r="C185" t="s">
        <v>257</v>
      </c>
      <c r="D185" t="s">
        <v>514</v>
      </c>
      <c r="E185" t="s">
        <v>502</v>
      </c>
      <c r="F185" t="s">
        <v>503</v>
      </c>
      <c r="G185" t="s">
        <v>504</v>
      </c>
      <c r="H185" t="s">
        <v>50</v>
      </c>
      <c r="I185" t="s">
        <v>51</v>
      </c>
      <c r="J185" t="s">
        <v>505</v>
      </c>
      <c r="K185" t="s">
        <v>35</v>
      </c>
      <c r="L185" t="s">
        <v>515</v>
      </c>
      <c r="M185" t="s">
        <v>506</v>
      </c>
      <c r="N185" t="s">
        <v>3064</v>
      </c>
      <c r="P185" t="s">
        <v>3096</v>
      </c>
      <c r="Q185" t="s">
        <v>523</v>
      </c>
      <c r="R185" t="s">
        <v>376</v>
      </c>
      <c r="S185" t="s">
        <v>40</v>
      </c>
      <c r="T185" s="1">
        <v>42503</v>
      </c>
      <c r="U185">
        <v>0</v>
      </c>
      <c r="V185">
        <v>14</v>
      </c>
      <c r="Y185" t="s">
        <v>42</v>
      </c>
      <c r="Z185" t="s">
        <v>43</v>
      </c>
      <c r="AA185" t="s">
        <v>43</v>
      </c>
      <c r="AB185" s="2" t="s">
        <v>519</v>
      </c>
      <c r="AD185" t="s">
        <v>3143</v>
      </c>
    </row>
    <row r="186" spans="1:30" ht="96" x14ac:dyDescent="0.4">
      <c r="A186" t="s">
        <v>27</v>
      </c>
      <c r="B186">
        <v>2646</v>
      </c>
      <c r="C186" t="s">
        <v>257</v>
      </c>
      <c r="D186" t="s">
        <v>514</v>
      </c>
      <c r="E186" t="s">
        <v>502</v>
      </c>
      <c r="F186" t="s">
        <v>503</v>
      </c>
      <c r="G186" t="s">
        <v>504</v>
      </c>
      <c r="H186" t="s">
        <v>50</v>
      </c>
      <c r="I186" t="s">
        <v>51</v>
      </c>
      <c r="J186" t="s">
        <v>505</v>
      </c>
      <c r="K186" t="s">
        <v>35</v>
      </c>
      <c r="L186" t="s">
        <v>515</v>
      </c>
      <c r="M186" t="s">
        <v>506</v>
      </c>
      <c r="N186" t="s">
        <v>3064</v>
      </c>
      <c r="P186" t="s">
        <v>3096</v>
      </c>
      <c r="Q186" t="s">
        <v>523</v>
      </c>
      <c r="R186" t="s">
        <v>376</v>
      </c>
      <c r="S186" t="s">
        <v>40</v>
      </c>
      <c r="T186" s="1">
        <v>42503</v>
      </c>
      <c r="U186">
        <v>0</v>
      </c>
      <c r="V186">
        <v>16</v>
      </c>
      <c r="Y186" t="s">
        <v>42</v>
      </c>
      <c r="Z186" t="s">
        <v>43</v>
      </c>
      <c r="AA186" t="s">
        <v>43</v>
      </c>
      <c r="AB186" s="2" t="s">
        <v>519</v>
      </c>
      <c r="AD186" t="s">
        <v>3143</v>
      </c>
    </row>
    <row r="187" spans="1:30" x14ac:dyDescent="0.4">
      <c r="A187" t="s">
        <v>27</v>
      </c>
      <c r="B187">
        <v>5161</v>
      </c>
      <c r="C187" t="s">
        <v>28</v>
      </c>
      <c r="D187" t="s">
        <v>524</v>
      </c>
      <c r="E187" t="s">
        <v>525</v>
      </c>
      <c r="F187" t="s">
        <v>526</v>
      </c>
      <c r="H187" t="s">
        <v>527</v>
      </c>
      <c r="I187" t="s">
        <v>528</v>
      </c>
      <c r="J187" t="s">
        <v>529</v>
      </c>
      <c r="K187" t="s">
        <v>35</v>
      </c>
      <c r="L187">
        <v>7857544054</v>
      </c>
      <c r="M187" t="s">
        <v>530</v>
      </c>
      <c r="N187" t="s">
        <v>531</v>
      </c>
      <c r="P187" t="s">
        <v>532</v>
      </c>
      <c r="Q187" t="s">
        <v>533</v>
      </c>
      <c r="R187" t="s">
        <v>534</v>
      </c>
      <c r="S187" t="s">
        <v>82</v>
      </c>
      <c r="T187" s="1">
        <v>43194</v>
      </c>
      <c r="U187">
        <v>0</v>
      </c>
      <c r="V187">
        <v>10</v>
      </c>
      <c r="Y187" t="s">
        <v>42</v>
      </c>
      <c r="Z187" t="s">
        <v>43</v>
      </c>
      <c r="AA187" t="s">
        <v>43</v>
      </c>
      <c r="AD187" t="s">
        <v>3143</v>
      </c>
    </row>
    <row r="188" spans="1:30" x14ac:dyDescent="0.4">
      <c r="A188" t="s">
        <v>27</v>
      </c>
      <c r="B188">
        <v>5161</v>
      </c>
      <c r="C188" t="s">
        <v>28</v>
      </c>
      <c r="D188" t="s">
        <v>524</v>
      </c>
      <c r="E188" t="s">
        <v>525</v>
      </c>
      <c r="F188" t="s">
        <v>526</v>
      </c>
      <c r="H188" t="s">
        <v>527</v>
      </c>
      <c r="I188" t="s">
        <v>528</v>
      </c>
      <c r="J188" t="s">
        <v>529</v>
      </c>
      <c r="K188" t="s">
        <v>35</v>
      </c>
      <c r="L188">
        <v>7857544054</v>
      </c>
      <c r="M188" t="s">
        <v>530</v>
      </c>
      <c r="N188" t="s">
        <v>531</v>
      </c>
      <c r="P188" t="s">
        <v>532</v>
      </c>
      <c r="Q188" t="s">
        <v>533</v>
      </c>
      <c r="R188" t="s">
        <v>534</v>
      </c>
      <c r="S188" t="s">
        <v>82</v>
      </c>
      <c r="T188" s="1">
        <v>43194</v>
      </c>
      <c r="U188">
        <v>0</v>
      </c>
      <c r="V188">
        <v>11</v>
      </c>
      <c r="Y188" t="s">
        <v>42</v>
      </c>
      <c r="Z188" t="s">
        <v>43</v>
      </c>
      <c r="AA188" t="s">
        <v>43</v>
      </c>
      <c r="AD188" t="s">
        <v>3143</v>
      </c>
    </row>
    <row r="189" spans="1:30" x14ac:dyDescent="0.4">
      <c r="A189" t="s">
        <v>27</v>
      </c>
      <c r="B189">
        <v>323</v>
      </c>
      <c r="C189" t="s">
        <v>68</v>
      </c>
      <c r="D189" t="s">
        <v>535</v>
      </c>
      <c r="E189" t="s">
        <v>536</v>
      </c>
      <c r="F189">
        <v>22</v>
      </c>
      <c r="G189" t="s">
        <v>537</v>
      </c>
      <c r="H189" t="s">
        <v>538</v>
      </c>
      <c r="I189" t="s">
        <v>73</v>
      </c>
      <c r="J189" t="s">
        <v>539</v>
      </c>
      <c r="K189" t="s">
        <v>35</v>
      </c>
      <c r="L189">
        <v>127664196</v>
      </c>
      <c r="M189" t="s">
        <v>540</v>
      </c>
      <c r="N189" t="s">
        <v>2925</v>
      </c>
      <c r="P189" t="s">
        <v>541</v>
      </c>
      <c r="Q189" t="s">
        <v>542</v>
      </c>
      <c r="R189" t="s">
        <v>58</v>
      </c>
      <c r="S189" t="s">
        <v>40</v>
      </c>
      <c r="T189" s="1">
        <v>43790</v>
      </c>
      <c r="U189">
        <v>0</v>
      </c>
      <c r="V189">
        <v>4</v>
      </c>
      <c r="W189" t="s">
        <v>65</v>
      </c>
      <c r="Y189" t="s">
        <v>42</v>
      </c>
      <c r="Z189" t="s">
        <v>43</v>
      </c>
      <c r="AA189" t="s">
        <v>43</v>
      </c>
      <c r="AD189" t="s">
        <v>3143</v>
      </c>
    </row>
    <row r="190" spans="1:30" x14ac:dyDescent="0.4">
      <c r="A190" t="s">
        <v>27</v>
      </c>
      <c r="B190">
        <v>323</v>
      </c>
      <c r="C190" t="s">
        <v>68</v>
      </c>
      <c r="D190" t="s">
        <v>535</v>
      </c>
      <c r="E190" t="s">
        <v>536</v>
      </c>
      <c r="F190">
        <v>22</v>
      </c>
      <c r="G190" t="s">
        <v>537</v>
      </c>
      <c r="H190" t="s">
        <v>538</v>
      </c>
      <c r="I190" t="s">
        <v>73</v>
      </c>
      <c r="J190" t="s">
        <v>539</v>
      </c>
      <c r="K190" t="s">
        <v>35</v>
      </c>
      <c r="L190">
        <v>127664196</v>
      </c>
      <c r="M190" t="s">
        <v>540</v>
      </c>
      <c r="N190" t="s">
        <v>2925</v>
      </c>
      <c r="P190" t="s">
        <v>3097</v>
      </c>
      <c r="Q190" t="s">
        <v>544</v>
      </c>
      <c r="R190" t="s">
        <v>58</v>
      </c>
      <c r="S190" t="s">
        <v>40</v>
      </c>
      <c r="T190" s="1">
        <v>44951</v>
      </c>
      <c r="U190">
        <v>0</v>
      </c>
      <c r="V190">
        <v>4</v>
      </c>
      <c r="W190" t="s">
        <v>65</v>
      </c>
      <c r="Y190" t="s">
        <v>42</v>
      </c>
      <c r="Z190" t="s">
        <v>43</v>
      </c>
      <c r="AA190" t="s">
        <v>43</v>
      </c>
      <c r="AD190" t="s">
        <v>3143</v>
      </c>
    </row>
    <row r="191" spans="1:30" x14ac:dyDescent="0.4">
      <c r="A191" t="s">
        <v>27</v>
      </c>
      <c r="B191">
        <v>323</v>
      </c>
      <c r="C191" t="s">
        <v>68</v>
      </c>
      <c r="D191" t="s">
        <v>535</v>
      </c>
      <c r="E191" t="s">
        <v>536</v>
      </c>
      <c r="F191">
        <v>22</v>
      </c>
      <c r="G191" t="s">
        <v>537</v>
      </c>
      <c r="H191" t="s">
        <v>538</v>
      </c>
      <c r="I191" t="s">
        <v>73</v>
      </c>
      <c r="J191" t="s">
        <v>539</v>
      </c>
      <c r="K191" t="s">
        <v>35</v>
      </c>
      <c r="L191">
        <v>127664196</v>
      </c>
      <c r="M191" t="s">
        <v>540</v>
      </c>
      <c r="N191" t="s">
        <v>2925</v>
      </c>
      <c r="P191" t="s">
        <v>3097</v>
      </c>
      <c r="Q191" t="s">
        <v>544</v>
      </c>
      <c r="R191" t="s">
        <v>58</v>
      </c>
      <c r="S191" t="s">
        <v>40</v>
      </c>
      <c r="T191" s="1">
        <v>44951</v>
      </c>
      <c r="U191">
        <v>0</v>
      </c>
      <c r="V191">
        <v>5</v>
      </c>
      <c r="W191" t="s">
        <v>66</v>
      </c>
      <c r="Y191" t="s">
        <v>42</v>
      </c>
      <c r="Z191" t="s">
        <v>43</v>
      </c>
      <c r="AA191" t="s">
        <v>43</v>
      </c>
      <c r="AD191" t="s">
        <v>3143</v>
      </c>
    </row>
    <row r="192" spans="1:30" x14ac:dyDescent="0.4">
      <c r="A192" t="s">
        <v>27</v>
      </c>
      <c r="B192">
        <v>323</v>
      </c>
      <c r="C192" t="s">
        <v>68</v>
      </c>
      <c r="D192" t="s">
        <v>535</v>
      </c>
      <c r="E192" t="s">
        <v>536</v>
      </c>
      <c r="F192">
        <v>22</v>
      </c>
      <c r="G192" t="s">
        <v>537</v>
      </c>
      <c r="H192" t="s">
        <v>538</v>
      </c>
      <c r="I192" t="s">
        <v>73</v>
      </c>
      <c r="J192" t="s">
        <v>539</v>
      </c>
      <c r="K192" t="s">
        <v>35</v>
      </c>
      <c r="L192">
        <v>127664196</v>
      </c>
      <c r="M192" t="s">
        <v>540</v>
      </c>
      <c r="N192" t="s">
        <v>2925</v>
      </c>
      <c r="P192" t="s">
        <v>541</v>
      </c>
      <c r="Q192" t="s">
        <v>542</v>
      </c>
      <c r="R192" t="s">
        <v>58</v>
      </c>
      <c r="S192" t="s">
        <v>40</v>
      </c>
      <c r="T192" s="1">
        <v>43790</v>
      </c>
      <c r="U192">
        <v>0</v>
      </c>
      <c r="V192">
        <v>6</v>
      </c>
      <c r="W192" t="s">
        <v>83</v>
      </c>
      <c r="Y192" t="s">
        <v>42</v>
      </c>
      <c r="Z192" t="s">
        <v>43</v>
      </c>
      <c r="AA192" t="s">
        <v>43</v>
      </c>
      <c r="AD192" t="s">
        <v>3143</v>
      </c>
    </row>
    <row r="193" spans="1:30" x14ac:dyDescent="0.4">
      <c r="A193" t="s">
        <v>27</v>
      </c>
      <c r="B193">
        <v>323</v>
      </c>
      <c r="C193" t="s">
        <v>68</v>
      </c>
      <c r="D193" t="s">
        <v>535</v>
      </c>
      <c r="E193" t="s">
        <v>536</v>
      </c>
      <c r="F193">
        <v>22</v>
      </c>
      <c r="G193" t="s">
        <v>537</v>
      </c>
      <c r="H193" t="s">
        <v>538</v>
      </c>
      <c r="I193" t="s">
        <v>73</v>
      </c>
      <c r="J193" t="s">
        <v>539</v>
      </c>
      <c r="K193" t="s">
        <v>35</v>
      </c>
      <c r="L193">
        <v>127664196</v>
      </c>
      <c r="M193" t="s">
        <v>540</v>
      </c>
      <c r="N193" t="s">
        <v>2925</v>
      </c>
      <c r="P193" t="s">
        <v>541</v>
      </c>
      <c r="Q193" t="s">
        <v>542</v>
      </c>
      <c r="R193" t="s">
        <v>58</v>
      </c>
      <c r="S193" t="s">
        <v>40</v>
      </c>
      <c r="T193" s="1">
        <v>43790</v>
      </c>
      <c r="U193">
        <v>0</v>
      </c>
      <c r="V193">
        <v>12</v>
      </c>
      <c r="Y193" t="s">
        <v>42</v>
      </c>
      <c r="Z193" t="s">
        <v>43</v>
      </c>
      <c r="AA193" t="s">
        <v>43</v>
      </c>
      <c r="AD193" t="s">
        <v>3143</v>
      </c>
    </row>
    <row r="194" spans="1:30" x14ac:dyDescent="0.4">
      <c r="A194" t="s">
        <v>27</v>
      </c>
      <c r="B194">
        <v>323</v>
      </c>
      <c r="C194" t="s">
        <v>68</v>
      </c>
      <c r="D194" t="s">
        <v>535</v>
      </c>
      <c r="E194" t="s">
        <v>536</v>
      </c>
      <c r="F194">
        <v>22</v>
      </c>
      <c r="G194" t="s">
        <v>537</v>
      </c>
      <c r="H194" t="s">
        <v>538</v>
      </c>
      <c r="I194" t="s">
        <v>73</v>
      </c>
      <c r="J194" t="s">
        <v>539</v>
      </c>
      <c r="K194" t="s">
        <v>35</v>
      </c>
      <c r="L194">
        <v>127664196</v>
      </c>
      <c r="M194" t="s">
        <v>540</v>
      </c>
      <c r="N194" t="s">
        <v>2925</v>
      </c>
      <c r="P194" t="s">
        <v>541</v>
      </c>
      <c r="Q194" t="s">
        <v>542</v>
      </c>
      <c r="R194" t="s">
        <v>58</v>
      </c>
      <c r="S194" t="s">
        <v>40</v>
      </c>
      <c r="T194" s="1">
        <v>43790</v>
      </c>
      <c r="U194">
        <v>0</v>
      </c>
      <c r="V194">
        <v>16</v>
      </c>
      <c r="Y194" t="s">
        <v>42</v>
      </c>
      <c r="Z194" t="s">
        <v>43</v>
      </c>
      <c r="AA194" t="s">
        <v>43</v>
      </c>
      <c r="AD194" t="s">
        <v>3143</v>
      </c>
    </row>
    <row r="195" spans="1:30" x14ac:dyDescent="0.4">
      <c r="A195" t="s">
        <v>27</v>
      </c>
      <c r="B195">
        <v>5415</v>
      </c>
      <c r="C195" t="s">
        <v>68</v>
      </c>
      <c r="D195" t="s">
        <v>545</v>
      </c>
      <c r="E195" t="s">
        <v>546</v>
      </c>
      <c r="F195" t="s">
        <v>547</v>
      </c>
      <c r="G195" t="s">
        <v>548</v>
      </c>
      <c r="H195" t="s">
        <v>549</v>
      </c>
      <c r="I195" t="s">
        <v>528</v>
      </c>
      <c r="J195" t="s">
        <v>550</v>
      </c>
      <c r="K195" t="s">
        <v>35</v>
      </c>
      <c r="L195">
        <v>1243266606</v>
      </c>
      <c r="M195" t="s">
        <v>551</v>
      </c>
      <c r="N195" t="s">
        <v>552</v>
      </c>
      <c r="P195" t="s">
        <v>553</v>
      </c>
      <c r="Q195" t="s">
        <v>554</v>
      </c>
      <c r="R195" t="s">
        <v>555</v>
      </c>
      <c r="S195" t="s">
        <v>82</v>
      </c>
      <c r="T195" s="1">
        <v>43774</v>
      </c>
      <c r="U195">
        <v>0</v>
      </c>
      <c r="V195">
        <v>11</v>
      </c>
      <c r="Y195" t="s">
        <v>42</v>
      </c>
      <c r="Z195" t="s">
        <v>43</v>
      </c>
      <c r="AA195" t="s">
        <v>43</v>
      </c>
      <c r="AB195" t="s">
        <v>556</v>
      </c>
      <c r="AD195" t="s">
        <v>3143</v>
      </c>
    </row>
    <row r="196" spans="1:30" x14ac:dyDescent="0.4">
      <c r="A196" t="s">
        <v>27</v>
      </c>
      <c r="B196">
        <v>5415</v>
      </c>
      <c r="C196" t="s">
        <v>68</v>
      </c>
      <c r="D196" t="s">
        <v>545</v>
      </c>
      <c r="E196" t="s">
        <v>546</v>
      </c>
      <c r="F196" t="s">
        <v>547</v>
      </c>
      <c r="G196" t="s">
        <v>548</v>
      </c>
      <c r="H196" t="s">
        <v>549</v>
      </c>
      <c r="I196" t="s">
        <v>528</v>
      </c>
      <c r="J196" t="s">
        <v>550</v>
      </c>
      <c r="K196" t="s">
        <v>35</v>
      </c>
      <c r="L196">
        <v>1243266606</v>
      </c>
      <c r="M196" t="s">
        <v>551</v>
      </c>
      <c r="N196" t="s">
        <v>552</v>
      </c>
      <c r="P196" t="s">
        <v>553</v>
      </c>
      <c r="Q196" t="s">
        <v>554</v>
      </c>
      <c r="R196" t="s">
        <v>555</v>
      </c>
      <c r="S196" t="s">
        <v>82</v>
      </c>
      <c r="T196" s="1">
        <v>43774</v>
      </c>
      <c r="U196">
        <v>0</v>
      </c>
      <c r="V196">
        <v>13</v>
      </c>
      <c r="Y196" t="s">
        <v>42</v>
      </c>
      <c r="Z196" t="s">
        <v>43</v>
      </c>
      <c r="AA196" t="s">
        <v>43</v>
      </c>
      <c r="AB196" t="s">
        <v>556</v>
      </c>
      <c r="AD196" t="s">
        <v>3143</v>
      </c>
    </row>
    <row r="197" spans="1:30" x14ac:dyDescent="0.4">
      <c r="A197" t="s">
        <v>27</v>
      </c>
      <c r="B197">
        <v>5415</v>
      </c>
      <c r="C197" t="s">
        <v>68</v>
      </c>
      <c r="D197" t="s">
        <v>545</v>
      </c>
      <c r="E197" t="s">
        <v>546</v>
      </c>
      <c r="F197" t="s">
        <v>547</v>
      </c>
      <c r="G197" t="s">
        <v>548</v>
      </c>
      <c r="H197" t="s">
        <v>549</v>
      </c>
      <c r="I197" t="s">
        <v>528</v>
      </c>
      <c r="J197" t="s">
        <v>550</v>
      </c>
      <c r="K197" t="s">
        <v>35</v>
      </c>
      <c r="L197">
        <v>1243266606</v>
      </c>
      <c r="M197" t="s">
        <v>551</v>
      </c>
      <c r="N197" t="s">
        <v>552</v>
      </c>
      <c r="P197" t="s">
        <v>553</v>
      </c>
      <c r="Q197" t="s">
        <v>554</v>
      </c>
      <c r="R197" t="s">
        <v>555</v>
      </c>
      <c r="S197" t="s">
        <v>82</v>
      </c>
      <c r="T197" s="1">
        <v>43774</v>
      </c>
      <c r="U197">
        <v>0</v>
      </c>
      <c r="V197">
        <v>15</v>
      </c>
      <c r="Y197" t="s">
        <v>42</v>
      </c>
      <c r="Z197" t="s">
        <v>43</v>
      </c>
      <c r="AA197" t="s">
        <v>43</v>
      </c>
      <c r="AB197" t="s">
        <v>556</v>
      </c>
      <c r="AD197" t="s">
        <v>3143</v>
      </c>
    </row>
    <row r="198" spans="1:30" x14ac:dyDescent="0.4">
      <c r="A198" t="s">
        <v>27</v>
      </c>
      <c r="B198">
        <v>5103</v>
      </c>
      <c r="C198" t="s">
        <v>257</v>
      </c>
      <c r="D198" t="s">
        <v>557</v>
      </c>
      <c r="E198" t="s">
        <v>546</v>
      </c>
      <c r="F198" t="s">
        <v>558</v>
      </c>
      <c r="H198" t="s">
        <v>559</v>
      </c>
      <c r="I198" t="s">
        <v>51</v>
      </c>
      <c r="J198" t="s">
        <v>560</v>
      </c>
      <c r="K198" t="s">
        <v>35</v>
      </c>
      <c r="L198">
        <v>7542127442</v>
      </c>
      <c r="M198" t="s">
        <v>561</v>
      </c>
      <c r="N198" t="s">
        <v>562</v>
      </c>
      <c r="P198" t="s">
        <v>563</v>
      </c>
      <c r="Q198" t="s">
        <v>564</v>
      </c>
      <c r="R198" t="s">
        <v>284</v>
      </c>
      <c r="S198" t="s">
        <v>82</v>
      </c>
      <c r="T198" s="1">
        <v>44386</v>
      </c>
      <c r="U198">
        <v>0</v>
      </c>
      <c r="V198">
        <v>2</v>
      </c>
      <c r="Y198" t="s">
        <v>42</v>
      </c>
      <c r="Z198" t="s">
        <v>43</v>
      </c>
      <c r="AA198" t="s">
        <v>43</v>
      </c>
      <c r="AD198" t="s">
        <v>3143</v>
      </c>
    </row>
    <row r="199" spans="1:30" x14ac:dyDescent="0.4">
      <c r="A199" t="s">
        <v>27</v>
      </c>
      <c r="B199">
        <v>5103</v>
      </c>
      <c r="C199" t="s">
        <v>257</v>
      </c>
      <c r="D199" t="s">
        <v>557</v>
      </c>
      <c r="E199" t="s">
        <v>546</v>
      </c>
      <c r="F199" t="s">
        <v>558</v>
      </c>
      <c r="H199" t="s">
        <v>559</v>
      </c>
      <c r="I199" t="s">
        <v>51</v>
      </c>
      <c r="J199" t="s">
        <v>560</v>
      </c>
      <c r="K199" t="s">
        <v>35</v>
      </c>
      <c r="L199">
        <v>7542127442</v>
      </c>
      <c r="M199" t="s">
        <v>561</v>
      </c>
      <c r="N199" t="s">
        <v>562</v>
      </c>
      <c r="P199" t="s">
        <v>563</v>
      </c>
      <c r="Q199" t="s">
        <v>564</v>
      </c>
      <c r="R199" t="s">
        <v>284</v>
      </c>
      <c r="S199" t="s">
        <v>82</v>
      </c>
      <c r="T199" s="1">
        <v>44386</v>
      </c>
      <c r="U199">
        <v>0</v>
      </c>
      <c r="V199">
        <v>10</v>
      </c>
      <c r="Y199" t="s">
        <v>42</v>
      </c>
      <c r="Z199" t="s">
        <v>43</v>
      </c>
      <c r="AA199" t="s">
        <v>43</v>
      </c>
      <c r="AD199" t="s">
        <v>3143</v>
      </c>
    </row>
    <row r="200" spans="1:30" x14ac:dyDescent="0.4">
      <c r="A200" t="s">
        <v>27</v>
      </c>
      <c r="B200">
        <v>5103</v>
      </c>
      <c r="C200" t="s">
        <v>257</v>
      </c>
      <c r="D200" t="s">
        <v>557</v>
      </c>
      <c r="E200" t="s">
        <v>546</v>
      </c>
      <c r="F200" t="s">
        <v>558</v>
      </c>
      <c r="H200" t="s">
        <v>559</v>
      </c>
      <c r="I200" t="s">
        <v>51</v>
      </c>
      <c r="J200" t="s">
        <v>560</v>
      </c>
      <c r="K200" t="s">
        <v>35</v>
      </c>
      <c r="L200">
        <v>7542127442</v>
      </c>
      <c r="M200" t="s">
        <v>561</v>
      </c>
      <c r="N200" t="s">
        <v>562</v>
      </c>
      <c r="P200" t="s">
        <v>565</v>
      </c>
      <c r="Q200" t="s">
        <v>566</v>
      </c>
      <c r="R200" t="s">
        <v>567</v>
      </c>
      <c r="S200" t="s">
        <v>40</v>
      </c>
      <c r="T200" s="1">
        <v>42134</v>
      </c>
      <c r="U200">
        <v>0</v>
      </c>
      <c r="V200">
        <v>0</v>
      </c>
      <c r="W200" t="s">
        <v>59</v>
      </c>
      <c r="Y200" t="s">
        <v>42</v>
      </c>
      <c r="Z200" t="s">
        <v>43</v>
      </c>
      <c r="AA200" t="s">
        <v>43</v>
      </c>
      <c r="AD200" t="s">
        <v>3143</v>
      </c>
    </row>
    <row r="201" spans="1:30" x14ac:dyDescent="0.4">
      <c r="A201" t="s">
        <v>27</v>
      </c>
      <c r="B201">
        <v>5768</v>
      </c>
      <c r="C201" t="s">
        <v>68</v>
      </c>
      <c r="D201" t="s">
        <v>568</v>
      </c>
      <c r="E201" t="s">
        <v>546</v>
      </c>
      <c r="F201" t="s">
        <v>558</v>
      </c>
      <c r="H201" t="s">
        <v>559</v>
      </c>
      <c r="I201" t="s">
        <v>51</v>
      </c>
      <c r="J201" t="s">
        <v>560</v>
      </c>
      <c r="K201" t="s">
        <v>35</v>
      </c>
      <c r="L201">
        <v>7867672902</v>
      </c>
      <c r="M201" t="s">
        <v>569</v>
      </c>
      <c r="N201" t="s">
        <v>565</v>
      </c>
      <c r="P201" t="s">
        <v>565</v>
      </c>
      <c r="Q201" t="s">
        <v>566</v>
      </c>
      <c r="R201" t="s">
        <v>567</v>
      </c>
      <c r="S201" t="s">
        <v>40</v>
      </c>
      <c r="T201" s="1">
        <v>42134</v>
      </c>
      <c r="U201">
        <v>0</v>
      </c>
      <c r="V201">
        <v>0</v>
      </c>
      <c r="W201" t="s">
        <v>59</v>
      </c>
      <c r="Y201" t="s">
        <v>42</v>
      </c>
      <c r="Z201" t="s">
        <v>43</v>
      </c>
      <c r="AA201" t="s">
        <v>43</v>
      </c>
      <c r="AD201" t="s">
        <v>3143</v>
      </c>
    </row>
    <row r="202" spans="1:30" x14ac:dyDescent="0.4">
      <c r="A202" t="s">
        <v>27</v>
      </c>
      <c r="B202">
        <v>1457</v>
      </c>
      <c r="C202" t="s">
        <v>68</v>
      </c>
      <c r="D202" t="s">
        <v>570</v>
      </c>
      <c r="E202" t="s">
        <v>571</v>
      </c>
      <c r="F202" t="s">
        <v>572</v>
      </c>
      <c r="G202" t="s">
        <v>573</v>
      </c>
      <c r="H202" t="s">
        <v>574</v>
      </c>
      <c r="I202" t="s">
        <v>73</v>
      </c>
      <c r="J202" t="s">
        <v>575</v>
      </c>
      <c r="K202" t="s">
        <v>35</v>
      </c>
      <c r="L202">
        <v>1293771809</v>
      </c>
      <c r="M202" t="s">
        <v>576</v>
      </c>
      <c r="N202" t="s">
        <v>577</v>
      </c>
      <c r="P202" t="s">
        <v>3098</v>
      </c>
      <c r="Q202" t="s">
        <v>579</v>
      </c>
      <c r="R202" t="s">
        <v>284</v>
      </c>
      <c r="S202" t="s">
        <v>82</v>
      </c>
      <c r="T202" s="1">
        <v>43734</v>
      </c>
      <c r="U202">
        <v>0</v>
      </c>
      <c r="V202">
        <v>7</v>
      </c>
      <c r="Y202" t="s">
        <v>42</v>
      </c>
      <c r="Z202" t="s">
        <v>43</v>
      </c>
      <c r="AA202" t="s">
        <v>43</v>
      </c>
      <c r="AD202" t="s">
        <v>3143</v>
      </c>
    </row>
    <row r="203" spans="1:30" x14ac:dyDescent="0.4">
      <c r="A203" t="s">
        <v>27</v>
      </c>
      <c r="B203">
        <v>1457</v>
      </c>
      <c r="C203" t="s">
        <v>68</v>
      </c>
      <c r="D203" t="s">
        <v>570</v>
      </c>
      <c r="E203" t="s">
        <v>571</v>
      </c>
      <c r="F203" t="s">
        <v>572</v>
      </c>
      <c r="G203" t="s">
        <v>573</v>
      </c>
      <c r="H203" t="s">
        <v>574</v>
      </c>
      <c r="I203" t="s">
        <v>73</v>
      </c>
      <c r="J203" t="s">
        <v>575</v>
      </c>
      <c r="K203" t="s">
        <v>35</v>
      </c>
      <c r="L203">
        <v>1293771809</v>
      </c>
      <c r="M203" t="s">
        <v>576</v>
      </c>
      <c r="N203" t="s">
        <v>577</v>
      </c>
      <c r="P203" t="s">
        <v>3098</v>
      </c>
      <c r="Q203" t="s">
        <v>579</v>
      </c>
      <c r="R203" t="s">
        <v>284</v>
      </c>
      <c r="S203" t="s">
        <v>82</v>
      </c>
      <c r="T203" s="1">
        <v>43734</v>
      </c>
      <c r="U203">
        <v>0</v>
      </c>
      <c r="V203">
        <v>19</v>
      </c>
      <c r="Y203" t="s">
        <v>42</v>
      </c>
      <c r="Z203" t="s">
        <v>43</v>
      </c>
      <c r="AA203" t="s">
        <v>43</v>
      </c>
      <c r="AD203" t="s">
        <v>3143</v>
      </c>
    </row>
    <row r="204" spans="1:30" x14ac:dyDescent="0.4">
      <c r="A204" t="s">
        <v>27</v>
      </c>
      <c r="B204">
        <v>288</v>
      </c>
      <c r="C204" t="s">
        <v>257</v>
      </c>
      <c r="D204" t="s">
        <v>581</v>
      </c>
      <c r="E204" t="s">
        <v>582</v>
      </c>
      <c r="F204" t="s">
        <v>583</v>
      </c>
      <c r="H204" t="s">
        <v>584</v>
      </c>
      <c r="I204" t="s">
        <v>242</v>
      </c>
      <c r="J204" t="s">
        <v>585</v>
      </c>
      <c r="K204" t="s">
        <v>35</v>
      </c>
      <c r="L204">
        <v>7808949599</v>
      </c>
      <c r="M204" t="s">
        <v>586</v>
      </c>
      <c r="N204" t="s">
        <v>587</v>
      </c>
      <c r="P204" t="s">
        <v>3047</v>
      </c>
      <c r="Q204" t="s">
        <v>589</v>
      </c>
      <c r="R204" t="s">
        <v>590</v>
      </c>
      <c r="S204" t="s">
        <v>82</v>
      </c>
      <c r="T204" s="1">
        <v>43768</v>
      </c>
      <c r="U204">
        <v>0</v>
      </c>
      <c r="V204">
        <v>4</v>
      </c>
      <c r="W204" t="s">
        <v>65</v>
      </c>
      <c r="Y204" t="s">
        <v>42</v>
      </c>
      <c r="Z204" t="s">
        <v>43</v>
      </c>
      <c r="AA204" t="s">
        <v>43</v>
      </c>
      <c r="AB204" t="s">
        <v>591</v>
      </c>
      <c r="AD204" t="s">
        <v>3143</v>
      </c>
    </row>
    <row r="205" spans="1:30" x14ac:dyDescent="0.4">
      <c r="A205" t="s">
        <v>27</v>
      </c>
      <c r="B205">
        <v>288</v>
      </c>
      <c r="C205" t="s">
        <v>257</v>
      </c>
      <c r="D205" t="s">
        <v>581</v>
      </c>
      <c r="E205" t="s">
        <v>582</v>
      </c>
      <c r="F205" t="s">
        <v>583</v>
      </c>
      <c r="H205" t="s">
        <v>584</v>
      </c>
      <c r="I205" t="s">
        <v>242</v>
      </c>
      <c r="J205" t="s">
        <v>585</v>
      </c>
      <c r="K205" t="s">
        <v>35</v>
      </c>
      <c r="L205">
        <v>7808949599</v>
      </c>
      <c r="M205" t="s">
        <v>586</v>
      </c>
      <c r="N205" t="s">
        <v>587</v>
      </c>
      <c r="P205" t="s">
        <v>592</v>
      </c>
      <c r="Q205" t="s">
        <v>593</v>
      </c>
      <c r="R205" t="s">
        <v>232</v>
      </c>
      <c r="S205" t="s">
        <v>40</v>
      </c>
      <c r="T205" s="1">
        <v>45191</v>
      </c>
      <c r="U205">
        <v>0</v>
      </c>
      <c r="V205">
        <v>4</v>
      </c>
      <c r="W205" t="s">
        <v>65</v>
      </c>
      <c r="Y205" t="s">
        <v>42</v>
      </c>
      <c r="Z205" t="s">
        <v>43</v>
      </c>
      <c r="AA205" t="s">
        <v>43</v>
      </c>
      <c r="AB205" t="s">
        <v>591</v>
      </c>
      <c r="AD205" t="s">
        <v>3143</v>
      </c>
    </row>
    <row r="206" spans="1:30" x14ac:dyDescent="0.4">
      <c r="A206" t="s">
        <v>27</v>
      </c>
      <c r="B206">
        <v>288</v>
      </c>
      <c r="C206" t="s">
        <v>257</v>
      </c>
      <c r="D206" t="s">
        <v>581</v>
      </c>
      <c r="E206" t="s">
        <v>582</v>
      </c>
      <c r="F206" t="s">
        <v>583</v>
      </c>
      <c r="H206" t="s">
        <v>584</v>
      </c>
      <c r="I206" t="s">
        <v>242</v>
      </c>
      <c r="J206" t="s">
        <v>585</v>
      </c>
      <c r="K206" t="s">
        <v>35</v>
      </c>
      <c r="L206">
        <v>7808949599</v>
      </c>
      <c r="M206" t="s">
        <v>586</v>
      </c>
      <c r="N206" t="s">
        <v>587</v>
      </c>
      <c r="P206" t="s">
        <v>3047</v>
      </c>
      <c r="Q206" t="s">
        <v>589</v>
      </c>
      <c r="R206" t="s">
        <v>590</v>
      </c>
      <c r="S206" t="s">
        <v>82</v>
      </c>
      <c r="T206" s="1">
        <v>43768</v>
      </c>
      <c r="U206">
        <v>0</v>
      </c>
      <c r="V206">
        <v>5</v>
      </c>
      <c r="W206" t="s">
        <v>66</v>
      </c>
      <c r="Y206" t="s">
        <v>42</v>
      </c>
      <c r="Z206" t="s">
        <v>43</v>
      </c>
      <c r="AA206" t="s">
        <v>43</v>
      </c>
      <c r="AB206" t="s">
        <v>591</v>
      </c>
      <c r="AD206" t="s">
        <v>3143</v>
      </c>
    </row>
    <row r="207" spans="1:30" x14ac:dyDescent="0.4">
      <c r="A207" t="s">
        <v>27</v>
      </c>
      <c r="B207">
        <v>288</v>
      </c>
      <c r="C207" t="s">
        <v>257</v>
      </c>
      <c r="D207" t="s">
        <v>581</v>
      </c>
      <c r="E207" t="s">
        <v>582</v>
      </c>
      <c r="F207" t="s">
        <v>583</v>
      </c>
      <c r="H207" t="s">
        <v>584</v>
      </c>
      <c r="I207" t="s">
        <v>242</v>
      </c>
      <c r="J207" t="s">
        <v>585</v>
      </c>
      <c r="K207" t="s">
        <v>35</v>
      </c>
      <c r="L207">
        <v>7808949599</v>
      </c>
      <c r="M207" t="s">
        <v>586</v>
      </c>
      <c r="N207" t="s">
        <v>587</v>
      </c>
      <c r="P207" t="s">
        <v>3047</v>
      </c>
      <c r="Q207" t="s">
        <v>589</v>
      </c>
      <c r="R207" t="s">
        <v>590</v>
      </c>
      <c r="S207" t="s">
        <v>82</v>
      </c>
      <c r="T207" s="1">
        <v>43768</v>
      </c>
      <c r="U207">
        <v>0</v>
      </c>
      <c r="V207">
        <v>13</v>
      </c>
      <c r="Y207" t="s">
        <v>42</v>
      </c>
      <c r="Z207" t="s">
        <v>43</v>
      </c>
      <c r="AA207" t="s">
        <v>43</v>
      </c>
      <c r="AB207" t="s">
        <v>591</v>
      </c>
      <c r="AD207" t="s">
        <v>3143</v>
      </c>
    </row>
    <row r="208" spans="1:30" x14ac:dyDescent="0.4">
      <c r="A208" t="s">
        <v>27</v>
      </c>
      <c r="B208">
        <v>288</v>
      </c>
      <c r="C208" t="s">
        <v>257</v>
      </c>
      <c r="D208" t="s">
        <v>581</v>
      </c>
      <c r="E208" t="s">
        <v>582</v>
      </c>
      <c r="F208" t="s">
        <v>583</v>
      </c>
      <c r="H208" t="s">
        <v>584</v>
      </c>
      <c r="I208" t="s">
        <v>242</v>
      </c>
      <c r="J208" t="s">
        <v>585</v>
      </c>
      <c r="K208" t="s">
        <v>35</v>
      </c>
      <c r="L208">
        <v>7808949599</v>
      </c>
      <c r="M208" t="s">
        <v>586</v>
      </c>
      <c r="N208" t="s">
        <v>587</v>
      </c>
      <c r="P208" t="s">
        <v>592</v>
      </c>
      <c r="Q208" t="s">
        <v>593</v>
      </c>
      <c r="R208" t="s">
        <v>232</v>
      </c>
      <c r="S208" t="s">
        <v>40</v>
      </c>
      <c r="T208" s="1">
        <v>45191</v>
      </c>
      <c r="U208">
        <v>0</v>
      </c>
      <c r="V208">
        <v>12</v>
      </c>
      <c r="Y208" t="s">
        <v>42</v>
      </c>
      <c r="Z208" t="s">
        <v>43</v>
      </c>
      <c r="AA208" t="s">
        <v>43</v>
      </c>
      <c r="AB208" t="s">
        <v>591</v>
      </c>
      <c r="AD208" t="s">
        <v>3143</v>
      </c>
    </row>
    <row r="209" spans="1:30" x14ac:dyDescent="0.4">
      <c r="A209" t="s">
        <v>27</v>
      </c>
      <c r="B209">
        <v>288</v>
      </c>
      <c r="C209" t="s">
        <v>257</v>
      </c>
      <c r="D209" t="s">
        <v>581</v>
      </c>
      <c r="E209" t="s">
        <v>582</v>
      </c>
      <c r="F209" t="s">
        <v>583</v>
      </c>
      <c r="H209" t="s">
        <v>584</v>
      </c>
      <c r="I209" t="s">
        <v>242</v>
      </c>
      <c r="J209" t="s">
        <v>585</v>
      </c>
      <c r="K209" t="s">
        <v>35</v>
      </c>
      <c r="L209">
        <v>7808949599</v>
      </c>
      <c r="M209" t="s">
        <v>586</v>
      </c>
      <c r="N209" t="s">
        <v>587</v>
      </c>
      <c r="P209" t="s">
        <v>3047</v>
      </c>
      <c r="Q209" t="s">
        <v>589</v>
      </c>
      <c r="R209" t="s">
        <v>590</v>
      </c>
      <c r="S209" t="s">
        <v>82</v>
      </c>
      <c r="T209" s="1">
        <v>43768</v>
      </c>
      <c r="U209">
        <v>0</v>
      </c>
      <c r="V209">
        <v>15</v>
      </c>
      <c r="Y209" t="s">
        <v>42</v>
      </c>
      <c r="Z209" t="s">
        <v>43</v>
      </c>
      <c r="AA209" t="s">
        <v>43</v>
      </c>
      <c r="AB209" t="s">
        <v>591</v>
      </c>
      <c r="AD209" t="s">
        <v>3143</v>
      </c>
    </row>
    <row r="210" spans="1:30" x14ac:dyDescent="0.4">
      <c r="A210" t="s">
        <v>27</v>
      </c>
      <c r="B210">
        <v>406</v>
      </c>
      <c r="C210" t="s">
        <v>68</v>
      </c>
      <c r="D210" t="s">
        <v>594</v>
      </c>
      <c r="E210" t="s">
        <v>595</v>
      </c>
      <c r="F210" t="s">
        <v>596</v>
      </c>
      <c r="H210" t="s">
        <v>597</v>
      </c>
      <c r="I210" t="s">
        <v>598</v>
      </c>
      <c r="J210" t="s">
        <v>599</v>
      </c>
      <c r="K210" t="s">
        <v>35</v>
      </c>
      <c r="L210">
        <v>1993844805</v>
      </c>
      <c r="M210" t="s">
        <v>600</v>
      </c>
      <c r="N210" t="s">
        <v>2853</v>
      </c>
      <c r="P210" t="s">
        <v>601</v>
      </c>
      <c r="Q210" t="s">
        <v>602</v>
      </c>
      <c r="R210" t="s">
        <v>376</v>
      </c>
      <c r="S210" t="s">
        <v>40</v>
      </c>
      <c r="T210" s="1">
        <v>43203</v>
      </c>
      <c r="U210">
        <v>0</v>
      </c>
      <c r="V210">
        <v>7</v>
      </c>
      <c r="X210" t="s">
        <v>392</v>
      </c>
      <c r="Y210" t="s">
        <v>42</v>
      </c>
      <c r="Z210" t="s">
        <v>43</v>
      </c>
      <c r="AA210" t="s">
        <v>42</v>
      </c>
      <c r="AD210" t="s">
        <v>3143</v>
      </c>
    </row>
    <row r="211" spans="1:30" x14ac:dyDescent="0.4">
      <c r="A211" t="s">
        <v>27</v>
      </c>
      <c r="B211">
        <v>6278</v>
      </c>
      <c r="C211" t="s">
        <v>68</v>
      </c>
      <c r="D211" t="s">
        <v>603</v>
      </c>
      <c r="E211" t="s">
        <v>604</v>
      </c>
      <c r="F211" t="s">
        <v>605</v>
      </c>
      <c r="H211" t="s">
        <v>606</v>
      </c>
      <c r="I211" t="s">
        <v>33</v>
      </c>
      <c r="J211" t="s">
        <v>607</v>
      </c>
      <c r="K211" t="s">
        <v>35</v>
      </c>
      <c r="L211">
        <v>7780861098</v>
      </c>
      <c r="M211" t="s">
        <v>608</v>
      </c>
      <c r="N211" t="s">
        <v>2927</v>
      </c>
      <c r="P211" t="s">
        <v>609</v>
      </c>
      <c r="Q211" t="s">
        <v>610</v>
      </c>
      <c r="R211" t="s">
        <v>534</v>
      </c>
      <c r="S211" t="s">
        <v>82</v>
      </c>
      <c r="T211" s="1">
        <v>43631</v>
      </c>
      <c r="U211">
        <v>0</v>
      </c>
      <c r="V211">
        <v>9</v>
      </c>
      <c r="Y211" t="s">
        <v>42</v>
      </c>
      <c r="Z211" t="s">
        <v>43</v>
      </c>
      <c r="AA211" t="s">
        <v>43</v>
      </c>
      <c r="AD211" t="s">
        <v>3143</v>
      </c>
    </row>
    <row r="212" spans="1:30" x14ac:dyDescent="0.4">
      <c r="A212" t="s">
        <v>27</v>
      </c>
      <c r="B212">
        <v>6278</v>
      </c>
      <c r="C212" t="s">
        <v>68</v>
      </c>
      <c r="D212" t="s">
        <v>603</v>
      </c>
      <c r="E212" t="s">
        <v>604</v>
      </c>
      <c r="F212" t="s">
        <v>605</v>
      </c>
      <c r="H212" t="s">
        <v>606</v>
      </c>
      <c r="I212" t="s">
        <v>33</v>
      </c>
      <c r="J212" t="s">
        <v>607</v>
      </c>
      <c r="K212" t="s">
        <v>35</v>
      </c>
      <c r="L212">
        <v>7780861098</v>
      </c>
      <c r="M212" t="s">
        <v>608</v>
      </c>
      <c r="N212" t="s">
        <v>2927</v>
      </c>
      <c r="P212" t="s">
        <v>609</v>
      </c>
      <c r="Q212" t="s">
        <v>610</v>
      </c>
      <c r="R212" t="s">
        <v>534</v>
      </c>
      <c r="S212" t="s">
        <v>82</v>
      </c>
      <c r="T212" s="1">
        <v>43631</v>
      </c>
      <c r="U212">
        <v>0</v>
      </c>
      <c r="V212">
        <v>10</v>
      </c>
      <c r="Y212" t="s">
        <v>42</v>
      </c>
      <c r="Z212" t="s">
        <v>43</v>
      </c>
      <c r="AA212" t="s">
        <v>43</v>
      </c>
      <c r="AD212" t="s">
        <v>3143</v>
      </c>
    </row>
    <row r="213" spans="1:30" x14ac:dyDescent="0.4">
      <c r="A213" t="s">
        <v>27</v>
      </c>
      <c r="B213">
        <v>705</v>
      </c>
      <c r="C213" t="s">
        <v>68</v>
      </c>
      <c r="D213" t="s">
        <v>611</v>
      </c>
      <c r="E213" t="s">
        <v>612</v>
      </c>
      <c r="F213" t="s">
        <v>613</v>
      </c>
      <c r="H213" t="s">
        <v>614</v>
      </c>
      <c r="I213" t="s">
        <v>426</v>
      </c>
      <c r="J213" t="s">
        <v>615</v>
      </c>
      <c r="K213" t="s">
        <v>35</v>
      </c>
      <c r="L213" t="s">
        <v>616</v>
      </c>
      <c r="M213" t="s">
        <v>617</v>
      </c>
      <c r="N213" t="s">
        <v>2928</v>
      </c>
      <c r="P213" t="s">
        <v>618</v>
      </c>
      <c r="Q213" t="s">
        <v>619</v>
      </c>
      <c r="R213" t="s">
        <v>376</v>
      </c>
      <c r="S213" t="s">
        <v>82</v>
      </c>
      <c r="T213" s="1">
        <v>45220</v>
      </c>
      <c r="U213">
        <v>0</v>
      </c>
      <c r="V213">
        <v>4</v>
      </c>
      <c r="W213" t="s">
        <v>65</v>
      </c>
      <c r="Y213" t="s">
        <v>42</v>
      </c>
      <c r="Z213" t="s">
        <v>43</v>
      </c>
      <c r="AA213" t="s">
        <v>42</v>
      </c>
      <c r="AD213" t="s">
        <v>3143</v>
      </c>
    </row>
    <row r="214" spans="1:30" x14ac:dyDescent="0.4">
      <c r="A214" t="s">
        <v>27</v>
      </c>
      <c r="B214">
        <v>705</v>
      </c>
      <c r="C214" t="s">
        <v>68</v>
      </c>
      <c r="D214" t="s">
        <v>611</v>
      </c>
      <c r="E214" t="s">
        <v>612</v>
      </c>
      <c r="F214" t="s">
        <v>613</v>
      </c>
      <c r="H214" t="s">
        <v>614</v>
      </c>
      <c r="I214" t="s">
        <v>426</v>
      </c>
      <c r="J214" t="s">
        <v>615</v>
      </c>
      <c r="K214" t="s">
        <v>35</v>
      </c>
      <c r="L214" t="s">
        <v>616</v>
      </c>
      <c r="M214" t="s">
        <v>617</v>
      </c>
      <c r="N214" t="s">
        <v>2928</v>
      </c>
      <c r="P214" t="s">
        <v>618</v>
      </c>
      <c r="Q214" t="s">
        <v>619</v>
      </c>
      <c r="R214" t="s">
        <v>376</v>
      </c>
      <c r="S214" t="s">
        <v>82</v>
      </c>
      <c r="T214" s="1">
        <v>45220</v>
      </c>
      <c r="U214">
        <v>0</v>
      </c>
      <c r="V214">
        <v>5</v>
      </c>
      <c r="W214" t="s">
        <v>66</v>
      </c>
      <c r="Y214" t="s">
        <v>42</v>
      </c>
      <c r="Z214" t="s">
        <v>43</v>
      </c>
      <c r="AA214" t="s">
        <v>42</v>
      </c>
      <c r="AD214" t="s">
        <v>3143</v>
      </c>
    </row>
    <row r="215" spans="1:30" x14ac:dyDescent="0.4">
      <c r="A215" t="s">
        <v>27</v>
      </c>
      <c r="B215">
        <v>705</v>
      </c>
      <c r="C215" t="s">
        <v>68</v>
      </c>
      <c r="D215" t="s">
        <v>611</v>
      </c>
      <c r="E215" t="s">
        <v>612</v>
      </c>
      <c r="F215" t="s">
        <v>613</v>
      </c>
      <c r="H215" t="s">
        <v>614</v>
      </c>
      <c r="I215" t="s">
        <v>426</v>
      </c>
      <c r="J215" t="s">
        <v>615</v>
      </c>
      <c r="K215" t="s">
        <v>35</v>
      </c>
      <c r="L215" t="s">
        <v>616</v>
      </c>
      <c r="M215" t="s">
        <v>617</v>
      </c>
      <c r="N215" t="s">
        <v>2928</v>
      </c>
      <c r="P215" t="s">
        <v>618</v>
      </c>
      <c r="Q215" t="s">
        <v>619</v>
      </c>
      <c r="R215" t="s">
        <v>376</v>
      </c>
      <c r="S215" t="s">
        <v>82</v>
      </c>
      <c r="T215" s="1">
        <v>45220</v>
      </c>
      <c r="U215">
        <v>0</v>
      </c>
      <c r="V215">
        <v>13</v>
      </c>
      <c r="Y215" t="s">
        <v>42</v>
      </c>
      <c r="Z215" t="s">
        <v>43</v>
      </c>
      <c r="AA215" t="s">
        <v>42</v>
      </c>
      <c r="AD215" t="s">
        <v>3143</v>
      </c>
    </row>
    <row r="216" spans="1:30" x14ac:dyDescent="0.4">
      <c r="A216" t="s">
        <v>27</v>
      </c>
      <c r="B216">
        <v>705</v>
      </c>
      <c r="C216" t="s">
        <v>68</v>
      </c>
      <c r="D216" t="s">
        <v>611</v>
      </c>
      <c r="E216" t="s">
        <v>612</v>
      </c>
      <c r="F216" t="s">
        <v>613</v>
      </c>
      <c r="H216" t="s">
        <v>614</v>
      </c>
      <c r="I216" t="s">
        <v>426</v>
      </c>
      <c r="J216" t="s">
        <v>615</v>
      </c>
      <c r="K216" t="s">
        <v>35</v>
      </c>
      <c r="L216" t="s">
        <v>616</v>
      </c>
      <c r="M216" t="s">
        <v>617</v>
      </c>
      <c r="N216" t="s">
        <v>2928</v>
      </c>
      <c r="P216" t="s">
        <v>618</v>
      </c>
      <c r="Q216" t="s">
        <v>619</v>
      </c>
      <c r="R216" t="s">
        <v>376</v>
      </c>
      <c r="S216" t="s">
        <v>82</v>
      </c>
      <c r="T216" s="1">
        <v>45220</v>
      </c>
      <c r="U216">
        <v>0</v>
      </c>
      <c r="V216">
        <v>15</v>
      </c>
      <c r="Y216" t="s">
        <v>42</v>
      </c>
      <c r="Z216" t="s">
        <v>43</v>
      </c>
      <c r="AA216" t="s">
        <v>42</v>
      </c>
      <c r="AD216" t="s">
        <v>3143</v>
      </c>
    </row>
    <row r="217" spans="1:30" x14ac:dyDescent="0.4">
      <c r="A217" t="s">
        <v>27</v>
      </c>
      <c r="B217">
        <v>6428</v>
      </c>
      <c r="C217" t="s">
        <v>28</v>
      </c>
      <c r="D217" t="s">
        <v>620</v>
      </c>
      <c r="E217" t="s">
        <v>621</v>
      </c>
      <c r="F217" t="s">
        <v>622</v>
      </c>
      <c r="H217" t="s">
        <v>623</v>
      </c>
      <c r="I217" t="s">
        <v>33</v>
      </c>
      <c r="J217" t="s">
        <v>624</v>
      </c>
      <c r="K217" t="s">
        <v>35</v>
      </c>
      <c r="L217">
        <v>7763625614</v>
      </c>
      <c r="M217" t="s">
        <v>625</v>
      </c>
      <c r="N217" t="s">
        <v>626</v>
      </c>
      <c r="P217" t="s">
        <v>627</v>
      </c>
      <c r="Q217" t="s">
        <v>628</v>
      </c>
      <c r="R217" t="s">
        <v>58</v>
      </c>
      <c r="S217" t="s">
        <v>40</v>
      </c>
      <c r="T217" s="1">
        <v>45422</v>
      </c>
      <c r="U217">
        <v>0</v>
      </c>
      <c r="V217">
        <v>0</v>
      </c>
      <c r="W217" t="s">
        <v>59</v>
      </c>
      <c r="Y217" t="s">
        <v>42</v>
      </c>
      <c r="Z217" t="s">
        <v>43</v>
      </c>
      <c r="AA217" t="s">
        <v>43</v>
      </c>
      <c r="AD217" t="s">
        <v>3143</v>
      </c>
    </row>
    <row r="218" spans="1:30" x14ac:dyDescent="0.4">
      <c r="A218" t="s">
        <v>27</v>
      </c>
      <c r="B218">
        <v>24</v>
      </c>
      <c r="C218" t="s">
        <v>28</v>
      </c>
      <c r="D218" t="s">
        <v>629</v>
      </c>
      <c r="E218" t="s">
        <v>630</v>
      </c>
      <c r="F218" t="s">
        <v>631</v>
      </c>
      <c r="G218" t="s">
        <v>632</v>
      </c>
      <c r="H218" t="s">
        <v>633</v>
      </c>
      <c r="I218" t="s">
        <v>634</v>
      </c>
      <c r="J218" t="s">
        <v>635</v>
      </c>
      <c r="K218" t="s">
        <v>35</v>
      </c>
      <c r="L218" t="s">
        <v>636</v>
      </c>
      <c r="M218" t="s">
        <v>637</v>
      </c>
      <c r="N218" t="s">
        <v>638</v>
      </c>
      <c r="P218" t="s">
        <v>639</v>
      </c>
      <c r="Q218" t="s">
        <v>640</v>
      </c>
      <c r="R218" t="s">
        <v>376</v>
      </c>
      <c r="S218" t="s">
        <v>82</v>
      </c>
      <c r="T218" s="1">
        <v>43271</v>
      </c>
      <c r="U218">
        <v>0</v>
      </c>
      <c r="V218">
        <v>7</v>
      </c>
      <c r="X218" t="s">
        <v>392</v>
      </c>
      <c r="Y218" t="s">
        <v>42</v>
      </c>
      <c r="Z218" t="s">
        <v>43</v>
      </c>
      <c r="AA218" t="s">
        <v>43</v>
      </c>
      <c r="AD218" t="s">
        <v>3143</v>
      </c>
    </row>
    <row r="219" spans="1:30" x14ac:dyDescent="0.4">
      <c r="A219" t="s">
        <v>27</v>
      </c>
      <c r="B219">
        <v>24</v>
      </c>
      <c r="C219" t="s">
        <v>28</v>
      </c>
      <c r="D219" t="s">
        <v>629</v>
      </c>
      <c r="E219" t="s">
        <v>630</v>
      </c>
      <c r="F219" t="s">
        <v>631</v>
      </c>
      <c r="G219" t="s">
        <v>632</v>
      </c>
      <c r="H219" t="s">
        <v>633</v>
      </c>
      <c r="I219" t="s">
        <v>634</v>
      </c>
      <c r="J219" t="s">
        <v>635</v>
      </c>
      <c r="K219" t="s">
        <v>35</v>
      </c>
      <c r="L219" t="s">
        <v>636</v>
      </c>
      <c r="M219" t="s">
        <v>637</v>
      </c>
      <c r="N219" t="s">
        <v>638</v>
      </c>
      <c r="P219" t="s">
        <v>639</v>
      </c>
      <c r="Q219" t="s">
        <v>640</v>
      </c>
      <c r="R219" t="s">
        <v>376</v>
      </c>
      <c r="S219" t="s">
        <v>82</v>
      </c>
      <c r="T219" s="1">
        <v>43271</v>
      </c>
      <c r="U219">
        <v>0</v>
      </c>
      <c r="V219">
        <v>19</v>
      </c>
      <c r="X219" t="s">
        <v>392</v>
      </c>
      <c r="Y219" t="s">
        <v>42</v>
      </c>
      <c r="Z219" t="s">
        <v>43</v>
      </c>
      <c r="AA219" t="s">
        <v>43</v>
      </c>
      <c r="AD219" t="s">
        <v>3143</v>
      </c>
    </row>
    <row r="220" spans="1:30" x14ac:dyDescent="0.4">
      <c r="A220" t="s">
        <v>27</v>
      </c>
      <c r="B220">
        <v>24</v>
      </c>
      <c r="C220" t="s">
        <v>28</v>
      </c>
      <c r="D220" t="s">
        <v>629</v>
      </c>
      <c r="E220" t="s">
        <v>630</v>
      </c>
      <c r="F220" t="s">
        <v>631</v>
      </c>
      <c r="G220" t="s">
        <v>632</v>
      </c>
      <c r="H220" t="s">
        <v>633</v>
      </c>
      <c r="I220" t="s">
        <v>634</v>
      </c>
      <c r="J220" t="s">
        <v>635</v>
      </c>
      <c r="K220" t="s">
        <v>35</v>
      </c>
      <c r="L220" t="s">
        <v>636</v>
      </c>
      <c r="M220" t="s">
        <v>637</v>
      </c>
      <c r="N220" t="s">
        <v>638</v>
      </c>
      <c r="P220" t="s">
        <v>641</v>
      </c>
      <c r="Q220" t="s">
        <v>642</v>
      </c>
      <c r="R220" t="s">
        <v>359</v>
      </c>
      <c r="S220" t="s">
        <v>82</v>
      </c>
      <c r="T220" s="1">
        <v>41160</v>
      </c>
      <c r="U220">
        <v>0</v>
      </c>
      <c r="V220">
        <v>0</v>
      </c>
      <c r="W220" t="s">
        <v>59</v>
      </c>
      <c r="X220" t="s">
        <v>392</v>
      </c>
      <c r="Y220" t="s">
        <v>42</v>
      </c>
      <c r="Z220" t="s">
        <v>43</v>
      </c>
      <c r="AA220" t="s">
        <v>43</v>
      </c>
      <c r="AD220" t="s">
        <v>3143</v>
      </c>
    </row>
    <row r="221" spans="1:30" x14ac:dyDescent="0.4">
      <c r="A221" t="s">
        <v>27</v>
      </c>
      <c r="B221">
        <v>24</v>
      </c>
      <c r="C221" t="s">
        <v>28</v>
      </c>
      <c r="D221" t="s">
        <v>629</v>
      </c>
      <c r="E221" t="s">
        <v>630</v>
      </c>
      <c r="F221" t="s">
        <v>631</v>
      </c>
      <c r="G221" t="s">
        <v>632</v>
      </c>
      <c r="H221" t="s">
        <v>633</v>
      </c>
      <c r="I221" t="s">
        <v>634</v>
      </c>
      <c r="J221" t="s">
        <v>635</v>
      </c>
      <c r="K221" t="s">
        <v>35</v>
      </c>
      <c r="L221" t="s">
        <v>636</v>
      </c>
      <c r="M221" t="s">
        <v>637</v>
      </c>
      <c r="N221" t="s">
        <v>638</v>
      </c>
      <c r="P221" t="s">
        <v>641</v>
      </c>
      <c r="Q221" t="s">
        <v>642</v>
      </c>
      <c r="R221" t="s">
        <v>359</v>
      </c>
      <c r="S221" t="s">
        <v>82</v>
      </c>
      <c r="T221" s="1">
        <v>41160</v>
      </c>
      <c r="U221">
        <v>0</v>
      </c>
      <c r="V221">
        <v>0</v>
      </c>
      <c r="W221" t="s">
        <v>59</v>
      </c>
      <c r="X221" t="s">
        <v>392</v>
      </c>
      <c r="Y221" t="s">
        <v>42</v>
      </c>
      <c r="Z221" t="s">
        <v>43</v>
      </c>
      <c r="AA221" t="s">
        <v>43</v>
      </c>
      <c r="AD221" t="s">
        <v>3143</v>
      </c>
    </row>
    <row r="222" spans="1:30" x14ac:dyDescent="0.4">
      <c r="A222" t="s">
        <v>27</v>
      </c>
      <c r="B222">
        <v>1609</v>
      </c>
      <c r="C222" t="s">
        <v>68</v>
      </c>
      <c r="D222" t="s">
        <v>643</v>
      </c>
      <c r="E222" t="s">
        <v>644</v>
      </c>
      <c r="F222" t="s">
        <v>645</v>
      </c>
      <c r="H222" t="s">
        <v>559</v>
      </c>
      <c r="I222" t="s">
        <v>51</v>
      </c>
      <c r="J222" t="s">
        <v>646</v>
      </c>
      <c r="K222" t="s">
        <v>35</v>
      </c>
      <c r="L222" t="s">
        <v>647</v>
      </c>
      <c r="M222" t="s">
        <v>648</v>
      </c>
      <c r="N222" t="s">
        <v>649</v>
      </c>
      <c r="P222" t="s">
        <v>650</v>
      </c>
      <c r="Q222" t="s">
        <v>651</v>
      </c>
      <c r="R222" t="s">
        <v>58</v>
      </c>
      <c r="S222" t="s">
        <v>82</v>
      </c>
      <c r="T222" s="1">
        <v>45630</v>
      </c>
      <c r="U222">
        <v>0</v>
      </c>
      <c r="V222">
        <v>0</v>
      </c>
      <c r="W222" t="s">
        <v>59</v>
      </c>
      <c r="Y222" t="s">
        <v>42</v>
      </c>
      <c r="Z222" t="s">
        <v>43</v>
      </c>
      <c r="AA222" t="s">
        <v>43</v>
      </c>
      <c r="AD222" t="s">
        <v>3143</v>
      </c>
    </row>
    <row r="223" spans="1:30" x14ac:dyDescent="0.4">
      <c r="A223" t="s">
        <v>27</v>
      </c>
      <c r="B223">
        <v>1609</v>
      </c>
      <c r="C223" t="s">
        <v>68</v>
      </c>
      <c r="D223" t="s">
        <v>643</v>
      </c>
      <c r="E223" t="s">
        <v>644</v>
      </c>
      <c r="F223" t="s">
        <v>645</v>
      </c>
      <c r="H223" t="s">
        <v>559</v>
      </c>
      <c r="I223" t="s">
        <v>51</v>
      </c>
      <c r="J223" t="s">
        <v>646</v>
      </c>
      <c r="K223" t="s">
        <v>35</v>
      </c>
      <c r="L223" t="s">
        <v>647</v>
      </c>
      <c r="M223" t="s">
        <v>648</v>
      </c>
      <c r="N223" t="s">
        <v>649</v>
      </c>
      <c r="P223" t="s">
        <v>650</v>
      </c>
      <c r="Q223" t="s">
        <v>651</v>
      </c>
      <c r="R223" t="s">
        <v>58</v>
      </c>
      <c r="S223" t="s">
        <v>82</v>
      </c>
      <c r="T223" s="1">
        <v>45630</v>
      </c>
      <c r="U223">
        <v>0</v>
      </c>
      <c r="V223">
        <v>0</v>
      </c>
      <c r="W223" t="s">
        <v>59</v>
      </c>
      <c r="Y223" t="s">
        <v>42</v>
      </c>
      <c r="Z223" t="s">
        <v>43</v>
      </c>
      <c r="AA223" t="s">
        <v>43</v>
      </c>
      <c r="AD223" t="s">
        <v>3143</v>
      </c>
    </row>
    <row r="224" spans="1:30" x14ac:dyDescent="0.4">
      <c r="A224" t="s">
        <v>27</v>
      </c>
      <c r="B224">
        <v>1609</v>
      </c>
      <c r="C224" t="s">
        <v>68</v>
      </c>
      <c r="D224" t="s">
        <v>643</v>
      </c>
      <c r="E224" t="s">
        <v>644</v>
      </c>
      <c r="F224" t="s">
        <v>645</v>
      </c>
      <c r="H224" t="s">
        <v>559</v>
      </c>
      <c r="I224" t="s">
        <v>51</v>
      </c>
      <c r="J224" t="s">
        <v>646</v>
      </c>
      <c r="K224" t="s">
        <v>35</v>
      </c>
      <c r="L224" t="s">
        <v>647</v>
      </c>
      <c r="M224" t="s">
        <v>648</v>
      </c>
      <c r="N224" t="s">
        <v>2929</v>
      </c>
      <c r="P224" t="s">
        <v>652</v>
      </c>
      <c r="Q224" t="s">
        <v>653</v>
      </c>
      <c r="R224" t="s">
        <v>58</v>
      </c>
      <c r="S224" t="s">
        <v>82</v>
      </c>
      <c r="T224" s="1">
        <v>42805</v>
      </c>
      <c r="U224">
        <v>0</v>
      </c>
      <c r="V224">
        <v>7</v>
      </c>
      <c r="Y224" t="s">
        <v>42</v>
      </c>
      <c r="Z224" t="s">
        <v>43</v>
      </c>
      <c r="AA224" t="s">
        <v>43</v>
      </c>
      <c r="AD224" t="s">
        <v>3143</v>
      </c>
    </row>
    <row r="225" spans="1:30" x14ac:dyDescent="0.4">
      <c r="A225" t="s">
        <v>27</v>
      </c>
      <c r="B225">
        <v>1609</v>
      </c>
      <c r="C225" t="s">
        <v>68</v>
      </c>
      <c r="D225" t="s">
        <v>643</v>
      </c>
      <c r="E225" t="s">
        <v>644</v>
      </c>
      <c r="F225" t="s">
        <v>645</v>
      </c>
      <c r="H225" t="s">
        <v>559</v>
      </c>
      <c r="I225" t="s">
        <v>51</v>
      </c>
      <c r="J225" t="s">
        <v>646</v>
      </c>
      <c r="K225" t="s">
        <v>35</v>
      </c>
      <c r="L225" t="s">
        <v>647</v>
      </c>
      <c r="M225" t="s">
        <v>648</v>
      </c>
      <c r="N225" t="s">
        <v>2929</v>
      </c>
      <c r="P225" t="s">
        <v>654</v>
      </c>
      <c r="Q225" t="s">
        <v>655</v>
      </c>
      <c r="R225" t="s">
        <v>58</v>
      </c>
      <c r="S225" t="s">
        <v>40</v>
      </c>
      <c r="T225" s="1">
        <v>43954</v>
      </c>
      <c r="U225">
        <v>0</v>
      </c>
      <c r="V225">
        <v>7</v>
      </c>
      <c r="Y225" t="s">
        <v>42</v>
      </c>
      <c r="Z225" t="s">
        <v>43</v>
      </c>
      <c r="AA225" t="s">
        <v>43</v>
      </c>
      <c r="AD225" t="s">
        <v>3143</v>
      </c>
    </row>
    <row r="226" spans="1:30" x14ac:dyDescent="0.4">
      <c r="A226" t="s">
        <v>27</v>
      </c>
      <c r="B226">
        <v>1609</v>
      </c>
      <c r="C226" t="s">
        <v>68</v>
      </c>
      <c r="D226" t="s">
        <v>643</v>
      </c>
      <c r="E226" t="s">
        <v>644</v>
      </c>
      <c r="F226" t="s">
        <v>645</v>
      </c>
      <c r="H226" t="s">
        <v>559</v>
      </c>
      <c r="I226" t="s">
        <v>51</v>
      </c>
      <c r="J226" t="s">
        <v>646</v>
      </c>
      <c r="K226" t="s">
        <v>35</v>
      </c>
      <c r="L226" t="s">
        <v>647</v>
      </c>
      <c r="M226" t="s">
        <v>648</v>
      </c>
      <c r="N226" t="s">
        <v>2929</v>
      </c>
      <c r="P226" t="s">
        <v>654</v>
      </c>
      <c r="Q226" t="s">
        <v>655</v>
      </c>
      <c r="R226" t="s">
        <v>58</v>
      </c>
      <c r="S226" t="s">
        <v>40</v>
      </c>
      <c r="T226" s="1">
        <v>43954</v>
      </c>
      <c r="U226">
        <v>0</v>
      </c>
      <c r="V226">
        <v>18</v>
      </c>
      <c r="Y226" t="s">
        <v>42</v>
      </c>
      <c r="Z226" t="s">
        <v>43</v>
      </c>
      <c r="AA226" t="s">
        <v>43</v>
      </c>
      <c r="AD226" t="s">
        <v>3143</v>
      </c>
    </row>
    <row r="227" spans="1:30" x14ac:dyDescent="0.4">
      <c r="A227" t="s">
        <v>27</v>
      </c>
      <c r="B227">
        <v>1609</v>
      </c>
      <c r="C227" t="s">
        <v>68</v>
      </c>
      <c r="D227" t="s">
        <v>643</v>
      </c>
      <c r="E227" t="s">
        <v>644</v>
      </c>
      <c r="F227" t="s">
        <v>645</v>
      </c>
      <c r="H227" t="s">
        <v>559</v>
      </c>
      <c r="I227" t="s">
        <v>51</v>
      </c>
      <c r="J227" t="s">
        <v>646</v>
      </c>
      <c r="K227" t="s">
        <v>35</v>
      </c>
      <c r="L227" t="s">
        <v>647</v>
      </c>
      <c r="M227" t="s">
        <v>648</v>
      </c>
      <c r="N227" t="s">
        <v>2929</v>
      </c>
      <c r="P227" t="s">
        <v>652</v>
      </c>
      <c r="Q227" t="s">
        <v>653</v>
      </c>
      <c r="R227" t="s">
        <v>58</v>
      </c>
      <c r="S227" t="s">
        <v>82</v>
      </c>
      <c r="T227" s="1">
        <v>42805</v>
      </c>
      <c r="U227">
        <v>0</v>
      </c>
      <c r="V227">
        <v>19</v>
      </c>
      <c r="Y227" t="s">
        <v>42</v>
      </c>
      <c r="Z227" t="s">
        <v>43</v>
      </c>
      <c r="AA227" t="s">
        <v>43</v>
      </c>
      <c r="AD227" t="s">
        <v>3143</v>
      </c>
    </row>
    <row r="228" spans="1:30" x14ac:dyDescent="0.4">
      <c r="A228" t="s">
        <v>27</v>
      </c>
      <c r="B228">
        <v>1609</v>
      </c>
      <c r="C228" t="s">
        <v>68</v>
      </c>
      <c r="D228" t="s">
        <v>643</v>
      </c>
      <c r="E228" t="s">
        <v>644</v>
      </c>
      <c r="F228" t="s">
        <v>645</v>
      </c>
      <c r="H228" t="s">
        <v>559</v>
      </c>
      <c r="I228" t="s">
        <v>51</v>
      </c>
      <c r="J228" t="s">
        <v>646</v>
      </c>
      <c r="K228" t="s">
        <v>35</v>
      </c>
      <c r="L228" t="s">
        <v>647</v>
      </c>
      <c r="M228" t="s">
        <v>648</v>
      </c>
      <c r="N228" t="s">
        <v>2929</v>
      </c>
      <c r="P228" t="s">
        <v>652</v>
      </c>
      <c r="Q228" t="s">
        <v>653</v>
      </c>
      <c r="R228" t="s">
        <v>58</v>
      </c>
      <c r="S228" t="s">
        <v>82</v>
      </c>
      <c r="T228" s="1">
        <v>42805</v>
      </c>
      <c r="U228">
        <v>0</v>
      </c>
      <c r="V228">
        <v>21</v>
      </c>
      <c r="Y228" t="s">
        <v>42</v>
      </c>
      <c r="Z228" t="s">
        <v>43</v>
      </c>
      <c r="AA228" t="s">
        <v>43</v>
      </c>
      <c r="AD228" t="s">
        <v>3143</v>
      </c>
    </row>
    <row r="229" spans="1:30" x14ac:dyDescent="0.4">
      <c r="A229" t="s">
        <v>27</v>
      </c>
      <c r="B229">
        <v>773</v>
      </c>
      <c r="C229" t="s">
        <v>68</v>
      </c>
      <c r="D229" t="s">
        <v>656</v>
      </c>
      <c r="E229" t="s">
        <v>657</v>
      </c>
      <c r="F229" t="s">
        <v>658</v>
      </c>
      <c r="G229" t="s">
        <v>659</v>
      </c>
      <c r="H229" t="s">
        <v>660</v>
      </c>
      <c r="I229" t="s">
        <v>33</v>
      </c>
      <c r="J229" t="s">
        <v>661</v>
      </c>
      <c r="K229" t="s">
        <v>35</v>
      </c>
      <c r="L229" t="s">
        <v>662</v>
      </c>
      <c r="M229" t="s">
        <v>663</v>
      </c>
      <c r="N229" t="s">
        <v>2854</v>
      </c>
      <c r="P229" t="s">
        <v>664</v>
      </c>
      <c r="Q229" t="s">
        <v>665</v>
      </c>
      <c r="R229" t="s">
        <v>58</v>
      </c>
      <c r="S229" t="s">
        <v>40</v>
      </c>
      <c r="T229" s="1">
        <v>42420</v>
      </c>
      <c r="U229">
        <v>0</v>
      </c>
      <c r="V229">
        <v>7</v>
      </c>
      <c r="X229" t="s">
        <v>392</v>
      </c>
      <c r="Y229" t="s">
        <v>42</v>
      </c>
      <c r="Z229" t="s">
        <v>43</v>
      </c>
      <c r="AA229" t="s">
        <v>43</v>
      </c>
      <c r="AD229" t="s">
        <v>3143</v>
      </c>
    </row>
    <row r="230" spans="1:30" x14ac:dyDescent="0.4">
      <c r="A230" t="s">
        <v>27</v>
      </c>
      <c r="B230">
        <v>773</v>
      </c>
      <c r="C230" t="s">
        <v>68</v>
      </c>
      <c r="D230" t="s">
        <v>656</v>
      </c>
      <c r="E230" t="s">
        <v>657</v>
      </c>
      <c r="F230" t="s">
        <v>658</v>
      </c>
      <c r="G230" t="s">
        <v>659</v>
      </c>
      <c r="H230" t="s">
        <v>660</v>
      </c>
      <c r="I230" t="s">
        <v>33</v>
      </c>
      <c r="J230" t="s">
        <v>661</v>
      </c>
      <c r="K230" t="s">
        <v>35</v>
      </c>
      <c r="L230" t="s">
        <v>662</v>
      </c>
      <c r="M230" t="s">
        <v>663</v>
      </c>
      <c r="N230" t="s">
        <v>2854</v>
      </c>
      <c r="P230" t="s">
        <v>666</v>
      </c>
      <c r="Q230" t="s">
        <v>667</v>
      </c>
      <c r="R230" t="s">
        <v>232</v>
      </c>
      <c r="S230" t="s">
        <v>82</v>
      </c>
      <c r="T230" s="1">
        <v>44570</v>
      </c>
      <c r="U230">
        <v>0</v>
      </c>
      <c r="V230">
        <v>6</v>
      </c>
      <c r="W230" t="s">
        <v>83</v>
      </c>
      <c r="X230" t="s">
        <v>392</v>
      </c>
      <c r="Y230" t="s">
        <v>42</v>
      </c>
      <c r="Z230" t="s">
        <v>43</v>
      </c>
      <c r="AA230" t="s">
        <v>43</v>
      </c>
      <c r="AD230" t="s">
        <v>3143</v>
      </c>
    </row>
    <row r="231" spans="1:30" x14ac:dyDescent="0.4">
      <c r="A231" t="s">
        <v>27</v>
      </c>
      <c r="B231">
        <v>773</v>
      </c>
      <c r="C231" t="s">
        <v>68</v>
      </c>
      <c r="D231" t="s">
        <v>656</v>
      </c>
      <c r="E231" t="s">
        <v>657</v>
      </c>
      <c r="F231" t="s">
        <v>658</v>
      </c>
      <c r="G231" t="s">
        <v>659</v>
      </c>
      <c r="H231" t="s">
        <v>660</v>
      </c>
      <c r="I231" t="s">
        <v>33</v>
      </c>
      <c r="J231" t="s">
        <v>661</v>
      </c>
      <c r="K231" t="s">
        <v>35</v>
      </c>
      <c r="L231" t="s">
        <v>662</v>
      </c>
      <c r="M231" t="s">
        <v>663</v>
      </c>
      <c r="N231" t="s">
        <v>2854</v>
      </c>
      <c r="P231" t="s">
        <v>666</v>
      </c>
      <c r="Q231" t="s">
        <v>667</v>
      </c>
      <c r="R231" t="s">
        <v>232</v>
      </c>
      <c r="S231" t="s">
        <v>82</v>
      </c>
      <c r="T231" s="1">
        <v>44570</v>
      </c>
      <c r="U231">
        <v>0</v>
      </c>
      <c r="V231">
        <v>17</v>
      </c>
      <c r="X231" t="s">
        <v>392</v>
      </c>
      <c r="Y231" t="s">
        <v>42</v>
      </c>
      <c r="Z231" t="s">
        <v>43</v>
      </c>
      <c r="AA231" t="s">
        <v>43</v>
      </c>
      <c r="AD231" t="s">
        <v>3143</v>
      </c>
    </row>
    <row r="232" spans="1:30" x14ac:dyDescent="0.4">
      <c r="A232" t="s">
        <v>27</v>
      </c>
      <c r="B232">
        <v>773</v>
      </c>
      <c r="C232" t="s">
        <v>68</v>
      </c>
      <c r="D232" t="s">
        <v>656</v>
      </c>
      <c r="E232" t="s">
        <v>657</v>
      </c>
      <c r="F232" t="s">
        <v>658</v>
      </c>
      <c r="G232" t="s">
        <v>659</v>
      </c>
      <c r="H232" t="s">
        <v>660</v>
      </c>
      <c r="I232" t="s">
        <v>33</v>
      </c>
      <c r="J232" t="s">
        <v>661</v>
      </c>
      <c r="K232" t="s">
        <v>35</v>
      </c>
      <c r="L232" t="s">
        <v>662</v>
      </c>
      <c r="M232" t="s">
        <v>663</v>
      </c>
      <c r="N232" t="s">
        <v>2854</v>
      </c>
      <c r="P232" t="s">
        <v>664</v>
      </c>
      <c r="Q232" t="s">
        <v>665</v>
      </c>
      <c r="R232" t="s">
        <v>58</v>
      </c>
      <c r="S232" t="s">
        <v>40</v>
      </c>
      <c r="T232" s="1">
        <v>42420</v>
      </c>
      <c r="U232">
        <v>0</v>
      </c>
      <c r="V232">
        <v>18</v>
      </c>
      <c r="X232" t="s">
        <v>392</v>
      </c>
      <c r="Y232" t="s">
        <v>42</v>
      </c>
      <c r="Z232" t="s">
        <v>43</v>
      </c>
      <c r="AA232" t="s">
        <v>43</v>
      </c>
      <c r="AD232" t="s">
        <v>3143</v>
      </c>
    </row>
    <row r="233" spans="1:30" x14ac:dyDescent="0.4">
      <c r="A233" t="s">
        <v>27</v>
      </c>
      <c r="B233">
        <v>2633</v>
      </c>
      <c r="C233" t="s">
        <v>68</v>
      </c>
      <c r="D233" t="s">
        <v>668</v>
      </c>
      <c r="E233" t="s">
        <v>669</v>
      </c>
      <c r="F233" t="s">
        <v>670</v>
      </c>
      <c r="H233" t="s">
        <v>671</v>
      </c>
      <c r="I233" t="s">
        <v>189</v>
      </c>
      <c r="J233" t="s">
        <v>672</v>
      </c>
      <c r="K233" t="s">
        <v>35</v>
      </c>
      <c r="L233">
        <v>7972401245</v>
      </c>
      <c r="M233" t="s">
        <v>673</v>
      </c>
      <c r="N233" t="s">
        <v>674</v>
      </c>
      <c r="P233" t="s">
        <v>675</v>
      </c>
      <c r="Q233" t="s">
        <v>676</v>
      </c>
      <c r="R233" t="s">
        <v>94</v>
      </c>
      <c r="S233" t="s">
        <v>82</v>
      </c>
      <c r="T233" s="1">
        <v>44164</v>
      </c>
      <c r="U233">
        <v>0</v>
      </c>
      <c r="V233">
        <v>19</v>
      </c>
      <c r="Y233" t="s">
        <v>42</v>
      </c>
      <c r="Z233" t="s">
        <v>43</v>
      </c>
      <c r="AA233" t="s">
        <v>43</v>
      </c>
      <c r="AD233" t="s">
        <v>3143</v>
      </c>
    </row>
    <row r="234" spans="1:30" x14ac:dyDescent="0.4">
      <c r="A234" t="s">
        <v>27</v>
      </c>
      <c r="B234">
        <v>2633</v>
      </c>
      <c r="C234" t="s">
        <v>68</v>
      </c>
      <c r="D234" t="s">
        <v>668</v>
      </c>
      <c r="E234" t="s">
        <v>669</v>
      </c>
      <c r="F234" t="s">
        <v>670</v>
      </c>
      <c r="H234" t="s">
        <v>671</v>
      </c>
      <c r="I234" t="s">
        <v>189</v>
      </c>
      <c r="J234" t="s">
        <v>672</v>
      </c>
      <c r="K234" t="s">
        <v>35</v>
      </c>
      <c r="L234">
        <v>7972401245</v>
      </c>
      <c r="M234" t="s">
        <v>673</v>
      </c>
      <c r="N234" t="s">
        <v>674</v>
      </c>
      <c r="P234" t="s">
        <v>675</v>
      </c>
      <c r="Q234" t="s">
        <v>676</v>
      </c>
      <c r="R234" t="s">
        <v>94</v>
      </c>
      <c r="S234" t="s">
        <v>82</v>
      </c>
      <c r="T234" s="1">
        <v>44164</v>
      </c>
      <c r="U234">
        <v>0</v>
      </c>
      <c r="V234">
        <v>21</v>
      </c>
      <c r="Y234" t="s">
        <v>42</v>
      </c>
      <c r="Z234" t="s">
        <v>43</v>
      </c>
      <c r="AA234" t="s">
        <v>43</v>
      </c>
      <c r="AD234" t="s">
        <v>3143</v>
      </c>
    </row>
    <row r="235" spans="1:30" x14ac:dyDescent="0.4">
      <c r="A235" t="s">
        <v>27</v>
      </c>
      <c r="B235">
        <v>5301</v>
      </c>
      <c r="C235" t="s">
        <v>257</v>
      </c>
      <c r="D235" t="s">
        <v>677</v>
      </c>
      <c r="E235" t="s">
        <v>669</v>
      </c>
      <c r="F235" t="s">
        <v>678</v>
      </c>
      <c r="H235" t="s">
        <v>679</v>
      </c>
      <c r="I235" t="s">
        <v>201</v>
      </c>
      <c r="J235" t="s">
        <v>680</v>
      </c>
      <c r="K235" t="s">
        <v>35</v>
      </c>
      <c r="L235">
        <v>447805958571</v>
      </c>
      <c r="M235" t="s">
        <v>681</v>
      </c>
      <c r="N235" t="s">
        <v>682</v>
      </c>
      <c r="P235" t="s">
        <v>3035</v>
      </c>
      <c r="Q235" t="s">
        <v>684</v>
      </c>
      <c r="R235" t="s">
        <v>376</v>
      </c>
      <c r="S235" t="s">
        <v>40</v>
      </c>
      <c r="T235" s="1">
        <v>44355</v>
      </c>
      <c r="U235">
        <v>0</v>
      </c>
      <c r="V235">
        <v>3</v>
      </c>
      <c r="Y235" t="s">
        <v>42</v>
      </c>
      <c r="Z235" t="s">
        <v>43</v>
      </c>
      <c r="AA235" t="s">
        <v>43</v>
      </c>
      <c r="AD235" t="s">
        <v>3143</v>
      </c>
    </row>
    <row r="236" spans="1:30" x14ac:dyDescent="0.4">
      <c r="A236" t="s">
        <v>27</v>
      </c>
      <c r="B236">
        <v>5301</v>
      </c>
      <c r="C236" t="s">
        <v>257</v>
      </c>
      <c r="D236" t="s">
        <v>677</v>
      </c>
      <c r="E236" t="s">
        <v>669</v>
      </c>
      <c r="F236" t="s">
        <v>678</v>
      </c>
      <c r="H236" t="s">
        <v>679</v>
      </c>
      <c r="I236" t="s">
        <v>201</v>
      </c>
      <c r="J236" t="s">
        <v>680</v>
      </c>
      <c r="K236" t="s">
        <v>35</v>
      </c>
      <c r="L236">
        <v>447805958571</v>
      </c>
      <c r="M236" t="s">
        <v>681</v>
      </c>
      <c r="N236" t="s">
        <v>682</v>
      </c>
      <c r="P236" t="s">
        <v>3035</v>
      </c>
      <c r="Q236" t="s">
        <v>684</v>
      </c>
      <c r="R236" t="s">
        <v>376</v>
      </c>
      <c r="S236" t="s">
        <v>40</v>
      </c>
      <c r="T236" s="1">
        <v>44355</v>
      </c>
      <c r="U236">
        <v>0</v>
      </c>
      <c r="V236">
        <v>4</v>
      </c>
      <c r="W236" t="s">
        <v>65</v>
      </c>
      <c r="Y236" t="s">
        <v>42</v>
      </c>
      <c r="Z236" t="s">
        <v>43</v>
      </c>
      <c r="AA236" t="s">
        <v>43</v>
      </c>
      <c r="AD236" t="s">
        <v>3143</v>
      </c>
    </row>
    <row r="237" spans="1:30" x14ac:dyDescent="0.4">
      <c r="A237" t="s">
        <v>27</v>
      </c>
      <c r="B237">
        <v>5301</v>
      </c>
      <c r="C237" t="s">
        <v>257</v>
      </c>
      <c r="D237" t="s">
        <v>677</v>
      </c>
      <c r="E237" t="s">
        <v>669</v>
      </c>
      <c r="F237" t="s">
        <v>678</v>
      </c>
      <c r="H237" t="s">
        <v>679</v>
      </c>
      <c r="I237" t="s">
        <v>201</v>
      </c>
      <c r="J237" t="s">
        <v>680</v>
      </c>
      <c r="K237" t="s">
        <v>35</v>
      </c>
      <c r="L237">
        <v>447805958571</v>
      </c>
      <c r="M237" t="s">
        <v>681</v>
      </c>
      <c r="N237" t="s">
        <v>682</v>
      </c>
      <c r="P237" t="s">
        <v>3048</v>
      </c>
      <c r="Q237" t="s">
        <v>686</v>
      </c>
      <c r="R237" t="s">
        <v>94</v>
      </c>
      <c r="S237" t="s">
        <v>40</v>
      </c>
      <c r="T237" s="1">
        <v>44220</v>
      </c>
      <c r="U237">
        <v>0</v>
      </c>
      <c r="V237">
        <v>4</v>
      </c>
      <c r="W237" t="s">
        <v>65</v>
      </c>
      <c r="Y237" t="s">
        <v>42</v>
      </c>
      <c r="Z237" t="s">
        <v>43</v>
      </c>
      <c r="AA237" t="s">
        <v>43</v>
      </c>
      <c r="AD237" t="s">
        <v>3143</v>
      </c>
    </row>
    <row r="238" spans="1:30" x14ac:dyDescent="0.4">
      <c r="A238" t="s">
        <v>27</v>
      </c>
      <c r="B238">
        <v>5301</v>
      </c>
      <c r="C238" t="s">
        <v>257</v>
      </c>
      <c r="D238" t="s">
        <v>677</v>
      </c>
      <c r="E238" t="s">
        <v>669</v>
      </c>
      <c r="F238" t="s">
        <v>678</v>
      </c>
      <c r="H238" t="s">
        <v>679</v>
      </c>
      <c r="I238" t="s">
        <v>201</v>
      </c>
      <c r="J238" t="s">
        <v>680</v>
      </c>
      <c r="K238" t="s">
        <v>35</v>
      </c>
      <c r="L238">
        <v>447805958571</v>
      </c>
      <c r="M238" t="s">
        <v>681</v>
      </c>
      <c r="N238" t="s">
        <v>682</v>
      </c>
      <c r="P238" t="s">
        <v>3048</v>
      </c>
      <c r="Q238" t="s">
        <v>686</v>
      </c>
      <c r="R238" t="s">
        <v>94</v>
      </c>
      <c r="S238" t="s">
        <v>40</v>
      </c>
      <c r="T238" s="1">
        <v>44220</v>
      </c>
      <c r="U238">
        <v>0</v>
      </c>
      <c r="V238">
        <v>5</v>
      </c>
      <c r="W238" t="s">
        <v>66</v>
      </c>
      <c r="Y238" t="s">
        <v>42</v>
      </c>
      <c r="Z238" t="s">
        <v>43</v>
      </c>
      <c r="AA238" t="s">
        <v>43</v>
      </c>
      <c r="AD238" t="s">
        <v>3143</v>
      </c>
    </row>
    <row r="239" spans="1:30" x14ac:dyDescent="0.4">
      <c r="A239" t="s">
        <v>27</v>
      </c>
      <c r="B239">
        <v>224</v>
      </c>
      <c r="C239" t="s">
        <v>68</v>
      </c>
      <c r="D239" t="s">
        <v>687</v>
      </c>
      <c r="E239" t="s">
        <v>688</v>
      </c>
      <c r="F239" t="s">
        <v>689</v>
      </c>
      <c r="G239" t="s">
        <v>690</v>
      </c>
      <c r="H239" t="s">
        <v>691</v>
      </c>
      <c r="I239" t="s">
        <v>242</v>
      </c>
      <c r="J239" t="s">
        <v>692</v>
      </c>
      <c r="K239" t="s">
        <v>35</v>
      </c>
      <c r="L239">
        <v>1264782070</v>
      </c>
      <c r="M239" t="s">
        <v>693</v>
      </c>
      <c r="N239" t="s">
        <v>2930</v>
      </c>
      <c r="P239" t="s">
        <v>694</v>
      </c>
      <c r="Q239" t="s">
        <v>695</v>
      </c>
      <c r="R239" t="s">
        <v>58</v>
      </c>
      <c r="S239" t="s">
        <v>40</v>
      </c>
      <c r="T239" s="1">
        <v>43194</v>
      </c>
      <c r="U239">
        <v>0</v>
      </c>
      <c r="V239">
        <v>4</v>
      </c>
      <c r="W239" t="s">
        <v>65</v>
      </c>
      <c r="Y239" t="s">
        <v>42</v>
      </c>
      <c r="Z239" t="s">
        <v>43</v>
      </c>
      <c r="AA239" t="s">
        <v>43</v>
      </c>
      <c r="AB239" t="s">
        <v>696</v>
      </c>
      <c r="AD239" t="s">
        <v>3143</v>
      </c>
    </row>
    <row r="240" spans="1:30" x14ac:dyDescent="0.4">
      <c r="A240" t="s">
        <v>27</v>
      </c>
      <c r="B240">
        <v>224</v>
      </c>
      <c r="C240" t="s">
        <v>68</v>
      </c>
      <c r="D240" t="s">
        <v>687</v>
      </c>
      <c r="E240" t="s">
        <v>688</v>
      </c>
      <c r="F240" t="s">
        <v>689</v>
      </c>
      <c r="G240" t="s">
        <v>690</v>
      </c>
      <c r="H240" t="s">
        <v>691</v>
      </c>
      <c r="I240" t="s">
        <v>242</v>
      </c>
      <c r="J240" t="s">
        <v>692</v>
      </c>
      <c r="K240" t="s">
        <v>35</v>
      </c>
      <c r="L240">
        <v>1264782070</v>
      </c>
      <c r="M240" t="s">
        <v>693</v>
      </c>
      <c r="N240" t="s">
        <v>2930</v>
      </c>
      <c r="P240" t="s">
        <v>697</v>
      </c>
      <c r="Q240" t="s">
        <v>698</v>
      </c>
      <c r="R240" t="s">
        <v>58</v>
      </c>
      <c r="S240" t="s">
        <v>40</v>
      </c>
      <c r="T240" s="1">
        <v>44434</v>
      </c>
      <c r="U240">
        <v>0</v>
      </c>
      <c r="V240">
        <v>5</v>
      </c>
      <c r="W240" t="s">
        <v>66</v>
      </c>
      <c r="Y240" t="s">
        <v>42</v>
      </c>
      <c r="Z240" t="s">
        <v>43</v>
      </c>
      <c r="AA240" t="s">
        <v>43</v>
      </c>
      <c r="AB240" t="s">
        <v>696</v>
      </c>
      <c r="AD240" t="s">
        <v>3143</v>
      </c>
    </row>
    <row r="241" spans="1:30" x14ac:dyDescent="0.4">
      <c r="A241" t="s">
        <v>27</v>
      </c>
      <c r="B241">
        <v>224</v>
      </c>
      <c r="C241" t="s">
        <v>68</v>
      </c>
      <c r="D241" t="s">
        <v>687</v>
      </c>
      <c r="E241" t="s">
        <v>688</v>
      </c>
      <c r="F241" t="s">
        <v>689</v>
      </c>
      <c r="G241" t="s">
        <v>690</v>
      </c>
      <c r="H241" t="s">
        <v>691</v>
      </c>
      <c r="I241" t="s">
        <v>242</v>
      </c>
      <c r="J241" t="s">
        <v>692</v>
      </c>
      <c r="K241" t="s">
        <v>35</v>
      </c>
      <c r="L241">
        <v>1264782070</v>
      </c>
      <c r="M241" t="s">
        <v>693</v>
      </c>
      <c r="N241" t="s">
        <v>2930</v>
      </c>
      <c r="P241" t="s">
        <v>694</v>
      </c>
      <c r="Q241" t="s">
        <v>695</v>
      </c>
      <c r="R241" t="s">
        <v>58</v>
      </c>
      <c r="S241" t="s">
        <v>40</v>
      </c>
      <c r="T241" s="1">
        <v>43194</v>
      </c>
      <c r="U241">
        <v>0</v>
      </c>
      <c r="V241">
        <v>5</v>
      </c>
      <c r="W241" t="s">
        <v>66</v>
      </c>
      <c r="Y241" t="s">
        <v>42</v>
      </c>
      <c r="Z241" t="s">
        <v>43</v>
      </c>
      <c r="AA241" t="s">
        <v>43</v>
      </c>
      <c r="AB241" t="s">
        <v>696</v>
      </c>
      <c r="AD241" t="s">
        <v>3143</v>
      </c>
    </row>
    <row r="242" spans="1:30" x14ac:dyDescent="0.4">
      <c r="A242" t="s">
        <v>27</v>
      </c>
      <c r="B242">
        <v>224</v>
      </c>
      <c r="C242" t="s">
        <v>68</v>
      </c>
      <c r="D242" t="s">
        <v>687</v>
      </c>
      <c r="E242" t="s">
        <v>688</v>
      </c>
      <c r="F242" t="s">
        <v>689</v>
      </c>
      <c r="G242" t="s">
        <v>690</v>
      </c>
      <c r="H242" t="s">
        <v>691</v>
      </c>
      <c r="I242" t="s">
        <v>242</v>
      </c>
      <c r="J242" t="s">
        <v>692</v>
      </c>
      <c r="K242" t="s">
        <v>35</v>
      </c>
      <c r="L242">
        <v>1264782070</v>
      </c>
      <c r="M242" t="s">
        <v>693</v>
      </c>
      <c r="N242" t="s">
        <v>2930</v>
      </c>
      <c r="P242" t="s">
        <v>697</v>
      </c>
      <c r="Q242" t="s">
        <v>698</v>
      </c>
      <c r="R242" t="s">
        <v>58</v>
      </c>
      <c r="S242" t="s">
        <v>40</v>
      </c>
      <c r="T242" s="1">
        <v>44434</v>
      </c>
      <c r="U242">
        <v>0</v>
      </c>
      <c r="V242">
        <v>6</v>
      </c>
      <c r="W242" t="s">
        <v>83</v>
      </c>
      <c r="Y242" t="s">
        <v>42</v>
      </c>
      <c r="Z242" t="s">
        <v>43</v>
      </c>
      <c r="AA242" t="s">
        <v>43</v>
      </c>
      <c r="AB242" t="s">
        <v>696</v>
      </c>
      <c r="AD242" t="s">
        <v>3143</v>
      </c>
    </row>
    <row r="243" spans="1:30" x14ac:dyDescent="0.4">
      <c r="A243" t="s">
        <v>27</v>
      </c>
      <c r="B243">
        <v>224</v>
      </c>
      <c r="C243" t="s">
        <v>68</v>
      </c>
      <c r="D243" t="s">
        <v>687</v>
      </c>
      <c r="E243" t="s">
        <v>688</v>
      </c>
      <c r="F243" t="s">
        <v>689</v>
      </c>
      <c r="G243" t="s">
        <v>690</v>
      </c>
      <c r="H243" t="s">
        <v>691</v>
      </c>
      <c r="I243" t="s">
        <v>242</v>
      </c>
      <c r="J243" t="s">
        <v>692</v>
      </c>
      <c r="K243" t="s">
        <v>35</v>
      </c>
      <c r="L243">
        <v>1264782070</v>
      </c>
      <c r="M243" t="s">
        <v>693</v>
      </c>
      <c r="N243" t="s">
        <v>2930</v>
      </c>
      <c r="P243" t="s">
        <v>694</v>
      </c>
      <c r="Q243" t="s">
        <v>695</v>
      </c>
      <c r="R243" t="s">
        <v>58</v>
      </c>
      <c r="S243" t="s">
        <v>40</v>
      </c>
      <c r="T243" s="1">
        <v>43194</v>
      </c>
      <c r="U243">
        <v>0</v>
      </c>
      <c r="V243">
        <v>12</v>
      </c>
      <c r="Y243" t="s">
        <v>42</v>
      </c>
      <c r="Z243" t="s">
        <v>43</v>
      </c>
      <c r="AA243" t="s">
        <v>43</v>
      </c>
      <c r="AB243" t="s">
        <v>696</v>
      </c>
      <c r="AD243" t="s">
        <v>3143</v>
      </c>
    </row>
    <row r="244" spans="1:30" x14ac:dyDescent="0.4">
      <c r="A244" t="s">
        <v>27</v>
      </c>
      <c r="B244">
        <v>224</v>
      </c>
      <c r="C244" t="s">
        <v>68</v>
      </c>
      <c r="D244" t="s">
        <v>687</v>
      </c>
      <c r="E244" t="s">
        <v>688</v>
      </c>
      <c r="F244" t="s">
        <v>689</v>
      </c>
      <c r="G244" t="s">
        <v>690</v>
      </c>
      <c r="H244" t="s">
        <v>691</v>
      </c>
      <c r="I244" t="s">
        <v>242</v>
      </c>
      <c r="J244" t="s">
        <v>692</v>
      </c>
      <c r="K244" t="s">
        <v>35</v>
      </c>
      <c r="L244">
        <v>1264782070</v>
      </c>
      <c r="M244" t="s">
        <v>693</v>
      </c>
      <c r="N244" t="s">
        <v>2930</v>
      </c>
      <c r="P244" t="s">
        <v>697</v>
      </c>
      <c r="Q244" t="s">
        <v>698</v>
      </c>
      <c r="R244" t="s">
        <v>58</v>
      </c>
      <c r="S244" t="s">
        <v>40</v>
      </c>
      <c r="T244" s="1">
        <v>44434</v>
      </c>
      <c r="U244">
        <v>0</v>
      </c>
      <c r="V244">
        <v>14</v>
      </c>
      <c r="Y244" t="s">
        <v>42</v>
      </c>
      <c r="Z244" t="s">
        <v>43</v>
      </c>
      <c r="AA244" t="s">
        <v>43</v>
      </c>
      <c r="AB244" t="s">
        <v>696</v>
      </c>
      <c r="AD244" t="s">
        <v>3143</v>
      </c>
    </row>
    <row r="245" spans="1:30" x14ac:dyDescent="0.4">
      <c r="A245" t="s">
        <v>27</v>
      </c>
      <c r="B245">
        <v>224</v>
      </c>
      <c r="C245" t="s">
        <v>68</v>
      </c>
      <c r="D245" t="s">
        <v>687</v>
      </c>
      <c r="E245" t="s">
        <v>688</v>
      </c>
      <c r="F245" t="s">
        <v>689</v>
      </c>
      <c r="G245" t="s">
        <v>690</v>
      </c>
      <c r="H245" t="s">
        <v>691</v>
      </c>
      <c r="I245" t="s">
        <v>242</v>
      </c>
      <c r="J245" t="s">
        <v>692</v>
      </c>
      <c r="K245" t="s">
        <v>35</v>
      </c>
      <c r="L245">
        <v>1264782070</v>
      </c>
      <c r="M245" t="s">
        <v>693</v>
      </c>
      <c r="N245" t="s">
        <v>2930</v>
      </c>
      <c r="P245" t="s">
        <v>694</v>
      </c>
      <c r="Q245" t="s">
        <v>695</v>
      </c>
      <c r="R245" t="s">
        <v>58</v>
      </c>
      <c r="S245" t="s">
        <v>40</v>
      </c>
      <c r="T245" s="1">
        <v>43194</v>
      </c>
      <c r="U245">
        <v>0</v>
      </c>
      <c r="V245">
        <v>14</v>
      </c>
      <c r="Y245" t="s">
        <v>42</v>
      </c>
      <c r="Z245" t="s">
        <v>43</v>
      </c>
      <c r="AA245" t="s">
        <v>43</v>
      </c>
      <c r="AB245" t="s">
        <v>696</v>
      </c>
      <c r="AD245" t="s">
        <v>3143</v>
      </c>
    </row>
    <row r="246" spans="1:30" x14ac:dyDescent="0.4">
      <c r="A246" t="s">
        <v>27</v>
      </c>
      <c r="B246">
        <v>224</v>
      </c>
      <c r="C246" t="s">
        <v>68</v>
      </c>
      <c r="D246" t="s">
        <v>687</v>
      </c>
      <c r="E246" t="s">
        <v>688</v>
      </c>
      <c r="F246" t="s">
        <v>689</v>
      </c>
      <c r="G246" t="s">
        <v>690</v>
      </c>
      <c r="H246" t="s">
        <v>691</v>
      </c>
      <c r="I246" t="s">
        <v>242</v>
      </c>
      <c r="J246" t="s">
        <v>692</v>
      </c>
      <c r="K246" t="s">
        <v>35</v>
      </c>
      <c r="L246">
        <v>1264782070</v>
      </c>
      <c r="M246" t="s">
        <v>693</v>
      </c>
      <c r="N246" t="s">
        <v>2930</v>
      </c>
      <c r="P246" t="s">
        <v>697</v>
      </c>
      <c r="Q246" t="s">
        <v>698</v>
      </c>
      <c r="R246" t="s">
        <v>58</v>
      </c>
      <c r="S246" t="s">
        <v>40</v>
      </c>
      <c r="T246" s="1">
        <v>44434</v>
      </c>
      <c r="U246">
        <v>0</v>
      </c>
      <c r="V246">
        <v>16</v>
      </c>
      <c r="Y246" t="s">
        <v>42</v>
      </c>
      <c r="Z246" t="s">
        <v>43</v>
      </c>
      <c r="AA246" t="s">
        <v>43</v>
      </c>
      <c r="AB246" t="s">
        <v>696</v>
      </c>
      <c r="AD246" t="s">
        <v>3143</v>
      </c>
    </row>
    <row r="247" spans="1:30" x14ac:dyDescent="0.4">
      <c r="A247" t="s">
        <v>27</v>
      </c>
      <c r="B247">
        <v>3589</v>
      </c>
      <c r="C247" t="s">
        <v>68</v>
      </c>
      <c r="D247" t="s">
        <v>699</v>
      </c>
      <c r="E247" t="s">
        <v>700</v>
      </c>
      <c r="F247" t="s">
        <v>701</v>
      </c>
      <c r="H247" t="s">
        <v>702</v>
      </c>
      <c r="I247" t="s">
        <v>495</v>
      </c>
      <c r="J247" t="s">
        <v>703</v>
      </c>
      <c r="K247" t="s">
        <v>35</v>
      </c>
      <c r="L247" t="s">
        <v>704</v>
      </c>
      <c r="M247" t="s">
        <v>705</v>
      </c>
      <c r="N247" t="s">
        <v>3034</v>
      </c>
      <c r="P247" t="s">
        <v>707</v>
      </c>
      <c r="Q247" t="s">
        <v>708</v>
      </c>
      <c r="R247" t="s">
        <v>376</v>
      </c>
      <c r="S247" t="s">
        <v>82</v>
      </c>
      <c r="T247" s="1">
        <v>42512</v>
      </c>
      <c r="U247">
        <v>0</v>
      </c>
      <c r="V247">
        <v>2</v>
      </c>
      <c r="Y247" t="s">
        <v>42</v>
      </c>
      <c r="Z247" t="s">
        <v>43</v>
      </c>
      <c r="AA247" t="s">
        <v>43</v>
      </c>
      <c r="AB247" t="s">
        <v>709</v>
      </c>
      <c r="AD247" t="s">
        <v>3143</v>
      </c>
    </row>
    <row r="248" spans="1:30" x14ac:dyDescent="0.4">
      <c r="A248" t="s">
        <v>27</v>
      </c>
      <c r="B248">
        <v>3589</v>
      </c>
      <c r="C248" t="s">
        <v>68</v>
      </c>
      <c r="D248" t="s">
        <v>699</v>
      </c>
      <c r="E248" t="s">
        <v>700</v>
      </c>
      <c r="F248" t="s">
        <v>701</v>
      </c>
      <c r="H248" t="s">
        <v>702</v>
      </c>
      <c r="I248" t="s">
        <v>495</v>
      </c>
      <c r="J248" t="s">
        <v>703</v>
      </c>
      <c r="K248" t="s">
        <v>35</v>
      </c>
      <c r="L248" t="s">
        <v>704</v>
      </c>
      <c r="M248" t="s">
        <v>705</v>
      </c>
      <c r="N248" t="s">
        <v>3034</v>
      </c>
      <c r="P248" t="s">
        <v>707</v>
      </c>
      <c r="Q248" t="s">
        <v>708</v>
      </c>
      <c r="R248" t="s">
        <v>376</v>
      </c>
      <c r="S248" t="s">
        <v>82</v>
      </c>
      <c r="T248" s="1">
        <v>42512</v>
      </c>
      <c r="U248">
        <v>0</v>
      </c>
      <c r="V248">
        <v>3</v>
      </c>
      <c r="Y248" t="s">
        <v>42</v>
      </c>
      <c r="Z248" t="s">
        <v>43</v>
      </c>
      <c r="AA248" t="s">
        <v>43</v>
      </c>
      <c r="AB248" t="s">
        <v>709</v>
      </c>
      <c r="AD248" t="s">
        <v>3143</v>
      </c>
    </row>
    <row r="249" spans="1:30" x14ac:dyDescent="0.4">
      <c r="A249" t="s">
        <v>27</v>
      </c>
      <c r="B249">
        <v>3589</v>
      </c>
      <c r="C249" t="s">
        <v>68</v>
      </c>
      <c r="D249" t="s">
        <v>699</v>
      </c>
      <c r="E249" t="s">
        <v>700</v>
      </c>
      <c r="F249" t="s">
        <v>701</v>
      </c>
      <c r="H249" t="s">
        <v>702</v>
      </c>
      <c r="I249" t="s">
        <v>495</v>
      </c>
      <c r="J249" t="s">
        <v>703</v>
      </c>
      <c r="K249" t="s">
        <v>35</v>
      </c>
      <c r="L249" t="s">
        <v>704</v>
      </c>
      <c r="M249" t="s">
        <v>705</v>
      </c>
      <c r="N249" t="s">
        <v>2931</v>
      </c>
      <c r="P249" t="s">
        <v>710</v>
      </c>
      <c r="Q249" t="s">
        <v>711</v>
      </c>
      <c r="R249" t="s">
        <v>376</v>
      </c>
      <c r="S249" t="s">
        <v>40</v>
      </c>
      <c r="T249" s="1">
        <v>44318</v>
      </c>
      <c r="U249">
        <v>0</v>
      </c>
      <c r="V249">
        <v>4</v>
      </c>
      <c r="W249" t="s">
        <v>65</v>
      </c>
      <c r="Y249" t="s">
        <v>42</v>
      </c>
      <c r="Z249" t="s">
        <v>43</v>
      </c>
      <c r="AA249" t="s">
        <v>43</v>
      </c>
      <c r="AB249" t="s">
        <v>709</v>
      </c>
      <c r="AD249" t="s">
        <v>3143</v>
      </c>
    </row>
    <row r="250" spans="1:30" x14ac:dyDescent="0.4">
      <c r="A250" t="s">
        <v>27</v>
      </c>
      <c r="B250">
        <v>3589</v>
      </c>
      <c r="C250" t="s">
        <v>68</v>
      </c>
      <c r="D250" t="s">
        <v>699</v>
      </c>
      <c r="E250" t="s">
        <v>700</v>
      </c>
      <c r="F250" t="s">
        <v>701</v>
      </c>
      <c r="H250" t="s">
        <v>702</v>
      </c>
      <c r="I250" t="s">
        <v>495</v>
      </c>
      <c r="J250" t="s">
        <v>703</v>
      </c>
      <c r="K250" t="s">
        <v>35</v>
      </c>
      <c r="L250" t="s">
        <v>704</v>
      </c>
      <c r="M250" t="s">
        <v>705</v>
      </c>
      <c r="N250" t="s">
        <v>2931</v>
      </c>
      <c r="P250" t="s">
        <v>710</v>
      </c>
      <c r="Q250" t="s">
        <v>711</v>
      </c>
      <c r="R250" t="s">
        <v>376</v>
      </c>
      <c r="S250" t="s">
        <v>40</v>
      </c>
      <c r="T250" s="1">
        <v>44318</v>
      </c>
      <c r="U250">
        <v>0</v>
      </c>
      <c r="V250">
        <v>5</v>
      </c>
      <c r="W250" t="s">
        <v>66</v>
      </c>
      <c r="Y250" t="s">
        <v>42</v>
      </c>
      <c r="Z250" t="s">
        <v>43</v>
      </c>
      <c r="AA250" t="s">
        <v>43</v>
      </c>
      <c r="AB250" t="s">
        <v>709</v>
      </c>
      <c r="AD250" t="s">
        <v>3143</v>
      </c>
    </row>
    <row r="251" spans="1:30" x14ac:dyDescent="0.4">
      <c r="A251" t="s">
        <v>27</v>
      </c>
      <c r="B251">
        <v>3589</v>
      </c>
      <c r="C251" t="s">
        <v>68</v>
      </c>
      <c r="D251" t="s">
        <v>699</v>
      </c>
      <c r="E251" t="s">
        <v>700</v>
      </c>
      <c r="F251" t="s">
        <v>701</v>
      </c>
      <c r="H251" t="s">
        <v>702</v>
      </c>
      <c r="I251" t="s">
        <v>495</v>
      </c>
      <c r="J251" t="s">
        <v>703</v>
      </c>
      <c r="K251" t="s">
        <v>35</v>
      </c>
      <c r="L251" t="s">
        <v>704</v>
      </c>
      <c r="M251" t="s">
        <v>705</v>
      </c>
      <c r="N251" t="s">
        <v>706</v>
      </c>
      <c r="P251" t="s">
        <v>712</v>
      </c>
      <c r="Q251" t="s">
        <v>713</v>
      </c>
      <c r="R251" t="s">
        <v>58</v>
      </c>
      <c r="S251" t="s">
        <v>82</v>
      </c>
      <c r="T251" s="1">
        <v>45630</v>
      </c>
      <c r="U251">
        <v>0</v>
      </c>
      <c r="V251">
        <v>0</v>
      </c>
      <c r="W251" t="s">
        <v>59</v>
      </c>
      <c r="Y251" t="s">
        <v>42</v>
      </c>
      <c r="Z251" t="s">
        <v>43</v>
      </c>
      <c r="AA251" t="s">
        <v>43</v>
      </c>
      <c r="AB251" t="s">
        <v>709</v>
      </c>
      <c r="AD251" t="s">
        <v>3143</v>
      </c>
    </row>
    <row r="252" spans="1:30" x14ac:dyDescent="0.4">
      <c r="A252" t="s">
        <v>27</v>
      </c>
      <c r="B252">
        <v>429</v>
      </c>
      <c r="C252" t="s">
        <v>28</v>
      </c>
      <c r="D252" t="s">
        <v>714</v>
      </c>
      <c r="E252" t="s">
        <v>715</v>
      </c>
      <c r="F252">
        <v>17</v>
      </c>
      <c r="G252" t="s">
        <v>716</v>
      </c>
      <c r="H252" t="s">
        <v>50</v>
      </c>
      <c r="I252" t="s">
        <v>51</v>
      </c>
      <c r="J252" t="s">
        <v>717</v>
      </c>
      <c r="K252" t="s">
        <v>35</v>
      </c>
      <c r="L252" t="s">
        <v>718</v>
      </c>
      <c r="M252" t="s">
        <v>719</v>
      </c>
      <c r="N252" t="s">
        <v>720</v>
      </c>
      <c r="P252" t="s">
        <v>721</v>
      </c>
      <c r="Q252" t="s">
        <v>722</v>
      </c>
      <c r="R252" t="s">
        <v>94</v>
      </c>
      <c r="S252" t="s">
        <v>82</v>
      </c>
      <c r="T252" s="1">
        <v>42721</v>
      </c>
      <c r="U252">
        <v>0</v>
      </c>
      <c r="V252">
        <v>0</v>
      </c>
      <c r="W252" t="s">
        <v>59</v>
      </c>
      <c r="X252" t="s">
        <v>135</v>
      </c>
      <c r="Y252" t="s">
        <v>42</v>
      </c>
      <c r="Z252" t="s">
        <v>43</v>
      </c>
      <c r="AA252" t="s">
        <v>43</v>
      </c>
      <c r="AB252" t="s">
        <v>723</v>
      </c>
      <c r="AD252" t="s">
        <v>3143</v>
      </c>
    </row>
    <row r="253" spans="1:30" x14ac:dyDescent="0.4">
      <c r="A253" t="s">
        <v>27</v>
      </c>
      <c r="B253">
        <v>429</v>
      </c>
      <c r="C253" t="s">
        <v>28</v>
      </c>
      <c r="D253" t="s">
        <v>714</v>
      </c>
      <c r="E253" t="s">
        <v>715</v>
      </c>
      <c r="F253">
        <v>17</v>
      </c>
      <c r="G253" t="s">
        <v>716</v>
      </c>
      <c r="H253" t="s">
        <v>50</v>
      </c>
      <c r="I253" t="s">
        <v>51</v>
      </c>
      <c r="J253" t="s">
        <v>717</v>
      </c>
      <c r="K253" t="s">
        <v>35</v>
      </c>
      <c r="L253" t="s">
        <v>718</v>
      </c>
      <c r="M253" t="s">
        <v>719</v>
      </c>
      <c r="N253" t="s">
        <v>2855</v>
      </c>
      <c r="P253" t="s">
        <v>724</v>
      </c>
      <c r="Q253" t="s">
        <v>725</v>
      </c>
      <c r="R253" t="s">
        <v>94</v>
      </c>
      <c r="S253" t="s">
        <v>82</v>
      </c>
      <c r="T253" s="1">
        <v>44250</v>
      </c>
      <c r="U253">
        <v>0</v>
      </c>
      <c r="V253">
        <v>5</v>
      </c>
      <c r="W253" t="s">
        <v>66</v>
      </c>
      <c r="X253" t="s">
        <v>135</v>
      </c>
      <c r="Y253" t="s">
        <v>42</v>
      </c>
      <c r="Z253" t="s">
        <v>43</v>
      </c>
      <c r="AA253" t="s">
        <v>43</v>
      </c>
      <c r="AB253" t="s">
        <v>723</v>
      </c>
      <c r="AD253" t="s">
        <v>3143</v>
      </c>
    </row>
    <row r="254" spans="1:30" x14ac:dyDescent="0.4">
      <c r="A254" t="s">
        <v>27</v>
      </c>
      <c r="B254">
        <v>429</v>
      </c>
      <c r="C254" t="s">
        <v>28</v>
      </c>
      <c r="D254" t="s">
        <v>714</v>
      </c>
      <c r="E254" t="s">
        <v>715</v>
      </c>
      <c r="F254">
        <v>17</v>
      </c>
      <c r="G254" t="s">
        <v>716</v>
      </c>
      <c r="H254" t="s">
        <v>50</v>
      </c>
      <c r="I254" t="s">
        <v>51</v>
      </c>
      <c r="J254" t="s">
        <v>717</v>
      </c>
      <c r="K254" t="s">
        <v>35</v>
      </c>
      <c r="L254" t="s">
        <v>718</v>
      </c>
      <c r="M254" t="s">
        <v>719</v>
      </c>
      <c r="N254" t="s">
        <v>2855</v>
      </c>
      <c r="P254" t="s">
        <v>724</v>
      </c>
      <c r="Q254" t="s">
        <v>725</v>
      </c>
      <c r="R254" t="s">
        <v>94</v>
      </c>
      <c r="S254" t="s">
        <v>82</v>
      </c>
      <c r="T254" s="1">
        <v>44250</v>
      </c>
      <c r="U254">
        <v>0</v>
      </c>
      <c r="V254">
        <v>6</v>
      </c>
      <c r="W254" t="s">
        <v>83</v>
      </c>
      <c r="X254" t="s">
        <v>135</v>
      </c>
      <c r="Y254" t="s">
        <v>42</v>
      </c>
      <c r="Z254" t="s">
        <v>43</v>
      </c>
      <c r="AA254" t="s">
        <v>43</v>
      </c>
      <c r="AB254" t="s">
        <v>723</v>
      </c>
      <c r="AD254" t="s">
        <v>3143</v>
      </c>
    </row>
    <row r="255" spans="1:30" x14ac:dyDescent="0.4">
      <c r="A255" t="s">
        <v>27</v>
      </c>
      <c r="B255">
        <v>429</v>
      </c>
      <c r="C255" t="s">
        <v>28</v>
      </c>
      <c r="D255" t="s">
        <v>714</v>
      </c>
      <c r="E255" t="s">
        <v>715</v>
      </c>
      <c r="F255">
        <v>17</v>
      </c>
      <c r="G255" t="s">
        <v>716</v>
      </c>
      <c r="H255" t="s">
        <v>50</v>
      </c>
      <c r="I255" t="s">
        <v>51</v>
      </c>
      <c r="J255" t="s">
        <v>717</v>
      </c>
      <c r="K255" t="s">
        <v>35</v>
      </c>
      <c r="L255" t="s">
        <v>718</v>
      </c>
      <c r="M255" t="s">
        <v>719</v>
      </c>
      <c r="N255" t="s">
        <v>720</v>
      </c>
      <c r="P255" t="s">
        <v>721</v>
      </c>
      <c r="Q255" t="s">
        <v>722</v>
      </c>
      <c r="R255" t="s">
        <v>94</v>
      </c>
      <c r="S255" t="s">
        <v>82</v>
      </c>
      <c r="T255" s="1">
        <v>42721</v>
      </c>
      <c r="U255">
        <v>0</v>
      </c>
      <c r="V255">
        <v>0</v>
      </c>
      <c r="W255" t="s">
        <v>59</v>
      </c>
      <c r="X255" t="s">
        <v>135</v>
      </c>
      <c r="Y255" t="s">
        <v>42</v>
      </c>
      <c r="Z255" t="s">
        <v>43</v>
      </c>
      <c r="AA255" t="s">
        <v>43</v>
      </c>
      <c r="AB255" t="s">
        <v>723</v>
      </c>
      <c r="AD255" t="s">
        <v>3143</v>
      </c>
    </row>
    <row r="256" spans="1:30" x14ac:dyDescent="0.4">
      <c r="A256" t="s">
        <v>27</v>
      </c>
      <c r="B256">
        <v>429</v>
      </c>
      <c r="C256" t="s">
        <v>28</v>
      </c>
      <c r="D256" t="s">
        <v>714</v>
      </c>
      <c r="E256" t="s">
        <v>715</v>
      </c>
      <c r="F256">
        <v>17</v>
      </c>
      <c r="G256" t="s">
        <v>716</v>
      </c>
      <c r="H256" t="s">
        <v>50</v>
      </c>
      <c r="I256" t="s">
        <v>51</v>
      </c>
      <c r="J256" t="s">
        <v>717</v>
      </c>
      <c r="K256" t="s">
        <v>35</v>
      </c>
      <c r="L256" t="s">
        <v>718</v>
      </c>
      <c r="M256" t="s">
        <v>719</v>
      </c>
      <c r="N256" t="s">
        <v>2855</v>
      </c>
      <c r="P256" t="s">
        <v>724</v>
      </c>
      <c r="Q256" t="s">
        <v>725</v>
      </c>
      <c r="R256" t="s">
        <v>94</v>
      </c>
      <c r="S256" t="s">
        <v>82</v>
      </c>
      <c r="T256" s="1">
        <v>44250</v>
      </c>
      <c r="U256">
        <v>0</v>
      </c>
      <c r="V256">
        <v>15</v>
      </c>
      <c r="X256" t="s">
        <v>135</v>
      </c>
      <c r="Y256" t="s">
        <v>42</v>
      </c>
      <c r="Z256" t="s">
        <v>43</v>
      </c>
      <c r="AA256" t="s">
        <v>43</v>
      </c>
      <c r="AB256" t="s">
        <v>723</v>
      </c>
      <c r="AD256" t="s">
        <v>3143</v>
      </c>
    </row>
    <row r="257" spans="1:30" x14ac:dyDescent="0.4">
      <c r="A257" t="s">
        <v>27</v>
      </c>
      <c r="B257">
        <v>429</v>
      </c>
      <c r="C257" t="s">
        <v>28</v>
      </c>
      <c r="D257" t="s">
        <v>714</v>
      </c>
      <c r="E257" t="s">
        <v>715</v>
      </c>
      <c r="F257">
        <v>17</v>
      </c>
      <c r="G257" t="s">
        <v>716</v>
      </c>
      <c r="H257" t="s">
        <v>50</v>
      </c>
      <c r="I257" t="s">
        <v>51</v>
      </c>
      <c r="J257" t="s">
        <v>717</v>
      </c>
      <c r="K257" t="s">
        <v>35</v>
      </c>
      <c r="L257" t="s">
        <v>718</v>
      </c>
      <c r="M257" t="s">
        <v>719</v>
      </c>
      <c r="N257" t="s">
        <v>2855</v>
      </c>
      <c r="P257" t="s">
        <v>724</v>
      </c>
      <c r="Q257" t="s">
        <v>725</v>
      </c>
      <c r="R257" t="s">
        <v>94</v>
      </c>
      <c r="S257" t="s">
        <v>82</v>
      </c>
      <c r="T257" s="1">
        <v>44250</v>
      </c>
      <c r="U257">
        <v>0</v>
      </c>
      <c r="V257">
        <v>17</v>
      </c>
      <c r="X257" t="s">
        <v>135</v>
      </c>
      <c r="Y257" t="s">
        <v>42</v>
      </c>
      <c r="Z257" t="s">
        <v>43</v>
      </c>
      <c r="AA257" t="s">
        <v>43</v>
      </c>
      <c r="AB257" t="s">
        <v>723</v>
      </c>
      <c r="AD257" t="s">
        <v>3143</v>
      </c>
    </row>
    <row r="258" spans="1:30" x14ac:dyDescent="0.4">
      <c r="A258" t="s">
        <v>27</v>
      </c>
      <c r="B258">
        <v>2572</v>
      </c>
      <c r="C258" t="s">
        <v>68</v>
      </c>
      <c r="D258" t="s">
        <v>726</v>
      </c>
      <c r="E258" t="s">
        <v>727</v>
      </c>
      <c r="F258" t="s">
        <v>728</v>
      </c>
      <c r="G258" t="s">
        <v>729</v>
      </c>
      <c r="H258" t="s">
        <v>730</v>
      </c>
      <c r="I258" t="s">
        <v>731</v>
      </c>
      <c r="J258" t="s">
        <v>732</v>
      </c>
      <c r="K258" t="s">
        <v>35</v>
      </c>
      <c r="L258">
        <v>7979120188</v>
      </c>
      <c r="M258" t="s">
        <v>733</v>
      </c>
      <c r="N258" t="s">
        <v>734</v>
      </c>
      <c r="P258" t="s">
        <v>3099</v>
      </c>
      <c r="Q258" t="s">
        <v>736</v>
      </c>
      <c r="R258" t="s">
        <v>737</v>
      </c>
      <c r="S258" t="s">
        <v>82</v>
      </c>
      <c r="T258" s="1">
        <v>43759</v>
      </c>
      <c r="U258">
        <v>0</v>
      </c>
      <c r="V258">
        <v>4</v>
      </c>
      <c r="W258" t="s">
        <v>65</v>
      </c>
      <c r="X258" t="s">
        <v>135</v>
      </c>
      <c r="Y258" t="s">
        <v>42</v>
      </c>
      <c r="Z258" t="s">
        <v>43</v>
      </c>
      <c r="AA258" t="s">
        <v>43</v>
      </c>
      <c r="AD258" t="s">
        <v>3143</v>
      </c>
    </row>
    <row r="259" spans="1:30" x14ac:dyDescent="0.4">
      <c r="A259" t="s">
        <v>27</v>
      </c>
      <c r="B259">
        <v>2572</v>
      </c>
      <c r="C259" t="s">
        <v>68</v>
      </c>
      <c r="D259" t="s">
        <v>726</v>
      </c>
      <c r="E259" t="s">
        <v>727</v>
      </c>
      <c r="F259" t="s">
        <v>728</v>
      </c>
      <c r="G259" t="s">
        <v>729</v>
      </c>
      <c r="H259" t="s">
        <v>730</v>
      </c>
      <c r="I259" t="s">
        <v>731</v>
      </c>
      <c r="J259" t="s">
        <v>732</v>
      </c>
      <c r="K259" t="s">
        <v>35</v>
      </c>
      <c r="L259">
        <v>7979120188</v>
      </c>
      <c r="M259" t="s">
        <v>733</v>
      </c>
      <c r="N259" t="s">
        <v>734</v>
      </c>
      <c r="P259" t="s">
        <v>3099</v>
      </c>
      <c r="Q259" t="s">
        <v>736</v>
      </c>
      <c r="R259" t="s">
        <v>737</v>
      </c>
      <c r="S259" t="s">
        <v>82</v>
      </c>
      <c r="T259" s="1">
        <v>43759</v>
      </c>
      <c r="U259">
        <v>0</v>
      </c>
      <c r="V259">
        <v>6</v>
      </c>
      <c r="W259" t="s">
        <v>83</v>
      </c>
      <c r="X259" t="s">
        <v>135</v>
      </c>
      <c r="Y259" t="s">
        <v>42</v>
      </c>
      <c r="Z259" t="s">
        <v>43</v>
      </c>
      <c r="AA259" t="s">
        <v>43</v>
      </c>
      <c r="AD259" t="s">
        <v>3143</v>
      </c>
    </row>
    <row r="260" spans="1:30" x14ac:dyDescent="0.4">
      <c r="A260" t="s">
        <v>27</v>
      </c>
      <c r="B260">
        <v>2572</v>
      </c>
      <c r="C260" t="s">
        <v>68</v>
      </c>
      <c r="D260" t="s">
        <v>726</v>
      </c>
      <c r="E260" t="s">
        <v>727</v>
      </c>
      <c r="F260" t="s">
        <v>728</v>
      </c>
      <c r="G260" t="s">
        <v>729</v>
      </c>
      <c r="H260" t="s">
        <v>730</v>
      </c>
      <c r="I260" t="s">
        <v>731</v>
      </c>
      <c r="J260" t="s">
        <v>732</v>
      </c>
      <c r="K260" t="s">
        <v>35</v>
      </c>
      <c r="L260">
        <v>7979120188</v>
      </c>
      <c r="M260" t="s">
        <v>733</v>
      </c>
      <c r="N260" t="s">
        <v>734</v>
      </c>
      <c r="P260" t="s">
        <v>3099</v>
      </c>
      <c r="Q260" t="s">
        <v>736</v>
      </c>
      <c r="R260" t="s">
        <v>737</v>
      </c>
      <c r="S260" t="s">
        <v>82</v>
      </c>
      <c r="T260" s="1">
        <v>43759</v>
      </c>
      <c r="U260">
        <v>0</v>
      </c>
      <c r="V260">
        <v>13</v>
      </c>
      <c r="X260" t="s">
        <v>135</v>
      </c>
      <c r="Y260" t="s">
        <v>42</v>
      </c>
      <c r="Z260" t="s">
        <v>43</v>
      </c>
      <c r="AA260" t="s">
        <v>43</v>
      </c>
      <c r="AD260" t="s">
        <v>3143</v>
      </c>
    </row>
    <row r="261" spans="1:30" x14ac:dyDescent="0.4">
      <c r="A261" t="s">
        <v>27</v>
      </c>
      <c r="B261">
        <v>2572</v>
      </c>
      <c r="C261" t="s">
        <v>68</v>
      </c>
      <c r="D261" t="s">
        <v>726</v>
      </c>
      <c r="E261" t="s">
        <v>727</v>
      </c>
      <c r="F261" t="s">
        <v>728</v>
      </c>
      <c r="G261" t="s">
        <v>729</v>
      </c>
      <c r="H261" t="s">
        <v>730</v>
      </c>
      <c r="I261" t="s">
        <v>731</v>
      </c>
      <c r="J261" t="s">
        <v>732</v>
      </c>
      <c r="K261" t="s">
        <v>35</v>
      </c>
      <c r="L261">
        <v>7979120188</v>
      </c>
      <c r="M261" t="s">
        <v>733</v>
      </c>
      <c r="N261" t="s">
        <v>734</v>
      </c>
      <c r="P261" t="s">
        <v>738</v>
      </c>
      <c r="Q261" t="s">
        <v>739</v>
      </c>
      <c r="R261" t="s">
        <v>737</v>
      </c>
      <c r="S261" t="s">
        <v>82</v>
      </c>
      <c r="T261" s="1">
        <v>45192</v>
      </c>
      <c r="U261">
        <v>0</v>
      </c>
      <c r="V261">
        <v>4</v>
      </c>
      <c r="W261" t="s">
        <v>65</v>
      </c>
      <c r="X261" t="s">
        <v>135</v>
      </c>
      <c r="Y261" t="s">
        <v>42</v>
      </c>
      <c r="Z261" t="s">
        <v>43</v>
      </c>
      <c r="AA261" t="s">
        <v>43</v>
      </c>
      <c r="AD261" t="s">
        <v>3143</v>
      </c>
    </row>
    <row r="262" spans="1:30" x14ac:dyDescent="0.4">
      <c r="A262" t="s">
        <v>27</v>
      </c>
      <c r="B262">
        <v>4328</v>
      </c>
      <c r="C262" t="s">
        <v>195</v>
      </c>
      <c r="D262" t="s">
        <v>740</v>
      </c>
      <c r="E262" t="s">
        <v>741</v>
      </c>
      <c r="F262" t="s">
        <v>742</v>
      </c>
      <c r="G262" t="s">
        <v>504</v>
      </c>
      <c r="H262" t="s">
        <v>743</v>
      </c>
      <c r="I262" t="s">
        <v>73</v>
      </c>
      <c r="J262" t="s">
        <v>744</v>
      </c>
      <c r="K262" t="s">
        <v>35</v>
      </c>
      <c r="L262">
        <v>7794601661</v>
      </c>
      <c r="M262" t="s">
        <v>745</v>
      </c>
      <c r="N262" t="s">
        <v>746</v>
      </c>
      <c r="P262" t="s">
        <v>747</v>
      </c>
      <c r="Q262" t="s">
        <v>748</v>
      </c>
      <c r="R262" t="s">
        <v>58</v>
      </c>
      <c r="S262" t="s">
        <v>82</v>
      </c>
      <c r="T262" s="1">
        <v>43474</v>
      </c>
      <c r="U262">
        <v>0</v>
      </c>
      <c r="V262">
        <v>5</v>
      </c>
      <c r="W262" t="s">
        <v>66</v>
      </c>
      <c r="Y262" t="s">
        <v>42</v>
      </c>
      <c r="Z262" t="s">
        <v>43</v>
      </c>
      <c r="AA262" t="s">
        <v>43</v>
      </c>
      <c r="AD262" t="s">
        <v>3143</v>
      </c>
    </row>
    <row r="263" spans="1:30" x14ac:dyDescent="0.4">
      <c r="A263" t="s">
        <v>27</v>
      </c>
      <c r="B263">
        <v>4328</v>
      </c>
      <c r="C263" t="s">
        <v>195</v>
      </c>
      <c r="D263" t="s">
        <v>740</v>
      </c>
      <c r="E263" t="s">
        <v>741</v>
      </c>
      <c r="F263" t="s">
        <v>742</v>
      </c>
      <c r="G263" t="s">
        <v>504</v>
      </c>
      <c r="H263" t="s">
        <v>743</v>
      </c>
      <c r="I263" t="s">
        <v>73</v>
      </c>
      <c r="J263" t="s">
        <v>744</v>
      </c>
      <c r="K263" t="s">
        <v>35</v>
      </c>
      <c r="L263">
        <v>7794601661</v>
      </c>
      <c r="M263" t="s">
        <v>745</v>
      </c>
      <c r="N263" t="s">
        <v>746</v>
      </c>
      <c r="P263" t="s">
        <v>747</v>
      </c>
      <c r="Q263" t="s">
        <v>748</v>
      </c>
      <c r="R263" t="s">
        <v>58</v>
      </c>
      <c r="S263" t="s">
        <v>82</v>
      </c>
      <c r="T263" s="1">
        <v>43474</v>
      </c>
      <c r="U263">
        <v>0</v>
      </c>
      <c r="V263">
        <v>6</v>
      </c>
      <c r="W263" t="s">
        <v>83</v>
      </c>
      <c r="Y263" t="s">
        <v>42</v>
      </c>
      <c r="Z263" t="s">
        <v>43</v>
      </c>
      <c r="AA263" t="s">
        <v>43</v>
      </c>
      <c r="AD263" t="s">
        <v>3143</v>
      </c>
    </row>
    <row r="264" spans="1:30" x14ac:dyDescent="0.4">
      <c r="A264" t="s">
        <v>27</v>
      </c>
      <c r="B264">
        <v>4328</v>
      </c>
      <c r="C264" t="s">
        <v>195</v>
      </c>
      <c r="D264" t="s">
        <v>740</v>
      </c>
      <c r="E264" t="s">
        <v>741</v>
      </c>
      <c r="F264" t="s">
        <v>742</v>
      </c>
      <c r="G264" t="s">
        <v>504</v>
      </c>
      <c r="H264" t="s">
        <v>743</v>
      </c>
      <c r="I264" t="s">
        <v>73</v>
      </c>
      <c r="J264" t="s">
        <v>744</v>
      </c>
      <c r="K264" t="s">
        <v>35</v>
      </c>
      <c r="L264">
        <v>7794601661</v>
      </c>
      <c r="M264" t="s">
        <v>745</v>
      </c>
      <c r="N264" t="s">
        <v>746</v>
      </c>
      <c r="P264" t="s">
        <v>747</v>
      </c>
      <c r="Q264" t="s">
        <v>748</v>
      </c>
      <c r="R264" t="s">
        <v>58</v>
      </c>
      <c r="S264" t="s">
        <v>82</v>
      </c>
      <c r="T264" s="1">
        <v>43474</v>
      </c>
      <c r="U264">
        <v>0</v>
      </c>
      <c r="V264">
        <v>15</v>
      </c>
      <c r="Y264" t="s">
        <v>42</v>
      </c>
      <c r="Z264" t="s">
        <v>43</v>
      </c>
      <c r="AA264" t="s">
        <v>43</v>
      </c>
      <c r="AD264" t="s">
        <v>3143</v>
      </c>
    </row>
    <row r="265" spans="1:30" x14ac:dyDescent="0.4">
      <c r="A265" t="s">
        <v>27</v>
      </c>
      <c r="B265">
        <v>4328</v>
      </c>
      <c r="C265" t="s">
        <v>195</v>
      </c>
      <c r="D265" t="s">
        <v>740</v>
      </c>
      <c r="E265" t="s">
        <v>741</v>
      </c>
      <c r="F265" t="s">
        <v>742</v>
      </c>
      <c r="G265" t="s">
        <v>504</v>
      </c>
      <c r="H265" t="s">
        <v>743</v>
      </c>
      <c r="I265" t="s">
        <v>73</v>
      </c>
      <c r="J265" t="s">
        <v>744</v>
      </c>
      <c r="K265" t="s">
        <v>35</v>
      </c>
      <c r="L265">
        <v>7794601661</v>
      </c>
      <c r="M265" t="s">
        <v>745</v>
      </c>
      <c r="N265" t="s">
        <v>746</v>
      </c>
      <c r="P265" t="s">
        <v>747</v>
      </c>
      <c r="Q265" t="s">
        <v>748</v>
      </c>
      <c r="R265" t="s">
        <v>58</v>
      </c>
      <c r="S265" t="s">
        <v>82</v>
      </c>
      <c r="T265" s="1">
        <v>43474</v>
      </c>
      <c r="U265">
        <v>0</v>
      </c>
      <c r="V265">
        <v>17</v>
      </c>
      <c r="Y265" t="s">
        <v>42</v>
      </c>
      <c r="Z265" t="s">
        <v>43</v>
      </c>
      <c r="AA265" t="s">
        <v>43</v>
      </c>
      <c r="AD265" t="s">
        <v>3143</v>
      </c>
    </row>
    <row r="266" spans="1:30" x14ac:dyDescent="0.4">
      <c r="A266" t="s">
        <v>27</v>
      </c>
      <c r="B266">
        <v>373</v>
      </c>
      <c r="C266" t="s">
        <v>195</v>
      </c>
      <c r="D266" t="s">
        <v>69</v>
      </c>
      <c r="E266" t="s">
        <v>749</v>
      </c>
      <c r="F266" t="s">
        <v>750</v>
      </c>
      <c r="G266" t="s">
        <v>751</v>
      </c>
      <c r="H266" t="s">
        <v>752</v>
      </c>
      <c r="I266" t="s">
        <v>634</v>
      </c>
      <c r="J266" t="s">
        <v>753</v>
      </c>
      <c r="K266" t="s">
        <v>35</v>
      </c>
      <c r="L266">
        <v>1628664403</v>
      </c>
      <c r="M266" t="s">
        <v>754</v>
      </c>
      <c r="N266" t="s">
        <v>2856</v>
      </c>
      <c r="P266" t="s">
        <v>755</v>
      </c>
      <c r="Q266" t="s">
        <v>756</v>
      </c>
      <c r="R266" t="s">
        <v>94</v>
      </c>
      <c r="S266" t="s">
        <v>40</v>
      </c>
      <c r="T266" s="1">
        <v>44224</v>
      </c>
      <c r="U266">
        <v>0</v>
      </c>
      <c r="V266">
        <v>5</v>
      </c>
      <c r="W266" t="s">
        <v>66</v>
      </c>
      <c r="X266" t="s">
        <v>392</v>
      </c>
      <c r="Y266" t="s">
        <v>42</v>
      </c>
      <c r="Z266" t="s">
        <v>43</v>
      </c>
      <c r="AA266" t="s">
        <v>43</v>
      </c>
      <c r="AD266" t="s">
        <v>3143</v>
      </c>
    </row>
    <row r="267" spans="1:30" x14ac:dyDescent="0.4">
      <c r="A267" t="s">
        <v>27</v>
      </c>
      <c r="B267">
        <v>373</v>
      </c>
      <c r="C267" t="s">
        <v>195</v>
      </c>
      <c r="D267" t="s">
        <v>69</v>
      </c>
      <c r="E267" t="s">
        <v>749</v>
      </c>
      <c r="F267" t="s">
        <v>750</v>
      </c>
      <c r="G267" t="s">
        <v>751</v>
      </c>
      <c r="H267" t="s">
        <v>752</v>
      </c>
      <c r="I267" t="s">
        <v>634</v>
      </c>
      <c r="J267" t="s">
        <v>753</v>
      </c>
      <c r="K267" t="s">
        <v>35</v>
      </c>
      <c r="L267">
        <v>1628664403</v>
      </c>
      <c r="M267" t="s">
        <v>754</v>
      </c>
      <c r="N267" t="s">
        <v>2856</v>
      </c>
      <c r="P267" t="s">
        <v>755</v>
      </c>
      <c r="Q267" t="s">
        <v>756</v>
      </c>
      <c r="R267" t="s">
        <v>94</v>
      </c>
      <c r="S267" t="s">
        <v>40</v>
      </c>
      <c r="T267" s="1">
        <v>44224</v>
      </c>
      <c r="U267">
        <v>0</v>
      </c>
      <c r="V267">
        <v>6</v>
      </c>
      <c r="W267" t="s">
        <v>83</v>
      </c>
      <c r="X267" t="s">
        <v>392</v>
      </c>
      <c r="Y267" t="s">
        <v>42</v>
      </c>
      <c r="Z267" t="s">
        <v>43</v>
      </c>
      <c r="AA267" t="s">
        <v>43</v>
      </c>
      <c r="AD267" t="s">
        <v>3143</v>
      </c>
    </row>
    <row r="268" spans="1:30" x14ac:dyDescent="0.4">
      <c r="A268" t="s">
        <v>27</v>
      </c>
      <c r="B268">
        <v>373</v>
      </c>
      <c r="C268" t="s">
        <v>195</v>
      </c>
      <c r="D268" t="s">
        <v>69</v>
      </c>
      <c r="E268" t="s">
        <v>749</v>
      </c>
      <c r="F268" t="s">
        <v>750</v>
      </c>
      <c r="G268" t="s">
        <v>751</v>
      </c>
      <c r="H268" t="s">
        <v>752</v>
      </c>
      <c r="I268" t="s">
        <v>634</v>
      </c>
      <c r="J268" t="s">
        <v>753</v>
      </c>
      <c r="K268" t="s">
        <v>35</v>
      </c>
      <c r="L268">
        <v>1628664403</v>
      </c>
      <c r="M268" t="s">
        <v>754</v>
      </c>
      <c r="N268" t="s">
        <v>2856</v>
      </c>
      <c r="P268" t="s">
        <v>755</v>
      </c>
      <c r="Q268" t="s">
        <v>756</v>
      </c>
      <c r="R268" t="s">
        <v>94</v>
      </c>
      <c r="S268" t="s">
        <v>40</v>
      </c>
      <c r="T268" s="1">
        <v>44224</v>
      </c>
      <c r="U268">
        <v>0</v>
      </c>
      <c r="V268">
        <v>14</v>
      </c>
      <c r="X268" t="s">
        <v>392</v>
      </c>
      <c r="Y268" t="s">
        <v>42</v>
      </c>
      <c r="Z268" t="s">
        <v>43</v>
      </c>
      <c r="AA268" t="s">
        <v>43</v>
      </c>
      <c r="AD268" t="s">
        <v>3143</v>
      </c>
    </row>
    <row r="269" spans="1:30" x14ac:dyDescent="0.4">
      <c r="A269" t="s">
        <v>27</v>
      </c>
      <c r="B269">
        <v>373</v>
      </c>
      <c r="C269" t="s">
        <v>195</v>
      </c>
      <c r="D269" t="s">
        <v>69</v>
      </c>
      <c r="E269" t="s">
        <v>749</v>
      </c>
      <c r="F269" t="s">
        <v>750</v>
      </c>
      <c r="G269" t="s">
        <v>751</v>
      </c>
      <c r="H269" t="s">
        <v>752</v>
      </c>
      <c r="I269" t="s">
        <v>634</v>
      </c>
      <c r="J269" t="s">
        <v>753</v>
      </c>
      <c r="K269" t="s">
        <v>35</v>
      </c>
      <c r="L269">
        <v>1628664403</v>
      </c>
      <c r="M269" t="s">
        <v>754</v>
      </c>
      <c r="N269" t="s">
        <v>2856</v>
      </c>
      <c r="P269" t="s">
        <v>755</v>
      </c>
      <c r="Q269" t="s">
        <v>756</v>
      </c>
      <c r="R269" t="s">
        <v>94</v>
      </c>
      <c r="S269" t="s">
        <v>40</v>
      </c>
      <c r="T269" s="1">
        <v>44224</v>
      </c>
      <c r="U269">
        <v>0</v>
      </c>
      <c r="V269">
        <v>16</v>
      </c>
      <c r="X269" t="s">
        <v>392</v>
      </c>
      <c r="Y269" t="s">
        <v>42</v>
      </c>
      <c r="Z269" t="s">
        <v>43</v>
      </c>
      <c r="AA269" t="s">
        <v>43</v>
      </c>
      <c r="AD269" t="s">
        <v>3143</v>
      </c>
    </row>
    <row r="270" spans="1:30" x14ac:dyDescent="0.4">
      <c r="A270" t="s">
        <v>27</v>
      </c>
      <c r="B270">
        <v>10</v>
      </c>
      <c r="C270" t="s">
        <v>68</v>
      </c>
      <c r="D270" t="s">
        <v>757</v>
      </c>
      <c r="E270" t="s">
        <v>758</v>
      </c>
      <c r="F270" t="s">
        <v>759</v>
      </c>
      <c r="G270" t="s">
        <v>760</v>
      </c>
      <c r="H270" t="s">
        <v>761</v>
      </c>
      <c r="I270" t="s">
        <v>215</v>
      </c>
      <c r="J270" t="s">
        <v>762</v>
      </c>
      <c r="K270" t="s">
        <v>35</v>
      </c>
      <c r="L270" t="s">
        <v>763</v>
      </c>
      <c r="M270" t="s">
        <v>764</v>
      </c>
      <c r="N270" t="s">
        <v>765</v>
      </c>
      <c r="P270" t="s">
        <v>766</v>
      </c>
      <c r="Q270" t="s">
        <v>767</v>
      </c>
      <c r="R270" t="s">
        <v>58</v>
      </c>
      <c r="S270" t="s">
        <v>40</v>
      </c>
      <c r="T270" s="1">
        <v>41059</v>
      </c>
      <c r="U270">
        <v>0</v>
      </c>
      <c r="V270">
        <v>0</v>
      </c>
      <c r="W270" t="s">
        <v>59</v>
      </c>
      <c r="Y270" t="s">
        <v>42</v>
      </c>
      <c r="Z270" t="s">
        <v>43</v>
      </c>
      <c r="AA270" t="s">
        <v>43</v>
      </c>
      <c r="AD270" t="s">
        <v>3143</v>
      </c>
    </row>
    <row r="271" spans="1:30" x14ac:dyDescent="0.4">
      <c r="A271" t="s">
        <v>27</v>
      </c>
      <c r="B271">
        <v>10</v>
      </c>
      <c r="C271" t="s">
        <v>68</v>
      </c>
      <c r="D271" t="s">
        <v>757</v>
      </c>
      <c r="E271" t="s">
        <v>758</v>
      </c>
      <c r="F271" t="s">
        <v>759</v>
      </c>
      <c r="G271" t="s">
        <v>760</v>
      </c>
      <c r="H271" t="s">
        <v>761</v>
      </c>
      <c r="I271" t="s">
        <v>215</v>
      </c>
      <c r="J271" t="s">
        <v>762</v>
      </c>
      <c r="K271" t="s">
        <v>35</v>
      </c>
      <c r="L271" t="s">
        <v>763</v>
      </c>
      <c r="M271" t="s">
        <v>764</v>
      </c>
      <c r="N271" t="s">
        <v>765</v>
      </c>
      <c r="P271" t="s">
        <v>768</v>
      </c>
      <c r="Q271" t="s">
        <v>769</v>
      </c>
      <c r="R271" t="s">
        <v>94</v>
      </c>
      <c r="S271" t="s">
        <v>40</v>
      </c>
      <c r="T271" s="1">
        <v>45163</v>
      </c>
      <c r="U271">
        <v>0</v>
      </c>
      <c r="V271">
        <v>0</v>
      </c>
      <c r="W271" t="s">
        <v>59</v>
      </c>
      <c r="Y271" t="s">
        <v>42</v>
      </c>
      <c r="Z271" t="s">
        <v>43</v>
      </c>
      <c r="AA271" t="s">
        <v>43</v>
      </c>
      <c r="AD271" t="s">
        <v>3143</v>
      </c>
    </row>
    <row r="272" spans="1:30" x14ac:dyDescent="0.4">
      <c r="A272" t="s">
        <v>27</v>
      </c>
      <c r="B272">
        <v>10</v>
      </c>
      <c r="C272" t="s">
        <v>68</v>
      </c>
      <c r="D272" t="s">
        <v>757</v>
      </c>
      <c r="E272" t="s">
        <v>758</v>
      </c>
      <c r="F272" t="s">
        <v>759</v>
      </c>
      <c r="G272" t="s">
        <v>760</v>
      </c>
      <c r="H272" t="s">
        <v>761</v>
      </c>
      <c r="I272" t="s">
        <v>215</v>
      </c>
      <c r="J272" t="s">
        <v>762</v>
      </c>
      <c r="K272" t="s">
        <v>35</v>
      </c>
      <c r="L272" t="s">
        <v>763</v>
      </c>
      <c r="M272" t="s">
        <v>764</v>
      </c>
      <c r="N272" t="s">
        <v>2932</v>
      </c>
      <c r="P272" t="s">
        <v>770</v>
      </c>
      <c r="Q272" t="s">
        <v>771</v>
      </c>
      <c r="R272" t="s">
        <v>58</v>
      </c>
      <c r="S272" t="s">
        <v>40</v>
      </c>
      <c r="T272" s="1">
        <v>43302</v>
      </c>
      <c r="U272">
        <v>0</v>
      </c>
      <c r="V272">
        <v>14</v>
      </c>
      <c r="Y272" t="s">
        <v>42</v>
      </c>
      <c r="Z272" t="s">
        <v>43</v>
      </c>
      <c r="AA272" t="s">
        <v>43</v>
      </c>
      <c r="AD272" t="s">
        <v>3143</v>
      </c>
    </row>
    <row r="273" spans="1:30" x14ac:dyDescent="0.4">
      <c r="A273" t="s">
        <v>27</v>
      </c>
      <c r="B273">
        <v>1797</v>
      </c>
      <c r="C273" t="s">
        <v>195</v>
      </c>
      <c r="D273" t="s">
        <v>772</v>
      </c>
      <c r="E273" t="s">
        <v>773</v>
      </c>
      <c r="F273" t="s">
        <v>774</v>
      </c>
      <c r="H273" t="s">
        <v>775</v>
      </c>
      <c r="I273" t="s">
        <v>51</v>
      </c>
      <c r="J273" t="s">
        <v>776</v>
      </c>
      <c r="K273" t="s">
        <v>35</v>
      </c>
      <c r="L273" t="s">
        <v>777</v>
      </c>
      <c r="M273" t="s">
        <v>778</v>
      </c>
      <c r="N273" t="s">
        <v>779</v>
      </c>
      <c r="P273" t="s">
        <v>780</v>
      </c>
      <c r="Q273" t="s">
        <v>781</v>
      </c>
      <c r="R273" t="s">
        <v>782</v>
      </c>
      <c r="S273" t="s">
        <v>40</v>
      </c>
      <c r="T273" s="1">
        <v>43691</v>
      </c>
      <c r="U273">
        <v>0</v>
      </c>
      <c r="V273">
        <v>0</v>
      </c>
      <c r="W273" t="s">
        <v>59</v>
      </c>
      <c r="Y273" t="s">
        <v>42</v>
      </c>
      <c r="Z273" t="s">
        <v>43</v>
      </c>
      <c r="AA273" t="s">
        <v>43</v>
      </c>
      <c r="AD273" t="s">
        <v>3143</v>
      </c>
    </row>
    <row r="274" spans="1:30" x14ac:dyDescent="0.4">
      <c r="A274" t="s">
        <v>27</v>
      </c>
      <c r="B274">
        <v>1797</v>
      </c>
      <c r="C274" t="s">
        <v>195</v>
      </c>
      <c r="D274" t="s">
        <v>772</v>
      </c>
      <c r="E274" t="s">
        <v>773</v>
      </c>
      <c r="F274" t="s">
        <v>774</v>
      </c>
      <c r="H274" t="s">
        <v>775</v>
      </c>
      <c r="I274" t="s">
        <v>51</v>
      </c>
      <c r="J274" t="s">
        <v>776</v>
      </c>
      <c r="K274" t="s">
        <v>35</v>
      </c>
      <c r="L274" t="s">
        <v>777</v>
      </c>
      <c r="M274" t="s">
        <v>778</v>
      </c>
      <c r="N274" t="s">
        <v>779</v>
      </c>
      <c r="P274" t="s">
        <v>783</v>
      </c>
      <c r="Q274" t="s">
        <v>784</v>
      </c>
      <c r="R274" t="s">
        <v>58</v>
      </c>
      <c r="S274" t="s">
        <v>40</v>
      </c>
      <c r="T274" s="1">
        <v>41132</v>
      </c>
      <c r="U274">
        <v>0</v>
      </c>
      <c r="V274">
        <v>0</v>
      </c>
      <c r="W274" t="s">
        <v>59</v>
      </c>
      <c r="Y274" t="s">
        <v>42</v>
      </c>
      <c r="Z274" t="s">
        <v>43</v>
      </c>
      <c r="AA274" t="s">
        <v>43</v>
      </c>
      <c r="AD274" t="s">
        <v>3143</v>
      </c>
    </row>
    <row r="275" spans="1:30" x14ac:dyDescent="0.4">
      <c r="A275" t="s">
        <v>27</v>
      </c>
      <c r="B275">
        <v>1797</v>
      </c>
      <c r="C275" t="s">
        <v>195</v>
      </c>
      <c r="D275" t="s">
        <v>772</v>
      </c>
      <c r="E275" t="s">
        <v>773</v>
      </c>
      <c r="F275" t="s">
        <v>774</v>
      </c>
      <c r="H275" t="s">
        <v>775</v>
      </c>
      <c r="I275" t="s">
        <v>51</v>
      </c>
      <c r="J275" t="s">
        <v>776</v>
      </c>
      <c r="K275" t="s">
        <v>35</v>
      </c>
      <c r="L275" t="s">
        <v>777</v>
      </c>
      <c r="M275" t="s">
        <v>778</v>
      </c>
      <c r="N275" t="s">
        <v>779</v>
      </c>
      <c r="P275" t="s">
        <v>780</v>
      </c>
      <c r="Q275" t="s">
        <v>781</v>
      </c>
      <c r="R275" t="s">
        <v>782</v>
      </c>
      <c r="S275" t="s">
        <v>40</v>
      </c>
      <c r="T275" s="1">
        <v>43691</v>
      </c>
      <c r="U275">
        <v>0</v>
      </c>
      <c r="V275">
        <v>0</v>
      </c>
      <c r="W275" t="s">
        <v>59</v>
      </c>
      <c r="Y275" t="s">
        <v>42</v>
      </c>
      <c r="Z275" t="s">
        <v>43</v>
      </c>
      <c r="AA275" t="s">
        <v>43</v>
      </c>
      <c r="AD275" t="s">
        <v>3143</v>
      </c>
    </row>
    <row r="276" spans="1:30" x14ac:dyDescent="0.4">
      <c r="A276" t="s">
        <v>27</v>
      </c>
      <c r="B276">
        <v>1797</v>
      </c>
      <c r="C276" t="s">
        <v>195</v>
      </c>
      <c r="D276" t="s">
        <v>772</v>
      </c>
      <c r="E276" t="s">
        <v>773</v>
      </c>
      <c r="F276" t="s">
        <v>774</v>
      </c>
      <c r="H276" t="s">
        <v>775</v>
      </c>
      <c r="I276" t="s">
        <v>51</v>
      </c>
      <c r="J276" t="s">
        <v>776</v>
      </c>
      <c r="K276" t="s">
        <v>35</v>
      </c>
      <c r="L276" t="s">
        <v>777</v>
      </c>
      <c r="M276" t="s">
        <v>778</v>
      </c>
      <c r="N276" t="s">
        <v>779</v>
      </c>
      <c r="P276" t="s">
        <v>783</v>
      </c>
      <c r="Q276" t="s">
        <v>784</v>
      </c>
      <c r="R276" t="s">
        <v>58</v>
      </c>
      <c r="S276" t="s">
        <v>40</v>
      </c>
      <c r="T276" s="1">
        <v>41132</v>
      </c>
      <c r="U276">
        <v>0</v>
      </c>
      <c r="V276">
        <v>0</v>
      </c>
      <c r="W276" t="s">
        <v>59</v>
      </c>
      <c r="Y276" t="s">
        <v>42</v>
      </c>
      <c r="Z276" t="s">
        <v>43</v>
      </c>
      <c r="AA276" t="s">
        <v>43</v>
      </c>
      <c r="AD276" t="s">
        <v>3143</v>
      </c>
    </row>
    <row r="277" spans="1:30" x14ac:dyDescent="0.4">
      <c r="A277" t="s">
        <v>27</v>
      </c>
      <c r="B277">
        <v>1797</v>
      </c>
      <c r="C277" t="s">
        <v>195</v>
      </c>
      <c r="D277" t="s">
        <v>772</v>
      </c>
      <c r="E277" t="s">
        <v>773</v>
      </c>
      <c r="F277" t="s">
        <v>774</v>
      </c>
      <c r="H277" t="s">
        <v>775</v>
      </c>
      <c r="I277" t="s">
        <v>51</v>
      </c>
      <c r="J277" t="s">
        <v>776</v>
      </c>
      <c r="K277" t="s">
        <v>35</v>
      </c>
      <c r="L277" t="s">
        <v>777</v>
      </c>
      <c r="M277" t="s">
        <v>778</v>
      </c>
      <c r="N277" t="s">
        <v>2933</v>
      </c>
      <c r="P277" t="s">
        <v>3100</v>
      </c>
      <c r="Q277" t="s">
        <v>786</v>
      </c>
      <c r="R277" t="s">
        <v>58</v>
      </c>
      <c r="S277" t="s">
        <v>40</v>
      </c>
      <c r="T277" s="1">
        <v>44485</v>
      </c>
      <c r="U277">
        <v>0</v>
      </c>
      <c r="V277">
        <v>5</v>
      </c>
      <c r="W277" t="s">
        <v>66</v>
      </c>
      <c r="Y277" t="s">
        <v>42</v>
      </c>
      <c r="Z277" t="s">
        <v>43</v>
      </c>
      <c r="AA277" t="s">
        <v>43</v>
      </c>
      <c r="AD277" t="s">
        <v>3143</v>
      </c>
    </row>
    <row r="278" spans="1:30" x14ac:dyDescent="0.4">
      <c r="A278" t="s">
        <v>27</v>
      </c>
      <c r="B278">
        <v>1797</v>
      </c>
      <c r="C278" t="s">
        <v>195</v>
      </c>
      <c r="D278" t="s">
        <v>772</v>
      </c>
      <c r="E278" t="s">
        <v>773</v>
      </c>
      <c r="F278" t="s">
        <v>774</v>
      </c>
      <c r="H278" t="s">
        <v>775</v>
      </c>
      <c r="I278" t="s">
        <v>51</v>
      </c>
      <c r="J278" t="s">
        <v>776</v>
      </c>
      <c r="K278" t="s">
        <v>35</v>
      </c>
      <c r="L278" t="s">
        <v>777</v>
      </c>
      <c r="M278" t="s">
        <v>778</v>
      </c>
      <c r="N278" t="s">
        <v>2933</v>
      </c>
      <c r="P278" t="s">
        <v>3100</v>
      </c>
      <c r="Q278" t="s">
        <v>786</v>
      </c>
      <c r="R278" t="s">
        <v>58</v>
      </c>
      <c r="S278" t="s">
        <v>40</v>
      </c>
      <c r="T278" s="1">
        <v>44485</v>
      </c>
      <c r="U278">
        <v>0</v>
      </c>
      <c r="V278">
        <v>6</v>
      </c>
      <c r="W278" t="s">
        <v>83</v>
      </c>
      <c r="Y278" t="s">
        <v>42</v>
      </c>
      <c r="Z278" t="s">
        <v>43</v>
      </c>
      <c r="AA278" t="s">
        <v>43</v>
      </c>
      <c r="AD278" t="s">
        <v>3143</v>
      </c>
    </row>
    <row r="279" spans="1:30" x14ac:dyDescent="0.4">
      <c r="A279" t="s">
        <v>27</v>
      </c>
      <c r="B279">
        <v>1797</v>
      </c>
      <c r="C279" t="s">
        <v>195</v>
      </c>
      <c r="D279" t="s">
        <v>772</v>
      </c>
      <c r="E279" t="s">
        <v>773</v>
      </c>
      <c r="F279" t="s">
        <v>774</v>
      </c>
      <c r="H279" t="s">
        <v>775</v>
      </c>
      <c r="I279" t="s">
        <v>51</v>
      </c>
      <c r="J279" t="s">
        <v>776</v>
      </c>
      <c r="K279" t="s">
        <v>35</v>
      </c>
      <c r="L279" t="s">
        <v>777</v>
      </c>
      <c r="M279" t="s">
        <v>778</v>
      </c>
      <c r="N279" t="s">
        <v>2933</v>
      </c>
      <c r="P279" t="s">
        <v>3100</v>
      </c>
      <c r="Q279" t="s">
        <v>786</v>
      </c>
      <c r="R279" t="s">
        <v>58</v>
      </c>
      <c r="S279" t="s">
        <v>40</v>
      </c>
      <c r="T279" s="1">
        <v>44485</v>
      </c>
      <c r="U279">
        <v>0</v>
      </c>
      <c r="V279">
        <v>14</v>
      </c>
      <c r="Y279" t="s">
        <v>42</v>
      </c>
      <c r="Z279" t="s">
        <v>43</v>
      </c>
      <c r="AA279" t="s">
        <v>43</v>
      </c>
      <c r="AD279" t="s">
        <v>3143</v>
      </c>
    </row>
    <row r="280" spans="1:30" x14ac:dyDescent="0.4">
      <c r="A280" t="s">
        <v>27</v>
      </c>
      <c r="B280">
        <v>1797</v>
      </c>
      <c r="C280" t="s">
        <v>195</v>
      </c>
      <c r="D280" t="s">
        <v>772</v>
      </c>
      <c r="E280" t="s">
        <v>773</v>
      </c>
      <c r="F280" t="s">
        <v>774</v>
      </c>
      <c r="H280" t="s">
        <v>775</v>
      </c>
      <c r="I280" t="s">
        <v>51</v>
      </c>
      <c r="J280" t="s">
        <v>776</v>
      </c>
      <c r="K280" t="s">
        <v>35</v>
      </c>
      <c r="L280" t="s">
        <v>777</v>
      </c>
      <c r="M280" t="s">
        <v>778</v>
      </c>
      <c r="N280" t="s">
        <v>2933</v>
      </c>
      <c r="P280" t="s">
        <v>3100</v>
      </c>
      <c r="Q280" t="s">
        <v>786</v>
      </c>
      <c r="R280" t="s">
        <v>58</v>
      </c>
      <c r="S280" t="s">
        <v>40</v>
      </c>
      <c r="T280" s="1">
        <v>44485</v>
      </c>
      <c r="U280">
        <v>0</v>
      </c>
      <c r="V280">
        <v>16</v>
      </c>
      <c r="Y280" t="s">
        <v>42</v>
      </c>
      <c r="Z280" t="s">
        <v>43</v>
      </c>
      <c r="AA280" t="s">
        <v>43</v>
      </c>
      <c r="AD280" t="s">
        <v>3143</v>
      </c>
    </row>
    <row r="281" spans="1:30" x14ac:dyDescent="0.4">
      <c r="A281" t="s">
        <v>27</v>
      </c>
      <c r="B281">
        <v>253</v>
      </c>
      <c r="C281" t="s">
        <v>28</v>
      </c>
      <c r="D281" t="s">
        <v>787</v>
      </c>
      <c r="E281" t="s">
        <v>788</v>
      </c>
      <c r="F281" t="s">
        <v>789</v>
      </c>
      <c r="G281" t="s">
        <v>790</v>
      </c>
      <c r="H281" t="s">
        <v>791</v>
      </c>
      <c r="I281" t="s">
        <v>370</v>
      </c>
      <c r="J281" t="s">
        <v>792</v>
      </c>
      <c r="K281" t="s">
        <v>35</v>
      </c>
      <c r="L281" t="s">
        <v>793</v>
      </c>
      <c r="M281" t="s">
        <v>794</v>
      </c>
      <c r="N281" t="s">
        <v>2934</v>
      </c>
      <c r="P281" t="s">
        <v>795</v>
      </c>
      <c r="Q281" t="s">
        <v>796</v>
      </c>
      <c r="R281" t="s">
        <v>94</v>
      </c>
      <c r="S281" t="s">
        <v>40</v>
      </c>
      <c r="T281" s="1">
        <v>43477</v>
      </c>
      <c r="U281">
        <v>0</v>
      </c>
      <c r="V281">
        <v>12</v>
      </c>
      <c r="Y281" t="s">
        <v>42</v>
      </c>
      <c r="Z281" t="s">
        <v>43</v>
      </c>
      <c r="AA281" t="s">
        <v>43</v>
      </c>
      <c r="AD281" t="s">
        <v>3143</v>
      </c>
    </row>
    <row r="282" spans="1:30" x14ac:dyDescent="0.4">
      <c r="A282" t="s">
        <v>27</v>
      </c>
      <c r="B282">
        <v>253</v>
      </c>
      <c r="C282" t="s">
        <v>28</v>
      </c>
      <c r="D282" t="s">
        <v>787</v>
      </c>
      <c r="E282" t="s">
        <v>788</v>
      </c>
      <c r="F282" t="s">
        <v>789</v>
      </c>
      <c r="G282" t="s">
        <v>790</v>
      </c>
      <c r="H282" t="s">
        <v>791</v>
      </c>
      <c r="I282" t="s">
        <v>370</v>
      </c>
      <c r="J282" t="s">
        <v>792</v>
      </c>
      <c r="K282" t="s">
        <v>35</v>
      </c>
      <c r="L282" t="s">
        <v>793</v>
      </c>
      <c r="M282" t="s">
        <v>794</v>
      </c>
      <c r="N282" t="s">
        <v>2934</v>
      </c>
      <c r="P282" t="s">
        <v>797</v>
      </c>
      <c r="Q282" t="s">
        <v>798</v>
      </c>
      <c r="R282" t="s">
        <v>58</v>
      </c>
      <c r="S282" t="s">
        <v>82</v>
      </c>
      <c r="T282" s="1">
        <v>44577</v>
      </c>
      <c r="U282">
        <v>0</v>
      </c>
      <c r="V282">
        <v>13</v>
      </c>
      <c r="Y282" t="s">
        <v>42</v>
      </c>
      <c r="Z282" t="s">
        <v>43</v>
      </c>
      <c r="AA282" t="s">
        <v>43</v>
      </c>
      <c r="AD282" t="s">
        <v>3143</v>
      </c>
    </row>
    <row r="283" spans="1:30" x14ac:dyDescent="0.4">
      <c r="A283" t="s">
        <v>27</v>
      </c>
      <c r="B283">
        <v>253</v>
      </c>
      <c r="C283" t="s">
        <v>28</v>
      </c>
      <c r="D283" t="s">
        <v>787</v>
      </c>
      <c r="E283" t="s">
        <v>788</v>
      </c>
      <c r="F283" t="s">
        <v>789</v>
      </c>
      <c r="G283" t="s">
        <v>790</v>
      </c>
      <c r="H283" t="s">
        <v>791</v>
      </c>
      <c r="I283" t="s">
        <v>370</v>
      </c>
      <c r="J283" t="s">
        <v>792</v>
      </c>
      <c r="K283" t="s">
        <v>35</v>
      </c>
      <c r="L283" t="s">
        <v>793</v>
      </c>
      <c r="M283" t="s">
        <v>794</v>
      </c>
      <c r="N283" t="s">
        <v>2934</v>
      </c>
      <c r="P283" t="s">
        <v>797</v>
      </c>
      <c r="Q283" t="s">
        <v>798</v>
      </c>
      <c r="R283" t="s">
        <v>58</v>
      </c>
      <c r="S283" t="s">
        <v>82</v>
      </c>
      <c r="T283" s="1">
        <v>44577</v>
      </c>
      <c r="U283">
        <v>0</v>
      </c>
      <c r="V283">
        <v>17</v>
      </c>
      <c r="Y283" t="s">
        <v>42</v>
      </c>
      <c r="Z283" t="s">
        <v>43</v>
      </c>
      <c r="AA283" t="s">
        <v>43</v>
      </c>
      <c r="AD283" t="s">
        <v>3143</v>
      </c>
    </row>
    <row r="284" spans="1:30" x14ac:dyDescent="0.4">
      <c r="A284" t="s">
        <v>27</v>
      </c>
      <c r="B284">
        <v>6044</v>
      </c>
      <c r="C284" t="s">
        <v>68</v>
      </c>
      <c r="D284" t="s">
        <v>699</v>
      </c>
      <c r="E284" t="s">
        <v>799</v>
      </c>
      <c r="F284" t="s">
        <v>800</v>
      </c>
      <c r="G284" t="s">
        <v>801</v>
      </c>
      <c r="H284" t="s">
        <v>802</v>
      </c>
      <c r="I284" t="s">
        <v>691</v>
      </c>
      <c r="J284" t="s">
        <v>803</v>
      </c>
      <c r="K284" t="s">
        <v>35</v>
      </c>
      <c r="L284">
        <v>1725513560</v>
      </c>
      <c r="M284" t="s">
        <v>804</v>
      </c>
      <c r="N284" t="s">
        <v>2935</v>
      </c>
      <c r="P284" t="s">
        <v>3101</v>
      </c>
      <c r="Q284" t="s">
        <v>806</v>
      </c>
      <c r="R284" t="s">
        <v>376</v>
      </c>
      <c r="S284" t="s">
        <v>82</v>
      </c>
      <c r="T284" s="1">
        <v>44058</v>
      </c>
      <c r="U284">
        <v>0</v>
      </c>
      <c r="V284">
        <v>8</v>
      </c>
      <c r="Y284" t="s">
        <v>42</v>
      </c>
      <c r="Z284" t="s">
        <v>43</v>
      </c>
      <c r="AA284" t="s">
        <v>43</v>
      </c>
      <c r="AB284" t="s">
        <v>807</v>
      </c>
      <c r="AD284" t="s">
        <v>3143</v>
      </c>
    </row>
    <row r="285" spans="1:30" x14ac:dyDescent="0.4">
      <c r="A285" t="s">
        <v>27</v>
      </c>
      <c r="B285">
        <v>6044</v>
      </c>
      <c r="C285" t="s">
        <v>68</v>
      </c>
      <c r="D285" t="s">
        <v>699</v>
      </c>
      <c r="E285" t="s">
        <v>799</v>
      </c>
      <c r="F285" t="s">
        <v>800</v>
      </c>
      <c r="G285" t="s">
        <v>801</v>
      </c>
      <c r="H285" t="s">
        <v>802</v>
      </c>
      <c r="I285" t="s">
        <v>691</v>
      </c>
      <c r="J285" t="s">
        <v>803</v>
      </c>
      <c r="K285" t="s">
        <v>35</v>
      </c>
      <c r="L285">
        <v>1725513560</v>
      </c>
      <c r="M285" t="s">
        <v>804</v>
      </c>
      <c r="N285" t="s">
        <v>2935</v>
      </c>
      <c r="P285" t="s">
        <v>3101</v>
      </c>
      <c r="Q285" t="s">
        <v>806</v>
      </c>
      <c r="R285" t="s">
        <v>376</v>
      </c>
      <c r="S285" t="s">
        <v>82</v>
      </c>
      <c r="T285" s="1">
        <v>44058</v>
      </c>
      <c r="U285">
        <v>0</v>
      </c>
      <c r="V285">
        <v>10</v>
      </c>
      <c r="Y285" t="s">
        <v>42</v>
      </c>
      <c r="Z285" t="s">
        <v>43</v>
      </c>
      <c r="AA285" t="s">
        <v>43</v>
      </c>
      <c r="AB285" t="s">
        <v>807</v>
      </c>
      <c r="AD285" t="s">
        <v>3143</v>
      </c>
    </row>
    <row r="286" spans="1:30" x14ac:dyDescent="0.4">
      <c r="A286" t="s">
        <v>27</v>
      </c>
      <c r="B286">
        <v>991</v>
      </c>
      <c r="C286" t="s">
        <v>68</v>
      </c>
      <c r="D286" t="s">
        <v>808</v>
      </c>
      <c r="E286" t="s">
        <v>809</v>
      </c>
      <c r="F286" t="s">
        <v>810</v>
      </c>
      <c r="G286" t="s">
        <v>811</v>
      </c>
      <c r="H286" t="s">
        <v>812</v>
      </c>
      <c r="I286" t="s">
        <v>813</v>
      </c>
      <c r="J286" t="s">
        <v>814</v>
      </c>
      <c r="K286" t="s">
        <v>35</v>
      </c>
      <c r="L286" t="s">
        <v>815</v>
      </c>
      <c r="M286" t="s">
        <v>816</v>
      </c>
      <c r="N286" t="s">
        <v>2857</v>
      </c>
      <c r="P286" t="s">
        <v>817</v>
      </c>
      <c r="Q286" t="s">
        <v>818</v>
      </c>
      <c r="R286" t="s">
        <v>737</v>
      </c>
      <c r="S286" t="s">
        <v>40</v>
      </c>
      <c r="T286" s="1">
        <v>43773</v>
      </c>
      <c r="U286">
        <v>0</v>
      </c>
      <c r="V286">
        <v>5</v>
      </c>
      <c r="W286" t="s">
        <v>66</v>
      </c>
      <c r="X286" t="s">
        <v>135</v>
      </c>
      <c r="Y286" t="s">
        <v>42</v>
      </c>
      <c r="Z286" t="s">
        <v>43</v>
      </c>
      <c r="AA286" t="s">
        <v>42</v>
      </c>
      <c r="AD286" t="s">
        <v>3143</v>
      </c>
    </row>
    <row r="287" spans="1:30" x14ac:dyDescent="0.4">
      <c r="A287" t="s">
        <v>27</v>
      </c>
      <c r="B287">
        <v>991</v>
      </c>
      <c r="C287" t="s">
        <v>68</v>
      </c>
      <c r="D287" t="s">
        <v>808</v>
      </c>
      <c r="E287" t="s">
        <v>809</v>
      </c>
      <c r="F287" t="s">
        <v>810</v>
      </c>
      <c r="G287" t="s">
        <v>811</v>
      </c>
      <c r="H287" t="s">
        <v>812</v>
      </c>
      <c r="I287" t="s">
        <v>813</v>
      </c>
      <c r="J287" t="s">
        <v>814</v>
      </c>
      <c r="K287" t="s">
        <v>35</v>
      </c>
      <c r="L287" t="s">
        <v>815</v>
      </c>
      <c r="M287" t="s">
        <v>816</v>
      </c>
      <c r="N287" t="s">
        <v>2857</v>
      </c>
      <c r="P287" t="s">
        <v>817</v>
      </c>
      <c r="Q287" t="s">
        <v>818</v>
      </c>
      <c r="R287" t="s">
        <v>737</v>
      </c>
      <c r="S287" t="s">
        <v>40</v>
      </c>
      <c r="T287" s="1">
        <v>43773</v>
      </c>
      <c r="U287">
        <v>0</v>
      </c>
      <c r="V287">
        <v>6</v>
      </c>
      <c r="W287" t="s">
        <v>83</v>
      </c>
      <c r="X287" t="s">
        <v>135</v>
      </c>
      <c r="Y287" t="s">
        <v>42</v>
      </c>
      <c r="Z287" t="s">
        <v>43</v>
      </c>
      <c r="AA287" t="s">
        <v>42</v>
      </c>
      <c r="AD287" t="s">
        <v>3143</v>
      </c>
    </row>
    <row r="288" spans="1:30" x14ac:dyDescent="0.4">
      <c r="A288" t="s">
        <v>27</v>
      </c>
      <c r="B288">
        <v>991</v>
      </c>
      <c r="C288" t="s">
        <v>68</v>
      </c>
      <c r="D288" t="s">
        <v>808</v>
      </c>
      <c r="E288" t="s">
        <v>809</v>
      </c>
      <c r="F288" t="s">
        <v>810</v>
      </c>
      <c r="G288" t="s">
        <v>811</v>
      </c>
      <c r="H288" t="s">
        <v>812</v>
      </c>
      <c r="I288" t="s">
        <v>813</v>
      </c>
      <c r="J288" t="s">
        <v>814</v>
      </c>
      <c r="K288" t="s">
        <v>35</v>
      </c>
      <c r="L288" t="s">
        <v>815</v>
      </c>
      <c r="M288" t="s">
        <v>816</v>
      </c>
      <c r="N288" t="s">
        <v>2857</v>
      </c>
      <c r="P288" t="s">
        <v>817</v>
      </c>
      <c r="Q288" t="s">
        <v>818</v>
      </c>
      <c r="R288" t="s">
        <v>737</v>
      </c>
      <c r="S288" t="s">
        <v>40</v>
      </c>
      <c r="T288" s="1">
        <v>43773</v>
      </c>
      <c r="U288">
        <v>0</v>
      </c>
      <c r="V288">
        <v>14</v>
      </c>
      <c r="X288" t="s">
        <v>135</v>
      </c>
      <c r="Y288" t="s">
        <v>42</v>
      </c>
      <c r="Z288" t="s">
        <v>43</v>
      </c>
      <c r="AA288" t="s">
        <v>42</v>
      </c>
      <c r="AD288" t="s">
        <v>3143</v>
      </c>
    </row>
    <row r="289" spans="1:30" x14ac:dyDescent="0.4">
      <c r="A289" t="s">
        <v>27</v>
      </c>
      <c r="B289">
        <v>6162</v>
      </c>
      <c r="C289" t="s">
        <v>28</v>
      </c>
      <c r="D289" t="s">
        <v>160</v>
      </c>
      <c r="E289" t="s">
        <v>819</v>
      </c>
      <c r="F289" t="s">
        <v>820</v>
      </c>
      <c r="H289" t="s">
        <v>821</v>
      </c>
      <c r="I289" t="s">
        <v>822</v>
      </c>
      <c r="J289" t="s">
        <v>823</v>
      </c>
      <c r="K289" t="s">
        <v>35</v>
      </c>
      <c r="L289">
        <v>1403257942</v>
      </c>
      <c r="M289" t="s">
        <v>824</v>
      </c>
      <c r="N289" t="s">
        <v>825</v>
      </c>
      <c r="P289" t="s">
        <v>826</v>
      </c>
      <c r="Q289" t="s">
        <v>827</v>
      </c>
      <c r="R289" t="s">
        <v>474</v>
      </c>
      <c r="S289" t="s">
        <v>82</v>
      </c>
      <c r="T289" s="1">
        <v>45002</v>
      </c>
      <c r="U289">
        <v>0</v>
      </c>
      <c r="V289">
        <v>8</v>
      </c>
      <c r="Y289" t="s">
        <v>42</v>
      </c>
      <c r="Z289" t="s">
        <v>43</v>
      </c>
      <c r="AA289" t="s">
        <v>43</v>
      </c>
      <c r="AD289" t="s">
        <v>3143</v>
      </c>
    </row>
    <row r="290" spans="1:30" x14ac:dyDescent="0.4">
      <c r="A290" t="s">
        <v>27</v>
      </c>
      <c r="B290">
        <v>6162</v>
      </c>
      <c r="C290" t="s">
        <v>28</v>
      </c>
      <c r="D290" t="s">
        <v>160</v>
      </c>
      <c r="E290" t="s">
        <v>819</v>
      </c>
      <c r="F290" t="s">
        <v>820</v>
      </c>
      <c r="H290" t="s">
        <v>821</v>
      </c>
      <c r="I290" t="s">
        <v>822</v>
      </c>
      <c r="J290" t="s">
        <v>823</v>
      </c>
      <c r="K290" t="s">
        <v>35</v>
      </c>
      <c r="L290">
        <v>1403257942</v>
      </c>
      <c r="M290" t="s">
        <v>824</v>
      </c>
      <c r="N290" t="s">
        <v>825</v>
      </c>
      <c r="P290" t="s">
        <v>826</v>
      </c>
      <c r="Q290" t="s">
        <v>827</v>
      </c>
      <c r="R290" t="s">
        <v>474</v>
      </c>
      <c r="S290" t="s">
        <v>82</v>
      </c>
      <c r="T290" s="1">
        <v>45002</v>
      </c>
      <c r="U290">
        <v>0</v>
      </c>
      <c r="V290">
        <v>9</v>
      </c>
      <c r="Y290" t="s">
        <v>42</v>
      </c>
      <c r="Z290" t="s">
        <v>43</v>
      </c>
      <c r="AA290" t="s">
        <v>43</v>
      </c>
      <c r="AD290" t="s">
        <v>3143</v>
      </c>
    </row>
    <row r="291" spans="1:30" x14ac:dyDescent="0.4">
      <c r="A291" t="s">
        <v>27</v>
      </c>
      <c r="B291">
        <v>6162</v>
      </c>
      <c r="C291" t="s">
        <v>28</v>
      </c>
      <c r="D291" t="s">
        <v>160</v>
      </c>
      <c r="E291" t="s">
        <v>819</v>
      </c>
      <c r="F291" t="s">
        <v>820</v>
      </c>
      <c r="H291" t="s">
        <v>821</v>
      </c>
      <c r="I291" t="s">
        <v>822</v>
      </c>
      <c r="J291" t="s">
        <v>823</v>
      </c>
      <c r="K291" t="s">
        <v>35</v>
      </c>
      <c r="L291">
        <v>1403257942</v>
      </c>
      <c r="M291" t="s">
        <v>824</v>
      </c>
      <c r="N291" t="s">
        <v>825</v>
      </c>
      <c r="P291" t="s">
        <v>828</v>
      </c>
      <c r="Q291" t="s">
        <v>829</v>
      </c>
      <c r="R291" t="s">
        <v>474</v>
      </c>
      <c r="S291" t="s">
        <v>82</v>
      </c>
      <c r="T291" s="1">
        <v>43198</v>
      </c>
      <c r="U291">
        <v>0</v>
      </c>
      <c r="V291">
        <v>0</v>
      </c>
      <c r="W291" t="s">
        <v>59</v>
      </c>
      <c r="Y291" t="s">
        <v>42</v>
      </c>
      <c r="Z291" t="s">
        <v>43</v>
      </c>
      <c r="AA291" t="s">
        <v>43</v>
      </c>
      <c r="AD291" t="s">
        <v>3143</v>
      </c>
    </row>
    <row r="292" spans="1:30" x14ac:dyDescent="0.4">
      <c r="A292" t="s">
        <v>27</v>
      </c>
      <c r="B292">
        <v>6162</v>
      </c>
      <c r="C292" t="s">
        <v>28</v>
      </c>
      <c r="D292" t="s">
        <v>160</v>
      </c>
      <c r="E292" t="s">
        <v>819</v>
      </c>
      <c r="F292" t="s">
        <v>820</v>
      </c>
      <c r="H292" t="s">
        <v>821</v>
      </c>
      <c r="I292" t="s">
        <v>822</v>
      </c>
      <c r="J292" t="s">
        <v>823</v>
      </c>
      <c r="K292" t="s">
        <v>35</v>
      </c>
      <c r="L292">
        <v>1403257942</v>
      </c>
      <c r="M292" t="s">
        <v>824</v>
      </c>
      <c r="N292" t="s">
        <v>825</v>
      </c>
      <c r="P292" t="s">
        <v>830</v>
      </c>
      <c r="Q292" t="s">
        <v>831</v>
      </c>
      <c r="R292" t="s">
        <v>832</v>
      </c>
      <c r="S292" t="s">
        <v>82</v>
      </c>
      <c r="T292" s="1">
        <v>41208</v>
      </c>
      <c r="U292">
        <v>0</v>
      </c>
      <c r="V292">
        <v>0</v>
      </c>
      <c r="W292" t="s">
        <v>59</v>
      </c>
      <c r="Y292" t="s">
        <v>42</v>
      </c>
      <c r="Z292" t="s">
        <v>43</v>
      </c>
      <c r="AA292" t="s">
        <v>43</v>
      </c>
      <c r="AD292" t="s">
        <v>3143</v>
      </c>
    </row>
    <row r="293" spans="1:30" x14ac:dyDescent="0.4">
      <c r="A293" t="s">
        <v>27</v>
      </c>
      <c r="B293">
        <v>6162</v>
      </c>
      <c r="C293" t="s">
        <v>28</v>
      </c>
      <c r="D293" t="s">
        <v>160</v>
      </c>
      <c r="E293" t="s">
        <v>819</v>
      </c>
      <c r="F293" t="s">
        <v>820</v>
      </c>
      <c r="H293" t="s">
        <v>821</v>
      </c>
      <c r="I293" t="s">
        <v>822</v>
      </c>
      <c r="J293" t="s">
        <v>823</v>
      </c>
      <c r="K293" t="s">
        <v>35</v>
      </c>
      <c r="L293">
        <v>1403257942</v>
      </c>
      <c r="M293" t="s">
        <v>824</v>
      </c>
      <c r="N293" t="s">
        <v>825</v>
      </c>
      <c r="P293" t="s">
        <v>833</v>
      </c>
      <c r="Q293" t="s">
        <v>834</v>
      </c>
      <c r="R293" t="s">
        <v>835</v>
      </c>
      <c r="S293" t="s">
        <v>82</v>
      </c>
      <c r="T293" s="1">
        <v>39880</v>
      </c>
      <c r="U293">
        <v>0</v>
      </c>
      <c r="V293">
        <v>0</v>
      </c>
      <c r="W293" t="s">
        <v>59</v>
      </c>
      <c r="Y293" t="s">
        <v>42</v>
      </c>
      <c r="Z293" t="s">
        <v>43</v>
      </c>
      <c r="AA293" t="s">
        <v>43</v>
      </c>
      <c r="AD293" t="s">
        <v>3143</v>
      </c>
    </row>
    <row r="294" spans="1:30" x14ac:dyDescent="0.4">
      <c r="A294" t="s">
        <v>27</v>
      </c>
      <c r="B294">
        <v>82</v>
      </c>
      <c r="C294" t="s">
        <v>28</v>
      </c>
      <c r="D294" t="s">
        <v>836</v>
      </c>
      <c r="E294" t="s">
        <v>837</v>
      </c>
      <c r="F294" t="s">
        <v>838</v>
      </c>
      <c r="H294" t="s">
        <v>839</v>
      </c>
      <c r="I294" t="s">
        <v>73</v>
      </c>
      <c r="J294" t="s">
        <v>840</v>
      </c>
      <c r="K294" t="s">
        <v>35</v>
      </c>
      <c r="L294">
        <v>1483824780</v>
      </c>
      <c r="M294" t="s">
        <v>841</v>
      </c>
      <c r="N294" t="s">
        <v>842</v>
      </c>
      <c r="P294" t="s">
        <v>843</v>
      </c>
      <c r="Q294" t="s">
        <v>844</v>
      </c>
      <c r="R294" t="s">
        <v>58</v>
      </c>
      <c r="S294" t="s">
        <v>40</v>
      </c>
      <c r="T294" s="1">
        <v>45030</v>
      </c>
      <c r="U294">
        <v>0</v>
      </c>
      <c r="V294">
        <v>0</v>
      </c>
      <c r="W294" t="s">
        <v>59</v>
      </c>
      <c r="X294" t="s">
        <v>407</v>
      </c>
      <c r="Y294" t="s">
        <v>42</v>
      </c>
      <c r="Z294" t="s">
        <v>43</v>
      </c>
      <c r="AA294" t="s">
        <v>43</v>
      </c>
      <c r="AB294" t="s">
        <v>845</v>
      </c>
      <c r="AD294" t="s">
        <v>3143</v>
      </c>
    </row>
    <row r="295" spans="1:30" x14ac:dyDescent="0.4">
      <c r="A295" t="s">
        <v>27</v>
      </c>
      <c r="B295">
        <v>82</v>
      </c>
      <c r="C295" t="s">
        <v>28</v>
      </c>
      <c r="D295" t="s">
        <v>836</v>
      </c>
      <c r="E295" t="s">
        <v>837</v>
      </c>
      <c r="F295" t="s">
        <v>838</v>
      </c>
      <c r="H295" t="s">
        <v>839</v>
      </c>
      <c r="I295" t="s">
        <v>73</v>
      </c>
      <c r="J295" t="s">
        <v>840</v>
      </c>
      <c r="K295" t="s">
        <v>35</v>
      </c>
      <c r="L295">
        <v>1483824780</v>
      </c>
      <c r="M295" t="s">
        <v>841</v>
      </c>
      <c r="N295" t="s">
        <v>842</v>
      </c>
      <c r="P295" t="s">
        <v>843</v>
      </c>
      <c r="Q295" t="s">
        <v>844</v>
      </c>
      <c r="R295" t="s">
        <v>58</v>
      </c>
      <c r="S295" t="s">
        <v>40</v>
      </c>
      <c r="T295" s="1">
        <v>45030</v>
      </c>
      <c r="U295">
        <v>0</v>
      </c>
      <c r="V295">
        <v>0</v>
      </c>
      <c r="W295" t="s">
        <v>59</v>
      </c>
      <c r="X295" t="s">
        <v>407</v>
      </c>
      <c r="Y295" t="s">
        <v>42</v>
      </c>
      <c r="Z295" t="s">
        <v>43</v>
      </c>
      <c r="AA295" t="s">
        <v>43</v>
      </c>
      <c r="AB295" t="s">
        <v>845</v>
      </c>
      <c r="AD295" t="s">
        <v>3143</v>
      </c>
    </row>
    <row r="296" spans="1:30" x14ac:dyDescent="0.4">
      <c r="A296" t="s">
        <v>27</v>
      </c>
      <c r="B296">
        <v>82</v>
      </c>
      <c r="C296" t="s">
        <v>28</v>
      </c>
      <c r="D296" t="s">
        <v>836</v>
      </c>
      <c r="E296" t="s">
        <v>837</v>
      </c>
      <c r="F296" t="s">
        <v>838</v>
      </c>
      <c r="H296" t="s">
        <v>839</v>
      </c>
      <c r="I296" t="s">
        <v>73</v>
      </c>
      <c r="J296" t="s">
        <v>840</v>
      </c>
      <c r="K296" t="s">
        <v>35</v>
      </c>
      <c r="L296">
        <v>1483824780</v>
      </c>
      <c r="M296" t="s">
        <v>841</v>
      </c>
      <c r="N296" t="s">
        <v>842</v>
      </c>
      <c r="P296" t="s">
        <v>846</v>
      </c>
      <c r="Q296" t="s">
        <v>847</v>
      </c>
      <c r="R296" t="s">
        <v>94</v>
      </c>
      <c r="S296" t="s">
        <v>40</v>
      </c>
      <c r="T296" s="1">
        <v>44472</v>
      </c>
      <c r="U296">
        <v>0</v>
      </c>
      <c r="V296">
        <v>0</v>
      </c>
      <c r="W296" t="s">
        <v>59</v>
      </c>
      <c r="X296" t="s">
        <v>407</v>
      </c>
      <c r="Y296" t="s">
        <v>42</v>
      </c>
      <c r="Z296" t="s">
        <v>43</v>
      </c>
      <c r="AA296" t="s">
        <v>43</v>
      </c>
      <c r="AB296" t="s">
        <v>845</v>
      </c>
      <c r="AD296" t="s">
        <v>3143</v>
      </c>
    </row>
    <row r="297" spans="1:30" x14ac:dyDescent="0.4">
      <c r="A297" t="s">
        <v>27</v>
      </c>
      <c r="B297">
        <v>82</v>
      </c>
      <c r="C297" t="s">
        <v>28</v>
      </c>
      <c r="D297" t="s">
        <v>836</v>
      </c>
      <c r="E297" t="s">
        <v>837</v>
      </c>
      <c r="F297" t="s">
        <v>838</v>
      </c>
      <c r="H297" t="s">
        <v>839</v>
      </c>
      <c r="I297" t="s">
        <v>73</v>
      </c>
      <c r="J297" t="s">
        <v>840</v>
      </c>
      <c r="K297" t="s">
        <v>35</v>
      </c>
      <c r="L297">
        <v>1483824780</v>
      </c>
      <c r="M297" t="s">
        <v>841</v>
      </c>
      <c r="N297" t="s">
        <v>2858</v>
      </c>
      <c r="P297" t="s">
        <v>846</v>
      </c>
      <c r="Q297" t="s">
        <v>847</v>
      </c>
      <c r="R297" t="s">
        <v>94</v>
      </c>
      <c r="S297" t="s">
        <v>40</v>
      </c>
      <c r="T297" s="1">
        <v>44472</v>
      </c>
      <c r="U297">
        <v>0</v>
      </c>
      <c r="V297">
        <v>3</v>
      </c>
      <c r="X297" t="s">
        <v>407</v>
      </c>
      <c r="Y297" t="s">
        <v>42</v>
      </c>
      <c r="Z297" t="s">
        <v>43</v>
      </c>
      <c r="AA297" t="s">
        <v>43</v>
      </c>
      <c r="AB297" t="s">
        <v>845</v>
      </c>
      <c r="AD297" t="s">
        <v>3143</v>
      </c>
    </row>
    <row r="298" spans="1:30" x14ac:dyDescent="0.4">
      <c r="A298" t="s">
        <v>27</v>
      </c>
      <c r="B298">
        <v>82</v>
      </c>
      <c r="C298" t="s">
        <v>28</v>
      </c>
      <c r="D298" t="s">
        <v>836</v>
      </c>
      <c r="E298" t="s">
        <v>837</v>
      </c>
      <c r="F298" t="s">
        <v>838</v>
      </c>
      <c r="H298" t="s">
        <v>839</v>
      </c>
      <c r="I298" t="s">
        <v>73</v>
      </c>
      <c r="J298" t="s">
        <v>840</v>
      </c>
      <c r="K298" t="s">
        <v>35</v>
      </c>
      <c r="L298">
        <v>1483824780</v>
      </c>
      <c r="M298" t="s">
        <v>841</v>
      </c>
      <c r="N298" t="s">
        <v>2858</v>
      </c>
      <c r="P298" t="s">
        <v>846</v>
      </c>
      <c r="Q298" t="s">
        <v>847</v>
      </c>
      <c r="R298" t="s">
        <v>94</v>
      </c>
      <c r="S298" t="s">
        <v>40</v>
      </c>
      <c r="T298" s="1">
        <v>44472</v>
      </c>
      <c r="U298">
        <v>0</v>
      </c>
      <c r="V298">
        <v>4</v>
      </c>
      <c r="W298" t="s">
        <v>65</v>
      </c>
      <c r="X298" t="s">
        <v>407</v>
      </c>
      <c r="Y298" t="s">
        <v>42</v>
      </c>
      <c r="Z298" t="s">
        <v>43</v>
      </c>
      <c r="AA298" t="s">
        <v>43</v>
      </c>
      <c r="AB298" t="s">
        <v>845</v>
      </c>
      <c r="AD298" t="s">
        <v>3143</v>
      </c>
    </row>
    <row r="299" spans="1:30" x14ac:dyDescent="0.4">
      <c r="A299" t="s">
        <v>27</v>
      </c>
      <c r="B299">
        <v>666</v>
      </c>
      <c r="C299" t="s">
        <v>68</v>
      </c>
      <c r="D299" t="s">
        <v>398</v>
      </c>
      <c r="E299" t="s">
        <v>848</v>
      </c>
      <c r="F299" t="s">
        <v>849</v>
      </c>
      <c r="G299" t="s">
        <v>850</v>
      </c>
      <c r="H299" t="s">
        <v>559</v>
      </c>
      <c r="I299" t="s">
        <v>51</v>
      </c>
      <c r="J299" t="s">
        <v>851</v>
      </c>
      <c r="K299" t="s">
        <v>35</v>
      </c>
      <c r="L299" t="s">
        <v>852</v>
      </c>
      <c r="M299" t="s">
        <v>853</v>
      </c>
      <c r="N299" t="s">
        <v>2936</v>
      </c>
      <c r="P299" t="s">
        <v>854</v>
      </c>
      <c r="Q299" t="s">
        <v>855</v>
      </c>
      <c r="R299" t="s">
        <v>284</v>
      </c>
      <c r="S299" t="s">
        <v>82</v>
      </c>
      <c r="T299" s="1">
        <v>45013</v>
      </c>
      <c r="U299">
        <v>0</v>
      </c>
      <c r="V299">
        <v>13</v>
      </c>
      <c r="Y299" t="s">
        <v>42</v>
      </c>
      <c r="Z299" t="s">
        <v>43</v>
      </c>
      <c r="AA299" t="s">
        <v>43</v>
      </c>
      <c r="AD299" t="s">
        <v>3143</v>
      </c>
    </row>
    <row r="300" spans="1:30" x14ac:dyDescent="0.4">
      <c r="A300" t="s">
        <v>27</v>
      </c>
      <c r="B300">
        <v>666</v>
      </c>
      <c r="C300" t="s">
        <v>68</v>
      </c>
      <c r="D300" t="s">
        <v>398</v>
      </c>
      <c r="E300" t="s">
        <v>848</v>
      </c>
      <c r="F300" t="s">
        <v>849</v>
      </c>
      <c r="G300" t="s">
        <v>850</v>
      </c>
      <c r="H300" t="s">
        <v>559</v>
      </c>
      <c r="I300" t="s">
        <v>51</v>
      </c>
      <c r="J300" t="s">
        <v>851</v>
      </c>
      <c r="K300" t="s">
        <v>35</v>
      </c>
      <c r="L300" t="s">
        <v>852</v>
      </c>
      <c r="M300" t="s">
        <v>853</v>
      </c>
      <c r="N300" t="s">
        <v>2936</v>
      </c>
      <c r="P300" t="s">
        <v>856</v>
      </c>
      <c r="Q300" t="s">
        <v>857</v>
      </c>
      <c r="R300" t="s">
        <v>284</v>
      </c>
      <c r="S300" t="s">
        <v>40</v>
      </c>
      <c r="T300" s="1">
        <v>43532</v>
      </c>
      <c r="U300">
        <v>0</v>
      </c>
      <c r="V300">
        <v>14</v>
      </c>
      <c r="Y300" t="s">
        <v>42</v>
      </c>
      <c r="Z300" t="s">
        <v>43</v>
      </c>
      <c r="AA300" t="s">
        <v>43</v>
      </c>
      <c r="AD300" t="s">
        <v>3143</v>
      </c>
    </row>
    <row r="301" spans="1:30" x14ac:dyDescent="0.4">
      <c r="A301" t="s">
        <v>27</v>
      </c>
      <c r="B301">
        <v>666</v>
      </c>
      <c r="C301" t="s">
        <v>68</v>
      </c>
      <c r="D301" t="s">
        <v>398</v>
      </c>
      <c r="E301" t="s">
        <v>848</v>
      </c>
      <c r="F301" t="s">
        <v>849</v>
      </c>
      <c r="G301" t="s">
        <v>850</v>
      </c>
      <c r="H301" t="s">
        <v>559</v>
      </c>
      <c r="I301" t="s">
        <v>51</v>
      </c>
      <c r="J301" t="s">
        <v>851</v>
      </c>
      <c r="K301" t="s">
        <v>35</v>
      </c>
      <c r="L301" t="s">
        <v>852</v>
      </c>
      <c r="M301" t="s">
        <v>853</v>
      </c>
      <c r="N301" t="s">
        <v>2936</v>
      </c>
      <c r="P301" t="s">
        <v>856</v>
      </c>
      <c r="Q301" t="s">
        <v>857</v>
      </c>
      <c r="R301" t="s">
        <v>284</v>
      </c>
      <c r="S301" t="s">
        <v>40</v>
      </c>
      <c r="T301" s="1">
        <v>43532</v>
      </c>
      <c r="U301">
        <v>0</v>
      </c>
      <c r="V301">
        <v>16</v>
      </c>
      <c r="Y301" t="s">
        <v>42</v>
      </c>
      <c r="Z301" t="s">
        <v>43</v>
      </c>
      <c r="AA301" t="s">
        <v>43</v>
      </c>
      <c r="AD301" t="s">
        <v>3143</v>
      </c>
    </row>
    <row r="302" spans="1:30" x14ac:dyDescent="0.4">
      <c r="A302" t="s">
        <v>27</v>
      </c>
      <c r="B302">
        <v>4680</v>
      </c>
      <c r="C302" t="s">
        <v>68</v>
      </c>
      <c r="D302" t="s">
        <v>858</v>
      </c>
      <c r="E302" t="s">
        <v>859</v>
      </c>
      <c r="F302" t="s">
        <v>860</v>
      </c>
      <c r="H302" t="s">
        <v>861</v>
      </c>
      <c r="I302" t="s">
        <v>598</v>
      </c>
      <c r="J302" t="s">
        <v>862</v>
      </c>
      <c r="K302" t="s">
        <v>35</v>
      </c>
      <c r="L302" t="s">
        <v>863</v>
      </c>
      <c r="M302" t="s">
        <v>864</v>
      </c>
      <c r="N302" t="s">
        <v>3060</v>
      </c>
      <c r="P302" t="s">
        <v>866</v>
      </c>
      <c r="Q302" t="s">
        <v>867</v>
      </c>
      <c r="R302" t="s">
        <v>3059</v>
      </c>
      <c r="S302" t="s">
        <v>82</v>
      </c>
      <c r="T302" s="1">
        <v>44185</v>
      </c>
      <c r="U302">
        <v>0</v>
      </c>
      <c r="V302">
        <v>4</v>
      </c>
      <c r="W302" t="s">
        <v>65</v>
      </c>
      <c r="Y302" t="s">
        <v>42</v>
      </c>
      <c r="Z302" t="s">
        <v>43</v>
      </c>
      <c r="AA302" t="s">
        <v>43</v>
      </c>
      <c r="AB302" t="s">
        <v>868</v>
      </c>
      <c r="AD302" t="s">
        <v>3143</v>
      </c>
    </row>
    <row r="303" spans="1:30" x14ac:dyDescent="0.4">
      <c r="A303" t="s">
        <v>27</v>
      </c>
      <c r="B303">
        <v>4680</v>
      </c>
      <c r="C303" t="s">
        <v>68</v>
      </c>
      <c r="D303" t="s">
        <v>858</v>
      </c>
      <c r="E303" t="s">
        <v>859</v>
      </c>
      <c r="F303" t="s">
        <v>860</v>
      </c>
      <c r="H303" t="s">
        <v>861</v>
      </c>
      <c r="I303" t="s">
        <v>598</v>
      </c>
      <c r="J303" t="s">
        <v>862</v>
      </c>
      <c r="K303" t="s">
        <v>35</v>
      </c>
      <c r="L303" t="s">
        <v>863</v>
      </c>
      <c r="M303" t="s">
        <v>864</v>
      </c>
      <c r="N303" t="s">
        <v>3060</v>
      </c>
      <c r="P303" t="s">
        <v>866</v>
      </c>
      <c r="Q303" t="s">
        <v>867</v>
      </c>
      <c r="R303" t="s">
        <v>3059</v>
      </c>
      <c r="S303" t="s">
        <v>82</v>
      </c>
      <c r="T303" s="1">
        <v>44185</v>
      </c>
      <c r="U303">
        <v>0</v>
      </c>
      <c r="V303">
        <v>5</v>
      </c>
      <c r="W303" t="s">
        <v>66</v>
      </c>
      <c r="Y303" t="s">
        <v>42</v>
      </c>
      <c r="Z303" t="s">
        <v>43</v>
      </c>
      <c r="AA303" t="s">
        <v>43</v>
      </c>
      <c r="AB303" t="s">
        <v>868</v>
      </c>
      <c r="AD303" t="s">
        <v>3143</v>
      </c>
    </row>
    <row r="304" spans="1:30" x14ac:dyDescent="0.4">
      <c r="A304" t="s">
        <v>27</v>
      </c>
      <c r="B304">
        <v>4680</v>
      </c>
      <c r="C304" t="s">
        <v>68</v>
      </c>
      <c r="D304" t="s">
        <v>858</v>
      </c>
      <c r="E304" t="s">
        <v>859</v>
      </c>
      <c r="F304" t="s">
        <v>860</v>
      </c>
      <c r="H304" t="s">
        <v>861</v>
      </c>
      <c r="I304" t="s">
        <v>598</v>
      </c>
      <c r="J304" t="s">
        <v>862</v>
      </c>
      <c r="K304" t="s">
        <v>35</v>
      </c>
      <c r="L304" t="s">
        <v>863</v>
      </c>
      <c r="M304" t="s">
        <v>864</v>
      </c>
      <c r="N304" t="s">
        <v>3060</v>
      </c>
      <c r="P304" t="s">
        <v>866</v>
      </c>
      <c r="Q304" t="s">
        <v>867</v>
      </c>
      <c r="R304" t="s">
        <v>3059</v>
      </c>
      <c r="S304" t="s">
        <v>82</v>
      </c>
      <c r="T304" s="1">
        <v>44185</v>
      </c>
      <c r="U304">
        <v>0</v>
      </c>
      <c r="V304">
        <v>13</v>
      </c>
      <c r="Y304" t="s">
        <v>42</v>
      </c>
      <c r="Z304" t="s">
        <v>43</v>
      </c>
      <c r="AA304" t="s">
        <v>43</v>
      </c>
      <c r="AB304" t="s">
        <v>869</v>
      </c>
      <c r="AD304" t="s">
        <v>3143</v>
      </c>
    </row>
    <row r="305" spans="1:30" x14ac:dyDescent="0.4">
      <c r="A305" t="s">
        <v>27</v>
      </c>
      <c r="B305">
        <v>4680</v>
      </c>
      <c r="C305" t="s">
        <v>68</v>
      </c>
      <c r="D305" t="s">
        <v>858</v>
      </c>
      <c r="E305" t="s">
        <v>859</v>
      </c>
      <c r="F305" t="s">
        <v>860</v>
      </c>
      <c r="H305" t="s">
        <v>861</v>
      </c>
      <c r="I305" t="s">
        <v>598</v>
      </c>
      <c r="J305" t="s">
        <v>862</v>
      </c>
      <c r="K305" t="s">
        <v>35</v>
      </c>
      <c r="L305" t="s">
        <v>863</v>
      </c>
      <c r="M305" t="s">
        <v>864</v>
      </c>
      <c r="N305" t="s">
        <v>3060</v>
      </c>
      <c r="P305" t="s">
        <v>866</v>
      </c>
      <c r="Q305" t="s">
        <v>867</v>
      </c>
      <c r="R305" t="s">
        <v>3059</v>
      </c>
      <c r="S305" t="s">
        <v>82</v>
      </c>
      <c r="T305" s="1">
        <v>44185</v>
      </c>
      <c r="U305">
        <v>0</v>
      </c>
      <c r="V305">
        <v>15</v>
      </c>
      <c r="Y305" t="s">
        <v>42</v>
      </c>
      <c r="Z305" t="s">
        <v>43</v>
      </c>
      <c r="AA305" t="s">
        <v>43</v>
      </c>
      <c r="AB305" t="s">
        <v>869</v>
      </c>
      <c r="AD305" t="s">
        <v>3143</v>
      </c>
    </row>
    <row r="306" spans="1:30" x14ac:dyDescent="0.4">
      <c r="A306" t="s">
        <v>27</v>
      </c>
      <c r="B306">
        <v>6146</v>
      </c>
      <c r="C306" t="s">
        <v>68</v>
      </c>
      <c r="D306" t="s">
        <v>568</v>
      </c>
      <c r="E306" t="s">
        <v>870</v>
      </c>
      <c r="F306" t="s">
        <v>871</v>
      </c>
      <c r="G306" t="s">
        <v>872</v>
      </c>
      <c r="H306" t="s">
        <v>873</v>
      </c>
      <c r="I306" t="s">
        <v>330</v>
      </c>
      <c r="J306" t="s">
        <v>874</v>
      </c>
      <c r="K306" t="s">
        <v>35</v>
      </c>
      <c r="L306">
        <v>7785740539</v>
      </c>
      <c r="M306" t="s">
        <v>875</v>
      </c>
      <c r="N306" t="s">
        <v>876</v>
      </c>
      <c r="P306" t="s">
        <v>877</v>
      </c>
      <c r="Q306" t="s">
        <v>878</v>
      </c>
      <c r="R306" t="s">
        <v>474</v>
      </c>
      <c r="S306" t="s">
        <v>82</v>
      </c>
      <c r="T306" s="1">
        <v>40905</v>
      </c>
      <c r="U306">
        <v>0</v>
      </c>
      <c r="V306">
        <v>0</v>
      </c>
      <c r="W306" t="s">
        <v>59</v>
      </c>
      <c r="Y306" t="s">
        <v>42</v>
      </c>
      <c r="Z306" t="s">
        <v>43</v>
      </c>
      <c r="AA306" t="s">
        <v>43</v>
      </c>
      <c r="AD306" t="s">
        <v>3143</v>
      </c>
    </row>
    <row r="307" spans="1:30" x14ac:dyDescent="0.4">
      <c r="A307" t="s">
        <v>27</v>
      </c>
      <c r="B307">
        <v>6146</v>
      </c>
      <c r="C307" t="s">
        <v>68</v>
      </c>
      <c r="D307" t="s">
        <v>568</v>
      </c>
      <c r="E307" t="s">
        <v>870</v>
      </c>
      <c r="F307" t="s">
        <v>871</v>
      </c>
      <c r="G307" t="s">
        <v>872</v>
      </c>
      <c r="H307" t="s">
        <v>873</v>
      </c>
      <c r="I307" t="s">
        <v>330</v>
      </c>
      <c r="J307" t="s">
        <v>874</v>
      </c>
      <c r="K307" t="s">
        <v>35</v>
      </c>
      <c r="L307">
        <v>7785740539</v>
      </c>
      <c r="M307" t="s">
        <v>875</v>
      </c>
      <c r="N307" t="s">
        <v>2937</v>
      </c>
      <c r="P307" t="s">
        <v>879</v>
      </c>
      <c r="Q307" t="s">
        <v>880</v>
      </c>
      <c r="R307" t="s">
        <v>474</v>
      </c>
      <c r="S307" t="s">
        <v>82</v>
      </c>
      <c r="T307" s="1">
        <v>44263</v>
      </c>
      <c r="U307">
        <v>0</v>
      </c>
      <c r="V307">
        <v>13</v>
      </c>
      <c r="Y307" t="s">
        <v>42</v>
      </c>
      <c r="Z307" t="s">
        <v>43</v>
      </c>
      <c r="AA307" t="s">
        <v>43</v>
      </c>
      <c r="AD307" t="s">
        <v>3143</v>
      </c>
    </row>
    <row r="308" spans="1:30" x14ac:dyDescent="0.4">
      <c r="A308" t="s">
        <v>27</v>
      </c>
      <c r="B308">
        <v>6146</v>
      </c>
      <c r="C308" t="s">
        <v>68</v>
      </c>
      <c r="D308" t="s">
        <v>568</v>
      </c>
      <c r="E308" t="s">
        <v>870</v>
      </c>
      <c r="F308" t="s">
        <v>871</v>
      </c>
      <c r="G308" t="s">
        <v>872</v>
      </c>
      <c r="H308" t="s">
        <v>873</v>
      </c>
      <c r="I308" t="s">
        <v>330</v>
      </c>
      <c r="J308" t="s">
        <v>874</v>
      </c>
      <c r="K308" t="s">
        <v>35</v>
      </c>
      <c r="L308">
        <v>7785740539</v>
      </c>
      <c r="M308" t="s">
        <v>875</v>
      </c>
      <c r="N308" t="s">
        <v>2937</v>
      </c>
      <c r="P308" t="s">
        <v>881</v>
      </c>
      <c r="Q308" t="s">
        <v>882</v>
      </c>
      <c r="R308" t="s">
        <v>474</v>
      </c>
      <c r="S308" t="s">
        <v>82</v>
      </c>
      <c r="T308" s="1">
        <v>41981</v>
      </c>
      <c r="U308">
        <v>0</v>
      </c>
      <c r="V308">
        <v>13</v>
      </c>
      <c r="Y308" t="s">
        <v>42</v>
      </c>
      <c r="Z308" t="s">
        <v>43</v>
      </c>
      <c r="AA308" t="s">
        <v>43</v>
      </c>
      <c r="AD308" t="s">
        <v>3143</v>
      </c>
    </row>
    <row r="309" spans="1:30" x14ac:dyDescent="0.4">
      <c r="A309" t="s">
        <v>27</v>
      </c>
      <c r="B309">
        <v>977</v>
      </c>
      <c r="C309" t="s">
        <v>195</v>
      </c>
      <c r="D309" t="s">
        <v>883</v>
      </c>
      <c r="E309" t="s">
        <v>884</v>
      </c>
      <c r="F309" t="s">
        <v>885</v>
      </c>
      <c r="H309" t="s">
        <v>886</v>
      </c>
      <c r="I309" t="s">
        <v>51</v>
      </c>
      <c r="J309" t="s">
        <v>887</v>
      </c>
      <c r="K309" t="s">
        <v>35</v>
      </c>
      <c r="L309" t="s">
        <v>888</v>
      </c>
      <c r="M309" t="s">
        <v>889</v>
      </c>
      <c r="N309" t="s">
        <v>890</v>
      </c>
      <c r="P309" t="s">
        <v>891</v>
      </c>
      <c r="Q309" t="s">
        <v>892</v>
      </c>
      <c r="R309" t="s">
        <v>58</v>
      </c>
      <c r="S309" t="s">
        <v>40</v>
      </c>
      <c r="T309" s="1">
        <v>44290</v>
      </c>
      <c r="U309">
        <v>0</v>
      </c>
      <c r="V309">
        <v>16</v>
      </c>
      <c r="Y309" t="s">
        <v>42</v>
      </c>
      <c r="Z309" t="s">
        <v>43</v>
      </c>
      <c r="AA309" t="s">
        <v>43</v>
      </c>
      <c r="AD309" t="s">
        <v>3143</v>
      </c>
    </row>
    <row r="310" spans="1:30" x14ac:dyDescent="0.4">
      <c r="A310" t="s">
        <v>27</v>
      </c>
      <c r="B310">
        <v>977</v>
      </c>
      <c r="C310" t="s">
        <v>195</v>
      </c>
      <c r="D310" t="s">
        <v>883</v>
      </c>
      <c r="E310" t="s">
        <v>884</v>
      </c>
      <c r="F310" t="s">
        <v>885</v>
      </c>
      <c r="H310" t="s">
        <v>886</v>
      </c>
      <c r="I310" t="s">
        <v>51</v>
      </c>
      <c r="J310" t="s">
        <v>887</v>
      </c>
      <c r="K310" t="s">
        <v>35</v>
      </c>
      <c r="L310" t="s">
        <v>888</v>
      </c>
      <c r="M310" t="s">
        <v>889</v>
      </c>
      <c r="N310" t="s">
        <v>890</v>
      </c>
      <c r="P310" t="s">
        <v>891</v>
      </c>
      <c r="Q310" t="s">
        <v>892</v>
      </c>
      <c r="R310" t="s">
        <v>58</v>
      </c>
      <c r="S310" t="s">
        <v>40</v>
      </c>
      <c r="T310" s="1">
        <v>44290</v>
      </c>
      <c r="U310">
        <v>0</v>
      </c>
      <c r="V310">
        <v>18</v>
      </c>
      <c r="Y310" t="s">
        <v>42</v>
      </c>
      <c r="Z310" t="s">
        <v>43</v>
      </c>
      <c r="AA310" t="s">
        <v>43</v>
      </c>
      <c r="AD310" t="s">
        <v>3143</v>
      </c>
    </row>
    <row r="311" spans="1:30" x14ac:dyDescent="0.4">
      <c r="A311" t="s">
        <v>27</v>
      </c>
      <c r="B311">
        <v>977</v>
      </c>
      <c r="C311" t="s">
        <v>195</v>
      </c>
      <c r="D311" t="s">
        <v>883</v>
      </c>
      <c r="E311" t="s">
        <v>884</v>
      </c>
      <c r="F311" t="s">
        <v>885</v>
      </c>
      <c r="H311" t="s">
        <v>886</v>
      </c>
      <c r="I311" t="s">
        <v>51</v>
      </c>
      <c r="J311" t="s">
        <v>887</v>
      </c>
      <c r="K311" t="s">
        <v>35</v>
      </c>
      <c r="L311" t="s">
        <v>888</v>
      </c>
      <c r="M311" t="s">
        <v>889</v>
      </c>
      <c r="N311" t="s">
        <v>890</v>
      </c>
      <c r="P311" t="s">
        <v>893</v>
      </c>
      <c r="Q311" t="s">
        <v>894</v>
      </c>
      <c r="R311" t="s">
        <v>895</v>
      </c>
      <c r="S311" t="s">
        <v>40</v>
      </c>
      <c r="T311" s="1">
        <v>41544</v>
      </c>
      <c r="U311">
        <v>0</v>
      </c>
      <c r="V311">
        <v>0</v>
      </c>
      <c r="W311" t="s">
        <v>59</v>
      </c>
      <c r="Y311" t="s">
        <v>42</v>
      </c>
      <c r="Z311" t="s">
        <v>43</v>
      </c>
      <c r="AA311" t="s">
        <v>43</v>
      </c>
      <c r="AD311" t="s">
        <v>3143</v>
      </c>
    </row>
    <row r="312" spans="1:30" x14ac:dyDescent="0.4">
      <c r="A312" t="s">
        <v>27</v>
      </c>
      <c r="B312">
        <v>1285</v>
      </c>
      <c r="C312" t="s">
        <v>195</v>
      </c>
      <c r="D312" t="s">
        <v>896</v>
      </c>
      <c r="E312" t="s">
        <v>897</v>
      </c>
      <c r="F312" t="s">
        <v>898</v>
      </c>
      <c r="G312" t="s">
        <v>899</v>
      </c>
      <c r="H312" t="s">
        <v>900</v>
      </c>
      <c r="I312" t="s">
        <v>901</v>
      </c>
      <c r="J312" t="s">
        <v>902</v>
      </c>
      <c r="K312" t="s">
        <v>35</v>
      </c>
      <c r="L312" t="s">
        <v>903</v>
      </c>
      <c r="M312" t="s">
        <v>904</v>
      </c>
      <c r="N312" t="s">
        <v>2938</v>
      </c>
      <c r="P312" t="s">
        <v>906</v>
      </c>
      <c r="Q312" t="s">
        <v>907</v>
      </c>
      <c r="R312" t="s">
        <v>58</v>
      </c>
      <c r="S312" t="s">
        <v>40</v>
      </c>
      <c r="T312" s="1">
        <v>45251</v>
      </c>
      <c r="U312">
        <v>0</v>
      </c>
      <c r="V312">
        <v>4</v>
      </c>
      <c r="W312" t="s">
        <v>65</v>
      </c>
      <c r="Y312" t="s">
        <v>42</v>
      </c>
      <c r="Z312" t="s">
        <v>43</v>
      </c>
      <c r="AA312" t="s">
        <v>43</v>
      </c>
      <c r="AD312" t="s">
        <v>3143</v>
      </c>
    </row>
    <row r="313" spans="1:30" x14ac:dyDescent="0.4">
      <c r="A313" t="s">
        <v>27</v>
      </c>
      <c r="B313">
        <v>1285</v>
      </c>
      <c r="C313" t="s">
        <v>195</v>
      </c>
      <c r="D313" t="s">
        <v>896</v>
      </c>
      <c r="E313" t="s">
        <v>897</v>
      </c>
      <c r="F313" t="s">
        <v>898</v>
      </c>
      <c r="G313" t="s">
        <v>899</v>
      </c>
      <c r="H313" t="s">
        <v>900</v>
      </c>
      <c r="I313" t="s">
        <v>901</v>
      </c>
      <c r="J313" t="s">
        <v>902</v>
      </c>
      <c r="K313" t="s">
        <v>35</v>
      </c>
      <c r="L313" t="s">
        <v>903</v>
      </c>
      <c r="M313" t="s">
        <v>904</v>
      </c>
      <c r="N313" t="s">
        <v>905</v>
      </c>
      <c r="P313" t="s">
        <v>908</v>
      </c>
      <c r="Q313" t="s">
        <v>909</v>
      </c>
      <c r="R313" t="s">
        <v>58</v>
      </c>
      <c r="S313" t="s">
        <v>40</v>
      </c>
      <c r="T313" s="1">
        <v>42146</v>
      </c>
      <c r="U313">
        <v>0</v>
      </c>
      <c r="V313">
        <v>0</v>
      </c>
      <c r="W313" t="s">
        <v>59</v>
      </c>
      <c r="Y313" t="s">
        <v>42</v>
      </c>
      <c r="Z313" t="s">
        <v>43</v>
      </c>
      <c r="AA313" t="s">
        <v>43</v>
      </c>
      <c r="AD313" t="s">
        <v>3143</v>
      </c>
    </row>
    <row r="314" spans="1:30" x14ac:dyDescent="0.4">
      <c r="A314" t="s">
        <v>27</v>
      </c>
      <c r="B314">
        <v>1285</v>
      </c>
      <c r="C314" t="s">
        <v>195</v>
      </c>
      <c r="D314" t="s">
        <v>896</v>
      </c>
      <c r="E314" t="s">
        <v>897</v>
      </c>
      <c r="F314" t="s">
        <v>898</v>
      </c>
      <c r="G314" t="s">
        <v>899</v>
      </c>
      <c r="H314" t="s">
        <v>900</v>
      </c>
      <c r="I314" t="s">
        <v>901</v>
      </c>
      <c r="J314" t="s">
        <v>902</v>
      </c>
      <c r="K314" t="s">
        <v>35</v>
      </c>
      <c r="L314" t="s">
        <v>903</v>
      </c>
      <c r="M314" t="s">
        <v>904</v>
      </c>
      <c r="N314" t="s">
        <v>2938</v>
      </c>
      <c r="P314" t="s">
        <v>906</v>
      </c>
      <c r="Q314" t="s">
        <v>907</v>
      </c>
      <c r="R314" t="s">
        <v>58</v>
      </c>
      <c r="S314" t="s">
        <v>40</v>
      </c>
      <c r="T314" s="1">
        <v>45251</v>
      </c>
      <c r="U314">
        <v>0</v>
      </c>
      <c r="V314">
        <v>12</v>
      </c>
      <c r="Y314" t="s">
        <v>42</v>
      </c>
      <c r="Z314" t="s">
        <v>43</v>
      </c>
      <c r="AA314" t="s">
        <v>43</v>
      </c>
      <c r="AD314" t="s">
        <v>3143</v>
      </c>
    </row>
    <row r="315" spans="1:30" x14ac:dyDescent="0.4">
      <c r="A315" t="s">
        <v>27</v>
      </c>
      <c r="B315">
        <v>1285</v>
      </c>
      <c r="C315" t="s">
        <v>195</v>
      </c>
      <c r="D315" t="s">
        <v>896</v>
      </c>
      <c r="E315" t="s">
        <v>897</v>
      </c>
      <c r="F315" t="s">
        <v>898</v>
      </c>
      <c r="G315" t="s">
        <v>899</v>
      </c>
      <c r="H315" t="s">
        <v>900</v>
      </c>
      <c r="I315" t="s">
        <v>901</v>
      </c>
      <c r="J315" t="s">
        <v>902</v>
      </c>
      <c r="K315" t="s">
        <v>35</v>
      </c>
      <c r="L315" t="s">
        <v>903</v>
      </c>
      <c r="M315" t="s">
        <v>904</v>
      </c>
      <c r="N315" t="s">
        <v>905</v>
      </c>
      <c r="P315" t="s">
        <v>908</v>
      </c>
      <c r="Q315" t="s">
        <v>909</v>
      </c>
      <c r="R315" t="s">
        <v>58</v>
      </c>
      <c r="S315" t="s">
        <v>40</v>
      </c>
      <c r="T315" s="1">
        <v>42146</v>
      </c>
      <c r="U315">
        <v>0</v>
      </c>
      <c r="V315">
        <v>0</v>
      </c>
      <c r="W315" t="s">
        <v>59</v>
      </c>
      <c r="Y315" t="s">
        <v>42</v>
      </c>
      <c r="Z315" t="s">
        <v>43</v>
      </c>
      <c r="AA315" t="s">
        <v>43</v>
      </c>
      <c r="AD315" t="s">
        <v>3143</v>
      </c>
    </row>
    <row r="316" spans="1:30" x14ac:dyDescent="0.4">
      <c r="A316" t="s">
        <v>27</v>
      </c>
      <c r="B316">
        <v>2058</v>
      </c>
      <c r="C316" t="s">
        <v>68</v>
      </c>
      <c r="D316" t="s">
        <v>910</v>
      </c>
      <c r="E316" t="s">
        <v>911</v>
      </c>
      <c r="F316" t="s">
        <v>912</v>
      </c>
      <c r="G316" t="s">
        <v>913</v>
      </c>
      <c r="H316" t="s">
        <v>914</v>
      </c>
      <c r="I316" t="s">
        <v>215</v>
      </c>
      <c r="J316" t="s">
        <v>915</v>
      </c>
      <c r="K316" t="s">
        <v>35</v>
      </c>
      <c r="L316">
        <v>1442833321</v>
      </c>
      <c r="M316" t="s">
        <v>916</v>
      </c>
      <c r="N316" t="s">
        <v>3073</v>
      </c>
      <c r="P316" t="s">
        <v>917</v>
      </c>
      <c r="Q316" t="s">
        <v>918</v>
      </c>
      <c r="R316" t="s">
        <v>94</v>
      </c>
      <c r="S316" t="s">
        <v>40</v>
      </c>
      <c r="T316" s="1">
        <v>43570</v>
      </c>
      <c r="U316">
        <v>0</v>
      </c>
      <c r="V316">
        <v>14</v>
      </c>
      <c r="Y316" t="s">
        <v>42</v>
      </c>
      <c r="Z316" t="s">
        <v>43</v>
      </c>
      <c r="AA316" t="s">
        <v>43</v>
      </c>
      <c r="AD316" t="s">
        <v>3143</v>
      </c>
    </row>
    <row r="317" spans="1:30" x14ac:dyDescent="0.4">
      <c r="A317" t="s">
        <v>27</v>
      </c>
      <c r="B317">
        <v>2058</v>
      </c>
      <c r="C317" t="s">
        <v>68</v>
      </c>
      <c r="D317" t="s">
        <v>910</v>
      </c>
      <c r="E317" t="s">
        <v>911</v>
      </c>
      <c r="F317" t="s">
        <v>912</v>
      </c>
      <c r="G317" t="s">
        <v>913</v>
      </c>
      <c r="H317" t="s">
        <v>914</v>
      </c>
      <c r="I317" t="s">
        <v>215</v>
      </c>
      <c r="J317" t="s">
        <v>915</v>
      </c>
      <c r="K317" t="s">
        <v>35</v>
      </c>
      <c r="L317">
        <v>1442833321</v>
      </c>
      <c r="M317" t="s">
        <v>916</v>
      </c>
      <c r="N317" t="s">
        <v>3073</v>
      </c>
      <c r="P317" t="s">
        <v>917</v>
      </c>
      <c r="Q317" t="s">
        <v>918</v>
      </c>
      <c r="R317" t="s">
        <v>94</v>
      </c>
      <c r="S317" t="s">
        <v>40</v>
      </c>
      <c r="T317" s="1">
        <v>43570</v>
      </c>
      <c r="U317">
        <v>0</v>
      </c>
      <c r="V317">
        <v>16</v>
      </c>
      <c r="Y317" t="s">
        <v>42</v>
      </c>
      <c r="Z317" t="s">
        <v>43</v>
      </c>
      <c r="AA317" t="s">
        <v>43</v>
      </c>
      <c r="AD317" t="s">
        <v>3143</v>
      </c>
    </row>
    <row r="318" spans="1:30" x14ac:dyDescent="0.4">
      <c r="A318" t="s">
        <v>27</v>
      </c>
      <c r="B318">
        <v>737</v>
      </c>
      <c r="C318" t="s">
        <v>28</v>
      </c>
      <c r="D318" t="s">
        <v>919</v>
      </c>
      <c r="E318" t="s">
        <v>920</v>
      </c>
      <c r="F318" t="s">
        <v>921</v>
      </c>
      <c r="G318" t="s">
        <v>922</v>
      </c>
      <c r="H318" t="s">
        <v>923</v>
      </c>
      <c r="I318" t="s">
        <v>924</v>
      </c>
      <c r="J318" t="s">
        <v>925</v>
      </c>
      <c r="K318" t="s">
        <v>35</v>
      </c>
      <c r="L318">
        <v>2392368482</v>
      </c>
      <c r="M318" t="s">
        <v>926</v>
      </c>
      <c r="N318" t="s">
        <v>927</v>
      </c>
      <c r="P318" t="s">
        <v>928</v>
      </c>
      <c r="Q318" t="s">
        <v>929</v>
      </c>
      <c r="R318" t="s">
        <v>58</v>
      </c>
      <c r="S318" t="s">
        <v>40</v>
      </c>
      <c r="T318" s="1">
        <v>41871</v>
      </c>
      <c r="U318">
        <v>0</v>
      </c>
      <c r="V318">
        <v>0</v>
      </c>
      <c r="W318" t="s">
        <v>59</v>
      </c>
      <c r="Y318" t="s">
        <v>42</v>
      </c>
      <c r="Z318" t="s">
        <v>43</v>
      </c>
      <c r="AA318" t="s">
        <v>43</v>
      </c>
      <c r="AD318" t="s">
        <v>3143</v>
      </c>
    </row>
    <row r="319" spans="1:30" x14ac:dyDescent="0.4">
      <c r="A319" t="s">
        <v>27</v>
      </c>
      <c r="B319">
        <v>737</v>
      </c>
      <c r="C319" t="s">
        <v>28</v>
      </c>
      <c r="D319" t="s">
        <v>919</v>
      </c>
      <c r="E319" t="s">
        <v>920</v>
      </c>
      <c r="F319" t="s">
        <v>921</v>
      </c>
      <c r="G319" t="s">
        <v>922</v>
      </c>
      <c r="H319" t="s">
        <v>923</v>
      </c>
      <c r="I319" t="s">
        <v>924</v>
      </c>
      <c r="J319" t="s">
        <v>925</v>
      </c>
      <c r="K319" t="s">
        <v>35</v>
      </c>
      <c r="L319">
        <v>2392368482</v>
      </c>
      <c r="M319" t="s">
        <v>926</v>
      </c>
      <c r="N319" t="s">
        <v>3074</v>
      </c>
      <c r="P319" t="s">
        <v>930</v>
      </c>
      <c r="Q319" t="s">
        <v>931</v>
      </c>
      <c r="R319" t="s">
        <v>94</v>
      </c>
      <c r="S319" t="s">
        <v>40</v>
      </c>
      <c r="T319" s="1">
        <v>43337</v>
      </c>
      <c r="U319">
        <v>0</v>
      </c>
      <c r="V319">
        <v>6</v>
      </c>
      <c r="W319" t="s">
        <v>83</v>
      </c>
      <c r="Y319" t="s">
        <v>42</v>
      </c>
      <c r="Z319" t="s">
        <v>43</v>
      </c>
      <c r="AA319" t="s">
        <v>43</v>
      </c>
      <c r="AD319" t="s">
        <v>3143</v>
      </c>
    </row>
    <row r="320" spans="1:30" x14ac:dyDescent="0.4">
      <c r="A320" t="s">
        <v>27</v>
      </c>
      <c r="B320">
        <v>737</v>
      </c>
      <c r="C320" t="s">
        <v>28</v>
      </c>
      <c r="D320" t="s">
        <v>919</v>
      </c>
      <c r="E320" t="s">
        <v>920</v>
      </c>
      <c r="F320" t="s">
        <v>921</v>
      </c>
      <c r="G320" t="s">
        <v>922</v>
      </c>
      <c r="H320" t="s">
        <v>923</v>
      </c>
      <c r="I320" t="s">
        <v>924</v>
      </c>
      <c r="J320" t="s">
        <v>925</v>
      </c>
      <c r="K320" t="s">
        <v>35</v>
      </c>
      <c r="L320">
        <v>2392368482</v>
      </c>
      <c r="M320" t="s">
        <v>926</v>
      </c>
      <c r="N320" t="s">
        <v>3074</v>
      </c>
      <c r="P320" t="s">
        <v>930</v>
      </c>
      <c r="Q320" t="s">
        <v>931</v>
      </c>
      <c r="R320" t="s">
        <v>94</v>
      </c>
      <c r="S320" t="s">
        <v>40</v>
      </c>
      <c r="T320" s="1">
        <v>43337</v>
      </c>
      <c r="U320">
        <v>0</v>
      </c>
      <c r="V320">
        <v>7</v>
      </c>
      <c r="Y320" t="s">
        <v>42</v>
      </c>
      <c r="Z320" t="s">
        <v>43</v>
      </c>
      <c r="AA320" t="s">
        <v>43</v>
      </c>
      <c r="AD320" t="s">
        <v>3143</v>
      </c>
    </row>
    <row r="321" spans="1:30" x14ac:dyDescent="0.4">
      <c r="A321" t="s">
        <v>27</v>
      </c>
      <c r="B321">
        <v>860</v>
      </c>
      <c r="C321" t="s">
        <v>257</v>
      </c>
      <c r="D321" t="s">
        <v>932</v>
      </c>
      <c r="E321" t="s">
        <v>933</v>
      </c>
      <c r="F321" t="s">
        <v>934</v>
      </c>
      <c r="H321" t="s">
        <v>935</v>
      </c>
      <c r="I321" t="s">
        <v>426</v>
      </c>
      <c r="J321" t="s">
        <v>936</v>
      </c>
      <c r="K321" t="s">
        <v>35</v>
      </c>
      <c r="L321">
        <v>7771913768</v>
      </c>
      <c r="M321" t="s">
        <v>937</v>
      </c>
      <c r="N321" t="s">
        <v>2940</v>
      </c>
      <c r="P321" t="s">
        <v>3102</v>
      </c>
      <c r="Q321" t="s">
        <v>939</v>
      </c>
      <c r="R321" t="s">
        <v>58</v>
      </c>
      <c r="S321" t="s">
        <v>40</v>
      </c>
      <c r="T321" s="1">
        <v>43402</v>
      </c>
      <c r="U321">
        <v>0</v>
      </c>
      <c r="V321">
        <v>6</v>
      </c>
      <c r="W321" t="s">
        <v>83</v>
      </c>
      <c r="Y321" t="s">
        <v>42</v>
      </c>
      <c r="Z321" t="s">
        <v>43</v>
      </c>
      <c r="AA321" t="s">
        <v>43</v>
      </c>
      <c r="AD321" t="s">
        <v>3143</v>
      </c>
    </row>
    <row r="322" spans="1:30" x14ac:dyDescent="0.4">
      <c r="A322" t="s">
        <v>27</v>
      </c>
      <c r="B322">
        <v>860</v>
      </c>
      <c r="C322" t="s">
        <v>257</v>
      </c>
      <c r="D322" t="s">
        <v>932</v>
      </c>
      <c r="E322" t="s">
        <v>933</v>
      </c>
      <c r="F322" t="s">
        <v>934</v>
      </c>
      <c r="H322" t="s">
        <v>935</v>
      </c>
      <c r="I322" t="s">
        <v>426</v>
      </c>
      <c r="J322" t="s">
        <v>936</v>
      </c>
      <c r="K322" t="s">
        <v>35</v>
      </c>
      <c r="L322">
        <v>7771913768</v>
      </c>
      <c r="M322" t="s">
        <v>937</v>
      </c>
      <c r="N322" t="s">
        <v>2940</v>
      </c>
      <c r="P322" t="s">
        <v>3102</v>
      </c>
      <c r="Q322" t="s">
        <v>939</v>
      </c>
      <c r="R322" t="s">
        <v>58</v>
      </c>
      <c r="S322" t="s">
        <v>40</v>
      </c>
      <c r="T322" s="1">
        <v>43402</v>
      </c>
      <c r="U322">
        <v>0</v>
      </c>
      <c r="V322">
        <v>7</v>
      </c>
      <c r="Y322" t="s">
        <v>42</v>
      </c>
      <c r="Z322" t="s">
        <v>43</v>
      </c>
      <c r="AA322" t="s">
        <v>43</v>
      </c>
      <c r="AD322" t="s">
        <v>3143</v>
      </c>
    </row>
    <row r="323" spans="1:30" x14ac:dyDescent="0.4">
      <c r="A323" t="s">
        <v>27</v>
      </c>
      <c r="B323">
        <v>860</v>
      </c>
      <c r="C323" t="s">
        <v>257</v>
      </c>
      <c r="D323" t="s">
        <v>932</v>
      </c>
      <c r="E323" t="s">
        <v>933</v>
      </c>
      <c r="F323" t="s">
        <v>934</v>
      </c>
      <c r="H323" t="s">
        <v>935</v>
      </c>
      <c r="I323" t="s">
        <v>426</v>
      </c>
      <c r="J323" t="s">
        <v>936</v>
      </c>
      <c r="K323" t="s">
        <v>35</v>
      </c>
      <c r="L323">
        <v>7771913768</v>
      </c>
      <c r="M323" t="s">
        <v>937</v>
      </c>
      <c r="N323" t="s">
        <v>2940</v>
      </c>
      <c r="P323" t="s">
        <v>3102</v>
      </c>
      <c r="Q323" t="s">
        <v>939</v>
      </c>
      <c r="R323" t="s">
        <v>58</v>
      </c>
      <c r="S323" t="s">
        <v>40</v>
      </c>
      <c r="T323" s="1">
        <v>43402</v>
      </c>
      <c r="U323">
        <v>0</v>
      </c>
      <c r="V323">
        <v>16</v>
      </c>
      <c r="Y323" t="s">
        <v>42</v>
      </c>
      <c r="Z323" t="s">
        <v>43</v>
      </c>
      <c r="AA323" t="s">
        <v>43</v>
      </c>
      <c r="AD323" t="s">
        <v>3143</v>
      </c>
    </row>
    <row r="324" spans="1:30" x14ac:dyDescent="0.4">
      <c r="A324" t="s">
        <v>27</v>
      </c>
      <c r="B324">
        <v>860</v>
      </c>
      <c r="C324" t="s">
        <v>257</v>
      </c>
      <c r="D324" t="s">
        <v>932</v>
      </c>
      <c r="E324" t="s">
        <v>933</v>
      </c>
      <c r="F324" t="s">
        <v>934</v>
      </c>
      <c r="H324" t="s">
        <v>935</v>
      </c>
      <c r="I324" t="s">
        <v>426</v>
      </c>
      <c r="J324" t="s">
        <v>936</v>
      </c>
      <c r="K324" t="s">
        <v>35</v>
      </c>
      <c r="L324">
        <v>7771913768</v>
      </c>
      <c r="M324" t="s">
        <v>937</v>
      </c>
      <c r="N324" t="s">
        <v>2940</v>
      </c>
      <c r="P324" t="s">
        <v>3102</v>
      </c>
      <c r="Q324" t="s">
        <v>939</v>
      </c>
      <c r="R324" t="s">
        <v>58</v>
      </c>
      <c r="S324" t="s">
        <v>40</v>
      </c>
      <c r="T324" s="1">
        <v>43402</v>
      </c>
      <c r="U324">
        <v>0</v>
      </c>
      <c r="V324">
        <v>18</v>
      </c>
      <c r="Y324" t="s">
        <v>42</v>
      </c>
      <c r="Z324" t="s">
        <v>43</v>
      </c>
      <c r="AA324" t="s">
        <v>43</v>
      </c>
      <c r="AD324" t="s">
        <v>3143</v>
      </c>
    </row>
    <row r="325" spans="1:30" x14ac:dyDescent="0.4">
      <c r="A325" t="s">
        <v>27</v>
      </c>
      <c r="B325">
        <v>278</v>
      </c>
      <c r="C325" t="s">
        <v>68</v>
      </c>
      <c r="D325" t="s">
        <v>940</v>
      </c>
      <c r="E325" t="s">
        <v>941</v>
      </c>
      <c r="F325" t="s">
        <v>942</v>
      </c>
      <c r="G325" t="s">
        <v>943</v>
      </c>
      <c r="H325" t="s">
        <v>900</v>
      </c>
      <c r="I325" t="s">
        <v>598</v>
      </c>
      <c r="J325" t="s">
        <v>944</v>
      </c>
      <c r="K325" t="s">
        <v>35</v>
      </c>
      <c r="L325">
        <v>1235831578</v>
      </c>
      <c r="M325" t="s">
        <v>945</v>
      </c>
      <c r="N325" t="s">
        <v>2859</v>
      </c>
      <c r="P325" t="s">
        <v>946</v>
      </c>
      <c r="Q325" t="s">
        <v>947</v>
      </c>
      <c r="R325" t="s">
        <v>58</v>
      </c>
      <c r="S325" t="s">
        <v>82</v>
      </c>
      <c r="T325" s="1">
        <v>43954</v>
      </c>
      <c r="U325">
        <v>0</v>
      </c>
      <c r="V325">
        <v>4</v>
      </c>
      <c r="W325" t="s">
        <v>65</v>
      </c>
      <c r="X325" t="s">
        <v>392</v>
      </c>
      <c r="Y325" t="s">
        <v>42</v>
      </c>
      <c r="Z325" t="s">
        <v>43</v>
      </c>
      <c r="AA325" t="s">
        <v>43</v>
      </c>
      <c r="AD325" t="s">
        <v>3143</v>
      </c>
    </row>
    <row r="326" spans="1:30" x14ac:dyDescent="0.4">
      <c r="A326" t="s">
        <v>27</v>
      </c>
      <c r="B326">
        <v>278</v>
      </c>
      <c r="C326" t="s">
        <v>68</v>
      </c>
      <c r="D326" t="s">
        <v>940</v>
      </c>
      <c r="E326" t="s">
        <v>941</v>
      </c>
      <c r="F326" t="s">
        <v>942</v>
      </c>
      <c r="G326" t="s">
        <v>943</v>
      </c>
      <c r="H326" t="s">
        <v>900</v>
      </c>
      <c r="I326" t="s">
        <v>598</v>
      </c>
      <c r="J326" t="s">
        <v>944</v>
      </c>
      <c r="K326" t="s">
        <v>35</v>
      </c>
      <c r="L326">
        <v>1235831578</v>
      </c>
      <c r="M326" t="s">
        <v>945</v>
      </c>
      <c r="N326" t="s">
        <v>2859</v>
      </c>
      <c r="P326" t="s">
        <v>948</v>
      </c>
      <c r="Q326" t="s">
        <v>949</v>
      </c>
      <c r="R326" t="s">
        <v>58</v>
      </c>
      <c r="S326" t="s">
        <v>82</v>
      </c>
      <c r="T326" s="1">
        <v>41820</v>
      </c>
      <c r="U326">
        <v>0</v>
      </c>
      <c r="V326">
        <v>5</v>
      </c>
      <c r="W326" t="s">
        <v>66</v>
      </c>
      <c r="X326" t="s">
        <v>392</v>
      </c>
      <c r="Y326" t="s">
        <v>42</v>
      </c>
      <c r="Z326" t="s">
        <v>43</v>
      </c>
      <c r="AA326" t="s">
        <v>43</v>
      </c>
      <c r="AD326" t="s">
        <v>3143</v>
      </c>
    </row>
    <row r="327" spans="1:30" x14ac:dyDescent="0.4">
      <c r="A327" t="s">
        <v>27</v>
      </c>
      <c r="B327">
        <v>278</v>
      </c>
      <c r="C327" t="s">
        <v>68</v>
      </c>
      <c r="D327" t="s">
        <v>940</v>
      </c>
      <c r="E327" t="s">
        <v>941</v>
      </c>
      <c r="F327" t="s">
        <v>942</v>
      </c>
      <c r="G327" t="s">
        <v>943</v>
      </c>
      <c r="H327" t="s">
        <v>900</v>
      </c>
      <c r="I327" t="s">
        <v>598</v>
      </c>
      <c r="J327" t="s">
        <v>944</v>
      </c>
      <c r="K327" t="s">
        <v>35</v>
      </c>
      <c r="L327">
        <v>1235831578</v>
      </c>
      <c r="M327" t="s">
        <v>945</v>
      </c>
      <c r="N327" t="s">
        <v>2859</v>
      </c>
      <c r="P327" t="s">
        <v>946</v>
      </c>
      <c r="Q327" t="s">
        <v>947</v>
      </c>
      <c r="R327" t="s">
        <v>58</v>
      </c>
      <c r="S327" t="s">
        <v>82</v>
      </c>
      <c r="T327" s="1">
        <v>43954</v>
      </c>
      <c r="U327">
        <v>0</v>
      </c>
      <c r="V327">
        <v>13</v>
      </c>
      <c r="X327" t="s">
        <v>392</v>
      </c>
      <c r="Y327" t="s">
        <v>42</v>
      </c>
      <c r="Z327" t="s">
        <v>43</v>
      </c>
      <c r="AA327" t="s">
        <v>43</v>
      </c>
      <c r="AD327" t="s">
        <v>3143</v>
      </c>
    </row>
    <row r="328" spans="1:30" x14ac:dyDescent="0.4">
      <c r="A328" t="s">
        <v>27</v>
      </c>
      <c r="B328">
        <v>278</v>
      </c>
      <c r="C328" t="s">
        <v>68</v>
      </c>
      <c r="D328" t="s">
        <v>940</v>
      </c>
      <c r="E328" t="s">
        <v>941</v>
      </c>
      <c r="F328" t="s">
        <v>942</v>
      </c>
      <c r="G328" t="s">
        <v>943</v>
      </c>
      <c r="H328" t="s">
        <v>900</v>
      </c>
      <c r="I328" t="s">
        <v>598</v>
      </c>
      <c r="J328" t="s">
        <v>944</v>
      </c>
      <c r="K328" t="s">
        <v>35</v>
      </c>
      <c r="L328">
        <v>1235831578</v>
      </c>
      <c r="M328" t="s">
        <v>945</v>
      </c>
      <c r="N328" t="s">
        <v>2859</v>
      </c>
      <c r="P328" t="s">
        <v>948</v>
      </c>
      <c r="Q328" t="s">
        <v>949</v>
      </c>
      <c r="R328" t="s">
        <v>58</v>
      </c>
      <c r="S328" t="s">
        <v>82</v>
      </c>
      <c r="T328" s="1">
        <v>41820</v>
      </c>
      <c r="U328">
        <v>0</v>
      </c>
      <c r="V328">
        <v>15</v>
      </c>
      <c r="X328" t="s">
        <v>392</v>
      </c>
      <c r="Y328" t="s">
        <v>42</v>
      </c>
      <c r="Z328" t="s">
        <v>43</v>
      </c>
      <c r="AA328" t="s">
        <v>43</v>
      </c>
      <c r="AD328" t="s">
        <v>3143</v>
      </c>
    </row>
    <row r="329" spans="1:30" x14ac:dyDescent="0.4">
      <c r="A329" t="s">
        <v>27</v>
      </c>
      <c r="B329">
        <v>762</v>
      </c>
      <c r="C329" t="s">
        <v>28</v>
      </c>
      <c r="D329" t="s">
        <v>950</v>
      </c>
      <c r="E329" t="s">
        <v>951</v>
      </c>
      <c r="F329" t="s">
        <v>952</v>
      </c>
      <c r="H329" t="s">
        <v>953</v>
      </c>
      <c r="I329" t="s">
        <v>495</v>
      </c>
      <c r="J329" t="s">
        <v>954</v>
      </c>
      <c r="K329" t="s">
        <v>35</v>
      </c>
      <c r="L329" t="s">
        <v>955</v>
      </c>
      <c r="M329" t="s">
        <v>956</v>
      </c>
      <c r="N329" t="s">
        <v>2941</v>
      </c>
      <c r="P329" t="s">
        <v>958</v>
      </c>
      <c r="Q329" t="s">
        <v>959</v>
      </c>
      <c r="R329" t="s">
        <v>960</v>
      </c>
      <c r="S329" t="s">
        <v>40</v>
      </c>
      <c r="T329" s="1">
        <v>43578</v>
      </c>
      <c r="U329">
        <v>0</v>
      </c>
      <c r="V329">
        <v>20</v>
      </c>
      <c r="Y329" t="s">
        <v>42</v>
      </c>
      <c r="Z329" t="s">
        <v>43</v>
      </c>
      <c r="AA329" t="s">
        <v>43</v>
      </c>
      <c r="AD329" t="s">
        <v>3143</v>
      </c>
    </row>
    <row r="330" spans="1:30" x14ac:dyDescent="0.4">
      <c r="A330" t="s">
        <v>27</v>
      </c>
      <c r="B330">
        <v>762</v>
      </c>
      <c r="C330" t="s">
        <v>28</v>
      </c>
      <c r="D330" t="s">
        <v>950</v>
      </c>
      <c r="E330" t="s">
        <v>951</v>
      </c>
      <c r="F330" t="s">
        <v>952</v>
      </c>
      <c r="H330" t="s">
        <v>953</v>
      </c>
      <c r="I330" t="s">
        <v>495</v>
      </c>
      <c r="J330" t="s">
        <v>954</v>
      </c>
      <c r="K330" t="s">
        <v>35</v>
      </c>
      <c r="L330" t="s">
        <v>955</v>
      </c>
      <c r="M330" t="s">
        <v>956</v>
      </c>
      <c r="N330" t="s">
        <v>957</v>
      </c>
      <c r="P330" t="s">
        <v>961</v>
      </c>
      <c r="Q330" t="s">
        <v>962</v>
      </c>
      <c r="R330" t="s">
        <v>960</v>
      </c>
      <c r="S330" t="s">
        <v>82</v>
      </c>
      <c r="T330" s="1">
        <v>42134</v>
      </c>
      <c r="U330">
        <v>0</v>
      </c>
      <c r="V330">
        <v>0</v>
      </c>
      <c r="W330" t="s">
        <v>59</v>
      </c>
      <c r="Y330" t="s">
        <v>42</v>
      </c>
      <c r="Z330" t="s">
        <v>43</v>
      </c>
      <c r="AA330" t="s">
        <v>43</v>
      </c>
      <c r="AD330" t="s">
        <v>3143</v>
      </c>
    </row>
    <row r="331" spans="1:30" x14ac:dyDescent="0.4">
      <c r="A331" t="s">
        <v>27</v>
      </c>
      <c r="B331">
        <v>762</v>
      </c>
      <c r="C331" t="s">
        <v>28</v>
      </c>
      <c r="D331" t="s">
        <v>950</v>
      </c>
      <c r="E331" t="s">
        <v>951</v>
      </c>
      <c r="F331" t="s">
        <v>952</v>
      </c>
      <c r="H331" t="s">
        <v>953</v>
      </c>
      <c r="I331" t="s">
        <v>495</v>
      </c>
      <c r="J331" t="s">
        <v>954</v>
      </c>
      <c r="K331" t="s">
        <v>35</v>
      </c>
      <c r="L331" t="s">
        <v>955</v>
      </c>
      <c r="M331" t="s">
        <v>956</v>
      </c>
      <c r="N331" t="s">
        <v>957</v>
      </c>
      <c r="P331" t="s">
        <v>963</v>
      </c>
      <c r="Q331" t="s">
        <v>964</v>
      </c>
      <c r="R331" t="s">
        <v>567</v>
      </c>
      <c r="S331" t="s">
        <v>82</v>
      </c>
      <c r="T331" s="1">
        <v>40801</v>
      </c>
      <c r="U331">
        <v>0</v>
      </c>
      <c r="V331">
        <v>0</v>
      </c>
      <c r="W331" t="s">
        <v>59</v>
      </c>
      <c r="Y331" t="s">
        <v>42</v>
      </c>
      <c r="Z331" t="s">
        <v>43</v>
      </c>
      <c r="AA331" t="s">
        <v>43</v>
      </c>
      <c r="AD331" t="s">
        <v>3143</v>
      </c>
    </row>
    <row r="332" spans="1:30" x14ac:dyDescent="0.4">
      <c r="A332" t="s">
        <v>27</v>
      </c>
      <c r="B332">
        <v>762</v>
      </c>
      <c r="C332" t="s">
        <v>28</v>
      </c>
      <c r="D332" t="s">
        <v>950</v>
      </c>
      <c r="E332" t="s">
        <v>951</v>
      </c>
      <c r="F332" t="s">
        <v>952</v>
      </c>
      <c r="H332" t="s">
        <v>953</v>
      </c>
      <c r="I332" t="s">
        <v>495</v>
      </c>
      <c r="J332" t="s">
        <v>954</v>
      </c>
      <c r="K332" t="s">
        <v>35</v>
      </c>
      <c r="L332" t="s">
        <v>955</v>
      </c>
      <c r="M332" t="s">
        <v>956</v>
      </c>
      <c r="N332" t="s">
        <v>957</v>
      </c>
      <c r="P332" t="s">
        <v>965</v>
      </c>
      <c r="Q332" t="s">
        <v>966</v>
      </c>
      <c r="R332" t="s">
        <v>967</v>
      </c>
      <c r="S332" t="s">
        <v>40</v>
      </c>
      <c r="T332" s="1">
        <v>45469</v>
      </c>
      <c r="U332">
        <v>0</v>
      </c>
      <c r="V332">
        <v>0</v>
      </c>
      <c r="Y332" t="s">
        <v>42</v>
      </c>
      <c r="Z332" t="s">
        <v>43</v>
      </c>
      <c r="AA332" t="s">
        <v>43</v>
      </c>
      <c r="AD332" t="s">
        <v>3143</v>
      </c>
    </row>
    <row r="333" spans="1:30" x14ac:dyDescent="0.4">
      <c r="A333" t="s">
        <v>27</v>
      </c>
      <c r="B333">
        <v>1162</v>
      </c>
      <c r="C333" t="s">
        <v>195</v>
      </c>
      <c r="D333" t="s">
        <v>968</v>
      </c>
      <c r="E333" t="s">
        <v>969</v>
      </c>
      <c r="F333" t="s">
        <v>970</v>
      </c>
      <c r="H333" t="s">
        <v>971</v>
      </c>
      <c r="I333" t="s">
        <v>972</v>
      </c>
      <c r="J333" t="s">
        <v>973</v>
      </c>
      <c r="K333" t="s">
        <v>35</v>
      </c>
      <c r="L333" t="s">
        <v>974</v>
      </c>
      <c r="M333" t="s">
        <v>975</v>
      </c>
      <c r="N333" t="s">
        <v>976</v>
      </c>
      <c r="P333" t="s">
        <v>977</v>
      </c>
      <c r="Q333" t="s">
        <v>978</v>
      </c>
      <c r="R333" t="s">
        <v>232</v>
      </c>
      <c r="S333" t="s">
        <v>82</v>
      </c>
      <c r="T333" s="1">
        <v>43203</v>
      </c>
      <c r="U333">
        <v>0</v>
      </c>
      <c r="V333">
        <v>21</v>
      </c>
      <c r="Y333" t="s">
        <v>42</v>
      </c>
      <c r="Z333" t="s">
        <v>43</v>
      </c>
      <c r="AA333" t="s">
        <v>43</v>
      </c>
      <c r="AD333" t="s">
        <v>3143</v>
      </c>
    </row>
    <row r="334" spans="1:30" x14ac:dyDescent="0.4">
      <c r="A334" t="s">
        <v>27</v>
      </c>
      <c r="B334">
        <v>1162</v>
      </c>
      <c r="C334" t="s">
        <v>195</v>
      </c>
      <c r="D334" t="s">
        <v>968</v>
      </c>
      <c r="E334" t="s">
        <v>969</v>
      </c>
      <c r="F334" t="s">
        <v>970</v>
      </c>
      <c r="H334" t="s">
        <v>971</v>
      </c>
      <c r="I334" t="s">
        <v>972</v>
      </c>
      <c r="J334" t="s">
        <v>973</v>
      </c>
      <c r="K334" t="s">
        <v>35</v>
      </c>
      <c r="L334" t="s">
        <v>974</v>
      </c>
      <c r="M334" t="s">
        <v>975</v>
      </c>
      <c r="N334" t="s">
        <v>976</v>
      </c>
      <c r="P334" t="s">
        <v>977</v>
      </c>
      <c r="Q334" t="s">
        <v>978</v>
      </c>
      <c r="R334" t="s">
        <v>232</v>
      </c>
      <c r="S334" t="s">
        <v>82</v>
      </c>
      <c r="T334" s="1">
        <v>43203</v>
      </c>
      <c r="U334">
        <v>0</v>
      </c>
      <c r="V334">
        <v>19</v>
      </c>
      <c r="Y334" t="s">
        <v>42</v>
      </c>
      <c r="Z334" t="s">
        <v>43</v>
      </c>
      <c r="AA334" t="s">
        <v>43</v>
      </c>
      <c r="AD334" t="s">
        <v>3143</v>
      </c>
    </row>
    <row r="335" spans="1:30" x14ac:dyDescent="0.4">
      <c r="A335" t="s">
        <v>27</v>
      </c>
      <c r="B335">
        <v>521</v>
      </c>
      <c r="C335" t="s">
        <v>68</v>
      </c>
      <c r="D335" t="s">
        <v>979</v>
      </c>
      <c r="E335" t="s">
        <v>980</v>
      </c>
      <c r="F335" t="s">
        <v>981</v>
      </c>
      <c r="H335" t="s">
        <v>982</v>
      </c>
      <c r="I335" t="s">
        <v>73</v>
      </c>
      <c r="J335" t="s">
        <v>983</v>
      </c>
      <c r="K335" t="s">
        <v>35</v>
      </c>
      <c r="L335">
        <v>2082249156</v>
      </c>
      <c r="M335" t="s">
        <v>984</v>
      </c>
      <c r="N335" t="s">
        <v>2942</v>
      </c>
      <c r="P335" t="s">
        <v>3049</v>
      </c>
      <c r="Q335" t="s">
        <v>987</v>
      </c>
      <c r="R335" t="s">
        <v>58</v>
      </c>
      <c r="S335" t="s">
        <v>82</v>
      </c>
      <c r="T335" s="1">
        <v>44854</v>
      </c>
      <c r="U335">
        <v>0</v>
      </c>
      <c r="V335">
        <v>4</v>
      </c>
      <c r="W335" t="s">
        <v>65</v>
      </c>
      <c r="Y335" t="s">
        <v>42</v>
      </c>
      <c r="Z335" t="s">
        <v>43</v>
      </c>
      <c r="AA335" t="s">
        <v>43</v>
      </c>
      <c r="AD335" t="s">
        <v>3143</v>
      </c>
    </row>
    <row r="336" spans="1:30" x14ac:dyDescent="0.4">
      <c r="A336" t="s">
        <v>27</v>
      </c>
      <c r="B336">
        <v>521</v>
      </c>
      <c r="C336" t="s">
        <v>68</v>
      </c>
      <c r="D336" t="s">
        <v>979</v>
      </c>
      <c r="E336" t="s">
        <v>980</v>
      </c>
      <c r="F336" t="s">
        <v>981</v>
      </c>
      <c r="H336" t="s">
        <v>982</v>
      </c>
      <c r="I336" t="s">
        <v>73</v>
      </c>
      <c r="J336" t="s">
        <v>983</v>
      </c>
      <c r="K336" t="s">
        <v>35</v>
      </c>
      <c r="L336">
        <v>2082249156</v>
      </c>
      <c r="M336" t="s">
        <v>984</v>
      </c>
      <c r="N336" t="s">
        <v>2942</v>
      </c>
      <c r="P336" t="s">
        <v>3103</v>
      </c>
      <c r="Q336" t="s">
        <v>989</v>
      </c>
      <c r="R336" t="s">
        <v>960</v>
      </c>
      <c r="S336" t="s">
        <v>82</v>
      </c>
      <c r="T336" s="1">
        <v>42329</v>
      </c>
      <c r="U336">
        <v>0</v>
      </c>
      <c r="V336">
        <v>6</v>
      </c>
      <c r="W336" t="s">
        <v>83</v>
      </c>
      <c r="Y336" t="s">
        <v>42</v>
      </c>
      <c r="Z336" t="s">
        <v>43</v>
      </c>
      <c r="AA336" t="s">
        <v>43</v>
      </c>
      <c r="AD336" t="s">
        <v>3143</v>
      </c>
    </row>
    <row r="337" spans="1:30" x14ac:dyDescent="0.4">
      <c r="A337" t="s">
        <v>27</v>
      </c>
      <c r="B337">
        <v>521</v>
      </c>
      <c r="C337" t="s">
        <v>68</v>
      </c>
      <c r="D337" t="s">
        <v>979</v>
      </c>
      <c r="E337" t="s">
        <v>980</v>
      </c>
      <c r="F337" t="s">
        <v>981</v>
      </c>
      <c r="H337" t="s">
        <v>982</v>
      </c>
      <c r="I337" t="s">
        <v>73</v>
      </c>
      <c r="J337" t="s">
        <v>983</v>
      </c>
      <c r="K337" t="s">
        <v>35</v>
      </c>
      <c r="L337">
        <v>2082249156</v>
      </c>
      <c r="M337" t="s">
        <v>984</v>
      </c>
      <c r="N337" t="s">
        <v>2942</v>
      </c>
      <c r="P337" t="s">
        <v>3049</v>
      </c>
      <c r="Q337" t="s">
        <v>987</v>
      </c>
      <c r="R337" t="s">
        <v>58</v>
      </c>
      <c r="S337" t="s">
        <v>82</v>
      </c>
      <c r="T337" s="1">
        <v>44854</v>
      </c>
      <c r="U337">
        <v>0</v>
      </c>
      <c r="V337">
        <v>13</v>
      </c>
      <c r="Y337" t="s">
        <v>42</v>
      </c>
      <c r="Z337" t="s">
        <v>43</v>
      </c>
      <c r="AA337" t="s">
        <v>43</v>
      </c>
      <c r="AD337" t="s">
        <v>3143</v>
      </c>
    </row>
    <row r="338" spans="1:30" x14ac:dyDescent="0.4">
      <c r="A338" t="s">
        <v>27</v>
      </c>
      <c r="B338">
        <v>521</v>
      </c>
      <c r="C338" t="s">
        <v>68</v>
      </c>
      <c r="D338" t="s">
        <v>979</v>
      </c>
      <c r="E338" t="s">
        <v>980</v>
      </c>
      <c r="F338" t="s">
        <v>981</v>
      </c>
      <c r="H338" t="s">
        <v>982</v>
      </c>
      <c r="I338" t="s">
        <v>73</v>
      </c>
      <c r="J338" t="s">
        <v>983</v>
      </c>
      <c r="K338" t="s">
        <v>35</v>
      </c>
      <c r="L338">
        <v>2082249156</v>
      </c>
      <c r="M338" t="s">
        <v>984</v>
      </c>
      <c r="N338" t="s">
        <v>2942</v>
      </c>
      <c r="P338" t="s">
        <v>3103</v>
      </c>
      <c r="Q338" t="s">
        <v>989</v>
      </c>
      <c r="R338" t="s">
        <v>960</v>
      </c>
      <c r="S338" t="s">
        <v>82</v>
      </c>
      <c r="T338" s="1">
        <v>42329</v>
      </c>
      <c r="U338">
        <v>0</v>
      </c>
      <c r="V338">
        <v>17</v>
      </c>
      <c r="Y338" t="s">
        <v>42</v>
      </c>
      <c r="Z338" t="s">
        <v>43</v>
      </c>
      <c r="AA338" t="s">
        <v>43</v>
      </c>
      <c r="AD338" t="s">
        <v>3143</v>
      </c>
    </row>
    <row r="339" spans="1:30" x14ac:dyDescent="0.4">
      <c r="A339" t="s">
        <v>27</v>
      </c>
      <c r="B339">
        <v>521</v>
      </c>
      <c r="C339" t="s">
        <v>68</v>
      </c>
      <c r="D339" t="s">
        <v>979</v>
      </c>
      <c r="E339" t="s">
        <v>980</v>
      </c>
      <c r="F339" t="s">
        <v>981</v>
      </c>
      <c r="H339" t="s">
        <v>982</v>
      </c>
      <c r="I339" t="s">
        <v>73</v>
      </c>
      <c r="J339" t="s">
        <v>983</v>
      </c>
      <c r="K339" t="s">
        <v>35</v>
      </c>
      <c r="L339">
        <v>2082249156</v>
      </c>
      <c r="M339" t="s">
        <v>984</v>
      </c>
      <c r="N339" t="s">
        <v>985</v>
      </c>
      <c r="P339" t="s">
        <v>990</v>
      </c>
      <c r="Q339" t="s">
        <v>991</v>
      </c>
      <c r="R339" t="s">
        <v>992</v>
      </c>
      <c r="S339" t="s">
        <v>82</v>
      </c>
      <c r="T339" s="1">
        <v>40371</v>
      </c>
      <c r="U339">
        <v>0</v>
      </c>
      <c r="V339">
        <v>0</v>
      </c>
      <c r="W339" t="s">
        <v>59</v>
      </c>
      <c r="Y339" t="s">
        <v>42</v>
      </c>
      <c r="Z339" t="s">
        <v>43</v>
      </c>
      <c r="AA339" t="s">
        <v>43</v>
      </c>
      <c r="AD339" t="s">
        <v>3143</v>
      </c>
    </row>
    <row r="340" spans="1:30" x14ac:dyDescent="0.4">
      <c r="A340" t="s">
        <v>27</v>
      </c>
      <c r="B340">
        <v>521</v>
      </c>
      <c r="C340" t="s">
        <v>68</v>
      </c>
      <c r="D340" t="s">
        <v>979</v>
      </c>
      <c r="E340" t="s">
        <v>980</v>
      </c>
      <c r="F340" t="s">
        <v>981</v>
      </c>
      <c r="H340" t="s">
        <v>982</v>
      </c>
      <c r="I340" t="s">
        <v>73</v>
      </c>
      <c r="J340" t="s">
        <v>983</v>
      </c>
      <c r="K340" t="s">
        <v>35</v>
      </c>
      <c r="L340">
        <v>2082249156</v>
      </c>
      <c r="M340" t="s">
        <v>984</v>
      </c>
      <c r="N340" t="s">
        <v>985</v>
      </c>
      <c r="P340" t="s">
        <v>990</v>
      </c>
      <c r="Q340" t="s">
        <v>991</v>
      </c>
      <c r="R340" t="s">
        <v>992</v>
      </c>
      <c r="S340" t="s">
        <v>82</v>
      </c>
      <c r="T340" s="1">
        <v>40371</v>
      </c>
      <c r="U340">
        <v>0</v>
      </c>
      <c r="V340">
        <v>0</v>
      </c>
      <c r="W340" t="s">
        <v>59</v>
      </c>
      <c r="Y340" t="s">
        <v>42</v>
      </c>
      <c r="Z340" t="s">
        <v>43</v>
      </c>
      <c r="AA340" t="s">
        <v>43</v>
      </c>
      <c r="AD340" t="s">
        <v>3143</v>
      </c>
    </row>
    <row r="341" spans="1:30" x14ac:dyDescent="0.4">
      <c r="A341" t="s">
        <v>27</v>
      </c>
      <c r="B341">
        <v>957</v>
      </c>
      <c r="C341" t="s">
        <v>257</v>
      </c>
      <c r="D341" t="s">
        <v>993</v>
      </c>
      <c r="E341" t="s">
        <v>994</v>
      </c>
      <c r="F341" t="s">
        <v>995</v>
      </c>
      <c r="H341" t="s">
        <v>996</v>
      </c>
      <c r="I341" t="s">
        <v>495</v>
      </c>
      <c r="J341" t="s">
        <v>997</v>
      </c>
      <c r="K341" t="s">
        <v>35</v>
      </c>
      <c r="L341">
        <v>7957358057</v>
      </c>
      <c r="M341" t="s">
        <v>998</v>
      </c>
      <c r="N341" t="s">
        <v>2943</v>
      </c>
      <c r="P341" t="s">
        <v>999</v>
      </c>
      <c r="Q341" t="s">
        <v>1000</v>
      </c>
      <c r="S341" t="s">
        <v>82</v>
      </c>
      <c r="T341" s="1">
        <v>43247</v>
      </c>
      <c r="U341">
        <v>0</v>
      </c>
      <c r="V341">
        <v>7</v>
      </c>
      <c r="Y341" t="s">
        <v>42</v>
      </c>
      <c r="Z341" t="s">
        <v>43</v>
      </c>
      <c r="AA341" t="s">
        <v>43</v>
      </c>
      <c r="AD341" t="s">
        <v>3143</v>
      </c>
    </row>
    <row r="342" spans="1:30" x14ac:dyDescent="0.4">
      <c r="A342" t="s">
        <v>27</v>
      </c>
      <c r="B342">
        <v>957</v>
      </c>
      <c r="C342" t="s">
        <v>257</v>
      </c>
      <c r="D342" t="s">
        <v>993</v>
      </c>
      <c r="E342" t="s">
        <v>994</v>
      </c>
      <c r="F342" t="s">
        <v>995</v>
      </c>
      <c r="H342" t="s">
        <v>996</v>
      </c>
      <c r="I342" t="s">
        <v>495</v>
      </c>
      <c r="J342" t="s">
        <v>997</v>
      </c>
      <c r="K342" t="s">
        <v>35</v>
      </c>
      <c r="L342">
        <v>7957358057</v>
      </c>
      <c r="M342" t="s">
        <v>998</v>
      </c>
      <c r="N342" t="s">
        <v>2943</v>
      </c>
      <c r="P342" t="s">
        <v>999</v>
      </c>
      <c r="Q342" t="s">
        <v>1000</v>
      </c>
      <c r="S342" t="s">
        <v>82</v>
      </c>
      <c r="T342" s="1">
        <v>43247</v>
      </c>
      <c r="U342">
        <v>0</v>
      </c>
      <c r="V342">
        <v>19</v>
      </c>
      <c r="Y342" t="s">
        <v>42</v>
      </c>
      <c r="Z342" t="s">
        <v>43</v>
      </c>
      <c r="AA342" t="s">
        <v>43</v>
      </c>
      <c r="AD342" t="s">
        <v>3143</v>
      </c>
    </row>
    <row r="343" spans="1:30" x14ac:dyDescent="0.4">
      <c r="A343" t="s">
        <v>27</v>
      </c>
      <c r="B343">
        <v>4686</v>
      </c>
      <c r="C343" t="s">
        <v>195</v>
      </c>
      <c r="D343" t="s">
        <v>1001</v>
      </c>
      <c r="E343" t="s">
        <v>1002</v>
      </c>
      <c r="F343" t="s">
        <v>1003</v>
      </c>
      <c r="H343" t="s">
        <v>1004</v>
      </c>
      <c r="I343" t="s">
        <v>495</v>
      </c>
      <c r="J343" t="s">
        <v>1005</v>
      </c>
      <c r="K343" t="s">
        <v>35</v>
      </c>
      <c r="L343">
        <v>7903991528</v>
      </c>
      <c r="M343" t="s">
        <v>1006</v>
      </c>
      <c r="N343" t="s">
        <v>1007</v>
      </c>
      <c r="P343" t="s">
        <v>1008</v>
      </c>
      <c r="Q343" t="s">
        <v>1009</v>
      </c>
      <c r="R343" t="s">
        <v>94</v>
      </c>
      <c r="S343" t="s">
        <v>40</v>
      </c>
      <c r="T343" s="1">
        <v>44044</v>
      </c>
      <c r="U343">
        <v>0</v>
      </c>
      <c r="V343">
        <v>3</v>
      </c>
      <c r="Y343" t="s">
        <v>42</v>
      </c>
      <c r="Z343" t="s">
        <v>43</v>
      </c>
      <c r="AA343" t="s">
        <v>43</v>
      </c>
      <c r="AD343" t="s">
        <v>3143</v>
      </c>
    </row>
    <row r="344" spans="1:30" x14ac:dyDescent="0.4">
      <c r="A344" t="s">
        <v>27</v>
      </c>
      <c r="B344">
        <v>4686</v>
      </c>
      <c r="C344" t="s">
        <v>195</v>
      </c>
      <c r="D344" t="s">
        <v>1001</v>
      </c>
      <c r="E344" t="s">
        <v>1002</v>
      </c>
      <c r="F344" t="s">
        <v>1003</v>
      </c>
      <c r="H344" t="s">
        <v>1004</v>
      </c>
      <c r="I344" t="s">
        <v>495</v>
      </c>
      <c r="J344" t="s">
        <v>1005</v>
      </c>
      <c r="K344" t="s">
        <v>35</v>
      </c>
      <c r="L344">
        <v>7903991528</v>
      </c>
      <c r="M344" t="s">
        <v>1006</v>
      </c>
      <c r="N344" t="s">
        <v>1007</v>
      </c>
      <c r="P344" t="s">
        <v>1008</v>
      </c>
      <c r="Q344" t="s">
        <v>1009</v>
      </c>
      <c r="R344" t="s">
        <v>94</v>
      </c>
      <c r="S344" t="s">
        <v>40</v>
      </c>
      <c r="T344" s="1">
        <v>44044</v>
      </c>
      <c r="U344">
        <v>0</v>
      </c>
      <c r="V344">
        <v>4</v>
      </c>
      <c r="W344" t="s">
        <v>65</v>
      </c>
      <c r="Y344" t="s">
        <v>42</v>
      </c>
      <c r="Z344" t="s">
        <v>43</v>
      </c>
      <c r="AA344" t="s">
        <v>43</v>
      </c>
      <c r="AD344" t="s">
        <v>3143</v>
      </c>
    </row>
    <row r="345" spans="1:30" x14ac:dyDescent="0.4">
      <c r="A345" t="s">
        <v>27</v>
      </c>
      <c r="B345">
        <v>4686</v>
      </c>
      <c r="C345" t="s">
        <v>195</v>
      </c>
      <c r="D345" t="s">
        <v>1001</v>
      </c>
      <c r="E345" t="s">
        <v>1002</v>
      </c>
      <c r="F345" t="s">
        <v>1003</v>
      </c>
      <c r="H345" t="s">
        <v>1004</v>
      </c>
      <c r="I345" t="s">
        <v>495</v>
      </c>
      <c r="J345" t="s">
        <v>1005</v>
      </c>
      <c r="K345" t="s">
        <v>35</v>
      </c>
      <c r="L345">
        <v>7903991528</v>
      </c>
      <c r="M345" t="s">
        <v>1006</v>
      </c>
      <c r="N345" t="s">
        <v>1007</v>
      </c>
      <c r="P345" t="s">
        <v>1008</v>
      </c>
      <c r="Q345" t="s">
        <v>1009</v>
      </c>
      <c r="R345" t="s">
        <v>94</v>
      </c>
      <c r="S345" t="s">
        <v>40</v>
      </c>
      <c r="T345" s="1">
        <v>44044</v>
      </c>
      <c r="U345">
        <v>0</v>
      </c>
      <c r="V345">
        <v>11</v>
      </c>
      <c r="Y345" t="s">
        <v>42</v>
      </c>
      <c r="Z345" t="s">
        <v>43</v>
      </c>
      <c r="AA345" t="s">
        <v>43</v>
      </c>
      <c r="AD345" t="s">
        <v>3143</v>
      </c>
    </row>
    <row r="346" spans="1:30" x14ac:dyDescent="0.4">
      <c r="A346" t="s">
        <v>27</v>
      </c>
      <c r="B346">
        <v>4686</v>
      </c>
      <c r="C346" t="s">
        <v>195</v>
      </c>
      <c r="D346" t="s">
        <v>1001</v>
      </c>
      <c r="E346" t="s">
        <v>1002</v>
      </c>
      <c r="F346" t="s">
        <v>1003</v>
      </c>
      <c r="H346" t="s">
        <v>1004</v>
      </c>
      <c r="I346" t="s">
        <v>495</v>
      </c>
      <c r="J346" t="s">
        <v>1005</v>
      </c>
      <c r="K346" t="s">
        <v>35</v>
      </c>
      <c r="L346">
        <v>7903991528</v>
      </c>
      <c r="M346" t="s">
        <v>1006</v>
      </c>
      <c r="N346" t="s">
        <v>1007</v>
      </c>
      <c r="P346" t="s">
        <v>1008</v>
      </c>
      <c r="Q346" t="s">
        <v>1009</v>
      </c>
      <c r="R346" t="s">
        <v>94</v>
      </c>
      <c r="S346" t="s">
        <v>40</v>
      </c>
      <c r="T346" s="1">
        <v>44044</v>
      </c>
      <c r="U346">
        <v>0</v>
      </c>
      <c r="V346">
        <v>12</v>
      </c>
      <c r="Y346" t="s">
        <v>42</v>
      </c>
      <c r="Z346" t="s">
        <v>43</v>
      </c>
      <c r="AA346" t="s">
        <v>43</v>
      </c>
      <c r="AD346" t="s">
        <v>3143</v>
      </c>
    </row>
    <row r="347" spans="1:30" x14ac:dyDescent="0.4">
      <c r="A347" t="s">
        <v>27</v>
      </c>
      <c r="B347">
        <v>4686</v>
      </c>
      <c r="C347" t="s">
        <v>195</v>
      </c>
      <c r="D347" t="s">
        <v>1001</v>
      </c>
      <c r="E347" t="s">
        <v>1002</v>
      </c>
      <c r="F347" t="s">
        <v>1003</v>
      </c>
      <c r="H347" t="s">
        <v>1004</v>
      </c>
      <c r="I347" t="s">
        <v>495</v>
      </c>
      <c r="J347" t="s">
        <v>1005</v>
      </c>
      <c r="K347" t="s">
        <v>35</v>
      </c>
      <c r="L347">
        <v>7903991528</v>
      </c>
      <c r="M347" t="s">
        <v>1006</v>
      </c>
      <c r="N347" t="s">
        <v>1007</v>
      </c>
      <c r="P347" t="s">
        <v>1010</v>
      </c>
      <c r="Q347" t="s">
        <v>1011</v>
      </c>
      <c r="R347" t="s">
        <v>376</v>
      </c>
      <c r="S347" t="s">
        <v>82</v>
      </c>
      <c r="T347" s="1">
        <v>45409</v>
      </c>
      <c r="U347">
        <v>0</v>
      </c>
      <c r="V347">
        <v>0</v>
      </c>
      <c r="W347" t="s">
        <v>59</v>
      </c>
      <c r="Y347" t="s">
        <v>42</v>
      </c>
      <c r="Z347" t="s">
        <v>43</v>
      </c>
      <c r="AA347" t="s">
        <v>43</v>
      </c>
      <c r="AD347" t="s">
        <v>3143</v>
      </c>
    </row>
    <row r="348" spans="1:30" x14ac:dyDescent="0.4">
      <c r="A348" t="s">
        <v>27</v>
      </c>
      <c r="B348">
        <v>4686</v>
      </c>
      <c r="C348" t="s">
        <v>195</v>
      </c>
      <c r="D348" t="s">
        <v>1001</v>
      </c>
      <c r="E348" t="s">
        <v>1002</v>
      </c>
      <c r="F348" t="s">
        <v>1003</v>
      </c>
      <c r="H348" t="s">
        <v>1004</v>
      </c>
      <c r="I348" t="s">
        <v>495</v>
      </c>
      <c r="J348" t="s">
        <v>1005</v>
      </c>
      <c r="K348" t="s">
        <v>35</v>
      </c>
      <c r="L348">
        <v>7903991528</v>
      </c>
      <c r="M348" t="s">
        <v>1006</v>
      </c>
      <c r="N348" t="s">
        <v>1007</v>
      </c>
      <c r="P348" t="s">
        <v>1010</v>
      </c>
      <c r="Q348" t="s">
        <v>1011</v>
      </c>
      <c r="R348" t="s">
        <v>376</v>
      </c>
      <c r="S348" t="s">
        <v>82</v>
      </c>
      <c r="T348" s="1">
        <v>45409</v>
      </c>
      <c r="U348">
        <v>0</v>
      </c>
      <c r="V348">
        <v>0</v>
      </c>
      <c r="W348" t="s">
        <v>59</v>
      </c>
      <c r="Y348" t="s">
        <v>42</v>
      </c>
      <c r="Z348" t="s">
        <v>43</v>
      </c>
      <c r="AA348" t="s">
        <v>43</v>
      </c>
      <c r="AD348" t="s">
        <v>3143</v>
      </c>
    </row>
    <row r="349" spans="1:30" x14ac:dyDescent="0.4">
      <c r="A349" t="s">
        <v>27</v>
      </c>
      <c r="B349">
        <v>4558</v>
      </c>
      <c r="C349" t="s">
        <v>68</v>
      </c>
      <c r="D349" t="s">
        <v>1012</v>
      </c>
      <c r="E349" t="s">
        <v>1013</v>
      </c>
      <c r="F349" t="s">
        <v>1014</v>
      </c>
      <c r="G349" t="s">
        <v>1015</v>
      </c>
      <c r="H349" t="s">
        <v>1016</v>
      </c>
      <c r="I349" t="s">
        <v>370</v>
      </c>
      <c r="J349" t="s">
        <v>1017</v>
      </c>
      <c r="K349" t="s">
        <v>35</v>
      </c>
      <c r="L349">
        <v>7702066989</v>
      </c>
      <c r="M349" t="s">
        <v>1018</v>
      </c>
      <c r="N349" t="s">
        <v>2944</v>
      </c>
      <c r="P349" t="s">
        <v>1020</v>
      </c>
      <c r="Q349" t="s">
        <v>1021</v>
      </c>
      <c r="R349" t="s">
        <v>58</v>
      </c>
      <c r="S349" t="s">
        <v>40</v>
      </c>
      <c r="T349" s="1">
        <v>43474</v>
      </c>
      <c r="U349">
        <v>0</v>
      </c>
      <c r="V349">
        <v>4</v>
      </c>
      <c r="W349" t="s">
        <v>65</v>
      </c>
      <c r="Y349" t="s">
        <v>42</v>
      </c>
      <c r="Z349" t="s">
        <v>43</v>
      </c>
      <c r="AA349" t="s">
        <v>43</v>
      </c>
      <c r="AD349" t="s">
        <v>3143</v>
      </c>
    </row>
    <row r="350" spans="1:30" x14ac:dyDescent="0.4">
      <c r="A350" t="s">
        <v>27</v>
      </c>
      <c r="B350">
        <v>4558</v>
      </c>
      <c r="C350" t="s">
        <v>68</v>
      </c>
      <c r="D350" t="s">
        <v>1012</v>
      </c>
      <c r="E350" t="s">
        <v>1013</v>
      </c>
      <c r="F350" t="s">
        <v>1014</v>
      </c>
      <c r="G350" t="s">
        <v>1015</v>
      </c>
      <c r="H350" t="s">
        <v>1016</v>
      </c>
      <c r="I350" t="s">
        <v>370</v>
      </c>
      <c r="J350" t="s">
        <v>1017</v>
      </c>
      <c r="K350" t="s">
        <v>35</v>
      </c>
      <c r="L350">
        <v>7702066989</v>
      </c>
      <c r="M350" t="s">
        <v>1018</v>
      </c>
      <c r="N350" t="s">
        <v>1019</v>
      </c>
      <c r="P350" t="s">
        <v>1020</v>
      </c>
      <c r="Q350" t="s">
        <v>1021</v>
      </c>
      <c r="R350" t="s">
        <v>58</v>
      </c>
      <c r="S350" t="s">
        <v>40</v>
      </c>
      <c r="T350" s="1">
        <v>43474</v>
      </c>
      <c r="U350">
        <v>0</v>
      </c>
      <c r="V350">
        <v>5</v>
      </c>
      <c r="W350" t="s">
        <v>66</v>
      </c>
      <c r="Y350" t="s">
        <v>42</v>
      </c>
      <c r="Z350" t="s">
        <v>43</v>
      </c>
      <c r="AA350" t="s">
        <v>43</v>
      </c>
      <c r="AD350" t="s">
        <v>3143</v>
      </c>
    </row>
    <row r="351" spans="1:30" x14ac:dyDescent="0.4">
      <c r="A351" t="s">
        <v>27</v>
      </c>
      <c r="B351">
        <v>4558</v>
      </c>
      <c r="C351" t="s">
        <v>68</v>
      </c>
      <c r="D351" t="s">
        <v>1012</v>
      </c>
      <c r="E351" t="s">
        <v>1013</v>
      </c>
      <c r="F351" t="s">
        <v>1014</v>
      </c>
      <c r="G351" t="s">
        <v>1015</v>
      </c>
      <c r="H351" t="s">
        <v>1016</v>
      </c>
      <c r="I351" t="s">
        <v>370</v>
      </c>
      <c r="J351" t="s">
        <v>1017</v>
      </c>
      <c r="K351" t="s">
        <v>35</v>
      </c>
      <c r="L351">
        <v>7702066989</v>
      </c>
      <c r="M351" t="s">
        <v>1018</v>
      </c>
      <c r="N351" t="s">
        <v>2944</v>
      </c>
      <c r="P351" t="s">
        <v>1022</v>
      </c>
      <c r="Q351" t="s">
        <v>1023</v>
      </c>
      <c r="R351" t="s">
        <v>58</v>
      </c>
      <c r="S351" t="s">
        <v>40</v>
      </c>
      <c r="T351" s="1">
        <v>45219</v>
      </c>
      <c r="U351">
        <v>0</v>
      </c>
      <c r="V351">
        <v>4</v>
      </c>
      <c r="W351" t="s">
        <v>65</v>
      </c>
      <c r="Y351" t="s">
        <v>42</v>
      </c>
      <c r="Z351" t="s">
        <v>43</v>
      </c>
      <c r="AA351" t="s">
        <v>43</v>
      </c>
      <c r="AD351" t="s">
        <v>3143</v>
      </c>
    </row>
    <row r="352" spans="1:30" x14ac:dyDescent="0.4">
      <c r="A352" t="s">
        <v>27</v>
      </c>
      <c r="B352">
        <v>3452</v>
      </c>
      <c r="C352" t="s">
        <v>68</v>
      </c>
      <c r="D352" t="s">
        <v>1024</v>
      </c>
      <c r="E352" t="s">
        <v>1025</v>
      </c>
      <c r="F352" t="s">
        <v>1026</v>
      </c>
      <c r="G352" t="s">
        <v>1027</v>
      </c>
      <c r="H352" t="s">
        <v>1028</v>
      </c>
      <c r="I352" t="s">
        <v>51</v>
      </c>
      <c r="J352" t="s">
        <v>1029</v>
      </c>
      <c r="K352" t="s">
        <v>35</v>
      </c>
      <c r="L352" t="s">
        <v>1030</v>
      </c>
      <c r="M352" t="s">
        <v>1031</v>
      </c>
      <c r="N352" t="s">
        <v>1032</v>
      </c>
      <c r="P352" t="s">
        <v>3037</v>
      </c>
      <c r="Q352" t="s">
        <v>1034</v>
      </c>
      <c r="R352" t="s">
        <v>376</v>
      </c>
      <c r="S352" t="s">
        <v>82</v>
      </c>
      <c r="T352" s="1">
        <v>45490</v>
      </c>
      <c r="U352">
        <v>0</v>
      </c>
      <c r="V352">
        <v>3</v>
      </c>
      <c r="Y352" t="s">
        <v>42</v>
      </c>
      <c r="Z352" t="s">
        <v>43</v>
      </c>
      <c r="AA352" t="s">
        <v>43</v>
      </c>
      <c r="AD352" t="s">
        <v>3143</v>
      </c>
    </row>
    <row r="353" spans="1:30" x14ac:dyDescent="0.4">
      <c r="A353" t="s">
        <v>27</v>
      </c>
      <c r="B353">
        <v>3452</v>
      </c>
      <c r="C353" t="s">
        <v>68</v>
      </c>
      <c r="D353" t="s">
        <v>1024</v>
      </c>
      <c r="E353" t="s">
        <v>1025</v>
      </c>
      <c r="F353" t="s">
        <v>1026</v>
      </c>
      <c r="G353" t="s">
        <v>1027</v>
      </c>
      <c r="H353" t="s">
        <v>1028</v>
      </c>
      <c r="I353" t="s">
        <v>51</v>
      </c>
      <c r="J353" t="s">
        <v>1029</v>
      </c>
      <c r="K353" t="s">
        <v>35</v>
      </c>
      <c r="L353" t="s">
        <v>1030</v>
      </c>
      <c r="M353" t="s">
        <v>1031</v>
      </c>
      <c r="N353" t="s">
        <v>1032</v>
      </c>
      <c r="P353" t="s">
        <v>3036</v>
      </c>
      <c r="Q353" t="s">
        <v>1036</v>
      </c>
      <c r="R353" t="s">
        <v>3039</v>
      </c>
      <c r="S353" t="s">
        <v>40</v>
      </c>
      <c r="T353" s="1">
        <v>43911</v>
      </c>
      <c r="U353">
        <v>0</v>
      </c>
      <c r="V353">
        <v>3</v>
      </c>
      <c r="Y353" t="s">
        <v>42</v>
      </c>
      <c r="Z353" t="s">
        <v>43</v>
      </c>
      <c r="AA353" t="s">
        <v>43</v>
      </c>
      <c r="AD353" t="s">
        <v>3143</v>
      </c>
    </row>
    <row r="354" spans="1:30" x14ac:dyDescent="0.4">
      <c r="A354" t="s">
        <v>27</v>
      </c>
      <c r="B354">
        <v>3452</v>
      </c>
      <c r="C354" t="s">
        <v>68</v>
      </c>
      <c r="D354" t="s">
        <v>1024</v>
      </c>
      <c r="E354" t="s">
        <v>1025</v>
      </c>
      <c r="F354" t="s">
        <v>1026</v>
      </c>
      <c r="G354" t="s">
        <v>1027</v>
      </c>
      <c r="H354" t="s">
        <v>1028</v>
      </c>
      <c r="I354" t="s">
        <v>51</v>
      </c>
      <c r="J354" t="s">
        <v>1029</v>
      </c>
      <c r="K354" t="s">
        <v>35</v>
      </c>
      <c r="L354" t="s">
        <v>1030</v>
      </c>
      <c r="M354" t="s">
        <v>1031</v>
      </c>
      <c r="N354" t="s">
        <v>1032</v>
      </c>
      <c r="P354" t="s">
        <v>1037</v>
      </c>
      <c r="Q354" t="s">
        <v>1038</v>
      </c>
      <c r="R354" t="s">
        <v>376</v>
      </c>
      <c r="S354" t="s">
        <v>82</v>
      </c>
      <c r="U354">
        <v>0</v>
      </c>
      <c r="V354">
        <v>3</v>
      </c>
      <c r="Y354" t="s">
        <v>42</v>
      </c>
      <c r="Z354" t="s">
        <v>43</v>
      </c>
      <c r="AA354" t="s">
        <v>43</v>
      </c>
      <c r="AD354" t="s">
        <v>3143</v>
      </c>
    </row>
    <row r="355" spans="1:30" x14ac:dyDescent="0.4">
      <c r="A355" t="s">
        <v>27</v>
      </c>
      <c r="B355">
        <v>3452</v>
      </c>
      <c r="C355" t="s">
        <v>68</v>
      </c>
      <c r="D355" t="s">
        <v>1024</v>
      </c>
      <c r="E355" t="s">
        <v>1025</v>
      </c>
      <c r="F355" t="s">
        <v>1026</v>
      </c>
      <c r="G355" t="s">
        <v>1027</v>
      </c>
      <c r="H355" t="s">
        <v>1028</v>
      </c>
      <c r="I355" t="s">
        <v>51</v>
      </c>
      <c r="J355" t="s">
        <v>1029</v>
      </c>
      <c r="K355" t="s">
        <v>35</v>
      </c>
      <c r="L355" t="s">
        <v>1030</v>
      </c>
      <c r="M355" t="s">
        <v>1031</v>
      </c>
      <c r="N355" t="s">
        <v>1032</v>
      </c>
      <c r="P355" t="s">
        <v>3037</v>
      </c>
      <c r="Q355" t="s">
        <v>1034</v>
      </c>
      <c r="R355" t="s">
        <v>376</v>
      </c>
      <c r="S355" t="s">
        <v>82</v>
      </c>
      <c r="T355" s="1">
        <v>45490</v>
      </c>
      <c r="U355">
        <v>0</v>
      </c>
      <c r="V355">
        <v>11</v>
      </c>
      <c r="Y355" t="s">
        <v>42</v>
      </c>
      <c r="Z355" t="s">
        <v>43</v>
      </c>
      <c r="AA355" t="s">
        <v>43</v>
      </c>
      <c r="AD355" t="s">
        <v>3143</v>
      </c>
    </row>
    <row r="356" spans="1:30" x14ac:dyDescent="0.4">
      <c r="A356" t="s">
        <v>27</v>
      </c>
      <c r="B356">
        <v>3452</v>
      </c>
      <c r="C356" t="s">
        <v>68</v>
      </c>
      <c r="D356" t="s">
        <v>1024</v>
      </c>
      <c r="E356" t="s">
        <v>1025</v>
      </c>
      <c r="F356" t="s">
        <v>1026</v>
      </c>
      <c r="G356" t="s">
        <v>1027</v>
      </c>
      <c r="H356" t="s">
        <v>1028</v>
      </c>
      <c r="I356" t="s">
        <v>51</v>
      </c>
      <c r="J356" t="s">
        <v>1029</v>
      </c>
      <c r="K356" t="s">
        <v>35</v>
      </c>
      <c r="L356" t="s">
        <v>1030</v>
      </c>
      <c r="M356" t="s">
        <v>1031</v>
      </c>
      <c r="N356" t="s">
        <v>1032</v>
      </c>
      <c r="P356" t="s">
        <v>3036</v>
      </c>
      <c r="Q356" t="s">
        <v>1036</v>
      </c>
      <c r="R356" t="s">
        <v>3039</v>
      </c>
      <c r="S356" t="s">
        <v>40</v>
      </c>
      <c r="T356" s="1">
        <v>43911</v>
      </c>
      <c r="U356">
        <v>0</v>
      </c>
      <c r="V356">
        <v>11</v>
      </c>
      <c r="Y356" t="s">
        <v>42</v>
      </c>
      <c r="Z356" t="s">
        <v>43</v>
      </c>
      <c r="AA356" t="s">
        <v>43</v>
      </c>
      <c r="AD356" t="s">
        <v>3143</v>
      </c>
    </row>
    <row r="357" spans="1:30" x14ac:dyDescent="0.4">
      <c r="A357" t="s">
        <v>27</v>
      </c>
      <c r="B357">
        <v>3452</v>
      </c>
      <c r="C357" t="s">
        <v>68</v>
      </c>
      <c r="D357" t="s">
        <v>1024</v>
      </c>
      <c r="E357" t="s">
        <v>1025</v>
      </c>
      <c r="F357" t="s">
        <v>1026</v>
      </c>
      <c r="G357" t="s">
        <v>1027</v>
      </c>
      <c r="H357" t="s">
        <v>1028</v>
      </c>
      <c r="I357" t="s">
        <v>51</v>
      </c>
      <c r="J357" t="s">
        <v>1029</v>
      </c>
      <c r="K357" t="s">
        <v>35</v>
      </c>
      <c r="L357" t="s">
        <v>1030</v>
      </c>
      <c r="M357" t="s">
        <v>1031</v>
      </c>
      <c r="N357" t="s">
        <v>1032</v>
      </c>
      <c r="P357" t="s">
        <v>1037</v>
      </c>
      <c r="Q357" t="s">
        <v>1038</v>
      </c>
      <c r="R357" t="s">
        <v>376</v>
      </c>
      <c r="S357" t="s">
        <v>82</v>
      </c>
      <c r="U357">
        <v>0</v>
      </c>
      <c r="V357">
        <v>11</v>
      </c>
      <c r="Y357" t="s">
        <v>42</v>
      </c>
      <c r="Z357" t="s">
        <v>43</v>
      </c>
      <c r="AA357" t="s">
        <v>43</v>
      </c>
      <c r="AD357" t="s">
        <v>3143</v>
      </c>
    </row>
    <row r="358" spans="1:30" x14ac:dyDescent="0.4">
      <c r="A358" t="s">
        <v>27</v>
      </c>
      <c r="B358">
        <v>2717</v>
      </c>
      <c r="C358" t="s">
        <v>1039</v>
      </c>
      <c r="D358" t="s">
        <v>1040</v>
      </c>
      <c r="E358" t="s">
        <v>1041</v>
      </c>
      <c r="F358" t="s">
        <v>1042</v>
      </c>
      <c r="G358" t="s">
        <v>1043</v>
      </c>
      <c r="H358" t="s">
        <v>1044</v>
      </c>
      <c r="I358" t="s">
        <v>51</v>
      </c>
      <c r="J358" t="s">
        <v>1045</v>
      </c>
      <c r="K358" t="s">
        <v>35</v>
      </c>
      <c r="L358" t="s">
        <v>1046</v>
      </c>
      <c r="M358" t="s">
        <v>1047</v>
      </c>
      <c r="N358" t="s">
        <v>2945</v>
      </c>
      <c r="P358" t="s">
        <v>1048</v>
      </c>
      <c r="Q358" t="s">
        <v>1049</v>
      </c>
      <c r="R358" t="s">
        <v>1050</v>
      </c>
      <c r="S358" t="s">
        <v>40</v>
      </c>
      <c r="T358" s="1">
        <v>44255</v>
      </c>
      <c r="U358">
        <v>0</v>
      </c>
      <c r="V358">
        <v>3</v>
      </c>
      <c r="Y358" t="s">
        <v>42</v>
      </c>
      <c r="Z358" t="s">
        <v>43</v>
      </c>
      <c r="AA358" t="s">
        <v>42</v>
      </c>
      <c r="AD358" t="s">
        <v>3143</v>
      </c>
    </row>
    <row r="359" spans="1:30" x14ac:dyDescent="0.4">
      <c r="A359" t="s">
        <v>27</v>
      </c>
      <c r="B359">
        <v>2717</v>
      </c>
      <c r="C359" t="s">
        <v>1039</v>
      </c>
      <c r="D359" t="s">
        <v>1040</v>
      </c>
      <c r="E359" t="s">
        <v>1041</v>
      </c>
      <c r="F359" t="s">
        <v>1042</v>
      </c>
      <c r="G359" t="s">
        <v>1043</v>
      </c>
      <c r="H359" t="s">
        <v>1044</v>
      </c>
      <c r="I359" t="s">
        <v>51</v>
      </c>
      <c r="J359" t="s">
        <v>1045</v>
      </c>
      <c r="K359" t="s">
        <v>35</v>
      </c>
      <c r="L359" t="s">
        <v>1046</v>
      </c>
      <c r="M359" t="s">
        <v>1047</v>
      </c>
      <c r="N359" t="s">
        <v>2945</v>
      </c>
      <c r="P359" t="s">
        <v>1048</v>
      </c>
      <c r="Q359" t="s">
        <v>1049</v>
      </c>
      <c r="R359" t="s">
        <v>1050</v>
      </c>
      <c r="S359" t="s">
        <v>40</v>
      </c>
      <c r="T359" s="1">
        <v>44255</v>
      </c>
      <c r="U359">
        <v>0</v>
      </c>
      <c r="V359">
        <v>11</v>
      </c>
      <c r="Y359" t="s">
        <v>42</v>
      </c>
      <c r="Z359" t="s">
        <v>43</v>
      </c>
      <c r="AA359" t="s">
        <v>42</v>
      </c>
      <c r="AD359" t="s">
        <v>3143</v>
      </c>
    </row>
    <row r="360" spans="1:30" ht="64" x14ac:dyDescent="0.4">
      <c r="A360" t="s">
        <v>27</v>
      </c>
      <c r="B360">
        <v>3953</v>
      </c>
      <c r="C360" t="s">
        <v>257</v>
      </c>
      <c r="D360" t="s">
        <v>1051</v>
      </c>
      <c r="E360" t="s">
        <v>1052</v>
      </c>
      <c r="F360" t="s">
        <v>1053</v>
      </c>
      <c r="G360">
        <v>4</v>
      </c>
      <c r="H360" t="s">
        <v>1054</v>
      </c>
      <c r="I360" t="s">
        <v>73</v>
      </c>
      <c r="J360" t="s">
        <v>1055</v>
      </c>
      <c r="K360" t="s">
        <v>35</v>
      </c>
      <c r="L360">
        <v>7825669139</v>
      </c>
      <c r="M360" t="s">
        <v>1056</v>
      </c>
      <c r="N360" t="s">
        <v>2860</v>
      </c>
      <c r="P360" t="s">
        <v>1057</v>
      </c>
      <c r="Q360" t="s">
        <v>1058</v>
      </c>
      <c r="R360" t="s">
        <v>58</v>
      </c>
      <c r="S360" t="s">
        <v>40</v>
      </c>
      <c r="T360" s="1">
        <v>45501</v>
      </c>
      <c r="U360">
        <v>0</v>
      </c>
      <c r="V360">
        <v>4</v>
      </c>
      <c r="W360" t="s">
        <v>65</v>
      </c>
      <c r="X360" t="s">
        <v>135</v>
      </c>
      <c r="Y360" t="s">
        <v>42</v>
      </c>
      <c r="Z360" t="s">
        <v>43</v>
      </c>
      <c r="AA360" t="s">
        <v>43</v>
      </c>
      <c r="AB360" s="2" t="s">
        <v>1059</v>
      </c>
      <c r="AD360" t="s">
        <v>3143</v>
      </c>
    </row>
    <row r="361" spans="1:30" ht="64" x14ac:dyDescent="0.4">
      <c r="A361" t="s">
        <v>27</v>
      </c>
      <c r="B361">
        <v>3953</v>
      </c>
      <c r="C361" t="s">
        <v>257</v>
      </c>
      <c r="D361" t="s">
        <v>1051</v>
      </c>
      <c r="E361" t="s">
        <v>1052</v>
      </c>
      <c r="F361" t="s">
        <v>1053</v>
      </c>
      <c r="G361">
        <v>4</v>
      </c>
      <c r="H361" t="s">
        <v>1054</v>
      </c>
      <c r="I361" t="s">
        <v>73</v>
      </c>
      <c r="J361" t="s">
        <v>1055</v>
      </c>
      <c r="K361" t="s">
        <v>35</v>
      </c>
      <c r="L361">
        <v>7825669139</v>
      </c>
      <c r="M361" t="s">
        <v>1056</v>
      </c>
      <c r="N361" t="s">
        <v>2860</v>
      </c>
      <c r="P361" t="s">
        <v>1060</v>
      </c>
      <c r="Q361" t="s">
        <v>1061</v>
      </c>
      <c r="R361" t="s">
        <v>58</v>
      </c>
      <c r="S361" t="s">
        <v>40</v>
      </c>
      <c r="T361" s="1">
        <v>43308</v>
      </c>
      <c r="U361">
        <v>0</v>
      </c>
      <c r="V361">
        <v>6</v>
      </c>
      <c r="W361" t="s">
        <v>83</v>
      </c>
      <c r="X361" t="s">
        <v>135</v>
      </c>
      <c r="Y361" t="s">
        <v>42</v>
      </c>
      <c r="Z361" t="s">
        <v>43</v>
      </c>
      <c r="AA361" t="s">
        <v>43</v>
      </c>
      <c r="AB361" s="2" t="s">
        <v>1059</v>
      </c>
      <c r="AD361" t="s">
        <v>3143</v>
      </c>
    </row>
    <row r="362" spans="1:30" ht="64" x14ac:dyDescent="0.4">
      <c r="A362" t="s">
        <v>27</v>
      </c>
      <c r="B362">
        <v>3953</v>
      </c>
      <c r="C362" t="s">
        <v>257</v>
      </c>
      <c r="D362" t="s">
        <v>1051</v>
      </c>
      <c r="E362" t="s">
        <v>1052</v>
      </c>
      <c r="F362" t="s">
        <v>1053</v>
      </c>
      <c r="G362">
        <v>4</v>
      </c>
      <c r="H362" t="s">
        <v>1054</v>
      </c>
      <c r="I362" t="s">
        <v>73</v>
      </c>
      <c r="J362" t="s">
        <v>1055</v>
      </c>
      <c r="K362" t="s">
        <v>35</v>
      </c>
      <c r="L362">
        <v>7825669139</v>
      </c>
      <c r="M362" t="s">
        <v>1056</v>
      </c>
      <c r="N362" t="s">
        <v>2860</v>
      </c>
      <c r="P362" t="s">
        <v>1060</v>
      </c>
      <c r="Q362" t="s">
        <v>1061</v>
      </c>
      <c r="R362" t="s">
        <v>58</v>
      </c>
      <c r="S362" t="s">
        <v>40</v>
      </c>
      <c r="T362" s="1">
        <v>43308</v>
      </c>
      <c r="U362">
        <v>0</v>
      </c>
      <c r="V362">
        <v>7</v>
      </c>
      <c r="X362" t="s">
        <v>135</v>
      </c>
      <c r="Y362" t="s">
        <v>42</v>
      </c>
      <c r="Z362" t="s">
        <v>43</v>
      </c>
      <c r="AA362" t="s">
        <v>43</v>
      </c>
      <c r="AB362" s="2" t="s">
        <v>1059</v>
      </c>
      <c r="AD362" t="s">
        <v>3143</v>
      </c>
    </row>
    <row r="363" spans="1:30" ht="64" x14ac:dyDescent="0.4">
      <c r="A363" t="s">
        <v>27</v>
      </c>
      <c r="B363">
        <v>3953</v>
      </c>
      <c r="C363" t="s">
        <v>257</v>
      </c>
      <c r="D363" t="s">
        <v>1051</v>
      </c>
      <c r="E363" t="s">
        <v>1052</v>
      </c>
      <c r="F363" t="s">
        <v>1053</v>
      </c>
      <c r="G363">
        <v>4</v>
      </c>
      <c r="H363" t="s">
        <v>1054</v>
      </c>
      <c r="I363" t="s">
        <v>73</v>
      </c>
      <c r="J363" t="s">
        <v>1055</v>
      </c>
      <c r="K363" t="s">
        <v>35</v>
      </c>
      <c r="L363">
        <v>7825669139</v>
      </c>
      <c r="M363" t="s">
        <v>1056</v>
      </c>
      <c r="N363" t="s">
        <v>2860</v>
      </c>
      <c r="P363" t="s">
        <v>1060</v>
      </c>
      <c r="Q363" t="s">
        <v>1061</v>
      </c>
      <c r="R363" t="s">
        <v>58</v>
      </c>
      <c r="S363" t="s">
        <v>40</v>
      </c>
      <c r="T363" s="1">
        <v>43308</v>
      </c>
      <c r="U363">
        <v>0</v>
      </c>
      <c r="V363">
        <v>16</v>
      </c>
      <c r="X363" t="s">
        <v>135</v>
      </c>
      <c r="Y363" t="s">
        <v>42</v>
      </c>
      <c r="Z363" t="s">
        <v>43</v>
      </c>
      <c r="AA363" t="s">
        <v>43</v>
      </c>
      <c r="AB363" s="2" t="s">
        <v>1059</v>
      </c>
      <c r="AD363" t="s">
        <v>3143</v>
      </c>
    </row>
    <row r="364" spans="1:30" ht="64" x14ac:dyDescent="0.4">
      <c r="A364" t="s">
        <v>27</v>
      </c>
      <c r="B364">
        <v>3953</v>
      </c>
      <c r="C364" t="s">
        <v>257</v>
      </c>
      <c r="D364" t="s">
        <v>1051</v>
      </c>
      <c r="E364" t="s">
        <v>1052</v>
      </c>
      <c r="F364" t="s">
        <v>1053</v>
      </c>
      <c r="G364">
        <v>4</v>
      </c>
      <c r="H364" t="s">
        <v>1054</v>
      </c>
      <c r="I364" t="s">
        <v>73</v>
      </c>
      <c r="J364" t="s">
        <v>1055</v>
      </c>
      <c r="K364" t="s">
        <v>35</v>
      </c>
      <c r="L364">
        <v>7825669139</v>
      </c>
      <c r="M364" t="s">
        <v>1056</v>
      </c>
      <c r="N364" t="s">
        <v>2860</v>
      </c>
      <c r="P364" t="s">
        <v>1060</v>
      </c>
      <c r="Q364" t="s">
        <v>1061</v>
      </c>
      <c r="R364" t="s">
        <v>58</v>
      </c>
      <c r="S364" t="s">
        <v>40</v>
      </c>
      <c r="T364" s="1">
        <v>43308</v>
      </c>
      <c r="U364">
        <v>0</v>
      </c>
      <c r="V364">
        <v>18</v>
      </c>
      <c r="X364" t="s">
        <v>135</v>
      </c>
      <c r="Y364" t="s">
        <v>42</v>
      </c>
      <c r="Z364" t="s">
        <v>43</v>
      </c>
      <c r="AA364" t="s">
        <v>43</v>
      </c>
      <c r="AB364" s="2" t="s">
        <v>1059</v>
      </c>
      <c r="AD364" t="s">
        <v>3143</v>
      </c>
    </row>
    <row r="365" spans="1:30" ht="64" x14ac:dyDescent="0.4">
      <c r="A365" t="s">
        <v>27</v>
      </c>
      <c r="B365">
        <v>3953</v>
      </c>
      <c r="C365" t="s">
        <v>257</v>
      </c>
      <c r="D365" t="s">
        <v>1051</v>
      </c>
      <c r="E365" t="s">
        <v>1052</v>
      </c>
      <c r="F365" t="s">
        <v>1053</v>
      </c>
      <c r="G365">
        <v>4</v>
      </c>
      <c r="H365" t="s">
        <v>1054</v>
      </c>
      <c r="I365" t="s">
        <v>73</v>
      </c>
      <c r="J365" t="s">
        <v>1055</v>
      </c>
      <c r="K365" t="s">
        <v>35</v>
      </c>
      <c r="L365">
        <v>7825669139</v>
      </c>
      <c r="M365" t="s">
        <v>1056</v>
      </c>
      <c r="N365" t="s">
        <v>2860</v>
      </c>
      <c r="P365" t="s">
        <v>1057</v>
      </c>
      <c r="Q365" t="s">
        <v>1058</v>
      </c>
      <c r="R365" t="s">
        <v>58</v>
      </c>
      <c r="S365" t="s">
        <v>40</v>
      </c>
      <c r="T365" s="1">
        <v>45501</v>
      </c>
      <c r="U365">
        <v>0</v>
      </c>
      <c r="V365">
        <v>12</v>
      </c>
      <c r="X365" t="s">
        <v>135</v>
      </c>
      <c r="Y365" t="s">
        <v>42</v>
      </c>
      <c r="Z365" t="s">
        <v>43</v>
      </c>
      <c r="AA365" t="s">
        <v>43</v>
      </c>
      <c r="AB365" s="2" t="s">
        <v>1059</v>
      </c>
      <c r="AD365" t="s">
        <v>3143</v>
      </c>
    </row>
    <row r="366" spans="1:30" x14ac:dyDescent="0.4">
      <c r="A366" t="s">
        <v>27</v>
      </c>
      <c r="B366">
        <v>393</v>
      </c>
      <c r="C366" t="s">
        <v>68</v>
      </c>
      <c r="D366" t="s">
        <v>1062</v>
      </c>
      <c r="E366" t="s">
        <v>1063</v>
      </c>
      <c r="F366" t="s">
        <v>1064</v>
      </c>
      <c r="G366" t="s">
        <v>1065</v>
      </c>
      <c r="H366" t="s">
        <v>278</v>
      </c>
      <c r="I366" t="s">
        <v>73</v>
      </c>
      <c r="J366" t="s">
        <v>1066</v>
      </c>
      <c r="K366" t="s">
        <v>35</v>
      </c>
      <c r="L366" t="s">
        <v>1067</v>
      </c>
      <c r="M366" t="s">
        <v>1068</v>
      </c>
      <c r="N366" t="s">
        <v>2946</v>
      </c>
      <c r="P366" t="s">
        <v>1069</v>
      </c>
      <c r="Q366" t="s">
        <v>1070</v>
      </c>
      <c r="R366" t="s">
        <v>284</v>
      </c>
      <c r="S366" t="s">
        <v>82</v>
      </c>
      <c r="T366" s="1">
        <v>42444</v>
      </c>
      <c r="U366">
        <v>0</v>
      </c>
      <c r="V366">
        <v>6</v>
      </c>
      <c r="W366" t="s">
        <v>83</v>
      </c>
      <c r="Y366" t="s">
        <v>42</v>
      </c>
      <c r="Z366" t="s">
        <v>43</v>
      </c>
      <c r="AA366" t="s">
        <v>43</v>
      </c>
      <c r="AD366" t="s">
        <v>3143</v>
      </c>
    </row>
    <row r="367" spans="1:30" x14ac:dyDescent="0.4">
      <c r="A367" t="s">
        <v>27</v>
      </c>
      <c r="B367">
        <v>393</v>
      </c>
      <c r="C367" t="s">
        <v>68</v>
      </c>
      <c r="D367" t="s">
        <v>1062</v>
      </c>
      <c r="E367" t="s">
        <v>1063</v>
      </c>
      <c r="F367" t="s">
        <v>1064</v>
      </c>
      <c r="G367" t="s">
        <v>1065</v>
      </c>
      <c r="H367" t="s">
        <v>278</v>
      </c>
      <c r="I367" t="s">
        <v>73</v>
      </c>
      <c r="J367" t="s">
        <v>1066</v>
      </c>
      <c r="K367" t="s">
        <v>35</v>
      </c>
      <c r="L367" t="s">
        <v>1067</v>
      </c>
      <c r="M367" t="s">
        <v>1068</v>
      </c>
      <c r="N367" t="s">
        <v>2946</v>
      </c>
      <c r="P367" t="s">
        <v>1069</v>
      </c>
      <c r="Q367" t="s">
        <v>1070</v>
      </c>
      <c r="R367" t="s">
        <v>284</v>
      </c>
      <c r="S367" t="s">
        <v>82</v>
      </c>
      <c r="T367" s="1">
        <v>42444</v>
      </c>
      <c r="U367">
        <v>0</v>
      </c>
      <c r="V367">
        <v>17</v>
      </c>
      <c r="Y367" t="s">
        <v>42</v>
      </c>
      <c r="Z367" t="s">
        <v>43</v>
      </c>
      <c r="AA367" t="s">
        <v>43</v>
      </c>
      <c r="AD367" t="s">
        <v>3143</v>
      </c>
    </row>
    <row r="368" spans="1:30" x14ac:dyDescent="0.4">
      <c r="A368" t="s">
        <v>27</v>
      </c>
      <c r="B368">
        <v>5474</v>
      </c>
      <c r="C368" t="s">
        <v>68</v>
      </c>
      <c r="D368" t="s">
        <v>1071</v>
      </c>
      <c r="E368" t="s">
        <v>1072</v>
      </c>
      <c r="F368" t="s">
        <v>1073</v>
      </c>
      <c r="H368" t="s">
        <v>1074</v>
      </c>
      <c r="I368" t="s">
        <v>189</v>
      </c>
      <c r="J368" t="s">
        <v>1075</v>
      </c>
      <c r="K368" t="s">
        <v>35</v>
      </c>
      <c r="L368">
        <v>7852194767</v>
      </c>
      <c r="M368" t="s">
        <v>1076</v>
      </c>
      <c r="N368" t="s">
        <v>1077</v>
      </c>
      <c r="P368" t="s">
        <v>1078</v>
      </c>
      <c r="Q368" t="s">
        <v>1079</v>
      </c>
      <c r="R368" t="s">
        <v>3135</v>
      </c>
      <c r="S368" t="s">
        <v>82</v>
      </c>
      <c r="T368" s="1">
        <v>44095</v>
      </c>
      <c r="U368">
        <v>0</v>
      </c>
      <c r="V368">
        <v>9</v>
      </c>
      <c r="Y368" t="s">
        <v>42</v>
      </c>
      <c r="Z368" t="s">
        <v>43</v>
      </c>
      <c r="AA368" t="s">
        <v>43</v>
      </c>
      <c r="AD368" t="s">
        <v>3143</v>
      </c>
    </row>
    <row r="369" spans="1:30" x14ac:dyDescent="0.4">
      <c r="A369" t="s">
        <v>27</v>
      </c>
      <c r="B369">
        <v>5474</v>
      </c>
      <c r="C369" t="s">
        <v>68</v>
      </c>
      <c r="D369" t="s">
        <v>1071</v>
      </c>
      <c r="E369" t="s">
        <v>1072</v>
      </c>
      <c r="F369" t="s">
        <v>1073</v>
      </c>
      <c r="H369" t="s">
        <v>1074</v>
      </c>
      <c r="I369" t="s">
        <v>189</v>
      </c>
      <c r="J369" t="s">
        <v>1075</v>
      </c>
      <c r="K369" t="s">
        <v>35</v>
      </c>
      <c r="L369">
        <v>7852194767</v>
      </c>
      <c r="M369" t="s">
        <v>1076</v>
      </c>
      <c r="N369" t="s">
        <v>1077</v>
      </c>
      <c r="P369" t="s">
        <v>1078</v>
      </c>
      <c r="Q369" t="s">
        <v>1079</v>
      </c>
      <c r="R369" t="s">
        <v>3135</v>
      </c>
      <c r="S369" t="s">
        <v>82</v>
      </c>
      <c r="T369" s="1">
        <v>44095</v>
      </c>
      <c r="U369">
        <v>0</v>
      </c>
      <c r="V369">
        <v>11</v>
      </c>
      <c r="Y369" t="s">
        <v>42</v>
      </c>
      <c r="Z369" t="s">
        <v>43</v>
      </c>
      <c r="AA369" t="s">
        <v>43</v>
      </c>
      <c r="AD369" t="s">
        <v>3143</v>
      </c>
    </row>
    <row r="370" spans="1:30" x14ac:dyDescent="0.4">
      <c r="A370" t="s">
        <v>27</v>
      </c>
      <c r="B370">
        <v>113</v>
      </c>
      <c r="C370" t="s">
        <v>68</v>
      </c>
      <c r="D370" t="s">
        <v>1080</v>
      </c>
      <c r="E370" t="s">
        <v>1081</v>
      </c>
      <c r="F370" t="s">
        <v>1082</v>
      </c>
      <c r="G370" t="s">
        <v>1083</v>
      </c>
      <c r="H370" t="s">
        <v>1084</v>
      </c>
      <c r="I370" t="s">
        <v>1085</v>
      </c>
      <c r="J370" t="s">
        <v>1086</v>
      </c>
      <c r="K370" t="s">
        <v>35</v>
      </c>
      <c r="L370">
        <v>7845904898</v>
      </c>
      <c r="M370" t="s">
        <v>1087</v>
      </c>
      <c r="N370" t="s">
        <v>1088</v>
      </c>
      <c r="P370" t="s">
        <v>1089</v>
      </c>
      <c r="Q370" t="s">
        <v>1090</v>
      </c>
      <c r="R370" t="s">
        <v>1091</v>
      </c>
      <c r="S370" t="s">
        <v>40</v>
      </c>
      <c r="T370" s="1">
        <v>42191</v>
      </c>
      <c r="U370">
        <v>0</v>
      </c>
      <c r="V370">
        <v>0</v>
      </c>
      <c r="W370" t="s">
        <v>59</v>
      </c>
      <c r="X370" t="s">
        <v>135</v>
      </c>
      <c r="Y370" t="s">
        <v>42</v>
      </c>
      <c r="Z370" t="s">
        <v>43</v>
      </c>
      <c r="AA370" t="s">
        <v>43</v>
      </c>
      <c r="AD370" t="s">
        <v>3143</v>
      </c>
    </row>
    <row r="371" spans="1:30" x14ac:dyDescent="0.4">
      <c r="A371" t="s">
        <v>27</v>
      </c>
      <c r="B371">
        <v>113</v>
      </c>
      <c r="C371" t="s">
        <v>68</v>
      </c>
      <c r="D371" t="s">
        <v>1080</v>
      </c>
      <c r="E371" t="s">
        <v>1081</v>
      </c>
      <c r="F371" t="s">
        <v>1082</v>
      </c>
      <c r="G371" t="s">
        <v>1083</v>
      </c>
      <c r="H371" t="s">
        <v>1084</v>
      </c>
      <c r="I371" t="s">
        <v>1085</v>
      </c>
      <c r="J371" t="s">
        <v>1086</v>
      </c>
      <c r="K371" t="s">
        <v>35</v>
      </c>
      <c r="L371">
        <v>7845904898</v>
      </c>
      <c r="M371" t="s">
        <v>1087</v>
      </c>
      <c r="N371" t="s">
        <v>1088</v>
      </c>
      <c r="P371" t="s">
        <v>1089</v>
      </c>
      <c r="Q371" t="s">
        <v>1090</v>
      </c>
      <c r="R371" t="s">
        <v>1091</v>
      </c>
      <c r="S371" t="s">
        <v>40</v>
      </c>
      <c r="T371" s="1">
        <v>42191</v>
      </c>
      <c r="U371">
        <v>0</v>
      </c>
      <c r="V371">
        <v>0</v>
      </c>
      <c r="W371" t="s">
        <v>59</v>
      </c>
      <c r="X371" t="s">
        <v>135</v>
      </c>
      <c r="Y371" t="s">
        <v>42</v>
      </c>
      <c r="Z371" t="s">
        <v>43</v>
      </c>
      <c r="AA371" t="s">
        <v>43</v>
      </c>
      <c r="AD371" t="s">
        <v>3143</v>
      </c>
    </row>
    <row r="372" spans="1:30" x14ac:dyDescent="0.4">
      <c r="A372" t="s">
        <v>27</v>
      </c>
      <c r="B372">
        <v>113</v>
      </c>
      <c r="C372" t="s">
        <v>68</v>
      </c>
      <c r="D372" t="s">
        <v>1080</v>
      </c>
      <c r="E372" t="s">
        <v>1081</v>
      </c>
      <c r="F372" t="s">
        <v>1082</v>
      </c>
      <c r="G372" t="s">
        <v>1083</v>
      </c>
      <c r="H372" t="s">
        <v>1084</v>
      </c>
      <c r="I372" t="s">
        <v>1085</v>
      </c>
      <c r="J372" t="s">
        <v>1086</v>
      </c>
      <c r="K372" t="s">
        <v>35</v>
      </c>
      <c r="L372">
        <v>7845904898</v>
      </c>
      <c r="M372" t="s">
        <v>1087</v>
      </c>
      <c r="N372" t="s">
        <v>2861</v>
      </c>
      <c r="P372" t="s">
        <v>1092</v>
      </c>
      <c r="Q372" t="s">
        <v>1093</v>
      </c>
      <c r="R372" t="s">
        <v>376</v>
      </c>
      <c r="S372" t="s">
        <v>40</v>
      </c>
      <c r="T372" s="1">
        <v>45444</v>
      </c>
      <c r="U372">
        <v>0</v>
      </c>
      <c r="V372">
        <v>4</v>
      </c>
      <c r="W372" t="s">
        <v>65</v>
      </c>
      <c r="X372" t="s">
        <v>135</v>
      </c>
      <c r="Y372" t="s">
        <v>42</v>
      </c>
      <c r="Z372" t="s">
        <v>43</v>
      </c>
      <c r="AA372" t="s">
        <v>43</v>
      </c>
      <c r="AD372" t="s">
        <v>3143</v>
      </c>
    </row>
    <row r="373" spans="1:30" x14ac:dyDescent="0.4">
      <c r="A373" t="s">
        <v>27</v>
      </c>
      <c r="B373">
        <v>113</v>
      </c>
      <c r="C373" t="s">
        <v>68</v>
      </c>
      <c r="D373" t="s">
        <v>1080</v>
      </c>
      <c r="E373" t="s">
        <v>1081</v>
      </c>
      <c r="F373" t="s">
        <v>1082</v>
      </c>
      <c r="G373" t="s">
        <v>1083</v>
      </c>
      <c r="H373" t="s">
        <v>1084</v>
      </c>
      <c r="I373" t="s">
        <v>1085</v>
      </c>
      <c r="J373" t="s">
        <v>1086</v>
      </c>
      <c r="K373" t="s">
        <v>35</v>
      </c>
      <c r="L373">
        <v>7845904898</v>
      </c>
      <c r="M373" t="s">
        <v>1087</v>
      </c>
      <c r="N373" t="s">
        <v>2861</v>
      </c>
      <c r="P373" t="s">
        <v>1094</v>
      </c>
      <c r="Q373" t="s">
        <v>1095</v>
      </c>
      <c r="R373" t="s">
        <v>58</v>
      </c>
      <c r="S373" t="s">
        <v>40</v>
      </c>
      <c r="T373" s="1">
        <v>43915</v>
      </c>
      <c r="U373">
        <v>0</v>
      </c>
      <c r="V373">
        <v>5</v>
      </c>
      <c r="W373" t="s">
        <v>66</v>
      </c>
      <c r="X373" t="s">
        <v>135</v>
      </c>
      <c r="Y373" t="s">
        <v>42</v>
      </c>
      <c r="Z373" t="s">
        <v>43</v>
      </c>
      <c r="AA373" t="s">
        <v>43</v>
      </c>
      <c r="AD373" t="s">
        <v>3143</v>
      </c>
    </row>
    <row r="374" spans="1:30" x14ac:dyDescent="0.4">
      <c r="A374" t="s">
        <v>27</v>
      </c>
      <c r="B374">
        <v>113</v>
      </c>
      <c r="C374" t="s">
        <v>68</v>
      </c>
      <c r="D374" t="s">
        <v>1080</v>
      </c>
      <c r="E374" t="s">
        <v>1081</v>
      </c>
      <c r="F374" t="s">
        <v>1082</v>
      </c>
      <c r="G374" t="s">
        <v>1083</v>
      </c>
      <c r="H374" t="s">
        <v>1084</v>
      </c>
      <c r="I374" t="s">
        <v>1085</v>
      </c>
      <c r="J374" t="s">
        <v>1086</v>
      </c>
      <c r="K374" t="s">
        <v>35</v>
      </c>
      <c r="L374">
        <v>7845904898</v>
      </c>
      <c r="M374" t="s">
        <v>1087</v>
      </c>
      <c r="N374" t="s">
        <v>2861</v>
      </c>
      <c r="P374" t="s">
        <v>1094</v>
      </c>
      <c r="Q374" t="s">
        <v>1095</v>
      </c>
      <c r="R374" t="s">
        <v>58</v>
      </c>
      <c r="S374" t="s">
        <v>40</v>
      </c>
      <c r="T374" s="1">
        <v>43915</v>
      </c>
      <c r="U374">
        <v>0</v>
      </c>
      <c r="V374">
        <v>6</v>
      </c>
      <c r="W374" t="s">
        <v>83</v>
      </c>
      <c r="X374" t="s">
        <v>135</v>
      </c>
      <c r="Y374" t="s">
        <v>42</v>
      </c>
      <c r="Z374" t="s">
        <v>43</v>
      </c>
      <c r="AA374" t="s">
        <v>43</v>
      </c>
      <c r="AD374" t="s">
        <v>3143</v>
      </c>
    </row>
    <row r="375" spans="1:30" x14ac:dyDescent="0.4">
      <c r="A375" t="s">
        <v>27</v>
      </c>
      <c r="B375">
        <v>113</v>
      </c>
      <c r="C375" t="s">
        <v>68</v>
      </c>
      <c r="D375" t="s">
        <v>1080</v>
      </c>
      <c r="E375" t="s">
        <v>1081</v>
      </c>
      <c r="F375" t="s">
        <v>1082</v>
      </c>
      <c r="G375" t="s">
        <v>1083</v>
      </c>
      <c r="H375" t="s">
        <v>1084</v>
      </c>
      <c r="I375" t="s">
        <v>1085</v>
      </c>
      <c r="J375" t="s">
        <v>1086</v>
      </c>
      <c r="K375" t="s">
        <v>35</v>
      </c>
      <c r="L375">
        <v>7845904898</v>
      </c>
      <c r="M375" t="s">
        <v>1087</v>
      </c>
      <c r="N375" t="s">
        <v>2861</v>
      </c>
      <c r="P375" t="s">
        <v>1092</v>
      </c>
      <c r="Q375" t="s">
        <v>1093</v>
      </c>
      <c r="R375" t="s">
        <v>376</v>
      </c>
      <c r="S375" t="s">
        <v>40</v>
      </c>
      <c r="T375" s="1">
        <v>45444</v>
      </c>
      <c r="U375">
        <v>0</v>
      </c>
      <c r="V375">
        <v>12</v>
      </c>
      <c r="X375" t="s">
        <v>135</v>
      </c>
      <c r="Y375" t="s">
        <v>42</v>
      </c>
      <c r="Z375" t="s">
        <v>43</v>
      </c>
      <c r="AA375" t="s">
        <v>43</v>
      </c>
      <c r="AD375" t="s">
        <v>3143</v>
      </c>
    </row>
    <row r="376" spans="1:30" x14ac:dyDescent="0.4">
      <c r="A376" t="s">
        <v>27</v>
      </c>
      <c r="B376">
        <v>113</v>
      </c>
      <c r="C376" t="s">
        <v>68</v>
      </c>
      <c r="D376" t="s">
        <v>1080</v>
      </c>
      <c r="E376" t="s">
        <v>1081</v>
      </c>
      <c r="F376" t="s">
        <v>1082</v>
      </c>
      <c r="G376" t="s">
        <v>1083</v>
      </c>
      <c r="H376" t="s">
        <v>1084</v>
      </c>
      <c r="I376" t="s">
        <v>1085</v>
      </c>
      <c r="J376" t="s">
        <v>1086</v>
      </c>
      <c r="K376" t="s">
        <v>35</v>
      </c>
      <c r="L376">
        <v>7845904898</v>
      </c>
      <c r="M376" t="s">
        <v>1087</v>
      </c>
      <c r="N376" t="s">
        <v>2861</v>
      </c>
      <c r="P376" t="s">
        <v>1094</v>
      </c>
      <c r="Q376" t="s">
        <v>1095</v>
      </c>
      <c r="R376" t="s">
        <v>58</v>
      </c>
      <c r="S376" t="s">
        <v>40</v>
      </c>
      <c r="T376" s="1">
        <v>43915</v>
      </c>
      <c r="U376">
        <v>0</v>
      </c>
      <c r="V376">
        <v>14</v>
      </c>
      <c r="X376" t="s">
        <v>135</v>
      </c>
      <c r="Y376" t="s">
        <v>42</v>
      </c>
      <c r="Z376" t="s">
        <v>43</v>
      </c>
      <c r="AA376" t="s">
        <v>43</v>
      </c>
      <c r="AD376" t="s">
        <v>3143</v>
      </c>
    </row>
    <row r="377" spans="1:30" x14ac:dyDescent="0.4">
      <c r="A377" t="s">
        <v>27</v>
      </c>
      <c r="B377">
        <v>113</v>
      </c>
      <c r="C377" t="s">
        <v>68</v>
      </c>
      <c r="D377" t="s">
        <v>1080</v>
      </c>
      <c r="E377" t="s">
        <v>1081</v>
      </c>
      <c r="F377" t="s">
        <v>1082</v>
      </c>
      <c r="G377" t="s">
        <v>1083</v>
      </c>
      <c r="H377" t="s">
        <v>1084</v>
      </c>
      <c r="I377" t="s">
        <v>1085</v>
      </c>
      <c r="J377" t="s">
        <v>1086</v>
      </c>
      <c r="K377" t="s">
        <v>35</v>
      </c>
      <c r="L377">
        <v>7845904898</v>
      </c>
      <c r="M377" t="s">
        <v>1087</v>
      </c>
      <c r="N377" t="s">
        <v>2861</v>
      </c>
      <c r="P377" t="s">
        <v>1094</v>
      </c>
      <c r="Q377" t="s">
        <v>1095</v>
      </c>
      <c r="R377" t="s">
        <v>58</v>
      </c>
      <c r="S377" t="s">
        <v>40</v>
      </c>
      <c r="T377" s="1">
        <v>43915</v>
      </c>
      <c r="U377">
        <v>0</v>
      </c>
      <c r="V377">
        <v>16</v>
      </c>
      <c r="X377" t="s">
        <v>135</v>
      </c>
      <c r="Y377" t="s">
        <v>42</v>
      </c>
      <c r="Z377" t="s">
        <v>43</v>
      </c>
      <c r="AA377" t="s">
        <v>43</v>
      </c>
      <c r="AD377" t="s">
        <v>3143</v>
      </c>
    </row>
    <row r="378" spans="1:30" x14ac:dyDescent="0.4">
      <c r="A378" t="s">
        <v>27</v>
      </c>
      <c r="B378">
        <v>1375</v>
      </c>
      <c r="C378" t="s">
        <v>257</v>
      </c>
      <c r="D378" t="s">
        <v>1096</v>
      </c>
      <c r="E378" t="s">
        <v>1097</v>
      </c>
      <c r="F378" t="s">
        <v>1098</v>
      </c>
      <c r="G378" t="s">
        <v>1099</v>
      </c>
      <c r="H378" t="s">
        <v>1100</v>
      </c>
      <c r="I378" t="s">
        <v>1101</v>
      </c>
      <c r="J378" t="s">
        <v>1102</v>
      </c>
      <c r="K378" t="s">
        <v>35</v>
      </c>
      <c r="L378">
        <v>1945428737</v>
      </c>
      <c r="M378" t="s">
        <v>1103</v>
      </c>
      <c r="N378" t="s">
        <v>2862</v>
      </c>
      <c r="P378" t="s">
        <v>3057</v>
      </c>
      <c r="Q378" t="s">
        <v>1106</v>
      </c>
      <c r="R378" t="s">
        <v>232</v>
      </c>
      <c r="S378" t="s">
        <v>82</v>
      </c>
      <c r="T378" s="1">
        <v>44988</v>
      </c>
      <c r="U378">
        <v>0</v>
      </c>
      <c r="V378">
        <v>4</v>
      </c>
      <c r="W378" t="s">
        <v>65</v>
      </c>
      <c r="X378" t="s">
        <v>135</v>
      </c>
      <c r="Y378" t="s">
        <v>42</v>
      </c>
      <c r="Z378" t="s">
        <v>43</v>
      </c>
      <c r="AA378" t="s">
        <v>43</v>
      </c>
      <c r="AD378" t="s">
        <v>3143</v>
      </c>
    </row>
    <row r="379" spans="1:30" x14ac:dyDescent="0.4">
      <c r="A379" t="s">
        <v>27</v>
      </c>
      <c r="B379">
        <v>1375</v>
      </c>
      <c r="C379" t="s">
        <v>257</v>
      </c>
      <c r="D379" t="s">
        <v>1096</v>
      </c>
      <c r="E379" t="s">
        <v>1097</v>
      </c>
      <c r="F379" t="s">
        <v>1098</v>
      </c>
      <c r="G379" t="s">
        <v>1099</v>
      </c>
      <c r="H379" t="s">
        <v>1100</v>
      </c>
      <c r="I379" t="s">
        <v>1101</v>
      </c>
      <c r="J379" t="s">
        <v>1102</v>
      </c>
      <c r="K379" t="s">
        <v>35</v>
      </c>
      <c r="L379">
        <v>1945428737</v>
      </c>
      <c r="M379" t="s">
        <v>1103</v>
      </c>
      <c r="N379" t="s">
        <v>2862</v>
      </c>
      <c r="P379" t="s">
        <v>3058</v>
      </c>
      <c r="Q379" t="s">
        <v>1108</v>
      </c>
      <c r="R379" t="s">
        <v>58</v>
      </c>
      <c r="S379" t="s">
        <v>40</v>
      </c>
      <c r="T379" s="1">
        <v>44477</v>
      </c>
      <c r="U379">
        <v>0</v>
      </c>
      <c r="V379">
        <v>4</v>
      </c>
      <c r="W379" t="s">
        <v>65</v>
      </c>
      <c r="X379" t="s">
        <v>135</v>
      </c>
      <c r="Y379" t="s">
        <v>42</v>
      </c>
      <c r="Z379" t="s">
        <v>43</v>
      </c>
      <c r="AA379" t="s">
        <v>43</v>
      </c>
      <c r="AD379" t="s">
        <v>3143</v>
      </c>
    </row>
    <row r="380" spans="1:30" x14ac:dyDescent="0.4">
      <c r="A380" t="s">
        <v>27</v>
      </c>
      <c r="B380">
        <v>1375</v>
      </c>
      <c r="C380" t="s">
        <v>257</v>
      </c>
      <c r="D380" t="s">
        <v>1096</v>
      </c>
      <c r="E380" t="s">
        <v>1097</v>
      </c>
      <c r="F380" t="s">
        <v>1098</v>
      </c>
      <c r="G380" t="s">
        <v>1099</v>
      </c>
      <c r="H380" t="s">
        <v>1100</v>
      </c>
      <c r="I380" t="s">
        <v>1101</v>
      </c>
      <c r="J380" t="s">
        <v>1102</v>
      </c>
      <c r="K380" t="s">
        <v>35</v>
      </c>
      <c r="L380">
        <v>1945428737</v>
      </c>
      <c r="M380" t="s">
        <v>1103</v>
      </c>
      <c r="N380" t="s">
        <v>2862</v>
      </c>
      <c r="P380" t="s">
        <v>3104</v>
      </c>
      <c r="Q380" t="s">
        <v>1110</v>
      </c>
      <c r="R380" t="s">
        <v>169</v>
      </c>
      <c r="S380" t="s">
        <v>40</v>
      </c>
      <c r="T380" s="1">
        <v>43570</v>
      </c>
      <c r="U380">
        <v>0</v>
      </c>
      <c r="V380">
        <v>5</v>
      </c>
      <c r="W380" t="s">
        <v>66</v>
      </c>
      <c r="X380" t="s">
        <v>135</v>
      </c>
      <c r="Y380" t="s">
        <v>42</v>
      </c>
      <c r="Z380" t="s">
        <v>43</v>
      </c>
      <c r="AA380" t="s">
        <v>43</v>
      </c>
      <c r="AD380" t="s">
        <v>3143</v>
      </c>
    </row>
    <row r="381" spans="1:30" x14ac:dyDescent="0.4">
      <c r="A381" t="s">
        <v>27</v>
      </c>
      <c r="B381">
        <v>1375</v>
      </c>
      <c r="C381" t="s">
        <v>257</v>
      </c>
      <c r="D381" t="s">
        <v>1096</v>
      </c>
      <c r="E381" t="s">
        <v>1097</v>
      </c>
      <c r="F381" t="s">
        <v>1098</v>
      </c>
      <c r="G381" t="s">
        <v>1099</v>
      </c>
      <c r="H381" t="s">
        <v>1100</v>
      </c>
      <c r="I381" t="s">
        <v>1101</v>
      </c>
      <c r="J381" t="s">
        <v>1102</v>
      </c>
      <c r="K381" t="s">
        <v>35</v>
      </c>
      <c r="L381">
        <v>1945428737</v>
      </c>
      <c r="M381" t="s">
        <v>1103</v>
      </c>
      <c r="N381" t="s">
        <v>2862</v>
      </c>
      <c r="P381" t="s">
        <v>3105</v>
      </c>
      <c r="Q381" t="s">
        <v>1113</v>
      </c>
      <c r="R381" t="s">
        <v>58</v>
      </c>
      <c r="S381" t="s">
        <v>40</v>
      </c>
      <c r="T381" s="1">
        <v>42314</v>
      </c>
      <c r="U381">
        <v>0</v>
      </c>
      <c r="V381">
        <v>5</v>
      </c>
      <c r="W381" t="s">
        <v>66</v>
      </c>
      <c r="X381" t="s">
        <v>135</v>
      </c>
      <c r="Y381" t="s">
        <v>42</v>
      </c>
      <c r="Z381" t="s">
        <v>43</v>
      </c>
      <c r="AA381" t="s">
        <v>43</v>
      </c>
      <c r="AD381" t="s">
        <v>3143</v>
      </c>
    </row>
    <row r="382" spans="1:30" x14ac:dyDescent="0.4">
      <c r="A382" t="s">
        <v>27</v>
      </c>
      <c r="B382">
        <v>1375</v>
      </c>
      <c r="C382" t="s">
        <v>257</v>
      </c>
      <c r="D382" t="s">
        <v>1096</v>
      </c>
      <c r="E382" t="s">
        <v>1097</v>
      </c>
      <c r="F382" t="s">
        <v>1098</v>
      </c>
      <c r="G382" t="s">
        <v>1099</v>
      </c>
      <c r="H382" t="s">
        <v>1100</v>
      </c>
      <c r="I382" t="s">
        <v>1101</v>
      </c>
      <c r="J382" t="s">
        <v>1102</v>
      </c>
      <c r="K382" t="s">
        <v>35</v>
      </c>
      <c r="L382">
        <v>1945428737</v>
      </c>
      <c r="M382" t="s">
        <v>1103</v>
      </c>
      <c r="N382" t="s">
        <v>2862</v>
      </c>
      <c r="P382" t="s">
        <v>3058</v>
      </c>
      <c r="Q382" t="s">
        <v>1108</v>
      </c>
      <c r="R382" t="s">
        <v>58</v>
      </c>
      <c r="S382" t="s">
        <v>40</v>
      </c>
      <c r="T382" s="1">
        <v>44477</v>
      </c>
      <c r="U382">
        <v>0</v>
      </c>
      <c r="V382">
        <v>5</v>
      </c>
      <c r="W382" t="s">
        <v>66</v>
      </c>
      <c r="X382" t="s">
        <v>135</v>
      </c>
      <c r="Y382" t="s">
        <v>42</v>
      </c>
      <c r="Z382" t="s">
        <v>43</v>
      </c>
      <c r="AA382" t="s">
        <v>43</v>
      </c>
      <c r="AD382" t="s">
        <v>3143</v>
      </c>
    </row>
    <row r="383" spans="1:30" x14ac:dyDescent="0.4">
      <c r="A383" t="s">
        <v>27</v>
      </c>
      <c r="B383">
        <v>1375</v>
      </c>
      <c r="C383" t="s">
        <v>257</v>
      </c>
      <c r="D383" t="s">
        <v>1096</v>
      </c>
      <c r="E383" t="s">
        <v>1097</v>
      </c>
      <c r="F383" t="s">
        <v>1098</v>
      </c>
      <c r="G383" t="s">
        <v>1099</v>
      </c>
      <c r="H383" t="s">
        <v>1100</v>
      </c>
      <c r="I383" t="s">
        <v>1101</v>
      </c>
      <c r="J383" t="s">
        <v>1102</v>
      </c>
      <c r="K383" t="s">
        <v>35</v>
      </c>
      <c r="L383">
        <v>1945428737</v>
      </c>
      <c r="M383" t="s">
        <v>1103</v>
      </c>
      <c r="N383" t="s">
        <v>1104</v>
      </c>
      <c r="P383" t="s">
        <v>1114</v>
      </c>
      <c r="Q383" t="s">
        <v>1115</v>
      </c>
      <c r="R383" t="s">
        <v>1116</v>
      </c>
      <c r="S383" t="s">
        <v>82</v>
      </c>
      <c r="T383" s="1">
        <v>42586</v>
      </c>
      <c r="U383">
        <v>0</v>
      </c>
      <c r="V383">
        <v>0</v>
      </c>
      <c r="W383" t="s">
        <v>59</v>
      </c>
      <c r="X383" t="s">
        <v>135</v>
      </c>
      <c r="Y383" t="s">
        <v>42</v>
      </c>
      <c r="Z383" t="s">
        <v>43</v>
      </c>
      <c r="AA383" t="s">
        <v>43</v>
      </c>
      <c r="AD383" t="s">
        <v>3143</v>
      </c>
    </row>
    <row r="384" spans="1:30" x14ac:dyDescent="0.4">
      <c r="A384" t="s">
        <v>27</v>
      </c>
      <c r="B384">
        <v>1375</v>
      </c>
      <c r="C384" t="s">
        <v>257</v>
      </c>
      <c r="D384" t="s">
        <v>1096</v>
      </c>
      <c r="E384" t="s">
        <v>1097</v>
      </c>
      <c r="F384" t="s">
        <v>1098</v>
      </c>
      <c r="G384" t="s">
        <v>1099</v>
      </c>
      <c r="H384" t="s">
        <v>1100</v>
      </c>
      <c r="I384" t="s">
        <v>1101</v>
      </c>
      <c r="J384" t="s">
        <v>1102</v>
      </c>
      <c r="K384" t="s">
        <v>35</v>
      </c>
      <c r="L384">
        <v>1945428737</v>
      </c>
      <c r="M384" t="s">
        <v>1103</v>
      </c>
      <c r="N384" t="s">
        <v>2862</v>
      </c>
      <c r="P384" t="s">
        <v>3057</v>
      </c>
      <c r="Q384" t="s">
        <v>1106</v>
      </c>
      <c r="R384" t="s">
        <v>232</v>
      </c>
      <c r="S384" t="s">
        <v>82</v>
      </c>
      <c r="T384" s="1">
        <v>44988</v>
      </c>
      <c r="U384">
        <v>0</v>
      </c>
      <c r="V384">
        <v>13</v>
      </c>
      <c r="X384" t="s">
        <v>135</v>
      </c>
      <c r="Y384" t="s">
        <v>42</v>
      </c>
      <c r="Z384" t="s">
        <v>43</v>
      </c>
      <c r="AA384" t="s">
        <v>43</v>
      </c>
      <c r="AD384" t="s">
        <v>3143</v>
      </c>
    </row>
    <row r="385" spans="1:30" x14ac:dyDescent="0.4">
      <c r="A385" t="s">
        <v>27</v>
      </c>
      <c r="B385">
        <v>1375</v>
      </c>
      <c r="C385" t="s">
        <v>257</v>
      </c>
      <c r="D385" t="s">
        <v>1096</v>
      </c>
      <c r="E385" t="s">
        <v>1097</v>
      </c>
      <c r="F385" t="s">
        <v>1098</v>
      </c>
      <c r="G385" t="s">
        <v>1099</v>
      </c>
      <c r="H385" t="s">
        <v>1100</v>
      </c>
      <c r="I385" t="s">
        <v>1101</v>
      </c>
      <c r="J385" t="s">
        <v>1102</v>
      </c>
      <c r="K385" t="s">
        <v>35</v>
      </c>
      <c r="L385">
        <v>1945428737</v>
      </c>
      <c r="M385" t="s">
        <v>1103</v>
      </c>
      <c r="N385" t="s">
        <v>2862</v>
      </c>
      <c r="P385" t="s">
        <v>3058</v>
      </c>
      <c r="Q385" t="s">
        <v>1108</v>
      </c>
      <c r="R385" t="s">
        <v>58</v>
      </c>
      <c r="S385" t="s">
        <v>40</v>
      </c>
      <c r="T385" s="1">
        <v>44477</v>
      </c>
      <c r="U385">
        <v>0</v>
      </c>
      <c r="V385">
        <v>12</v>
      </c>
      <c r="X385" t="s">
        <v>135</v>
      </c>
      <c r="Y385" t="s">
        <v>42</v>
      </c>
      <c r="Z385" t="s">
        <v>43</v>
      </c>
      <c r="AA385" t="s">
        <v>43</v>
      </c>
      <c r="AD385" t="s">
        <v>3143</v>
      </c>
    </row>
    <row r="386" spans="1:30" x14ac:dyDescent="0.4">
      <c r="A386" t="s">
        <v>27</v>
      </c>
      <c r="B386">
        <v>1375</v>
      </c>
      <c r="C386" t="s">
        <v>257</v>
      </c>
      <c r="D386" t="s">
        <v>1096</v>
      </c>
      <c r="E386" t="s">
        <v>1097</v>
      </c>
      <c r="F386" t="s">
        <v>1098</v>
      </c>
      <c r="G386" t="s">
        <v>1099</v>
      </c>
      <c r="H386" t="s">
        <v>1100</v>
      </c>
      <c r="I386" t="s">
        <v>1101</v>
      </c>
      <c r="J386" t="s">
        <v>1102</v>
      </c>
      <c r="K386" t="s">
        <v>35</v>
      </c>
      <c r="L386">
        <v>1945428737</v>
      </c>
      <c r="M386" t="s">
        <v>1103</v>
      </c>
      <c r="N386" t="s">
        <v>2862</v>
      </c>
      <c r="P386" t="s">
        <v>3058</v>
      </c>
      <c r="Q386" t="s">
        <v>1108</v>
      </c>
      <c r="R386" t="s">
        <v>58</v>
      </c>
      <c r="S386" t="s">
        <v>40</v>
      </c>
      <c r="T386" s="1">
        <v>44477</v>
      </c>
      <c r="U386">
        <v>0</v>
      </c>
      <c r="V386">
        <v>14</v>
      </c>
      <c r="X386" t="s">
        <v>135</v>
      </c>
      <c r="Y386" t="s">
        <v>42</v>
      </c>
      <c r="Z386" t="s">
        <v>43</v>
      </c>
      <c r="AA386" t="s">
        <v>43</v>
      </c>
      <c r="AD386" t="s">
        <v>3143</v>
      </c>
    </row>
    <row r="387" spans="1:30" x14ac:dyDescent="0.4">
      <c r="A387" t="s">
        <v>27</v>
      </c>
      <c r="B387">
        <v>1375</v>
      </c>
      <c r="C387" t="s">
        <v>257</v>
      </c>
      <c r="D387" t="s">
        <v>1096</v>
      </c>
      <c r="E387" t="s">
        <v>1097</v>
      </c>
      <c r="F387" t="s">
        <v>1098</v>
      </c>
      <c r="G387" t="s">
        <v>1099</v>
      </c>
      <c r="H387" t="s">
        <v>1100</v>
      </c>
      <c r="I387" t="s">
        <v>1101</v>
      </c>
      <c r="J387" t="s">
        <v>1102</v>
      </c>
      <c r="K387" t="s">
        <v>35</v>
      </c>
      <c r="L387">
        <v>1945428737</v>
      </c>
      <c r="M387" t="s">
        <v>1103</v>
      </c>
      <c r="N387" t="s">
        <v>2862</v>
      </c>
      <c r="P387" t="s">
        <v>3104</v>
      </c>
      <c r="Q387" t="s">
        <v>1110</v>
      </c>
      <c r="R387" t="s">
        <v>169</v>
      </c>
      <c r="S387" t="s">
        <v>40</v>
      </c>
      <c r="T387" s="1">
        <v>43570</v>
      </c>
      <c r="U387">
        <v>0</v>
      </c>
      <c r="V387">
        <v>14</v>
      </c>
      <c r="X387" t="s">
        <v>135</v>
      </c>
      <c r="Y387" t="s">
        <v>42</v>
      </c>
      <c r="Z387" t="s">
        <v>43</v>
      </c>
      <c r="AA387" t="s">
        <v>43</v>
      </c>
      <c r="AD387" t="s">
        <v>3143</v>
      </c>
    </row>
    <row r="388" spans="1:30" x14ac:dyDescent="0.4">
      <c r="A388" t="s">
        <v>27</v>
      </c>
      <c r="B388">
        <v>1375</v>
      </c>
      <c r="C388" t="s">
        <v>257</v>
      </c>
      <c r="D388" t="s">
        <v>1096</v>
      </c>
      <c r="E388" t="s">
        <v>1097</v>
      </c>
      <c r="F388" t="s">
        <v>1098</v>
      </c>
      <c r="G388" t="s">
        <v>1099</v>
      </c>
      <c r="H388" t="s">
        <v>1100</v>
      </c>
      <c r="I388" t="s">
        <v>1101</v>
      </c>
      <c r="J388" t="s">
        <v>1102</v>
      </c>
      <c r="K388" t="s">
        <v>35</v>
      </c>
      <c r="L388">
        <v>1945428737</v>
      </c>
      <c r="M388" t="s">
        <v>1103</v>
      </c>
      <c r="N388" t="s">
        <v>2862</v>
      </c>
      <c r="P388" t="s">
        <v>3105</v>
      </c>
      <c r="Q388" t="s">
        <v>1113</v>
      </c>
      <c r="R388" t="s">
        <v>58</v>
      </c>
      <c r="S388" t="s">
        <v>40</v>
      </c>
      <c r="T388" s="1">
        <v>42314</v>
      </c>
      <c r="U388">
        <v>0</v>
      </c>
      <c r="V388">
        <v>14</v>
      </c>
      <c r="X388" t="s">
        <v>135</v>
      </c>
      <c r="Y388" t="s">
        <v>42</v>
      </c>
      <c r="Z388" t="s">
        <v>43</v>
      </c>
      <c r="AA388" t="s">
        <v>43</v>
      </c>
      <c r="AD388" t="s">
        <v>3143</v>
      </c>
    </row>
    <row r="389" spans="1:30" x14ac:dyDescent="0.4">
      <c r="A389" t="s">
        <v>27</v>
      </c>
      <c r="B389">
        <v>1375</v>
      </c>
      <c r="C389" t="s">
        <v>257</v>
      </c>
      <c r="D389" t="s">
        <v>1096</v>
      </c>
      <c r="E389" t="s">
        <v>1097</v>
      </c>
      <c r="F389" t="s">
        <v>1098</v>
      </c>
      <c r="G389" t="s">
        <v>1099</v>
      </c>
      <c r="H389" t="s">
        <v>1100</v>
      </c>
      <c r="I389" t="s">
        <v>1101</v>
      </c>
      <c r="J389" t="s">
        <v>1102</v>
      </c>
      <c r="K389" t="s">
        <v>35</v>
      </c>
      <c r="L389">
        <v>1945428737</v>
      </c>
      <c r="M389" t="s">
        <v>1103</v>
      </c>
      <c r="N389" t="s">
        <v>2862</v>
      </c>
      <c r="P389" t="s">
        <v>3104</v>
      </c>
      <c r="Q389" t="s">
        <v>1110</v>
      </c>
      <c r="R389" t="s">
        <v>169</v>
      </c>
      <c r="S389" t="s">
        <v>40</v>
      </c>
      <c r="T389" s="1">
        <v>43570</v>
      </c>
      <c r="U389">
        <v>0</v>
      </c>
      <c r="V389">
        <v>16</v>
      </c>
      <c r="X389" t="s">
        <v>135</v>
      </c>
      <c r="Y389" t="s">
        <v>42</v>
      </c>
      <c r="Z389" t="s">
        <v>43</v>
      </c>
      <c r="AA389" t="s">
        <v>43</v>
      </c>
      <c r="AD389" t="s">
        <v>3143</v>
      </c>
    </row>
    <row r="390" spans="1:30" x14ac:dyDescent="0.4">
      <c r="A390" t="s">
        <v>27</v>
      </c>
      <c r="B390">
        <v>1375</v>
      </c>
      <c r="C390" t="s">
        <v>257</v>
      </c>
      <c r="D390" t="s">
        <v>1096</v>
      </c>
      <c r="E390" t="s">
        <v>1097</v>
      </c>
      <c r="F390" t="s">
        <v>1098</v>
      </c>
      <c r="G390" t="s">
        <v>1099</v>
      </c>
      <c r="H390" t="s">
        <v>1100</v>
      </c>
      <c r="I390" t="s">
        <v>1101</v>
      </c>
      <c r="J390" t="s">
        <v>1102</v>
      </c>
      <c r="K390" t="s">
        <v>35</v>
      </c>
      <c r="L390">
        <v>1945428737</v>
      </c>
      <c r="M390" t="s">
        <v>1103</v>
      </c>
      <c r="N390" t="s">
        <v>1104</v>
      </c>
      <c r="P390" t="s">
        <v>1114</v>
      </c>
      <c r="Q390" t="s">
        <v>1115</v>
      </c>
      <c r="R390" t="s">
        <v>1116</v>
      </c>
      <c r="S390" t="s">
        <v>82</v>
      </c>
      <c r="T390" s="1">
        <v>42586</v>
      </c>
      <c r="U390">
        <v>0</v>
      </c>
      <c r="V390">
        <v>0</v>
      </c>
      <c r="W390" t="s">
        <v>59</v>
      </c>
      <c r="X390" t="s">
        <v>135</v>
      </c>
      <c r="Y390" t="s">
        <v>42</v>
      </c>
      <c r="Z390" t="s">
        <v>43</v>
      </c>
      <c r="AA390" t="s">
        <v>43</v>
      </c>
      <c r="AD390" t="s">
        <v>3143</v>
      </c>
    </row>
    <row r="391" spans="1:30" x14ac:dyDescent="0.4">
      <c r="A391" t="s">
        <v>27</v>
      </c>
      <c r="B391">
        <v>3961</v>
      </c>
      <c r="C391" t="s">
        <v>28</v>
      </c>
      <c r="D391" t="s">
        <v>1117</v>
      </c>
      <c r="E391" t="s">
        <v>1118</v>
      </c>
      <c r="F391" t="s">
        <v>1119</v>
      </c>
      <c r="G391" t="s">
        <v>1120</v>
      </c>
      <c r="H391" t="s">
        <v>660</v>
      </c>
      <c r="I391" t="s">
        <v>33</v>
      </c>
      <c r="J391" t="s">
        <v>661</v>
      </c>
      <c r="K391" t="s">
        <v>35</v>
      </c>
      <c r="L391" t="s">
        <v>1121</v>
      </c>
      <c r="M391" t="s">
        <v>1122</v>
      </c>
      <c r="N391" t="s">
        <v>2947</v>
      </c>
      <c r="P391" t="s">
        <v>1123</v>
      </c>
      <c r="Q391" t="s">
        <v>1124</v>
      </c>
      <c r="R391" t="s">
        <v>58</v>
      </c>
      <c r="S391" t="s">
        <v>82</v>
      </c>
      <c r="T391" s="1">
        <v>42686</v>
      </c>
      <c r="U391">
        <v>0</v>
      </c>
      <c r="V391">
        <v>5</v>
      </c>
      <c r="W391" t="s">
        <v>66</v>
      </c>
      <c r="Y391" t="s">
        <v>42</v>
      </c>
      <c r="Z391" t="s">
        <v>43</v>
      </c>
      <c r="AA391" t="s">
        <v>42</v>
      </c>
      <c r="AD391" t="s">
        <v>3143</v>
      </c>
    </row>
    <row r="392" spans="1:30" x14ac:dyDescent="0.4">
      <c r="A392" t="s">
        <v>27</v>
      </c>
      <c r="B392">
        <v>3961</v>
      </c>
      <c r="C392" t="s">
        <v>28</v>
      </c>
      <c r="D392" t="s">
        <v>1117</v>
      </c>
      <c r="E392" t="s">
        <v>1118</v>
      </c>
      <c r="F392" t="s">
        <v>1119</v>
      </c>
      <c r="G392" t="s">
        <v>1120</v>
      </c>
      <c r="H392" t="s">
        <v>660</v>
      </c>
      <c r="I392" t="s">
        <v>33</v>
      </c>
      <c r="J392" t="s">
        <v>661</v>
      </c>
      <c r="K392" t="s">
        <v>35</v>
      </c>
      <c r="L392" t="s">
        <v>1121</v>
      </c>
      <c r="M392" t="s">
        <v>1122</v>
      </c>
      <c r="N392" t="s">
        <v>2947</v>
      </c>
      <c r="P392" t="s">
        <v>1123</v>
      </c>
      <c r="Q392" t="s">
        <v>1124</v>
      </c>
      <c r="R392" t="s">
        <v>58</v>
      </c>
      <c r="S392" t="s">
        <v>82</v>
      </c>
      <c r="T392" s="1">
        <v>42686</v>
      </c>
      <c r="U392">
        <v>0</v>
      </c>
      <c r="V392">
        <v>6</v>
      </c>
      <c r="W392" t="s">
        <v>83</v>
      </c>
      <c r="Y392" t="s">
        <v>42</v>
      </c>
      <c r="Z392" t="s">
        <v>43</v>
      </c>
      <c r="AA392" t="s">
        <v>42</v>
      </c>
      <c r="AD392" t="s">
        <v>3143</v>
      </c>
    </row>
    <row r="393" spans="1:30" x14ac:dyDescent="0.4">
      <c r="A393" t="s">
        <v>27</v>
      </c>
      <c r="B393">
        <v>3961</v>
      </c>
      <c r="C393" t="s">
        <v>28</v>
      </c>
      <c r="D393" t="s">
        <v>1117</v>
      </c>
      <c r="E393" t="s">
        <v>1118</v>
      </c>
      <c r="F393" t="s">
        <v>1119</v>
      </c>
      <c r="G393" t="s">
        <v>1120</v>
      </c>
      <c r="H393" t="s">
        <v>660</v>
      </c>
      <c r="I393" t="s">
        <v>33</v>
      </c>
      <c r="J393" t="s">
        <v>661</v>
      </c>
      <c r="K393" t="s">
        <v>35</v>
      </c>
      <c r="L393" t="s">
        <v>1121</v>
      </c>
      <c r="M393" t="s">
        <v>1122</v>
      </c>
      <c r="N393" t="s">
        <v>2947</v>
      </c>
      <c r="P393" t="s">
        <v>1123</v>
      </c>
      <c r="Q393" t="s">
        <v>1124</v>
      </c>
      <c r="R393" t="s">
        <v>58</v>
      </c>
      <c r="S393" t="s">
        <v>82</v>
      </c>
      <c r="T393" s="1">
        <v>42686</v>
      </c>
      <c r="U393">
        <v>0</v>
      </c>
      <c r="V393">
        <v>15</v>
      </c>
      <c r="Y393" t="s">
        <v>42</v>
      </c>
      <c r="Z393" t="s">
        <v>43</v>
      </c>
      <c r="AA393" t="s">
        <v>42</v>
      </c>
      <c r="AD393" t="s">
        <v>3143</v>
      </c>
    </row>
    <row r="394" spans="1:30" x14ac:dyDescent="0.4">
      <c r="A394" t="s">
        <v>27</v>
      </c>
      <c r="B394">
        <v>3961</v>
      </c>
      <c r="C394" t="s">
        <v>28</v>
      </c>
      <c r="D394" t="s">
        <v>1117</v>
      </c>
      <c r="E394" t="s">
        <v>1118</v>
      </c>
      <c r="F394" t="s">
        <v>1119</v>
      </c>
      <c r="G394" t="s">
        <v>1120</v>
      </c>
      <c r="H394" t="s">
        <v>660</v>
      </c>
      <c r="I394" t="s">
        <v>33</v>
      </c>
      <c r="J394" t="s">
        <v>661</v>
      </c>
      <c r="K394" t="s">
        <v>35</v>
      </c>
      <c r="L394" t="s">
        <v>1121</v>
      </c>
      <c r="M394" t="s">
        <v>1122</v>
      </c>
      <c r="N394" t="s">
        <v>2947</v>
      </c>
      <c r="P394" t="s">
        <v>1123</v>
      </c>
      <c r="Q394" t="s">
        <v>1124</v>
      </c>
      <c r="R394" t="s">
        <v>58</v>
      </c>
      <c r="S394" t="s">
        <v>82</v>
      </c>
      <c r="T394" s="1">
        <v>42686</v>
      </c>
      <c r="U394">
        <v>0</v>
      </c>
      <c r="V394">
        <v>17</v>
      </c>
      <c r="Y394" t="s">
        <v>42</v>
      </c>
      <c r="Z394" t="s">
        <v>43</v>
      </c>
      <c r="AA394" t="s">
        <v>42</v>
      </c>
      <c r="AD394" t="s">
        <v>3143</v>
      </c>
    </row>
    <row r="395" spans="1:30" x14ac:dyDescent="0.4">
      <c r="A395" t="s">
        <v>27</v>
      </c>
      <c r="B395">
        <v>2189</v>
      </c>
      <c r="C395" t="s">
        <v>28</v>
      </c>
      <c r="D395" t="s">
        <v>950</v>
      </c>
      <c r="E395" t="s">
        <v>1125</v>
      </c>
      <c r="F395" t="s">
        <v>1126</v>
      </c>
      <c r="H395" t="s">
        <v>1127</v>
      </c>
      <c r="I395" t="s">
        <v>495</v>
      </c>
      <c r="J395" t="s">
        <v>1128</v>
      </c>
      <c r="K395" t="s">
        <v>35</v>
      </c>
      <c r="L395">
        <v>7764686809</v>
      </c>
      <c r="M395" t="s">
        <v>1129</v>
      </c>
      <c r="N395" t="s">
        <v>1130</v>
      </c>
      <c r="P395" t="s">
        <v>1131</v>
      </c>
      <c r="Q395" t="s">
        <v>1132</v>
      </c>
      <c r="R395" t="s">
        <v>356</v>
      </c>
      <c r="S395" t="s">
        <v>40</v>
      </c>
      <c r="T395" s="1">
        <v>45559</v>
      </c>
      <c r="U395">
        <v>0</v>
      </c>
      <c r="V395">
        <v>0</v>
      </c>
      <c r="W395" t="s">
        <v>59</v>
      </c>
      <c r="Y395" t="s">
        <v>42</v>
      </c>
      <c r="Z395" t="s">
        <v>43</v>
      </c>
      <c r="AA395" t="s">
        <v>43</v>
      </c>
      <c r="AD395" t="s">
        <v>3143</v>
      </c>
    </row>
    <row r="396" spans="1:30" x14ac:dyDescent="0.4">
      <c r="A396" t="s">
        <v>27</v>
      </c>
      <c r="B396">
        <v>2189</v>
      </c>
      <c r="C396" t="s">
        <v>28</v>
      </c>
      <c r="D396" t="s">
        <v>950</v>
      </c>
      <c r="E396" t="s">
        <v>1125</v>
      </c>
      <c r="F396" t="s">
        <v>1126</v>
      </c>
      <c r="H396" t="s">
        <v>1127</v>
      </c>
      <c r="I396" t="s">
        <v>495</v>
      </c>
      <c r="J396" t="s">
        <v>1128</v>
      </c>
      <c r="K396" t="s">
        <v>35</v>
      </c>
      <c r="L396">
        <v>7764686809</v>
      </c>
      <c r="M396" t="s">
        <v>1129</v>
      </c>
      <c r="N396" t="s">
        <v>1130</v>
      </c>
      <c r="P396" t="s">
        <v>1133</v>
      </c>
      <c r="Q396" t="s">
        <v>1134</v>
      </c>
      <c r="R396" t="s">
        <v>356</v>
      </c>
      <c r="S396" t="s">
        <v>40</v>
      </c>
      <c r="T396" s="1">
        <v>43925</v>
      </c>
      <c r="U396">
        <v>0</v>
      </c>
      <c r="V396">
        <v>0</v>
      </c>
      <c r="W396" t="s">
        <v>59</v>
      </c>
      <c r="Y396" t="s">
        <v>42</v>
      </c>
      <c r="Z396" t="s">
        <v>43</v>
      </c>
      <c r="AA396" t="s">
        <v>43</v>
      </c>
      <c r="AD396" t="s">
        <v>3143</v>
      </c>
    </row>
    <row r="397" spans="1:30" x14ac:dyDescent="0.4">
      <c r="A397" t="s">
        <v>27</v>
      </c>
      <c r="B397">
        <v>1084</v>
      </c>
      <c r="C397" t="s">
        <v>68</v>
      </c>
      <c r="D397" t="s">
        <v>883</v>
      </c>
      <c r="E397" t="s">
        <v>1135</v>
      </c>
      <c r="F397" t="s">
        <v>1136</v>
      </c>
      <c r="G397" t="s">
        <v>468</v>
      </c>
      <c r="H397" t="s">
        <v>50</v>
      </c>
      <c r="I397" t="s">
        <v>51</v>
      </c>
      <c r="J397" t="s">
        <v>1137</v>
      </c>
      <c r="K397" t="s">
        <v>35</v>
      </c>
      <c r="L397">
        <v>441489782506</v>
      </c>
      <c r="M397" t="s">
        <v>1138</v>
      </c>
      <c r="N397" t="s">
        <v>67</v>
      </c>
      <c r="P397" t="s">
        <v>1139</v>
      </c>
      <c r="Q397" t="s">
        <v>1140</v>
      </c>
      <c r="R397" t="s">
        <v>94</v>
      </c>
      <c r="S397" t="s">
        <v>82</v>
      </c>
      <c r="T397" s="1">
        <v>41672</v>
      </c>
      <c r="U397">
        <v>0</v>
      </c>
      <c r="V397">
        <v>0</v>
      </c>
      <c r="W397" t="s">
        <v>59</v>
      </c>
      <c r="Y397" t="s">
        <v>42</v>
      </c>
      <c r="Z397" t="s">
        <v>43</v>
      </c>
      <c r="AA397" t="s">
        <v>43</v>
      </c>
      <c r="AB397" t="s">
        <v>1141</v>
      </c>
      <c r="AD397" t="s">
        <v>3143</v>
      </c>
    </row>
    <row r="398" spans="1:30" x14ac:dyDescent="0.4">
      <c r="A398" t="s">
        <v>27</v>
      </c>
      <c r="B398">
        <v>1084</v>
      </c>
      <c r="C398" t="s">
        <v>68</v>
      </c>
      <c r="D398" t="s">
        <v>883</v>
      </c>
      <c r="E398" t="s">
        <v>1135</v>
      </c>
      <c r="F398" t="s">
        <v>1136</v>
      </c>
      <c r="G398" t="s">
        <v>468</v>
      </c>
      <c r="H398" t="s">
        <v>50</v>
      </c>
      <c r="I398" t="s">
        <v>51</v>
      </c>
      <c r="J398" t="s">
        <v>1137</v>
      </c>
      <c r="K398" t="s">
        <v>35</v>
      </c>
      <c r="L398">
        <v>441489782506</v>
      </c>
      <c r="M398" t="s">
        <v>1138</v>
      </c>
      <c r="N398" t="s">
        <v>67</v>
      </c>
      <c r="P398" t="s">
        <v>1139</v>
      </c>
      <c r="Q398" t="s">
        <v>1140</v>
      </c>
      <c r="R398" t="s">
        <v>94</v>
      </c>
      <c r="S398" t="s">
        <v>82</v>
      </c>
      <c r="T398" s="1">
        <v>41672</v>
      </c>
      <c r="U398">
        <v>0</v>
      </c>
      <c r="V398">
        <v>0</v>
      </c>
      <c r="W398" t="s">
        <v>59</v>
      </c>
      <c r="Y398" t="s">
        <v>42</v>
      </c>
      <c r="Z398" t="s">
        <v>43</v>
      </c>
      <c r="AA398" t="s">
        <v>43</v>
      </c>
      <c r="AB398" t="s">
        <v>1141</v>
      </c>
      <c r="AD398" t="s">
        <v>3143</v>
      </c>
    </row>
    <row r="399" spans="1:30" x14ac:dyDescent="0.4">
      <c r="A399" t="s">
        <v>27</v>
      </c>
      <c r="B399">
        <v>1084</v>
      </c>
      <c r="C399" t="s">
        <v>68</v>
      </c>
      <c r="D399" t="s">
        <v>883</v>
      </c>
      <c r="E399" t="s">
        <v>1135</v>
      </c>
      <c r="F399" t="s">
        <v>1136</v>
      </c>
      <c r="G399" t="s">
        <v>468</v>
      </c>
      <c r="H399" t="s">
        <v>50</v>
      </c>
      <c r="I399" t="s">
        <v>51</v>
      </c>
      <c r="J399" t="s">
        <v>1137</v>
      </c>
      <c r="K399" t="s">
        <v>35</v>
      </c>
      <c r="L399">
        <v>441489782506</v>
      </c>
      <c r="M399" t="s">
        <v>1138</v>
      </c>
      <c r="N399" t="s">
        <v>67</v>
      </c>
      <c r="P399" t="s">
        <v>1142</v>
      </c>
      <c r="Q399" t="s">
        <v>1143</v>
      </c>
      <c r="R399" t="s">
        <v>94</v>
      </c>
      <c r="S399" t="s">
        <v>40</v>
      </c>
      <c r="T399" s="1">
        <v>45279</v>
      </c>
      <c r="U399">
        <v>0</v>
      </c>
      <c r="V399">
        <v>0</v>
      </c>
      <c r="W399" t="s">
        <v>59</v>
      </c>
      <c r="Y399" t="s">
        <v>42</v>
      </c>
      <c r="Z399" t="s">
        <v>43</v>
      </c>
      <c r="AA399" t="s">
        <v>43</v>
      </c>
      <c r="AB399" t="s">
        <v>1141</v>
      </c>
      <c r="AD399" t="s">
        <v>3143</v>
      </c>
    </row>
    <row r="400" spans="1:30" x14ac:dyDescent="0.4">
      <c r="A400" t="s">
        <v>27</v>
      </c>
      <c r="B400">
        <v>1084</v>
      </c>
      <c r="C400" t="s">
        <v>68</v>
      </c>
      <c r="D400" t="s">
        <v>883</v>
      </c>
      <c r="E400" t="s">
        <v>1135</v>
      </c>
      <c r="F400" t="s">
        <v>1136</v>
      </c>
      <c r="G400" t="s">
        <v>468</v>
      </c>
      <c r="H400" t="s">
        <v>50</v>
      </c>
      <c r="I400" t="s">
        <v>51</v>
      </c>
      <c r="J400" t="s">
        <v>1137</v>
      </c>
      <c r="K400" t="s">
        <v>35</v>
      </c>
      <c r="L400">
        <v>441489782506</v>
      </c>
      <c r="M400" t="s">
        <v>1138</v>
      </c>
      <c r="N400" t="s">
        <v>67</v>
      </c>
      <c r="P400" t="s">
        <v>1144</v>
      </c>
      <c r="Q400" t="s">
        <v>1145</v>
      </c>
      <c r="R400" t="s">
        <v>94</v>
      </c>
      <c r="S400" t="s">
        <v>40</v>
      </c>
      <c r="T400" s="1">
        <v>44374</v>
      </c>
      <c r="U400">
        <v>0</v>
      </c>
      <c r="V400">
        <v>0</v>
      </c>
      <c r="W400" t="s">
        <v>59</v>
      </c>
      <c r="Y400" t="s">
        <v>42</v>
      </c>
      <c r="Z400" t="s">
        <v>43</v>
      </c>
      <c r="AA400" t="s">
        <v>43</v>
      </c>
      <c r="AB400" t="s">
        <v>1141</v>
      </c>
      <c r="AD400" t="s">
        <v>3143</v>
      </c>
    </row>
    <row r="401" spans="1:30" x14ac:dyDescent="0.4">
      <c r="A401" t="s">
        <v>27</v>
      </c>
      <c r="B401">
        <v>1084</v>
      </c>
      <c r="C401" t="s">
        <v>68</v>
      </c>
      <c r="D401" t="s">
        <v>883</v>
      </c>
      <c r="E401" t="s">
        <v>1135</v>
      </c>
      <c r="F401" t="s">
        <v>1136</v>
      </c>
      <c r="G401" t="s">
        <v>468</v>
      </c>
      <c r="H401" t="s">
        <v>50</v>
      </c>
      <c r="I401" t="s">
        <v>51</v>
      </c>
      <c r="J401" t="s">
        <v>1137</v>
      </c>
      <c r="K401" t="s">
        <v>35</v>
      </c>
      <c r="L401">
        <v>441489782506</v>
      </c>
      <c r="M401" t="s">
        <v>1138</v>
      </c>
      <c r="N401" t="s">
        <v>67</v>
      </c>
      <c r="P401" t="s">
        <v>3050</v>
      </c>
      <c r="Q401" t="s">
        <v>1143</v>
      </c>
      <c r="R401" t="s">
        <v>94</v>
      </c>
      <c r="S401" t="s">
        <v>40</v>
      </c>
      <c r="T401" s="1">
        <v>45279</v>
      </c>
      <c r="U401">
        <v>0</v>
      </c>
      <c r="V401">
        <v>4</v>
      </c>
      <c r="W401" t="s">
        <v>65</v>
      </c>
      <c r="Y401" t="s">
        <v>42</v>
      </c>
      <c r="Z401" t="s">
        <v>43</v>
      </c>
      <c r="AA401" t="s">
        <v>43</v>
      </c>
      <c r="AB401" t="s">
        <v>1141</v>
      </c>
      <c r="AD401" t="s">
        <v>3143</v>
      </c>
    </row>
    <row r="402" spans="1:30" x14ac:dyDescent="0.4">
      <c r="A402" t="s">
        <v>27</v>
      </c>
      <c r="B402">
        <v>1084</v>
      </c>
      <c r="C402" t="s">
        <v>68</v>
      </c>
      <c r="D402" t="s">
        <v>883</v>
      </c>
      <c r="E402" t="s">
        <v>1135</v>
      </c>
      <c r="F402" t="s">
        <v>1136</v>
      </c>
      <c r="G402" t="s">
        <v>468</v>
      </c>
      <c r="H402" t="s">
        <v>50</v>
      </c>
      <c r="I402" t="s">
        <v>51</v>
      </c>
      <c r="J402" t="s">
        <v>1137</v>
      </c>
      <c r="K402" t="s">
        <v>35</v>
      </c>
      <c r="L402">
        <v>441489782506</v>
      </c>
      <c r="M402" t="s">
        <v>1138</v>
      </c>
      <c r="N402" t="s">
        <v>67</v>
      </c>
      <c r="P402" t="s">
        <v>1144</v>
      </c>
      <c r="Q402" t="s">
        <v>1145</v>
      </c>
      <c r="R402" t="s">
        <v>94</v>
      </c>
      <c r="S402" t="s">
        <v>40</v>
      </c>
      <c r="T402" s="1">
        <v>44374</v>
      </c>
      <c r="U402">
        <v>0</v>
      </c>
      <c r="V402">
        <v>7</v>
      </c>
      <c r="Y402" t="s">
        <v>42</v>
      </c>
      <c r="Z402" t="s">
        <v>43</v>
      </c>
      <c r="AA402" t="s">
        <v>43</v>
      </c>
      <c r="AB402" t="s">
        <v>1141</v>
      </c>
      <c r="AD402" t="s">
        <v>3143</v>
      </c>
    </row>
    <row r="403" spans="1:30" ht="112" x14ac:dyDescent="0.4">
      <c r="A403" t="s">
        <v>27</v>
      </c>
      <c r="B403">
        <v>299</v>
      </c>
      <c r="C403" t="s">
        <v>257</v>
      </c>
      <c r="D403" t="s">
        <v>1146</v>
      </c>
      <c r="E403" t="s">
        <v>1147</v>
      </c>
      <c r="F403" t="s">
        <v>1148</v>
      </c>
      <c r="G403" t="s">
        <v>1149</v>
      </c>
      <c r="H403" t="s">
        <v>1150</v>
      </c>
      <c r="I403" t="s">
        <v>189</v>
      </c>
      <c r="J403" t="s">
        <v>1151</v>
      </c>
      <c r="K403" t="s">
        <v>35</v>
      </c>
      <c r="L403">
        <v>1277210228</v>
      </c>
      <c r="M403" t="s">
        <v>1152</v>
      </c>
      <c r="N403" t="s">
        <v>229</v>
      </c>
      <c r="P403" t="s">
        <v>1153</v>
      </c>
      <c r="Q403" t="s">
        <v>1154</v>
      </c>
      <c r="R403" t="s">
        <v>284</v>
      </c>
      <c r="S403" t="s">
        <v>40</v>
      </c>
      <c r="T403" s="1">
        <v>43648</v>
      </c>
      <c r="U403">
        <v>0</v>
      </c>
      <c r="V403">
        <v>0</v>
      </c>
      <c r="W403" t="s">
        <v>59</v>
      </c>
      <c r="X403" t="s">
        <v>1155</v>
      </c>
      <c r="Y403" t="s">
        <v>42</v>
      </c>
      <c r="Z403" t="s">
        <v>43</v>
      </c>
      <c r="AA403" t="s">
        <v>43</v>
      </c>
      <c r="AB403" s="2" t="s">
        <v>1156</v>
      </c>
      <c r="AD403" t="s">
        <v>3143</v>
      </c>
    </row>
    <row r="404" spans="1:30" ht="112" x14ac:dyDescent="0.4">
      <c r="A404" t="s">
        <v>27</v>
      </c>
      <c r="B404">
        <v>299</v>
      </c>
      <c r="C404" t="s">
        <v>257</v>
      </c>
      <c r="D404" t="s">
        <v>1146</v>
      </c>
      <c r="E404" t="s">
        <v>1147</v>
      </c>
      <c r="F404" t="s">
        <v>1148</v>
      </c>
      <c r="G404" t="s">
        <v>1149</v>
      </c>
      <c r="H404" t="s">
        <v>1150</v>
      </c>
      <c r="I404" t="s">
        <v>189</v>
      </c>
      <c r="J404" t="s">
        <v>1151</v>
      </c>
      <c r="K404" t="s">
        <v>35</v>
      </c>
      <c r="L404">
        <v>1277210228</v>
      </c>
      <c r="M404" t="s">
        <v>1152</v>
      </c>
      <c r="N404" t="s">
        <v>229</v>
      </c>
      <c r="P404" t="s">
        <v>1157</v>
      </c>
      <c r="Q404" t="s">
        <v>1158</v>
      </c>
      <c r="R404" t="s">
        <v>376</v>
      </c>
      <c r="S404" t="s">
        <v>82</v>
      </c>
      <c r="T404" s="1">
        <v>41627</v>
      </c>
      <c r="U404">
        <v>0</v>
      </c>
      <c r="V404">
        <v>0</v>
      </c>
      <c r="W404" t="s">
        <v>59</v>
      </c>
      <c r="X404" t="s">
        <v>1155</v>
      </c>
      <c r="Y404" t="s">
        <v>42</v>
      </c>
      <c r="Z404" t="s">
        <v>43</v>
      </c>
      <c r="AA404" t="s">
        <v>43</v>
      </c>
      <c r="AB404" s="2" t="s">
        <v>1156</v>
      </c>
      <c r="AD404" t="s">
        <v>3143</v>
      </c>
    </row>
    <row r="405" spans="1:30" ht="112" x14ac:dyDescent="0.4">
      <c r="A405" t="s">
        <v>27</v>
      </c>
      <c r="B405">
        <v>299</v>
      </c>
      <c r="C405" t="s">
        <v>257</v>
      </c>
      <c r="D405" t="s">
        <v>1146</v>
      </c>
      <c r="E405" t="s">
        <v>1147</v>
      </c>
      <c r="F405" t="s">
        <v>1148</v>
      </c>
      <c r="G405" t="s">
        <v>1149</v>
      </c>
      <c r="H405" t="s">
        <v>1150</v>
      </c>
      <c r="I405" t="s">
        <v>189</v>
      </c>
      <c r="J405" t="s">
        <v>1151</v>
      </c>
      <c r="K405" t="s">
        <v>35</v>
      </c>
      <c r="L405">
        <v>1277210228</v>
      </c>
      <c r="M405" t="s">
        <v>1152</v>
      </c>
      <c r="N405" t="s">
        <v>229</v>
      </c>
      <c r="P405" t="s">
        <v>1153</v>
      </c>
      <c r="Q405" t="s">
        <v>1154</v>
      </c>
      <c r="R405" t="s">
        <v>284</v>
      </c>
      <c r="S405" t="s">
        <v>40</v>
      </c>
      <c r="T405" s="1">
        <v>43648</v>
      </c>
      <c r="U405">
        <v>0</v>
      </c>
      <c r="V405">
        <v>0</v>
      </c>
      <c r="W405" t="s">
        <v>59</v>
      </c>
      <c r="X405" t="s">
        <v>1155</v>
      </c>
      <c r="Y405" t="s">
        <v>42</v>
      </c>
      <c r="Z405" t="s">
        <v>43</v>
      </c>
      <c r="AA405" t="s">
        <v>43</v>
      </c>
      <c r="AB405" s="2" t="s">
        <v>1156</v>
      </c>
      <c r="AD405" t="s">
        <v>3143</v>
      </c>
    </row>
    <row r="406" spans="1:30" ht="112" x14ac:dyDescent="0.4">
      <c r="A406" t="s">
        <v>27</v>
      </c>
      <c r="B406">
        <v>299</v>
      </c>
      <c r="C406" t="s">
        <v>257</v>
      </c>
      <c r="D406" t="s">
        <v>1146</v>
      </c>
      <c r="E406" t="s">
        <v>1147</v>
      </c>
      <c r="F406" t="s">
        <v>1148</v>
      </c>
      <c r="G406" t="s">
        <v>1149</v>
      </c>
      <c r="H406" t="s">
        <v>1150</v>
      </c>
      <c r="I406" t="s">
        <v>189</v>
      </c>
      <c r="J406" t="s">
        <v>1151</v>
      </c>
      <c r="K406" t="s">
        <v>35</v>
      </c>
      <c r="L406">
        <v>1277210228</v>
      </c>
      <c r="M406" t="s">
        <v>1152</v>
      </c>
      <c r="N406" t="s">
        <v>229</v>
      </c>
      <c r="P406" t="s">
        <v>1157</v>
      </c>
      <c r="Q406" t="s">
        <v>1158</v>
      </c>
      <c r="R406" t="s">
        <v>376</v>
      </c>
      <c r="S406" t="s">
        <v>82</v>
      </c>
      <c r="T406" s="1">
        <v>41627</v>
      </c>
      <c r="U406">
        <v>0</v>
      </c>
      <c r="V406">
        <v>0</v>
      </c>
      <c r="W406" t="s">
        <v>59</v>
      </c>
      <c r="X406" t="s">
        <v>1155</v>
      </c>
      <c r="Y406" t="s">
        <v>42</v>
      </c>
      <c r="Z406" t="s">
        <v>43</v>
      </c>
      <c r="AA406" t="s">
        <v>43</v>
      </c>
      <c r="AB406" s="2" t="s">
        <v>1156</v>
      </c>
      <c r="AD406" t="s">
        <v>3143</v>
      </c>
    </row>
    <row r="407" spans="1:30" ht="48" x14ac:dyDescent="0.4">
      <c r="A407" t="s">
        <v>27</v>
      </c>
      <c r="B407">
        <v>299</v>
      </c>
      <c r="C407" t="s">
        <v>257</v>
      </c>
      <c r="D407" t="s">
        <v>1146</v>
      </c>
      <c r="E407" t="s">
        <v>1147</v>
      </c>
      <c r="F407" t="s">
        <v>1148</v>
      </c>
      <c r="G407" t="s">
        <v>1149</v>
      </c>
      <c r="H407" t="s">
        <v>1150</v>
      </c>
      <c r="I407" t="s">
        <v>189</v>
      </c>
      <c r="J407" t="s">
        <v>1151</v>
      </c>
      <c r="K407" t="s">
        <v>35</v>
      </c>
      <c r="L407">
        <v>1277210228</v>
      </c>
      <c r="M407" t="s">
        <v>1152</v>
      </c>
      <c r="N407" t="s">
        <v>2863</v>
      </c>
      <c r="P407" t="s">
        <v>1159</v>
      </c>
      <c r="Q407" t="s">
        <v>1160</v>
      </c>
      <c r="R407" t="s">
        <v>94</v>
      </c>
      <c r="S407" t="s">
        <v>82</v>
      </c>
      <c r="T407" s="1">
        <v>44811</v>
      </c>
      <c r="U407">
        <v>0</v>
      </c>
      <c r="V407">
        <v>4</v>
      </c>
      <c r="W407" t="s">
        <v>65</v>
      </c>
      <c r="X407" t="s">
        <v>1155</v>
      </c>
      <c r="Y407" t="s">
        <v>42</v>
      </c>
      <c r="Z407" t="s">
        <v>43</v>
      </c>
      <c r="AA407" t="s">
        <v>43</v>
      </c>
      <c r="AB407" s="2" t="s">
        <v>1156</v>
      </c>
      <c r="AD407" t="s">
        <v>3143</v>
      </c>
    </row>
    <row r="408" spans="1:30" ht="48" x14ac:dyDescent="0.4">
      <c r="A408" t="s">
        <v>27</v>
      </c>
      <c r="B408">
        <v>299</v>
      </c>
      <c r="C408" t="s">
        <v>257</v>
      </c>
      <c r="D408" t="s">
        <v>1146</v>
      </c>
      <c r="E408" t="s">
        <v>1147</v>
      </c>
      <c r="F408" t="s">
        <v>1148</v>
      </c>
      <c r="G408" t="s">
        <v>1149</v>
      </c>
      <c r="H408" t="s">
        <v>1150</v>
      </c>
      <c r="I408" t="s">
        <v>189</v>
      </c>
      <c r="J408" t="s">
        <v>1151</v>
      </c>
      <c r="K408" t="s">
        <v>35</v>
      </c>
      <c r="L408">
        <v>1277210228</v>
      </c>
      <c r="M408" t="s">
        <v>1152</v>
      </c>
      <c r="N408" t="s">
        <v>2863</v>
      </c>
      <c r="P408" t="s">
        <v>1159</v>
      </c>
      <c r="Q408" t="s">
        <v>1160</v>
      </c>
      <c r="R408" t="s">
        <v>94</v>
      </c>
      <c r="S408" t="s">
        <v>82</v>
      </c>
      <c r="T408" s="1">
        <v>44811</v>
      </c>
      <c r="U408">
        <v>0</v>
      </c>
      <c r="V408">
        <v>5</v>
      </c>
      <c r="W408" t="s">
        <v>66</v>
      </c>
      <c r="X408" t="s">
        <v>1155</v>
      </c>
      <c r="Y408" t="s">
        <v>42</v>
      </c>
      <c r="Z408" t="s">
        <v>43</v>
      </c>
      <c r="AA408" t="s">
        <v>43</v>
      </c>
      <c r="AB408" s="2" t="s">
        <v>1156</v>
      </c>
      <c r="AD408" t="s">
        <v>3143</v>
      </c>
    </row>
    <row r="409" spans="1:30" ht="48" x14ac:dyDescent="0.4">
      <c r="A409" t="s">
        <v>27</v>
      </c>
      <c r="B409">
        <v>299</v>
      </c>
      <c r="C409" t="s">
        <v>257</v>
      </c>
      <c r="D409" t="s">
        <v>1146</v>
      </c>
      <c r="E409" t="s">
        <v>1147</v>
      </c>
      <c r="F409" t="s">
        <v>1148</v>
      </c>
      <c r="G409" t="s">
        <v>1149</v>
      </c>
      <c r="H409" t="s">
        <v>1150</v>
      </c>
      <c r="I409" t="s">
        <v>189</v>
      </c>
      <c r="J409" t="s">
        <v>1151</v>
      </c>
      <c r="K409" t="s">
        <v>35</v>
      </c>
      <c r="L409">
        <v>1277210228</v>
      </c>
      <c r="M409" t="s">
        <v>1152</v>
      </c>
      <c r="N409" t="s">
        <v>2863</v>
      </c>
      <c r="P409" t="s">
        <v>1159</v>
      </c>
      <c r="Q409" t="s">
        <v>1160</v>
      </c>
      <c r="R409" t="s">
        <v>94</v>
      </c>
      <c r="S409" t="s">
        <v>82</v>
      </c>
      <c r="T409" s="1">
        <v>44811</v>
      </c>
      <c r="U409">
        <v>0</v>
      </c>
      <c r="V409">
        <v>13</v>
      </c>
      <c r="X409" t="s">
        <v>1155</v>
      </c>
      <c r="Y409" t="s">
        <v>42</v>
      </c>
      <c r="Z409" t="s">
        <v>43</v>
      </c>
      <c r="AA409" t="s">
        <v>43</v>
      </c>
      <c r="AB409" s="2" t="s">
        <v>1156</v>
      </c>
      <c r="AD409" t="s">
        <v>3143</v>
      </c>
    </row>
    <row r="410" spans="1:30" ht="48" x14ac:dyDescent="0.4">
      <c r="A410" t="s">
        <v>27</v>
      </c>
      <c r="B410">
        <v>299</v>
      </c>
      <c r="C410" t="s">
        <v>257</v>
      </c>
      <c r="D410" t="s">
        <v>1146</v>
      </c>
      <c r="E410" t="s">
        <v>1147</v>
      </c>
      <c r="F410" t="s">
        <v>1148</v>
      </c>
      <c r="G410" t="s">
        <v>1149</v>
      </c>
      <c r="H410" t="s">
        <v>1150</v>
      </c>
      <c r="I410" t="s">
        <v>189</v>
      </c>
      <c r="J410" t="s">
        <v>1151</v>
      </c>
      <c r="K410" t="s">
        <v>35</v>
      </c>
      <c r="L410">
        <v>1277210228</v>
      </c>
      <c r="M410" t="s">
        <v>1152</v>
      </c>
      <c r="N410" t="s">
        <v>2863</v>
      </c>
      <c r="P410" t="s">
        <v>1159</v>
      </c>
      <c r="Q410" t="s">
        <v>1160</v>
      </c>
      <c r="R410" t="s">
        <v>94</v>
      </c>
      <c r="S410" t="s">
        <v>82</v>
      </c>
      <c r="T410" s="1">
        <v>44811</v>
      </c>
      <c r="U410">
        <v>0</v>
      </c>
      <c r="V410">
        <v>15</v>
      </c>
      <c r="X410" t="s">
        <v>1155</v>
      </c>
      <c r="Y410" t="s">
        <v>42</v>
      </c>
      <c r="Z410" t="s">
        <v>43</v>
      </c>
      <c r="AA410" t="s">
        <v>43</v>
      </c>
      <c r="AB410" s="2" t="s">
        <v>1156</v>
      </c>
      <c r="AD410" t="s">
        <v>3143</v>
      </c>
    </row>
    <row r="411" spans="1:30" x14ac:dyDescent="0.4">
      <c r="A411" t="s">
        <v>27</v>
      </c>
      <c r="B411">
        <v>295</v>
      </c>
      <c r="C411" t="s">
        <v>28</v>
      </c>
      <c r="D411" t="s">
        <v>1161</v>
      </c>
      <c r="E411" t="s">
        <v>1162</v>
      </c>
      <c r="F411" t="s">
        <v>1163</v>
      </c>
      <c r="H411" t="s">
        <v>1164</v>
      </c>
      <c r="I411" t="s">
        <v>426</v>
      </c>
      <c r="J411" t="s">
        <v>1165</v>
      </c>
      <c r="K411" t="s">
        <v>35</v>
      </c>
      <c r="L411" t="s">
        <v>1166</v>
      </c>
      <c r="M411" t="s">
        <v>1167</v>
      </c>
      <c r="N411" t="s">
        <v>1168</v>
      </c>
      <c r="P411" t="s">
        <v>1169</v>
      </c>
      <c r="Q411" t="s">
        <v>1170</v>
      </c>
      <c r="R411" t="s">
        <v>94</v>
      </c>
      <c r="S411" t="s">
        <v>40</v>
      </c>
      <c r="T411" s="1">
        <v>41370</v>
      </c>
      <c r="U411">
        <v>0</v>
      </c>
      <c r="V411">
        <v>0</v>
      </c>
      <c r="W411" t="s">
        <v>59</v>
      </c>
      <c r="Y411" t="s">
        <v>42</v>
      </c>
      <c r="Z411" t="s">
        <v>43</v>
      </c>
      <c r="AA411" t="s">
        <v>42</v>
      </c>
      <c r="AD411" t="s">
        <v>3143</v>
      </c>
    </row>
    <row r="412" spans="1:30" x14ac:dyDescent="0.4">
      <c r="A412" t="s">
        <v>27</v>
      </c>
      <c r="B412">
        <v>295</v>
      </c>
      <c r="C412" t="s">
        <v>28</v>
      </c>
      <c r="D412" t="s">
        <v>1161</v>
      </c>
      <c r="E412" t="s">
        <v>1162</v>
      </c>
      <c r="F412" t="s">
        <v>1163</v>
      </c>
      <c r="H412" t="s">
        <v>1164</v>
      </c>
      <c r="I412" t="s">
        <v>426</v>
      </c>
      <c r="J412" t="s">
        <v>1165</v>
      </c>
      <c r="K412" t="s">
        <v>35</v>
      </c>
      <c r="L412" t="s">
        <v>1166</v>
      </c>
      <c r="M412" t="s">
        <v>1167</v>
      </c>
      <c r="N412" t="s">
        <v>1168</v>
      </c>
      <c r="P412" t="s">
        <v>1171</v>
      </c>
      <c r="Q412" t="s">
        <v>1172</v>
      </c>
      <c r="R412" t="s">
        <v>58</v>
      </c>
      <c r="S412" t="s">
        <v>40</v>
      </c>
      <c r="T412" s="1">
        <v>45630</v>
      </c>
      <c r="U412">
        <v>0</v>
      </c>
      <c r="V412">
        <v>0</v>
      </c>
      <c r="W412" t="s">
        <v>59</v>
      </c>
      <c r="Y412" t="s">
        <v>42</v>
      </c>
      <c r="Z412" t="s">
        <v>43</v>
      </c>
      <c r="AA412" t="s">
        <v>42</v>
      </c>
      <c r="AD412" t="s">
        <v>3143</v>
      </c>
    </row>
    <row r="413" spans="1:30" x14ac:dyDescent="0.4">
      <c r="A413" t="s">
        <v>27</v>
      </c>
      <c r="B413">
        <v>295</v>
      </c>
      <c r="C413" t="s">
        <v>28</v>
      </c>
      <c r="D413" t="s">
        <v>1161</v>
      </c>
      <c r="E413" t="s">
        <v>1162</v>
      </c>
      <c r="F413" t="s">
        <v>1163</v>
      </c>
      <c r="H413" t="s">
        <v>1164</v>
      </c>
      <c r="I413" t="s">
        <v>426</v>
      </c>
      <c r="J413" t="s">
        <v>1165</v>
      </c>
      <c r="K413" t="s">
        <v>35</v>
      </c>
      <c r="L413" t="s">
        <v>1166</v>
      </c>
      <c r="M413" t="s">
        <v>1167</v>
      </c>
      <c r="N413" t="s">
        <v>297</v>
      </c>
      <c r="P413" t="s">
        <v>1173</v>
      </c>
      <c r="Q413" t="s">
        <v>1174</v>
      </c>
      <c r="R413" t="s">
        <v>58</v>
      </c>
      <c r="S413" t="s">
        <v>40</v>
      </c>
      <c r="T413" s="1">
        <v>42805</v>
      </c>
      <c r="U413">
        <v>0</v>
      </c>
      <c r="V413">
        <v>7</v>
      </c>
      <c r="Y413" t="s">
        <v>42</v>
      </c>
      <c r="Z413" t="s">
        <v>43</v>
      </c>
      <c r="AA413" t="s">
        <v>42</v>
      </c>
      <c r="AD413" t="s">
        <v>3143</v>
      </c>
    </row>
    <row r="414" spans="1:30" x14ac:dyDescent="0.4">
      <c r="A414" t="s">
        <v>27</v>
      </c>
      <c r="B414">
        <v>295</v>
      </c>
      <c r="C414" t="s">
        <v>28</v>
      </c>
      <c r="D414" t="s">
        <v>1161</v>
      </c>
      <c r="E414" t="s">
        <v>1162</v>
      </c>
      <c r="F414" t="s">
        <v>1163</v>
      </c>
      <c r="H414" t="s">
        <v>1164</v>
      </c>
      <c r="I414" t="s">
        <v>426</v>
      </c>
      <c r="J414" t="s">
        <v>1165</v>
      </c>
      <c r="K414" t="s">
        <v>35</v>
      </c>
      <c r="L414" t="s">
        <v>1166</v>
      </c>
      <c r="M414" t="s">
        <v>1167</v>
      </c>
      <c r="N414" t="s">
        <v>1168</v>
      </c>
      <c r="P414" t="s">
        <v>1169</v>
      </c>
      <c r="Q414" t="s">
        <v>1170</v>
      </c>
      <c r="R414" t="s">
        <v>94</v>
      </c>
      <c r="S414" t="s">
        <v>40</v>
      </c>
      <c r="T414" s="1">
        <v>41370</v>
      </c>
      <c r="U414">
        <v>0</v>
      </c>
      <c r="V414">
        <v>0</v>
      </c>
      <c r="W414" t="s">
        <v>59</v>
      </c>
      <c r="Y414" t="s">
        <v>42</v>
      </c>
      <c r="Z414" t="s">
        <v>43</v>
      </c>
      <c r="AA414" t="s">
        <v>42</v>
      </c>
      <c r="AD414" t="s">
        <v>3143</v>
      </c>
    </row>
    <row r="415" spans="1:30" x14ac:dyDescent="0.4">
      <c r="A415" t="s">
        <v>27</v>
      </c>
      <c r="B415">
        <v>295</v>
      </c>
      <c r="C415" t="s">
        <v>28</v>
      </c>
      <c r="D415" t="s">
        <v>1161</v>
      </c>
      <c r="E415" t="s">
        <v>1162</v>
      </c>
      <c r="F415" t="s">
        <v>1163</v>
      </c>
      <c r="H415" t="s">
        <v>1164</v>
      </c>
      <c r="I415" t="s">
        <v>426</v>
      </c>
      <c r="J415" t="s">
        <v>1165</v>
      </c>
      <c r="K415" t="s">
        <v>35</v>
      </c>
      <c r="L415" t="s">
        <v>1166</v>
      </c>
      <c r="M415" t="s">
        <v>1167</v>
      </c>
      <c r="N415" t="s">
        <v>1168</v>
      </c>
      <c r="P415" t="s">
        <v>1171</v>
      </c>
      <c r="Q415" t="s">
        <v>1172</v>
      </c>
      <c r="R415" t="s">
        <v>58</v>
      </c>
      <c r="S415" t="s">
        <v>40</v>
      </c>
      <c r="T415" s="1">
        <v>45630</v>
      </c>
      <c r="U415">
        <v>0</v>
      </c>
      <c r="V415">
        <v>0</v>
      </c>
      <c r="W415" t="s">
        <v>59</v>
      </c>
      <c r="Y415" t="s">
        <v>42</v>
      </c>
      <c r="Z415" t="s">
        <v>43</v>
      </c>
      <c r="AA415" t="s">
        <v>42</v>
      </c>
      <c r="AD415" t="s">
        <v>3143</v>
      </c>
    </row>
    <row r="416" spans="1:30" x14ac:dyDescent="0.4">
      <c r="A416" t="s">
        <v>27</v>
      </c>
      <c r="B416">
        <v>295</v>
      </c>
      <c r="C416" t="s">
        <v>28</v>
      </c>
      <c r="D416" t="s">
        <v>1161</v>
      </c>
      <c r="E416" t="s">
        <v>1162</v>
      </c>
      <c r="F416" t="s">
        <v>1163</v>
      </c>
      <c r="H416" t="s">
        <v>1164</v>
      </c>
      <c r="I416" t="s">
        <v>426</v>
      </c>
      <c r="J416" t="s">
        <v>1165</v>
      </c>
      <c r="K416" t="s">
        <v>35</v>
      </c>
      <c r="L416" t="s">
        <v>1166</v>
      </c>
      <c r="M416" t="s">
        <v>1167</v>
      </c>
      <c r="N416" t="s">
        <v>1168</v>
      </c>
      <c r="P416" t="s">
        <v>1173</v>
      </c>
      <c r="Q416" t="s">
        <v>1174</v>
      </c>
      <c r="R416" t="s">
        <v>58</v>
      </c>
      <c r="S416" t="s">
        <v>40</v>
      </c>
      <c r="T416" s="1">
        <v>42805</v>
      </c>
      <c r="U416">
        <v>0</v>
      </c>
      <c r="V416">
        <v>0</v>
      </c>
      <c r="W416" t="s">
        <v>59</v>
      </c>
      <c r="Y416" t="s">
        <v>42</v>
      </c>
      <c r="Z416" t="s">
        <v>43</v>
      </c>
      <c r="AA416" t="s">
        <v>42</v>
      </c>
      <c r="AD416" t="s">
        <v>3143</v>
      </c>
    </row>
    <row r="417" spans="1:30" x14ac:dyDescent="0.4">
      <c r="A417" t="s">
        <v>27</v>
      </c>
      <c r="B417">
        <v>419</v>
      </c>
      <c r="C417" t="s">
        <v>195</v>
      </c>
      <c r="D417" t="s">
        <v>1175</v>
      </c>
      <c r="E417" t="s">
        <v>1176</v>
      </c>
      <c r="F417" t="s">
        <v>1177</v>
      </c>
      <c r="H417" t="s">
        <v>886</v>
      </c>
      <c r="I417" t="s">
        <v>330</v>
      </c>
      <c r="J417" t="s">
        <v>1178</v>
      </c>
      <c r="K417" t="s">
        <v>35</v>
      </c>
      <c r="L417">
        <v>7949196156</v>
      </c>
      <c r="M417" t="s">
        <v>1179</v>
      </c>
      <c r="N417" t="s">
        <v>1180</v>
      </c>
      <c r="P417" t="s">
        <v>1181</v>
      </c>
      <c r="Q417" t="s">
        <v>1182</v>
      </c>
      <c r="R417" t="s">
        <v>284</v>
      </c>
      <c r="S417" t="s">
        <v>82</v>
      </c>
      <c r="T417" s="1">
        <v>42534</v>
      </c>
      <c r="U417">
        <v>0</v>
      </c>
      <c r="V417">
        <v>0</v>
      </c>
      <c r="W417" t="s">
        <v>59</v>
      </c>
      <c r="Y417" t="s">
        <v>42</v>
      </c>
      <c r="Z417" t="s">
        <v>43</v>
      </c>
      <c r="AA417" t="s">
        <v>43</v>
      </c>
      <c r="AD417" t="s">
        <v>3143</v>
      </c>
    </row>
    <row r="418" spans="1:30" x14ac:dyDescent="0.4">
      <c r="A418" t="s">
        <v>27</v>
      </c>
      <c r="B418">
        <v>419</v>
      </c>
      <c r="C418" t="s">
        <v>195</v>
      </c>
      <c r="D418" t="s">
        <v>1175</v>
      </c>
      <c r="E418" t="s">
        <v>1176</v>
      </c>
      <c r="F418" t="s">
        <v>1177</v>
      </c>
      <c r="H418" t="s">
        <v>886</v>
      </c>
      <c r="I418" t="s">
        <v>330</v>
      </c>
      <c r="J418" t="s">
        <v>1178</v>
      </c>
      <c r="K418" t="s">
        <v>35</v>
      </c>
      <c r="L418">
        <v>7949196156</v>
      </c>
      <c r="M418" t="s">
        <v>1179</v>
      </c>
      <c r="N418" t="s">
        <v>1180</v>
      </c>
      <c r="P418" t="s">
        <v>1183</v>
      </c>
      <c r="Q418" t="s">
        <v>1184</v>
      </c>
      <c r="R418" t="s">
        <v>580</v>
      </c>
      <c r="S418" t="s">
        <v>40</v>
      </c>
      <c r="T418" s="1">
        <v>45132</v>
      </c>
      <c r="U418">
        <v>0</v>
      </c>
      <c r="V418">
        <v>0</v>
      </c>
      <c r="W418" t="s">
        <v>59</v>
      </c>
      <c r="Y418" t="s">
        <v>42</v>
      </c>
      <c r="Z418" t="s">
        <v>43</v>
      </c>
      <c r="AA418" t="s">
        <v>43</v>
      </c>
      <c r="AD418" t="s">
        <v>3143</v>
      </c>
    </row>
    <row r="419" spans="1:30" x14ac:dyDescent="0.4">
      <c r="A419" t="s">
        <v>27</v>
      </c>
      <c r="B419">
        <v>419</v>
      </c>
      <c r="C419" t="s">
        <v>195</v>
      </c>
      <c r="D419" t="s">
        <v>1175</v>
      </c>
      <c r="E419" t="s">
        <v>1176</v>
      </c>
      <c r="F419" t="s">
        <v>1177</v>
      </c>
      <c r="H419" t="s">
        <v>886</v>
      </c>
      <c r="I419" t="s">
        <v>330</v>
      </c>
      <c r="J419" t="s">
        <v>1178</v>
      </c>
      <c r="K419" t="s">
        <v>35</v>
      </c>
      <c r="L419">
        <v>7949196156</v>
      </c>
      <c r="M419" t="s">
        <v>1179</v>
      </c>
      <c r="N419" t="s">
        <v>1180</v>
      </c>
      <c r="P419" t="s">
        <v>1181</v>
      </c>
      <c r="Q419" t="s">
        <v>1182</v>
      </c>
      <c r="R419" t="s">
        <v>284</v>
      </c>
      <c r="S419" t="s">
        <v>82</v>
      </c>
      <c r="T419" s="1">
        <v>42534</v>
      </c>
      <c r="U419">
        <v>0</v>
      </c>
      <c r="V419">
        <v>0</v>
      </c>
      <c r="W419" t="s">
        <v>59</v>
      </c>
      <c r="Y419" t="s">
        <v>42</v>
      </c>
      <c r="Z419" t="s">
        <v>43</v>
      </c>
      <c r="AA419" t="s">
        <v>43</v>
      </c>
      <c r="AD419" t="s">
        <v>3143</v>
      </c>
    </row>
    <row r="420" spans="1:30" x14ac:dyDescent="0.4">
      <c r="A420" t="s">
        <v>27</v>
      </c>
      <c r="B420">
        <v>419</v>
      </c>
      <c r="C420" t="s">
        <v>195</v>
      </c>
      <c r="D420" t="s">
        <v>1175</v>
      </c>
      <c r="E420" t="s">
        <v>1176</v>
      </c>
      <c r="F420" t="s">
        <v>1177</v>
      </c>
      <c r="H420" t="s">
        <v>886</v>
      </c>
      <c r="I420" t="s">
        <v>330</v>
      </c>
      <c r="J420" t="s">
        <v>1178</v>
      </c>
      <c r="K420" t="s">
        <v>35</v>
      </c>
      <c r="L420">
        <v>7949196156</v>
      </c>
      <c r="M420" t="s">
        <v>1179</v>
      </c>
      <c r="N420" t="s">
        <v>1180</v>
      </c>
      <c r="P420" t="s">
        <v>1183</v>
      </c>
      <c r="Q420" t="s">
        <v>1184</v>
      </c>
      <c r="R420" t="s">
        <v>580</v>
      </c>
      <c r="S420" t="s">
        <v>40</v>
      </c>
      <c r="T420" s="1">
        <v>45132</v>
      </c>
      <c r="U420">
        <v>0</v>
      </c>
      <c r="V420">
        <v>0</v>
      </c>
      <c r="W420" t="s">
        <v>59</v>
      </c>
      <c r="Y420" t="s">
        <v>42</v>
      </c>
      <c r="Z420" t="s">
        <v>43</v>
      </c>
      <c r="AA420" t="s">
        <v>43</v>
      </c>
      <c r="AD420" t="s">
        <v>3143</v>
      </c>
    </row>
    <row r="421" spans="1:30" x14ac:dyDescent="0.4">
      <c r="A421" t="s">
        <v>27</v>
      </c>
      <c r="B421">
        <v>64</v>
      </c>
      <c r="C421" t="s">
        <v>68</v>
      </c>
      <c r="D421" t="s">
        <v>643</v>
      </c>
      <c r="E421" t="s">
        <v>1185</v>
      </c>
      <c r="F421" t="s">
        <v>1186</v>
      </c>
      <c r="G421" t="s">
        <v>1187</v>
      </c>
      <c r="H421" t="s">
        <v>1188</v>
      </c>
      <c r="I421" t="s">
        <v>528</v>
      </c>
      <c r="J421" t="s">
        <v>1189</v>
      </c>
      <c r="K421" t="s">
        <v>35</v>
      </c>
      <c r="L421" t="s">
        <v>1190</v>
      </c>
      <c r="M421" t="s">
        <v>1191</v>
      </c>
      <c r="N421" t="s">
        <v>1192</v>
      </c>
      <c r="P421" t="s">
        <v>1193</v>
      </c>
      <c r="Q421" t="s">
        <v>1194</v>
      </c>
      <c r="R421" t="s">
        <v>1195</v>
      </c>
      <c r="S421" t="s">
        <v>82</v>
      </c>
      <c r="T421" s="1">
        <v>44925</v>
      </c>
      <c r="U421">
        <v>0</v>
      </c>
      <c r="V421">
        <v>0</v>
      </c>
      <c r="W421" t="s">
        <v>59</v>
      </c>
      <c r="Y421" t="s">
        <v>42</v>
      </c>
      <c r="Z421" t="s">
        <v>43</v>
      </c>
      <c r="AA421" t="s">
        <v>43</v>
      </c>
      <c r="AD421" t="s">
        <v>3143</v>
      </c>
    </row>
    <row r="422" spans="1:30" x14ac:dyDescent="0.4">
      <c r="A422" t="s">
        <v>27</v>
      </c>
      <c r="B422">
        <v>64</v>
      </c>
      <c r="C422" t="s">
        <v>68</v>
      </c>
      <c r="D422" t="s">
        <v>643</v>
      </c>
      <c r="E422" t="s">
        <v>1185</v>
      </c>
      <c r="F422" t="s">
        <v>1186</v>
      </c>
      <c r="G422" t="s">
        <v>1187</v>
      </c>
      <c r="H422" t="s">
        <v>1188</v>
      </c>
      <c r="I422" t="s">
        <v>528</v>
      </c>
      <c r="J422" t="s">
        <v>1189</v>
      </c>
      <c r="K422" t="s">
        <v>35</v>
      </c>
      <c r="L422" t="s">
        <v>1190</v>
      </c>
      <c r="M422" t="s">
        <v>1191</v>
      </c>
      <c r="N422" t="s">
        <v>1192</v>
      </c>
      <c r="P422" t="s">
        <v>1193</v>
      </c>
      <c r="Q422" t="s">
        <v>1194</v>
      </c>
      <c r="R422" t="s">
        <v>1195</v>
      </c>
      <c r="S422" t="s">
        <v>82</v>
      </c>
      <c r="T422" s="1">
        <v>44925</v>
      </c>
      <c r="U422">
        <v>0</v>
      </c>
      <c r="V422">
        <v>0</v>
      </c>
      <c r="W422" t="s">
        <v>59</v>
      </c>
      <c r="Y422" t="s">
        <v>42</v>
      </c>
      <c r="Z422" t="s">
        <v>43</v>
      </c>
      <c r="AA422" t="s">
        <v>43</v>
      </c>
      <c r="AD422" t="s">
        <v>3143</v>
      </c>
    </row>
    <row r="423" spans="1:30" x14ac:dyDescent="0.4">
      <c r="A423" t="s">
        <v>27</v>
      </c>
      <c r="B423">
        <v>112</v>
      </c>
      <c r="C423" t="s">
        <v>68</v>
      </c>
      <c r="D423" t="s">
        <v>1196</v>
      </c>
      <c r="E423" t="s">
        <v>1185</v>
      </c>
      <c r="F423" t="s">
        <v>1197</v>
      </c>
      <c r="G423" t="s">
        <v>1198</v>
      </c>
      <c r="H423" t="s">
        <v>1199</v>
      </c>
      <c r="I423" t="s">
        <v>189</v>
      </c>
      <c r="J423" t="s">
        <v>1200</v>
      </c>
      <c r="K423" t="s">
        <v>35</v>
      </c>
      <c r="L423">
        <v>1375847083</v>
      </c>
      <c r="M423" t="s">
        <v>1201</v>
      </c>
      <c r="N423" t="s">
        <v>2864</v>
      </c>
      <c r="P423" t="s">
        <v>3051</v>
      </c>
      <c r="Q423" t="s">
        <v>1203</v>
      </c>
      <c r="R423" t="s">
        <v>376</v>
      </c>
      <c r="S423" t="s">
        <v>40</v>
      </c>
      <c r="T423" s="1">
        <v>44846</v>
      </c>
      <c r="U423">
        <v>0</v>
      </c>
      <c r="V423">
        <v>4</v>
      </c>
      <c r="W423" t="s">
        <v>65</v>
      </c>
      <c r="X423" t="s">
        <v>135</v>
      </c>
      <c r="Y423" t="s">
        <v>42</v>
      </c>
      <c r="Z423" t="s">
        <v>43</v>
      </c>
      <c r="AA423" t="s">
        <v>43</v>
      </c>
      <c r="AB423" t="s">
        <v>1204</v>
      </c>
      <c r="AD423" t="s">
        <v>3143</v>
      </c>
    </row>
    <row r="424" spans="1:30" x14ac:dyDescent="0.4">
      <c r="A424" t="s">
        <v>27</v>
      </c>
      <c r="B424">
        <v>112</v>
      </c>
      <c r="C424" t="s">
        <v>68</v>
      </c>
      <c r="D424" t="s">
        <v>1196</v>
      </c>
      <c r="E424" t="s">
        <v>1185</v>
      </c>
      <c r="F424" t="s">
        <v>1197</v>
      </c>
      <c r="G424" t="s">
        <v>1198</v>
      </c>
      <c r="H424" t="s">
        <v>1199</v>
      </c>
      <c r="I424" t="s">
        <v>189</v>
      </c>
      <c r="J424" t="s">
        <v>1200</v>
      </c>
      <c r="K424" t="s">
        <v>35</v>
      </c>
      <c r="L424">
        <v>1375847083</v>
      </c>
      <c r="M424" t="s">
        <v>1201</v>
      </c>
      <c r="N424" t="s">
        <v>2864</v>
      </c>
      <c r="P424" t="s">
        <v>1205</v>
      </c>
      <c r="Q424" t="s">
        <v>1206</v>
      </c>
      <c r="R424" t="s">
        <v>58</v>
      </c>
      <c r="S424" t="s">
        <v>40</v>
      </c>
      <c r="T424" s="1">
        <v>43668</v>
      </c>
      <c r="U424">
        <v>0</v>
      </c>
      <c r="V424">
        <v>6</v>
      </c>
      <c r="W424" t="s">
        <v>83</v>
      </c>
      <c r="X424" t="s">
        <v>135</v>
      </c>
      <c r="Y424" t="s">
        <v>42</v>
      </c>
      <c r="Z424" t="s">
        <v>43</v>
      </c>
      <c r="AA424" t="s">
        <v>43</v>
      </c>
      <c r="AB424" t="s">
        <v>1204</v>
      </c>
      <c r="AD424" t="s">
        <v>3143</v>
      </c>
    </row>
    <row r="425" spans="1:30" x14ac:dyDescent="0.4">
      <c r="A425" t="s">
        <v>27</v>
      </c>
      <c r="B425">
        <v>112</v>
      </c>
      <c r="C425" t="s">
        <v>68</v>
      </c>
      <c r="D425" t="s">
        <v>1196</v>
      </c>
      <c r="E425" t="s">
        <v>1185</v>
      </c>
      <c r="F425" t="s">
        <v>1197</v>
      </c>
      <c r="G425" t="s">
        <v>1198</v>
      </c>
      <c r="H425" t="s">
        <v>1199</v>
      </c>
      <c r="I425" t="s">
        <v>189</v>
      </c>
      <c r="J425" t="s">
        <v>1200</v>
      </c>
      <c r="K425" t="s">
        <v>35</v>
      </c>
      <c r="L425">
        <v>1375847083</v>
      </c>
      <c r="M425" t="s">
        <v>1201</v>
      </c>
      <c r="N425" t="s">
        <v>2864</v>
      </c>
      <c r="P425" t="s">
        <v>1205</v>
      </c>
      <c r="Q425" t="s">
        <v>1206</v>
      </c>
      <c r="R425" t="s">
        <v>58</v>
      </c>
      <c r="S425" t="s">
        <v>40</v>
      </c>
      <c r="T425" s="1">
        <v>43668</v>
      </c>
      <c r="U425">
        <v>0</v>
      </c>
      <c r="V425">
        <v>7</v>
      </c>
      <c r="X425" t="s">
        <v>135</v>
      </c>
      <c r="Y425" t="s">
        <v>42</v>
      </c>
      <c r="Z425" t="s">
        <v>43</v>
      </c>
      <c r="AA425" t="s">
        <v>43</v>
      </c>
      <c r="AB425" t="s">
        <v>1204</v>
      </c>
      <c r="AD425" t="s">
        <v>3143</v>
      </c>
    </row>
    <row r="426" spans="1:30" x14ac:dyDescent="0.4">
      <c r="A426" t="s">
        <v>27</v>
      </c>
      <c r="B426">
        <v>112</v>
      </c>
      <c r="C426" t="s">
        <v>68</v>
      </c>
      <c r="D426" t="s">
        <v>1196</v>
      </c>
      <c r="E426" t="s">
        <v>1185</v>
      </c>
      <c r="F426" t="s">
        <v>1197</v>
      </c>
      <c r="G426" t="s">
        <v>1198</v>
      </c>
      <c r="H426" t="s">
        <v>1199</v>
      </c>
      <c r="I426" t="s">
        <v>189</v>
      </c>
      <c r="J426" t="s">
        <v>1200</v>
      </c>
      <c r="K426" t="s">
        <v>35</v>
      </c>
      <c r="L426">
        <v>1375847083</v>
      </c>
      <c r="M426" t="s">
        <v>1201</v>
      </c>
      <c r="N426" t="s">
        <v>2864</v>
      </c>
      <c r="P426" t="s">
        <v>3051</v>
      </c>
      <c r="Q426" t="s">
        <v>1203</v>
      </c>
      <c r="R426" t="s">
        <v>376</v>
      </c>
      <c r="S426" t="s">
        <v>40</v>
      </c>
      <c r="T426" s="1">
        <v>44846</v>
      </c>
      <c r="U426">
        <v>0</v>
      </c>
      <c r="V426">
        <v>12</v>
      </c>
      <c r="X426" t="s">
        <v>135</v>
      </c>
      <c r="Y426" t="s">
        <v>42</v>
      </c>
      <c r="Z426" t="s">
        <v>43</v>
      </c>
      <c r="AA426" t="s">
        <v>43</v>
      </c>
      <c r="AB426" t="s">
        <v>1204</v>
      </c>
      <c r="AD426" t="s">
        <v>3143</v>
      </c>
    </row>
    <row r="427" spans="1:30" x14ac:dyDescent="0.4">
      <c r="A427" t="s">
        <v>27</v>
      </c>
      <c r="B427">
        <v>112</v>
      </c>
      <c r="C427" t="s">
        <v>68</v>
      </c>
      <c r="D427" t="s">
        <v>1196</v>
      </c>
      <c r="E427" t="s">
        <v>1185</v>
      </c>
      <c r="F427" t="s">
        <v>1197</v>
      </c>
      <c r="G427" t="s">
        <v>1198</v>
      </c>
      <c r="H427" t="s">
        <v>1199</v>
      </c>
      <c r="I427" t="s">
        <v>189</v>
      </c>
      <c r="J427" t="s">
        <v>1200</v>
      </c>
      <c r="K427" t="s">
        <v>35</v>
      </c>
      <c r="L427">
        <v>1375847083</v>
      </c>
      <c r="M427" t="s">
        <v>1201</v>
      </c>
      <c r="N427" t="s">
        <v>2864</v>
      </c>
      <c r="P427" t="s">
        <v>1205</v>
      </c>
      <c r="Q427" t="s">
        <v>1206</v>
      </c>
      <c r="R427" t="s">
        <v>58</v>
      </c>
      <c r="S427" t="s">
        <v>40</v>
      </c>
      <c r="T427" s="1">
        <v>43668</v>
      </c>
      <c r="U427">
        <v>0</v>
      </c>
      <c r="V427">
        <v>16</v>
      </c>
      <c r="X427" t="s">
        <v>135</v>
      </c>
      <c r="Y427" t="s">
        <v>42</v>
      </c>
      <c r="Z427" t="s">
        <v>43</v>
      </c>
      <c r="AA427" t="s">
        <v>43</v>
      </c>
      <c r="AB427" t="s">
        <v>1204</v>
      </c>
      <c r="AD427" t="s">
        <v>3143</v>
      </c>
    </row>
    <row r="428" spans="1:30" x14ac:dyDescent="0.4">
      <c r="A428" t="s">
        <v>27</v>
      </c>
      <c r="B428">
        <v>112</v>
      </c>
      <c r="C428" t="s">
        <v>68</v>
      </c>
      <c r="D428" t="s">
        <v>1196</v>
      </c>
      <c r="E428" t="s">
        <v>1185</v>
      </c>
      <c r="F428" t="s">
        <v>1197</v>
      </c>
      <c r="G428" t="s">
        <v>1198</v>
      </c>
      <c r="H428" t="s">
        <v>1199</v>
      </c>
      <c r="I428" t="s">
        <v>189</v>
      </c>
      <c r="J428" t="s">
        <v>1200</v>
      </c>
      <c r="K428" t="s">
        <v>35</v>
      </c>
      <c r="L428">
        <v>1375847083</v>
      </c>
      <c r="M428" t="s">
        <v>1201</v>
      </c>
      <c r="N428" t="s">
        <v>2864</v>
      </c>
      <c r="P428" t="s">
        <v>1205</v>
      </c>
      <c r="Q428" t="s">
        <v>1206</v>
      </c>
      <c r="R428" t="s">
        <v>58</v>
      </c>
      <c r="S428" t="s">
        <v>40</v>
      </c>
      <c r="T428" s="1">
        <v>43668</v>
      </c>
      <c r="U428">
        <v>0</v>
      </c>
      <c r="V428">
        <v>18</v>
      </c>
      <c r="X428" t="s">
        <v>135</v>
      </c>
      <c r="Y428" t="s">
        <v>42</v>
      </c>
      <c r="Z428" t="s">
        <v>43</v>
      </c>
      <c r="AA428" t="s">
        <v>43</v>
      </c>
      <c r="AB428" t="s">
        <v>1204</v>
      </c>
      <c r="AD428" t="s">
        <v>3143</v>
      </c>
    </row>
    <row r="429" spans="1:30" x14ac:dyDescent="0.4">
      <c r="A429" t="s">
        <v>27</v>
      </c>
      <c r="B429">
        <v>173</v>
      </c>
      <c r="C429" t="s">
        <v>68</v>
      </c>
      <c r="D429" t="s">
        <v>1207</v>
      </c>
      <c r="E429" t="s">
        <v>1208</v>
      </c>
      <c r="F429" t="s">
        <v>1209</v>
      </c>
      <c r="H429" t="s">
        <v>1210</v>
      </c>
      <c r="I429" t="s">
        <v>1211</v>
      </c>
      <c r="J429" t="s">
        <v>1212</v>
      </c>
      <c r="K429" t="s">
        <v>35</v>
      </c>
      <c r="L429" t="s">
        <v>1213</v>
      </c>
      <c r="M429" t="s">
        <v>1214</v>
      </c>
      <c r="N429" t="s">
        <v>3065</v>
      </c>
      <c r="P429" t="s">
        <v>1216</v>
      </c>
      <c r="Q429" t="s">
        <v>1217</v>
      </c>
      <c r="R429" t="s">
        <v>169</v>
      </c>
      <c r="S429" t="s">
        <v>40</v>
      </c>
      <c r="T429" s="1">
        <v>42659</v>
      </c>
      <c r="U429">
        <v>0</v>
      </c>
      <c r="V429">
        <v>16</v>
      </c>
      <c r="Y429" t="s">
        <v>42</v>
      </c>
      <c r="Z429" t="s">
        <v>43</v>
      </c>
      <c r="AA429" t="s">
        <v>43</v>
      </c>
      <c r="AB429" t="s">
        <v>1218</v>
      </c>
      <c r="AD429" t="s">
        <v>3143</v>
      </c>
    </row>
    <row r="430" spans="1:30" x14ac:dyDescent="0.4">
      <c r="A430" t="s">
        <v>27</v>
      </c>
      <c r="B430">
        <v>173</v>
      </c>
      <c r="C430" t="s">
        <v>68</v>
      </c>
      <c r="D430" t="s">
        <v>1207</v>
      </c>
      <c r="E430" t="s">
        <v>1208</v>
      </c>
      <c r="F430" t="s">
        <v>1209</v>
      </c>
      <c r="H430" t="s">
        <v>1210</v>
      </c>
      <c r="I430" t="s">
        <v>1211</v>
      </c>
      <c r="J430" t="s">
        <v>1212</v>
      </c>
      <c r="K430" t="s">
        <v>35</v>
      </c>
      <c r="L430" t="s">
        <v>1213</v>
      </c>
      <c r="M430" t="s">
        <v>1214</v>
      </c>
      <c r="N430" t="s">
        <v>1215</v>
      </c>
      <c r="P430" t="s">
        <v>1219</v>
      </c>
      <c r="Q430" t="s">
        <v>1220</v>
      </c>
      <c r="R430" t="s">
        <v>58</v>
      </c>
      <c r="S430" t="s">
        <v>40</v>
      </c>
      <c r="T430" s="1">
        <v>40496</v>
      </c>
      <c r="U430">
        <v>0</v>
      </c>
      <c r="V430">
        <v>0</v>
      </c>
      <c r="W430" t="s">
        <v>59</v>
      </c>
      <c r="Y430" t="s">
        <v>42</v>
      </c>
      <c r="Z430" t="s">
        <v>43</v>
      </c>
      <c r="AA430" t="s">
        <v>43</v>
      </c>
      <c r="AB430" t="s">
        <v>1218</v>
      </c>
      <c r="AD430" t="s">
        <v>3143</v>
      </c>
    </row>
    <row r="431" spans="1:30" x14ac:dyDescent="0.4">
      <c r="A431" t="s">
        <v>27</v>
      </c>
      <c r="B431">
        <v>173</v>
      </c>
      <c r="C431" t="s">
        <v>68</v>
      </c>
      <c r="D431" t="s">
        <v>1207</v>
      </c>
      <c r="E431" t="s">
        <v>1208</v>
      </c>
      <c r="F431" t="s">
        <v>1209</v>
      </c>
      <c r="H431" t="s">
        <v>1210</v>
      </c>
      <c r="I431" t="s">
        <v>1211</v>
      </c>
      <c r="J431" t="s">
        <v>1212</v>
      </c>
      <c r="K431" t="s">
        <v>35</v>
      </c>
      <c r="L431" t="s">
        <v>1213</v>
      </c>
      <c r="M431" t="s">
        <v>1214</v>
      </c>
      <c r="N431" t="s">
        <v>1215</v>
      </c>
      <c r="P431" t="s">
        <v>1221</v>
      </c>
      <c r="Q431" t="s">
        <v>1222</v>
      </c>
      <c r="R431" t="s">
        <v>94</v>
      </c>
      <c r="S431" t="s">
        <v>40</v>
      </c>
      <c r="T431" s="1">
        <v>41447</v>
      </c>
      <c r="U431">
        <v>0</v>
      </c>
      <c r="V431">
        <v>0</v>
      </c>
      <c r="W431" t="s">
        <v>59</v>
      </c>
      <c r="Y431" t="s">
        <v>42</v>
      </c>
      <c r="Z431" t="s">
        <v>43</v>
      </c>
      <c r="AA431" t="s">
        <v>43</v>
      </c>
      <c r="AB431" t="s">
        <v>1218</v>
      </c>
      <c r="AD431" t="s">
        <v>3143</v>
      </c>
    </row>
    <row r="432" spans="1:30" x14ac:dyDescent="0.4">
      <c r="A432" t="s">
        <v>27</v>
      </c>
      <c r="B432">
        <v>3751</v>
      </c>
      <c r="C432" t="s">
        <v>28</v>
      </c>
      <c r="D432" t="s">
        <v>1223</v>
      </c>
      <c r="E432" t="s">
        <v>1224</v>
      </c>
      <c r="F432" t="s">
        <v>1225</v>
      </c>
      <c r="G432" t="s">
        <v>1226</v>
      </c>
      <c r="H432" t="s">
        <v>1227</v>
      </c>
      <c r="I432" t="s">
        <v>1228</v>
      </c>
      <c r="J432" t="s">
        <v>1229</v>
      </c>
      <c r="K432" t="s">
        <v>35</v>
      </c>
      <c r="L432">
        <v>7712582324</v>
      </c>
      <c r="M432" t="s">
        <v>1230</v>
      </c>
      <c r="N432" t="s">
        <v>1231</v>
      </c>
      <c r="P432" t="s">
        <v>1232</v>
      </c>
      <c r="Q432" t="s">
        <v>1233</v>
      </c>
      <c r="R432" t="s">
        <v>94</v>
      </c>
      <c r="S432" t="s">
        <v>40</v>
      </c>
      <c r="T432" s="1">
        <v>43116</v>
      </c>
      <c r="U432">
        <v>0</v>
      </c>
      <c r="V432">
        <v>16</v>
      </c>
      <c r="Y432" t="s">
        <v>42</v>
      </c>
      <c r="Z432" t="s">
        <v>43</v>
      </c>
      <c r="AA432" t="s">
        <v>43</v>
      </c>
      <c r="AD432" t="s">
        <v>3143</v>
      </c>
    </row>
    <row r="433" spans="1:30" x14ac:dyDescent="0.4">
      <c r="A433" t="s">
        <v>27</v>
      </c>
      <c r="B433">
        <v>3751</v>
      </c>
      <c r="C433" t="s">
        <v>28</v>
      </c>
      <c r="D433" t="s">
        <v>1223</v>
      </c>
      <c r="E433" t="s">
        <v>1224</v>
      </c>
      <c r="F433" t="s">
        <v>1225</v>
      </c>
      <c r="G433" t="s">
        <v>1226</v>
      </c>
      <c r="H433" t="s">
        <v>1227</v>
      </c>
      <c r="I433" t="s">
        <v>1228</v>
      </c>
      <c r="J433" t="s">
        <v>1229</v>
      </c>
      <c r="K433" t="s">
        <v>35</v>
      </c>
      <c r="L433">
        <v>7712582324</v>
      </c>
      <c r="M433" t="s">
        <v>1230</v>
      </c>
      <c r="N433" t="s">
        <v>1231</v>
      </c>
      <c r="P433" t="s">
        <v>1232</v>
      </c>
      <c r="Q433" t="s">
        <v>1233</v>
      </c>
      <c r="R433" t="s">
        <v>94</v>
      </c>
      <c r="S433" t="s">
        <v>40</v>
      </c>
      <c r="T433" s="1">
        <v>43116</v>
      </c>
      <c r="U433">
        <v>0</v>
      </c>
      <c r="V433">
        <v>18</v>
      </c>
      <c r="Y433" t="s">
        <v>42</v>
      </c>
      <c r="Z433" t="s">
        <v>43</v>
      </c>
      <c r="AA433" t="s">
        <v>43</v>
      </c>
      <c r="AD433" t="s">
        <v>3143</v>
      </c>
    </row>
    <row r="434" spans="1:30" x14ac:dyDescent="0.4">
      <c r="A434" t="s">
        <v>27</v>
      </c>
      <c r="B434">
        <v>3751</v>
      </c>
      <c r="C434" t="s">
        <v>28</v>
      </c>
      <c r="D434" t="s">
        <v>1223</v>
      </c>
      <c r="E434" t="s">
        <v>1224</v>
      </c>
      <c r="F434" t="s">
        <v>1225</v>
      </c>
      <c r="G434" t="s">
        <v>1226</v>
      </c>
      <c r="H434" t="s">
        <v>1227</v>
      </c>
      <c r="I434" t="s">
        <v>1228</v>
      </c>
      <c r="J434" t="s">
        <v>1229</v>
      </c>
      <c r="K434" t="s">
        <v>35</v>
      </c>
      <c r="L434">
        <v>7712582324</v>
      </c>
      <c r="M434" t="s">
        <v>1230</v>
      </c>
      <c r="N434" t="s">
        <v>1231</v>
      </c>
      <c r="P434" t="s">
        <v>1234</v>
      </c>
      <c r="Q434" t="s">
        <v>1235</v>
      </c>
      <c r="R434" t="s">
        <v>94</v>
      </c>
      <c r="S434" t="s">
        <v>82</v>
      </c>
      <c r="T434" s="1">
        <v>45322</v>
      </c>
      <c r="U434">
        <v>0</v>
      </c>
      <c r="V434">
        <v>0</v>
      </c>
      <c r="W434" t="s">
        <v>59</v>
      </c>
      <c r="Y434" t="s">
        <v>42</v>
      </c>
      <c r="Z434" t="s">
        <v>43</v>
      </c>
      <c r="AA434" t="s">
        <v>43</v>
      </c>
      <c r="AD434" t="s">
        <v>3143</v>
      </c>
    </row>
    <row r="435" spans="1:30" x14ac:dyDescent="0.4">
      <c r="A435" t="s">
        <v>27</v>
      </c>
      <c r="B435">
        <v>1714</v>
      </c>
      <c r="C435" t="s">
        <v>257</v>
      </c>
      <c r="D435" t="s">
        <v>1236</v>
      </c>
      <c r="E435" t="s">
        <v>1237</v>
      </c>
      <c r="F435" t="s">
        <v>1238</v>
      </c>
      <c r="H435" t="s">
        <v>152</v>
      </c>
      <c r="I435" t="s">
        <v>73</v>
      </c>
      <c r="J435" t="s">
        <v>1239</v>
      </c>
      <c r="K435" t="s">
        <v>35</v>
      </c>
      <c r="L435" t="s">
        <v>1240</v>
      </c>
      <c r="M435" t="s">
        <v>1241</v>
      </c>
      <c r="N435" t="s">
        <v>3045</v>
      </c>
      <c r="P435" t="s">
        <v>1242</v>
      </c>
      <c r="Q435" t="s">
        <v>1243</v>
      </c>
      <c r="R435" t="s">
        <v>58</v>
      </c>
      <c r="S435" t="s">
        <v>82</v>
      </c>
      <c r="T435" s="1">
        <v>42706</v>
      </c>
      <c r="U435">
        <v>0</v>
      </c>
      <c r="V435">
        <v>4</v>
      </c>
      <c r="W435" t="s">
        <v>65</v>
      </c>
      <c r="Y435" t="s">
        <v>42</v>
      </c>
      <c r="Z435" t="s">
        <v>43</v>
      </c>
      <c r="AA435" t="s">
        <v>43</v>
      </c>
      <c r="AD435" t="s">
        <v>3143</v>
      </c>
    </row>
    <row r="436" spans="1:30" x14ac:dyDescent="0.4">
      <c r="A436" t="s">
        <v>27</v>
      </c>
      <c r="B436">
        <v>1714</v>
      </c>
      <c r="C436" t="s">
        <v>257</v>
      </c>
      <c r="D436" t="s">
        <v>1236</v>
      </c>
      <c r="E436" t="s">
        <v>1237</v>
      </c>
      <c r="F436" t="s">
        <v>1238</v>
      </c>
      <c r="H436" t="s">
        <v>152</v>
      </c>
      <c r="I436" t="s">
        <v>73</v>
      </c>
      <c r="J436" t="s">
        <v>1239</v>
      </c>
      <c r="K436" t="s">
        <v>35</v>
      </c>
      <c r="L436" t="s">
        <v>1240</v>
      </c>
      <c r="M436" t="s">
        <v>1241</v>
      </c>
      <c r="N436" t="s">
        <v>3045</v>
      </c>
      <c r="P436" t="s">
        <v>1244</v>
      </c>
      <c r="Q436" t="s">
        <v>1245</v>
      </c>
      <c r="R436" t="s">
        <v>58</v>
      </c>
      <c r="S436" t="s">
        <v>82</v>
      </c>
      <c r="T436" s="1">
        <v>44285</v>
      </c>
      <c r="U436">
        <v>0</v>
      </c>
      <c r="V436">
        <v>5</v>
      </c>
      <c r="W436" t="s">
        <v>66</v>
      </c>
      <c r="Y436" t="s">
        <v>42</v>
      </c>
      <c r="Z436" t="s">
        <v>43</v>
      </c>
      <c r="AA436" t="s">
        <v>43</v>
      </c>
      <c r="AD436" t="s">
        <v>3143</v>
      </c>
    </row>
    <row r="437" spans="1:30" x14ac:dyDescent="0.4">
      <c r="A437" t="s">
        <v>27</v>
      </c>
      <c r="B437">
        <v>1714</v>
      </c>
      <c r="C437" t="s">
        <v>257</v>
      </c>
      <c r="D437" t="s">
        <v>1236</v>
      </c>
      <c r="E437" t="s">
        <v>1237</v>
      </c>
      <c r="F437" t="s">
        <v>1238</v>
      </c>
      <c r="H437" t="s">
        <v>152</v>
      </c>
      <c r="I437" t="s">
        <v>73</v>
      </c>
      <c r="J437" t="s">
        <v>1239</v>
      </c>
      <c r="K437" t="s">
        <v>35</v>
      </c>
      <c r="L437" t="s">
        <v>1240</v>
      </c>
      <c r="M437" t="s">
        <v>1241</v>
      </c>
      <c r="N437" t="s">
        <v>3045</v>
      </c>
      <c r="P437" t="s">
        <v>1246</v>
      </c>
      <c r="Q437" t="s">
        <v>1247</v>
      </c>
      <c r="R437" t="s">
        <v>94</v>
      </c>
      <c r="S437" t="s">
        <v>40</v>
      </c>
      <c r="T437" s="1">
        <v>43499</v>
      </c>
      <c r="U437">
        <v>0</v>
      </c>
      <c r="V437">
        <v>5</v>
      </c>
      <c r="W437" t="s">
        <v>66</v>
      </c>
      <c r="Y437" t="s">
        <v>42</v>
      </c>
      <c r="Z437" t="s">
        <v>43</v>
      </c>
      <c r="AA437" t="s">
        <v>43</v>
      </c>
      <c r="AD437" t="s">
        <v>3143</v>
      </c>
    </row>
    <row r="438" spans="1:30" x14ac:dyDescent="0.4">
      <c r="A438" t="s">
        <v>27</v>
      </c>
      <c r="B438">
        <v>1714</v>
      </c>
      <c r="C438" t="s">
        <v>257</v>
      </c>
      <c r="D438" t="s">
        <v>1236</v>
      </c>
      <c r="E438" t="s">
        <v>1237</v>
      </c>
      <c r="F438" t="s">
        <v>1238</v>
      </c>
      <c r="H438" t="s">
        <v>152</v>
      </c>
      <c r="I438" t="s">
        <v>73</v>
      </c>
      <c r="J438" t="s">
        <v>1239</v>
      </c>
      <c r="K438" t="s">
        <v>35</v>
      </c>
      <c r="L438" t="s">
        <v>1240</v>
      </c>
      <c r="M438" t="s">
        <v>1241</v>
      </c>
      <c r="N438" t="s">
        <v>3045</v>
      </c>
      <c r="P438" t="s">
        <v>1242</v>
      </c>
      <c r="Q438" t="s">
        <v>1243</v>
      </c>
      <c r="R438" t="s">
        <v>58</v>
      </c>
      <c r="S438" t="s">
        <v>82</v>
      </c>
      <c r="T438" s="1">
        <v>42706</v>
      </c>
      <c r="U438">
        <v>0</v>
      </c>
      <c r="V438">
        <v>13</v>
      </c>
      <c r="Y438" t="s">
        <v>42</v>
      </c>
      <c r="Z438" t="s">
        <v>43</v>
      </c>
      <c r="AA438" t="s">
        <v>43</v>
      </c>
      <c r="AD438" t="s">
        <v>3143</v>
      </c>
    </row>
    <row r="439" spans="1:30" x14ac:dyDescent="0.4">
      <c r="A439" t="s">
        <v>27</v>
      </c>
      <c r="B439">
        <v>1714</v>
      </c>
      <c r="C439" t="s">
        <v>257</v>
      </c>
      <c r="D439" t="s">
        <v>1236</v>
      </c>
      <c r="E439" t="s">
        <v>1237</v>
      </c>
      <c r="F439" t="s">
        <v>1238</v>
      </c>
      <c r="H439" t="s">
        <v>152</v>
      </c>
      <c r="I439" t="s">
        <v>73</v>
      </c>
      <c r="J439" t="s">
        <v>1239</v>
      </c>
      <c r="K439" t="s">
        <v>35</v>
      </c>
      <c r="L439" t="s">
        <v>1240</v>
      </c>
      <c r="M439" t="s">
        <v>1241</v>
      </c>
      <c r="N439" t="s">
        <v>3045</v>
      </c>
      <c r="P439" t="s">
        <v>1244</v>
      </c>
      <c r="Q439" t="s">
        <v>1245</v>
      </c>
      <c r="R439" t="s">
        <v>58</v>
      </c>
      <c r="S439" t="s">
        <v>82</v>
      </c>
      <c r="T439" s="1">
        <v>44285</v>
      </c>
      <c r="U439">
        <v>0</v>
      </c>
      <c r="V439">
        <v>15</v>
      </c>
      <c r="Y439" t="s">
        <v>42</v>
      </c>
      <c r="Z439" t="s">
        <v>43</v>
      </c>
      <c r="AA439" t="s">
        <v>43</v>
      </c>
      <c r="AD439" t="s">
        <v>3143</v>
      </c>
    </row>
    <row r="440" spans="1:30" x14ac:dyDescent="0.4">
      <c r="A440" t="s">
        <v>27</v>
      </c>
      <c r="B440">
        <v>1714</v>
      </c>
      <c r="C440" t="s">
        <v>257</v>
      </c>
      <c r="D440" t="s">
        <v>1236</v>
      </c>
      <c r="E440" t="s">
        <v>1237</v>
      </c>
      <c r="F440" t="s">
        <v>1238</v>
      </c>
      <c r="H440" t="s">
        <v>152</v>
      </c>
      <c r="I440" t="s">
        <v>73</v>
      </c>
      <c r="J440" t="s">
        <v>1239</v>
      </c>
      <c r="K440" t="s">
        <v>35</v>
      </c>
      <c r="L440" t="s">
        <v>1240</v>
      </c>
      <c r="M440" t="s">
        <v>1241</v>
      </c>
      <c r="N440" t="s">
        <v>3045</v>
      </c>
      <c r="P440" t="s">
        <v>1246</v>
      </c>
      <c r="Q440" t="s">
        <v>1247</v>
      </c>
      <c r="R440" t="s">
        <v>94</v>
      </c>
      <c r="S440" t="s">
        <v>40</v>
      </c>
      <c r="T440" s="1">
        <v>43499</v>
      </c>
      <c r="U440">
        <v>0</v>
      </c>
      <c r="V440">
        <v>14</v>
      </c>
      <c r="Y440" t="s">
        <v>42</v>
      </c>
      <c r="Z440" t="s">
        <v>43</v>
      </c>
      <c r="AA440" t="s">
        <v>43</v>
      </c>
      <c r="AD440" t="s">
        <v>3143</v>
      </c>
    </row>
    <row r="441" spans="1:30" x14ac:dyDescent="0.4">
      <c r="A441" t="s">
        <v>27</v>
      </c>
      <c r="B441">
        <v>889</v>
      </c>
      <c r="C441" t="s">
        <v>28</v>
      </c>
      <c r="D441" t="s">
        <v>1248</v>
      </c>
      <c r="E441" t="s">
        <v>1249</v>
      </c>
      <c r="F441" t="s">
        <v>1250</v>
      </c>
      <c r="H441" t="s">
        <v>1251</v>
      </c>
      <c r="I441" t="s">
        <v>1252</v>
      </c>
      <c r="J441" t="s">
        <v>1253</v>
      </c>
      <c r="K441" t="s">
        <v>1254</v>
      </c>
      <c r="L441">
        <v>31641309799</v>
      </c>
      <c r="M441" t="s">
        <v>1255</v>
      </c>
      <c r="N441" t="s">
        <v>2952</v>
      </c>
      <c r="P441" t="s">
        <v>1256</v>
      </c>
      <c r="Q441" t="s">
        <v>1257</v>
      </c>
      <c r="R441" t="s">
        <v>58</v>
      </c>
      <c r="S441" t="s">
        <v>40</v>
      </c>
      <c r="T441" s="1">
        <v>45803</v>
      </c>
      <c r="U441">
        <v>0</v>
      </c>
      <c r="V441">
        <v>4</v>
      </c>
      <c r="W441" t="s">
        <v>65</v>
      </c>
      <c r="Y441" t="s">
        <v>42</v>
      </c>
      <c r="Z441" t="s">
        <v>43</v>
      </c>
      <c r="AA441" t="s">
        <v>43</v>
      </c>
      <c r="AD441" t="s">
        <v>3143</v>
      </c>
    </row>
    <row r="442" spans="1:30" x14ac:dyDescent="0.4">
      <c r="A442" t="s">
        <v>27</v>
      </c>
      <c r="B442">
        <v>889</v>
      </c>
      <c r="C442" t="s">
        <v>28</v>
      </c>
      <c r="D442" t="s">
        <v>1248</v>
      </c>
      <c r="E442" t="s">
        <v>1249</v>
      </c>
      <c r="F442" t="s">
        <v>1250</v>
      </c>
      <c r="H442" t="s">
        <v>1251</v>
      </c>
      <c r="I442" t="s">
        <v>1252</v>
      </c>
      <c r="J442" t="s">
        <v>1253</v>
      </c>
      <c r="K442" t="s">
        <v>1254</v>
      </c>
      <c r="L442">
        <v>31641309799</v>
      </c>
      <c r="M442" t="s">
        <v>1255</v>
      </c>
      <c r="N442" t="s">
        <v>2952</v>
      </c>
      <c r="P442" t="s">
        <v>1258</v>
      </c>
      <c r="Q442" t="s">
        <v>1259</v>
      </c>
      <c r="R442" t="s">
        <v>376</v>
      </c>
      <c r="S442" t="s">
        <v>40</v>
      </c>
      <c r="T442" s="1">
        <v>43204</v>
      </c>
      <c r="U442">
        <v>0</v>
      </c>
      <c r="V442">
        <v>18</v>
      </c>
      <c r="Y442" t="s">
        <v>42</v>
      </c>
      <c r="Z442" t="s">
        <v>43</v>
      </c>
      <c r="AA442" t="s">
        <v>43</v>
      </c>
      <c r="AD442" t="s">
        <v>3143</v>
      </c>
    </row>
    <row r="443" spans="1:30" x14ac:dyDescent="0.4">
      <c r="A443" t="s">
        <v>27</v>
      </c>
      <c r="B443">
        <v>889</v>
      </c>
      <c r="C443" t="s">
        <v>28</v>
      </c>
      <c r="D443" t="s">
        <v>1248</v>
      </c>
      <c r="E443" t="s">
        <v>1249</v>
      </c>
      <c r="F443" t="s">
        <v>1250</v>
      </c>
      <c r="H443" t="s">
        <v>1251</v>
      </c>
      <c r="I443" t="s">
        <v>1252</v>
      </c>
      <c r="J443" t="s">
        <v>1253</v>
      </c>
      <c r="K443" t="s">
        <v>1254</v>
      </c>
      <c r="L443">
        <v>31641309799</v>
      </c>
      <c r="M443" t="s">
        <v>1255</v>
      </c>
      <c r="N443" t="s">
        <v>2952</v>
      </c>
      <c r="P443" t="s">
        <v>1258</v>
      </c>
      <c r="Q443" t="s">
        <v>1259</v>
      </c>
      <c r="R443" t="s">
        <v>376</v>
      </c>
      <c r="S443" t="s">
        <v>40</v>
      </c>
      <c r="T443" s="1">
        <v>43204</v>
      </c>
      <c r="U443">
        <v>0</v>
      </c>
      <c r="V443">
        <v>20</v>
      </c>
      <c r="Y443" t="s">
        <v>42</v>
      </c>
      <c r="Z443" t="s">
        <v>43</v>
      </c>
      <c r="AA443" t="s">
        <v>43</v>
      </c>
      <c r="AD443" t="s">
        <v>3143</v>
      </c>
    </row>
    <row r="444" spans="1:30" x14ac:dyDescent="0.4">
      <c r="A444" t="s">
        <v>27</v>
      </c>
      <c r="B444">
        <v>889</v>
      </c>
      <c r="C444" t="s">
        <v>28</v>
      </c>
      <c r="D444" t="s">
        <v>1248</v>
      </c>
      <c r="E444" t="s">
        <v>1249</v>
      </c>
      <c r="F444" t="s">
        <v>1250</v>
      </c>
      <c r="H444" t="s">
        <v>1251</v>
      </c>
      <c r="I444" t="s">
        <v>1252</v>
      </c>
      <c r="J444" t="s">
        <v>1253</v>
      </c>
      <c r="K444" t="s">
        <v>1254</v>
      </c>
      <c r="L444">
        <v>31641309799</v>
      </c>
      <c r="M444" t="s">
        <v>1255</v>
      </c>
      <c r="N444" t="s">
        <v>2952</v>
      </c>
      <c r="P444" t="s">
        <v>1256</v>
      </c>
      <c r="Q444" t="s">
        <v>1257</v>
      </c>
      <c r="R444" t="s">
        <v>58</v>
      </c>
      <c r="S444" t="s">
        <v>40</v>
      </c>
      <c r="T444" s="1">
        <v>45803</v>
      </c>
      <c r="U444">
        <v>0</v>
      </c>
      <c r="V444">
        <v>12</v>
      </c>
      <c r="Y444" t="s">
        <v>42</v>
      </c>
      <c r="Z444" t="s">
        <v>43</v>
      </c>
      <c r="AA444" t="s">
        <v>43</v>
      </c>
      <c r="AD444" t="s">
        <v>3143</v>
      </c>
    </row>
    <row r="445" spans="1:30" x14ac:dyDescent="0.4">
      <c r="A445" t="s">
        <v>27</v>
      </c>
      <c r="B445">
        <v>889</v>
      </c>
      <c r="C445" t="s">
        <v>28</v>
      </c>
      <c r="D445" t="s">
        <v>1248</v>
      </c>
      <c r="E445" t="s">
        <v>1249</v>
      </c>
      <c r="F445" t="s">
        <v>1250</v>
      </c>
      <c r="H445" t="s">
        <v>1251</v>
      </c>
      <c r="I445" t="s">
        <v>1252</v>
      </c>
      <c r="J445" t="s">
        <v>1253</v>
      </c>
      <c r="K445" t="s">
        <v>1254</v>
      </c>
      <c r="L445">
        <v>31641309799</v>
      </c>
      <c r="M445" t="s">
        <v>1255</v>
      </c>
      <c r="N445" t="s">
        <v>2952</v>
      </c>
      <c r="P445" t="s">
        <v>1258</v>
      </c>
      <c r="Q445" t="s">
        <v>1259</v>
      </c>
      <c r="R445" t="s">
        <v>376</v>
      </c>
      <c r="S445" t="s">
        <v>40</v>
      </c>
      <c r="T445" s="1">
        <v>43204</v>
      </c>
      <c r="U445">
        <v>0</v>
      </c>
      <c r="V445">
        <v>7</v>
      </c>
      <c r="Y445" t="s">
        <v>42</v>
      </c>
      <c r="Z445" t="s">
        <v>43</v>
      </c>
      <c r="AA445" t="s">
        <v>43</v>
      </c>
      <c r="AD445" t="s">
        <v>3143</v>
      </c>
    </row>
    <row r="446" spans="1:30" x14ac:dyDescent="0.4">
      <c r="A446" t="s">
        <v>27</v>
      </c>
      <c r="B446">
        <v>6109</v>
      </c>
      <c r="C446" t="s">
        <v>68</v>
      </c>
      <c r="D446" t="s">
        <v>772</v>
      </c>
      <c r="E446" t="s">
        <v>1260</v>
      </c>
      <c r="F446" t="s">
        <v>1261</v>
      </c>
      <c r="G446" t="s">
        <v>1262</v>
      </c>
      <c r="H446" t="s">
        <v>730</v>
      </c>
      <c r="I446" t="s">
        <v>495</v>
      </c>
      <c r="J446" t="s">
        <v>1263</v>
      </c>
      <c r="K446" t="s">
        <v>35</v>
      </c>
      <c r="L446">
        <v>1323461995</v>
      </c>
      <c r="M446" t="s">
        <v>1264</v>
      </c>
      <c r="N446" t="s">
        <v>3075</v>
      </c>
      <c r="P446" t="s">
        <v>3106</v>
      </c>
      <c r="Q446" t="s">
        <v>1266</v>
      </c>
      <c r="R446" t="s">
        <v>94</v>
      </c>
      <c r="S446" t="s">
        <v>82</v>
      </c>
      <c r="T446" s="1">
        <v>45188</v>
      </c>
      <c r="U446">
        <v>0</v>
      </c>
      <c r="V446">
        <v>10</v>
      </c>
      <c r="Y446" t="s">
        <v>42</v>
      </c>
      <c r="Z446" t="s">
        <v>43</v>
      </c>
      <c r="AA446" t="s">
        <v>43</v>
      </c>
      <c r="AD446" t="s">
        <v>3143</v>
      </c>
    </row>
    <row r="447" spans="1:30" x14ac:dyDescent="0.4">
      <c r="A447" t="s">
        <v>27</v>
      </c>
      <c r="B447">
        <v>6109</v>
      </c>
      <c r="C447" t="s">
        <v>68</v>
      </c>
      <c r="D447" t="s">
        <v>772</v>
      </c>
      <c r="E447" t="s">
        <v>1260</v>
      </c>
      <c r="F447" t="s">
        <v>1261</v>
      </c>
      <c r="G447" t="s">
        <v>1262</v>
      </c>
      <c r="H447" t="s">
        <v>730</v>
      </c>
      <c r="I447" t="s">
        <v>495</v>
      </c>
      <c r="J447" t="s">
        <v>1263</v>
      </c>
      <c r="K447" t="s">
        <v>35</v>
      </c>
      <c r="L447">
        <v>1323461995</v>
      </c>
      <c r="M447" t="s">
        <v>1264</v>
      </c>
      <c r="N447" t="s">
        <v>3075</v>
      </c>
      <c r="P447" t="s">
        <v>3106</v>
      </c>
      <c r="Q447" t="s">
        <v>1266</v>
      </c>
      <c r="R447" t="s">
        <v>94</v>
      </c>
      <c r="S447" t="s">
        <v>82</v>
      </c>
      <c r="T447" s="1">
        <v>45188</v>
      </c>
      <c r="U447">
        <v>0</v>
      </c>
      <c r="V447">
        <v>11</v>
      </c>
      <c r="Y447" t="s">
        <v>42</v>
      </c>
      <c r="Z447" t="s">
        <v>43</v>
      </c>
      <c r="AA447" t="s">
        <v>43</v>
      </c>
      <c r="AD447" t="s">
        <v>3143</v>
      </c>
    </row>
    <row r="448" spans="1:30" x14ac:dyDescent="0.4">
      <c r="A448" t="s">
        <v>27</v>
      </c>
      <c r="B448">
        <v>5350</v>
      </c>
      <c r="C448" t="s">
        <v>195</v>
      </c>
      <c r="D448" t="s">
        <v>896</v>
      </c>
      <c r="E448" t="s">
        <v>1267</v>
      </c>
      <c r="F448" t="s">
        <v>1268</v>
      </c>
      <c r="G448" t="s">
        <v>1269</v>
      </c>
      <c r="H448" t="s">
        <v>1270</v>
      </c>
      <c r="I448" t="s">
        <v>51</v>
      </c>
      <c r="J448" t="s">
        <v>1271</v>
      </c>
      <c r="K448" t="s">
        <v>35</v>
      </c>
      <c r="L448" t="s">
        <v>1272</v>
      </c>
      <c r="M448" t="s">
        <v>1273</v>
      </c>
      <c r="N448" t="s">
        <v>1274</v>
      </c>
      <c r="P448" t="s">
        <v>1275</v>
      </c>
      <c r="Q448" t="s">
        <v>1276</v>
      </c>
      <c r="R448" t="s">
        <v>1277</v>
      </c>
      <c r="S448" t="s">
        <v>82</v>
      </c>
      <c r="T448" s="1">
        <v>40306</v>
      </c>
      <c r="U448">
        <v>0</v>
      </c>
      <c r="V448">
        <v>0</v>
      </c>
      <c r="W448" t="s">
        <v>59</v>
      </c>
      <c r="X448" t="s">
        <v>135</v>
      </c>
      <c r="Y448" t="s">
        <v>42</v>
      </c>
      <c r="Z448" t="s">
        <v>43</v>
      </c>
      <c r="AA448" t="s">
        <v>43</v>
      </c>
      <c r="AD448" t="s">
        <v>3143</v>
      </c>
    </row>
    <row r="449" spans="1:30" x14ac:dyDescent="0.4">
      <c r="A449" t="s">
        <v>27</v>
      </c>
      <c r="B449">
        <v>5350</v>
      </c>
      <c r="C449" t="s">
        <v>195</v>
      </c>
      <c r="D449" t="s">
        <v>896</v>
      </c>
      <c r="E449" t="s">
        <v>1267</v>
      </c>
      <c r="F449" t="s">
        <v>1268</v>
      </c>
      <c r="G449" t="s">
        <v>1269</v>
      </c>
      <c r="H449" t="s">
        <v>1270</v>
      </c>
      <c r="I449" t="s">
        <v>51</v>
      </c>
      <c r="J449" t="s">
        <v>1271</v>
      </c>
      <c r="K449" t="s">
        <v>35</v>
      </c>
      <c r="L449" t="s">
        <v>1272</v>
      </c>
      <c r="M449" t="s">
        <v>1273</v>
      </c>
      <c r="N449" t="s">
        <v>1274</v>
      </c>
      <c r="P449" t="s">
        <v>1275</v>
      </c>
      <c r="Q449" t="s">
        <v>1276</v>
      </c>
      <c r="R449" t="s">
        <v>1277</v>
      </c>
      <c r="S449" t="s">
        <v>82</v>
      </c>
      <c r="T449" s="1">
        <v>40306</v>
      </c>
      <c r="U449">
        <v>0</v>
      </c>
      <c r="V449">
        <v>0</v>
      </c>
      <c r="W449" t="s">
        <v>59</v>
      </c>
      <c r="X449" t="s">
        <v>135</v>
      </c>
      <c r="Y449" t="s">
        <v>42</v>
      </c>
      <c r="Z449" t="s">
        <v>43</v>
      </c>
      <c r="AA449" t="s">
        <v>43</v>
      </c>
      <c r="AD449" t="s">
        <v>3143</v>
      </c>
    </row>
    <row r="450" spans="1:30" x14ac:dyDescent="0.4">
      <c r="A450" t="s">
        <v>27</v>
      </c>
      <c r="B450">
        <v>5350</v>
      </c>
      <c r="C450" t="s">
        <v>195</v>
      </c>
      <c r="D450" t="s">
        <v>896</v>
      </c>
      <c r="E450" t="s">
        <v>1267</v>
      </c>
      <c r="F450" t="s">
        <v>1268</v>
      </c>
      <c r="G450" t="s">
        <v>1269</v>
      </c>
      <c r="H450" t="s">
        <v>1270</v>
      </c>
      <c r="I450" t="s">
        <v>51</v>
      </c>
      <c r="J450" t="s">
        <v>1271</v>
      </c>
      <c r="K450" t="s">
        <v>35</v>
      </c>
      <c r="L450" t="s">
        <v>1272</v>
      </c>
      <c r="M450" t="s">
        <v>1273</v>
      </c>
      <c r="N450" t="s">
        <v>2865</v>
      </c>
      <c r="P450" t="s">
        <v>3107</v>
      </c>
      <c r="Q450" t="s">
        <v>1279</v>
      </c>
      <c r="R450" t="s">
        <v>46</v>
      </c>
      <c r="S450" t="s">
        <v>82</v>
      </c>
      <c r="T450" s="1">
        <v>43503</v>
      </c>
      <c r="U450">
        <v>0</v>
      </c>
      <c r="V450">
        <v>5</v>
      </c>
      <c r="W450" t="s">
        <v>66</v>
      </c>
      <c r="X450" t="s">
        <v>135</v>
      </c>
      <c r="Y450" t="s">
        <v>42</v>
      </c>
      <c r="Z450" t="s">
        <v>43</v>
      </c>
      <c r="AA450" t="s">
        <v>43</v>
      </c>
      <c r="AD450" t="s">
        <v>3143</v>
      </c>
    </row>
    <row r="451" spans="1:30" x14ac:dyDescent="0.4">
      <c r="A451" t="s">
        <v>27</v>
      </c>
      <c r="B451">
        <v>5350</v>
      </c>
      <c r="C451" t="s">
        <v>195</v>
      </c>
      <c r="D451" t="s">
        <v>896</v>
      </c>
      <c r="E451" t="s">
        <v>1267</v>
      </c>
      <c r="F451" t="s">
        <v>1268</v>
      </c>
      <c r="G451" t="s">
        <v>1269</v>
      </c>
      <c r="H451" t="s">
        <v>1270</v>
      </c>
      <c r="I451" t="s">
        <v>51</v>
      </c>
      <c r="J451" t="s">
        <v>1271</v>
      </c>
      <c r="K451" t="s">
        <v>35</v>
      </c>
      <c r="L451" t="s">
        <v>1272</v>
      </c>
      <c r="M451" t="s">
        <v>1273</v>
      </c>
      <c r="N451" t="s">
        <v>2865</v>
      </c>
      <c r="P451" t="s">
        <v>3107</v>
      </c>
      <c r="Q451" t="s">
        <v>1279</v>
      </c>
      <c r="R451" t="s">
        <v>46</v>
      </c>
      <c r="S451" t="s">
        <v>82</v>
      </c>
      <c r="T451" s="1">
        <v>43503</v>
      </c>
      <c r="U451">
        <v>0</v>
      </c>
      <c r="V451">
        <v>6</v>
      </c>
      <c r="W451" t="s">
        <v>83</v>
      </c>
      <c r="X451" t="s">
        <v>135</v>
      </c>
      <c r="Y451" t="s">
        <v>42</v>
      </c>
      <c r="Z451" t="s">
        <v>43</v>
      </c>
      <c r="AA451" t="s">
        <v>43</v>
      </c>
      <c r="AD451" t="s">
        <v>3143</v>
      </c>
    </row>
    <row r="452" spans="1:30" x14ac:dyDescent="0.4">
      <c r="A452" t="s">
        <v>27</v>
      </c>
      <c r="B452">
        <v>5350</v>
      </c>
      <c r="C452" t="s">
        <v>195</v>
      </c>
      <c r="D452" t="s">
        <v>896</v>
      </c>
      <c r="E452" t="s">
        <v>1267</v>
      </c>
      <c r="F452" t="s">
        <v>1268</v>
      </c>
      <c r="G452" t="s">
        <v>1269</v>
      </c>
      <c r="H452" t="s">
        <v>1270</v>
      </c>
      <c r="I452" t="s">
        <v>51</v>
      </c>
      <c r="J452" t="s">
        <v>1271</v>
      </c>
      <c r="K452" t="s">
        <v>35</v>
      </c>
      <c r="L452" t="s">
        <v>1272</v>
      </c>
      <c r="M452" t="s">
        <v>1273</v>
      </c>
      <c r="N452" t="s">
        <v>2865</v>
      </c>
      <c r="P452" t="s">
        <v>3108</v>
      </c>
      <c r="Q452" t="s">
        <v>1281</v>
      </c>
      <c r="R452" t="s">
        <v>376</v>
      </c>
      <c r="S452" t="s">
        <v>82</v>
      </c>
      <c r="T452" s="1">
        <v>44551</v>
      </c>
      <c r="U452">
        <v>0</v>
      </c>
      <c r="V452">
        <v>6</v>
      </c>
      <c r="W452" t="s">
        <v>83</v>
      </c>
      <c r="X452" t="s">
        <v>135</v>
      </c>
      <c r="Y452" t="s">
        <v>42</v>
      </c>
      <c r="Z452" t="s">
        <v>43</v>
      </c>
      <c r="AA452" t="s">
        <v>43</v>
      </c>
      <c r="AD452" t="s">
        <v>3143</v>
      </c>
    </row>
    <row r="453" spans="1:30" x14ac:dyDescent="0.4">
      <c r="A453" t="s">
        <v>27</v>
      </c>
      <c r="B453">
        <v>5350</v>
      </c>
      <c r="C453" t="s">
        <v>195</v>
      </c>
      <c r="D453" t="s">
        <v>896</v>
      </c>
      <c r="E453" t="s">
        <v>1267</v>
      </c>
      <c r="F453" t="s">
        <v>1268</v>
      </c>
      <c r="G453" t="s">
        <v>1269</v>
      </c>
      <c r="H453" t="s">
        <v>1270</v>
      </c>
      <c r="I453" t="s">
        <v>51</v>
      </c>
      <c r="J453" t="s">
        <v>1271</v>
      </c>
      <c r="K453" t="s">
        <v>35</v>
      </c>
      <c r="L453" t="s">
        <v>1272</v>
      </c>
      <c r="M453" t="s">
        <v>1273</v>
      </c>
      <c r="N453" t="s">
        <v>2865</v>
      </c>
      <c r="P453" t="s">
        <v>3108</v>
      </c>
      <c r="Q453" t="s">
        <v>1281</v>
      </c>
      <c r="R453" t="s">
        <v>376</v>
      </c>
      <c r="S453" t="s">
        <v>82</v>
      </c>
      <c r="T453" s="1">
        <v>44551</v>
      </c>
      <c r="U453">
        <v>0</v>
      </c>
      <c r="V453">
        <v>7</v>
      </c>
      <c r="X453" t="s">
        <v>135</v>
      </c>
      <c r="Y453" t="s">
        <v>42</v>
      </c>
      <c r="Z453" t="s">
        <v>43</v>
      </c>
      <c r="AA453" t="s">
        <v>43</v>
      </c>
      <c r="AD453" t="s">
        <v>3143</v>
      </c>
    </row>
    <row r="454" spans="1:30" x14ac:dyDescent="0.4">
      <c r="A454" t="s">
        <v>27</v>
      </c>
      <c r="B454">
        <v>5350</v>
      </c>
      <c r="C454" t="s">
        <v>195</v>
      </c>
      <c r="D454" t="s">
        <v>896</v>
      </c>
      <c r="E454" t="s">
        <v>1267</v>
      </c>
      <c r="F454" t="s">
        <v>1268</v>
      </c>
      <c r="G454" t="s">
        <v>1269</v>
      </c>
      <c r="H454" t="s">
        <v>1270</v>
      </c>
      <c r="I454" t="s">
        <v>51</v>
      </c>
      <c r="J454" t="s">
        <v>1271</v>
      </c>
      <c r="K454" t="s">
        <v>35</v>
      </c>
      <c r="L454" t="s">
        <v>1272</v>
      </c>
      <c r="M454" t="s">
        <v>1273</v>
      </c>
      <c r="N454" t="s">
        <v>2865</v>
      </c>
      <c r="P454" t="s">
        <v>3107</v>
      </c>
      <c r="Q454" t="s">
        <v>1279</v>
      </c>
      <c r="R454" t="s">
        <v>46</v>
      </c>
      <c r="S454" t="s">
        <v>82</v>
      </c>
      <c r="T454" s="1">
        <v>43503</v>
      </c>
      <c r="U454">
        <v>0</v>
      </c>
      <c r="V454">
        <v>15</v>
      </c>
      <c r="X454" t="s">
        <v>135</v>
      </c>
      <c r="Y454" t="s">
        <v>42</v>
      </c>
      <c r="Z454" t="s">
        <v>43</v>
      </c>
      <c r="AA454" t="s">
        <v>43</v>
      </c>
      <c r="AD454" t="s">
        <v>3143</v>
      </c>
    </row>
    <row r="455" spans="1:30" x14ac:dyDescent="0.4">
      <c r="A455" t="s">
        <v>27</v>
      </c>
      <c r="B455">
        <v>5350</v>
      </c>
      <c r="C455" t="s">
        <v>195</v>
      </c>
      <c r="D455" t="s">
        <v>896</v>
      </c>
      <c r="E455" t="s">
        <v>1267</v>
      </c>
      <c r="F455" t="s">
        <v>1268</v>
      </c>
      <c r="G455" t="s">
        <v>1269</v>
      </c>
      <c r="H455" t="s">
        <v>1270</v>
      </c>
      <c r="I455" t="s">
        <v>51</v>
      </c>
      <c r="J455" t="s">
        <v>1271</v>
      </c>
      <c r="K455" t="s">
        <v>35</v>
      </c>
      <c r="L455" t="s">
        <v>1272</v>
      </c>
      <c r="M455" t="s">
        <v>1273</v>
      </c>
      <c r="N455" t="s">
        <v>2865</v>
      </c>
      <c r="P455" t="s">
        <v>3108</v>
      </c>
      <c r="Q455" t="s">
        <v>1281</v>
      </c>
      <c r="R455" t="s">
        <v>376</v>
      </c>
      <c r="S455" t="s">
        <v>82</v>
      </c>
      <c r="T455" s="1">
        <v>44551</v>
      </c>
      <c r="U455">
        <v>0</v>
      </c>
      <c r="V455">
        <v>17</v>
      </c>
      <c r="X455" t="s">
        <v>135</v>
      </c>
      <c r="Y455" t="s">
        <v>42</v>
      </c>
      <c r="Z455" t="s">
        <v>43</v>
      </c>
      <c r="AA455" t="s">
        <v>43</v>
      </c>
      <c r="AD455" t="s">
        <v>3143</v>
      </c>
    </row>
    <row r="456" spans="1:30" x14ac:dyDescent="0.4">
      <c r="A456" t="s">
        <v>27</v>
      </c>
      <c r="B456">
        <v>3268</v>
      </c>
      <c r="C456" t="s">
        <v>68</v>
      </c>
      <c r="D456" t="s">
        <v>1282</v>
      </c>
      <c r="E456" t="s">
        <v>1283</v>
      </c>
      <c r="F456" t="s">
        <v>1284</v>
      </c>
      <c r="H456" t="s">
        <v>1285</v>
      </c>
      <c r="I456" t="s">
        <v>1085</v>
      </c>
      <c r="J456" t="s">
        <v>1286</v>
      </c>
      <c r="K456" t="s">
        <v>35</v>
      </c>
      <c r="L456">
        <v>447979082199</v>
      </c>
      <c r="M456" t="s">
        <v>1287</v>
      </c>
      <c r="N456" t="s">
        <v>377</v>
      </c>
      <c r="P456" t="s">
        <v>1289</v>
      </c>
      <c r="Q456" t="s">
        <v>1290</v>
      </c>
      <c r="R456" t="s">
        <v>58</v>
      </c>
      <c r="S456" t="s">
        <v>82</v>
      </c>
      <c r="T456" s="1">
        <v>44841</v>
      </c>
      <c r="U456">
        <v>0</v>
      </c>
      <c r="V456">
        <v>4</v>
      </c>
      <c r="W456" t="s">
        <v>65</v>
      </c>
      <c r="Y456" t="s">
        <v>42</v>
      </c>
      <c r="Z456" t="s">
        <v>43</v>
      </c>
      <c r="AA456" t="s">
        <v>43</v>
      </c>
      <c r="AB456" t="s">
        <v>1291</v>
      </c>
      <c r="AD456" t="s">
        <v>3143</v>
      </c>
    </row>
    <row r="457" spans="1:30" x14ac:dyDescent="0.4">
      <c r="A457" t="s">
        <v>27</v>
      </c>
      <c r="B457">
        <v>3268</v>
      </c>
      <c r="C457" t="s">
        <v>68</v>
      </c>
      <c r="D457" t="s">
        <v>1282</v>
      </c>
      <c r="E457" t="s">
        <v>1283</v>
      </c>
      <c r="F457" t="s">
        <v>1284</v>
      </c>
      <c r="H457" t="s">
        <v>1285</v>
      </c>
      <c r="I457" t="s">
        <v>1085</v>
      </c>
      <c r="J457" t="s">
        <v>1286</v>
      </c>
      <c r="K457" t="s">
        <v>35</v>
      </c>
      <c r="L457">
        <v>447979082199</v>
      </c>
      <c r="M457" t="s">
        <v>1287</v>
      </c>
      <c r="N457" t="s">
        <v>377</v>
      </c>
      <c r="P457" t="s">
        <v>1289</v>
      </c>
      <c r="Q457" t="s">
        <v>1290</v>
      </c>
      <c r="R457" t="s">
        <v>58</v>
      </c>
      <c r="S457" t="s">
        <v>82</v>
      </c>
      <c r="T457" s="1">
        <v>44841</v>
      </c>
      <c r="U457">
        <v>0</v>
      </c>
      <c r="V457">
        <v>5</v>
      </c>
      <c r="W457" t="s">
        <v>66</v>
      </c>
      <c r="Y457" t="s">
        <v>42</v>
      </c>
      <c r="Z457" t="s">
        <v>43</v>
      </c>
      <c r="AA457" t="s">
        <v>43</v>
      </c>
      <c r="AB457" t="s">
        <v>1291</v>
      </c>
      <c r="AD457" t="s">
        <v>3143</v>
      </c>
    </row>
    <row r="458" spans="1:30" x14ac:dyDescent="0.4">
      <c r="A458" t="s">
        <v>27</v>
      </c>
      <c r="B458">
        <v>3268</v>
      </c>
      <c r="C458" t="s">
        <v>68</v>
      </c>
      <c r="D458" t="s">
        <v>1282</v>
      </c>
      <c r="E458" t="s">
        <v>1283</v>
      </c>
      <c r="F458" t="s">
        <v>1284</v>
      </c>
      <c r="H458" t="s">
        <v>1285</v>
      </c>
      <c r="I458" t="s">
        <v>1085</v>
      </c>
      <c r="J458" t="s">
        <v>1286</v>
      </c>
      <c r="K458" t="s">
        <v>35</v>
      </c>
      <c r="L458">
        <v>447979082199</v>
      </c>
      <c r="M458" t="s">
        <v>1287</v>
      </c>
      <c r="N458" t="s">
        <v>377</v>
      </c>
      <c r="P458" t="s">
        <v>1289</v>
      </c>
      <c r="Q458" t="s">
        <v>1290</v>
      </c>
      <c r="R458" t="s">
        <v>58</v>
      </c>
      <c r="S458" t="s">
        <v>82</v>
      </c>
      <c r="T458" s="1">
        <v>44841</v>
      </c>
      <c r="U458">
        <v>0</v>
      </c>
      <c r="V458">
        <v>6</v>
      </c>
      <c r="W458" t="s">
        <v>83</v>
      </c>
      <c r="Y458" t="s">
        <v>42</v>
      </c>
      <c r="Z458" t="s">
        <v>43</v>
      </c>
      <c r="AA458" t="s">
        <v>43</v>
      </c>
      <c r="AB458" t="s">
        <v>1291</v>
      </c>
      <c r="AD458" t="s">
        <v>3143</v>
      </c>
    </row>
    <row r="459" spans="1:30" x14ac:dyDescent="0.4">
      <c r="A459" t="s">
        <v>27</v>
      </c>
      <c r="B459">
        <v>3268</v>
      </c>
      <c r="C459" t="s">
        <v>68</v>
      </c>
      <c r="D459" t="s">
        <v>1282</v>
      </c>
      <c r="E459" t="s">
        <v>1283</v>
      </c>
      <c r="F459" t="s">
        <v>1284</v>
      </c>
      <c r="H459" t="s">
        <v>1285</v>
      </c>
      <c r="I459" t="s">
        <v>1085</v>
      </c>
      <c r="J459" t="s">
        <v>1286</v>
      </c>
      <c r="K459" t="s">
        <v>35</v>
      </c>
      <c r="L459">
        <v>447979082199</v>
      </c>
      <c r="M459" t="s">
        <v>1287</v>
      </c>
      <c r="N459" t="s">
        <v>377</v>
      </c>
      <c r="P459" t="s">
        <v>1292</v>
      </c>
      <c r="Q459" t="s">
        <v>1293</v>
      </c>
      <c r="R459" t="s">
        <v>58</v>
      </c>
      <c r="S459" t="s">
        <v>40</v>
      </c>
      <c r="T459" s="1">
        <v>43161</v>
      </c>
      <c r="U459">
        <v>0</v>
      </c>
      <c r="V459">
        <v>6</v>
      </c>
      <c r="W459" t="s">
        <v>83</v>
      </c>
      <c r="Y459" t="s">
        <v>42</v>
      </c>
      <c r="Z459" t="s">
        <v>43</v>
      </c>
      <c r="AA459" t="s">
        <v>43</v>
      </c>
      <c r="AB459" t="s">
        <v>1291</v>
      </c>
      <c r="AD459" t="s">
        <v>3143</v>
      </c>
    </row>
    <row r="460" spans="1:30" x14ac:dyDescent="0.4">
      <c r="A460" t="s">
        <v>27</v>
      </c>
      <c r="B460">
        <v>3268</v>
      </c>
      <c r="C460" t="s">
        <v>68</v>
      </c>
      <c r="D460" t="s">
        <v>1282</v>
      </c>
      <c r="E460" t="s">
        <v>1283</v>
      </c>
      <c r="F460" t="s">
        <v>1284</v>
      </c>
      <c r="H460" t="s">
        <v>1285</v>
      </c>
      <c r="I460" t="s">
        <v>1085</v>
      </c>
      <c r="J460" t="s">
        <v>1286</v>
      </c>
      <c r="K460" t="s">
        <v>35</v>
      </c>
      <c r="L460">
        <v>447979082199</v>
      </c>
      <c r="M460" t="s">
        <v>1287</v>
      </c>
      <c r="N460" t="s">
        <v>377</v>
      </c>
      <c r="P460" t="s">
        <v>1292</v>
      </c>
      <c r="Q460" t="s">
        <v>1293</v>
      </c>
      <c r="R460" t="s">
        <v>58</v>
      </c>
      <c r="S460" t="s">
        <v>40</v>
      </c>
      <c r="T460" s="1">
        <v>43161</v>
      </c>
      <c r="U460">
        <v>0</v>
      </c>
      <c r="V460">
        <v>7</v>
      </c>
      <c r="Y460" t="s">
        <v>42</v>
      </c>
      <c r="Z460" t="s">
        <v>43</v>
      </c>
      <c r="AA460" t="s">
        <v>43</v>
      </c>
      <c r="AB460" t="s">
        <v>1291</v>
      </c>
      <c r="AD460" t="s">
        <v>3143</v>
      </c>
    </row>
    <row r="461" spans="1:30" x14ac:dyDescent="0.4">
      <c r="A461" t="s">
        <v>27</v>
      </c>
      <c r="B461">
        <v>3268</v>
      </c>
      <c r="C461" t="s">
        <v>68</v>
      </c>
      <c r="D461" t="s">
        <v>1282</v>
      </c>
      <c r="E461" t="s">
        <v>1283</v>
      </c>
      <c r="F461" t="s">
        <v>1284</v>
      </c>
      <c r="H461" t="s">
        <v>1285</v>
      </c>
      <c r="I461" t="s">
        <v>1085</v>
      </c>
      <c r="J461" t="s">
        <v>1286</v>
      </c>
      <c r="K461" t="s">
        <v>35</v>
      </c>
      <c r="L461">
        <v>447979082199</v>
      </c>
      <c r="M461" t="s">
        <v>1287</v>
      </c>
      <c r="N461" t="s">
        <v>1288</v>
      </c>
      <c r="P461" t="s">
        <v>1289</v>
      </c>
      <c r="Q461" t="s">
        <v>1290</v>
      </c>
      <c r="R461" t="s">
        <v>58</v>
      </c>
      <c r="S461" t="s">
        <v>82</v>
      </c>
      <c r="T461" s="1">
        <v>44841</v>
      </c>
      <c r="U461">
        <v>0</v>
      </c>
      <c r="V461">
        <v>0</v>
      </c>
      <c r="W461" t="s">
        <v>59</v>
      </c>
      <c r="Y461" t="s">
        <v>42</v>
      </c>
      <c r="Z461" t="s">
        <v>43</v>
      </c>
      <c r="AA461" t="s">
        <v>43</v>
      </c>
      <c r="AB461" t="s">
        <v>1291</v>
      </c>
      <c r="AD461" t="s">
        <v>3143</v>
      </c>
    </row>
    <row r="462" spans="1:30" x14ac:dyDescent="0.4">
      <c r="A462" t="s">
        <v>27</v>
      </c>
      <c r="B462">
        <v>3268</v>
      </c>
      <c r="C462" t="s">
        <v>68</v>
      </c>
      <c r="D462" t="s">
        <v>1282</v>
      </c>
      <c r="E462" t="s">
        <v>1283</v>
      </c>
      <c r="F462" t="s">
        <v>1284</v>
      </c>
      <c r="H462" t="s">
        <v>1285</v>
      </c>
      <c r="I462" t="s">
        <v>1085</v>
      </c>
      <c r="J462" t="s">
        <v>1286</v>
      </c>
      <c r="K462" t="s">
        <v>35</v>
      </c>
      <c r="L462">
        <v>447979082199</v>
      </c>
      <c r="M462" t="s">
        <v>1287</v>
      </c>
      <c r="N462" t="s">
        <v>1288</v>
      </c>
      <c r="P462" t="s">
        <v>1292</v>
      </c>
      <c r="Q462" t="s">
        <v>1293</v>
      </c>
      <c r="R462" t="s">
        <v>58</v>
      </c>
      <c r="S462" t="s">
        <v>40</v>
      </c>
      <c r="T462" s="1">
        <v>43161</v>
      </c>
      <c r="U462">
        <v>0</v>
      </c>
      <c r="V462">
        <v>0</v>
      </c>
      <c r="W462" t="s">
        <v>59</v>
      </c>
      <c r="Y462" t="s">
        <v>42</v>
      </c>
      <c r="Z462" t="s">
        <v>43</v>
      </c>
      <c r="AA462" t="s">
        <v>43</v>
      </c>
      <c r="AB462" t="s">
        <v>1291</v>
      </c>
      <c r="AD462" t="s">
        <v>3143</v>
      </c>
    </row>
    <row r="463" spans="1:30" x14ac:dyDescent="0.4">
      <c r="A463" t="s">
        <v>27</v>
      </c>
      <c r="B463">
        <v>3268</v>
      </c>
      <c r="C463" t="s">
        <v>68</v>
      </c>
      <c r="D463" t="s">
        <v>1282</v>
      </c>
      <c r="E463" t="s">
        <v>1283</v>
      </c>
      <c r="F463" t="s">
        <v>1284</v>
      </c>
      <c r="H463" t="s">
        <v>1285</v>
      </c>
      <c r="I463" t="s">
        <v>1085</v>
      </c>
      <c r="J463" t="s">
        <v>1286</v>
      </c>
      <c r="K463" t="s">
        <v>35</v>
      </c>
      <c r="L463">
        <v>447979082199</v>
      </c>
      <c r="M463" t="s">
        <v>1287</v>
      </c>
      <c r="N463" t="s">
        <v>1288</v>
      </c>
      <c r="P463" t="s">
        <v>1294</v>
      </c>
      <c r="Q463" t="s">
        <v>1295</v>
      </c>
      <c r="R463" t="s">
        <v>1296</v>
      </c>
      <c r="S463" t="s">
        <v>82</v>
      </c>
      <c r="T463" s="1">
        <v>41469</v>
      </c>
      <c r="U463">
        <v>0</v>
      </c>
      <c r="V463">
        <v>0</v>
      </c>
      <c r="W463" t="s">
        <v>59</v>
      </c>
      <c r="Y463" t="s">
        <v>42</v>
      </c>
      <c r="Z463" t="s">
        <v>43</v>
      </c>
      <c r="AA463" t="s">
        <v>43</v>
      </c>
      <c r="AB463" t="s">
        <v>1291</v>
      </c>
      <c r="AD463" t="s">
        <v>3143</v>
      </c>
    </row>
    <row r="464" spans="1:30" x14ac:dyDescent="0.4">
      <c r="A464" t="s">
        <v>27</v>
      </c>
      <c r="B464">
        <v>5052</v>
      </c>
      <c r="C464" t="s">
        <v>28</v>
      </c>
      <c r="D464" t="s">
        <v>1297</v>
      </c>
      <c r="E464" t="s">
        <v>1283</v>
      </c>
      <c r="F464" t="s">
        <v>1298</v>
      </c>
      <c r="H464" t="s">
        <v>1299</v>
      </c>
      <c r="I464" t="s">
        <v>33</v>
      </c>
      <c r="J464" t="s">
        <v>1300</v>
      </c>
      <c r="K464" t="s">
        <v>35</v>
      </c>
      <c r="L464">
        <v>7904496938</v>
      </c>
      <c r="M464" t="s">
        <v>1301</v>
      </c>
      <c r="N464" t="s">
        <v>1302</v>
      </c>
      <c r="P464" t="s">
        <v>1303</v>
      </c>
      <c r="Q464" t="s">
        <v>1304</v>
      </c>
      <c r="R464" t="s">
        <v>1305</v>
      </c>
      <c r="S464" t="s">
        <v>82</v>
      </c>
      <c r="T464" s="1">
        <v>43581</v>
      </c>
      <c r="U464">
        <v>0</v>
      </c>
      <c r="V464">
        <v>8</v>
      </c>
      <c r="Y464" t="s">
        <v>42</v>
      </c>
      <c r="Z464" t="s">
        <v>43</v>
      </c>
      <c r="AA464" t="s">
        <v>43</v>
      </c>
      <c r="AD464" t="s">
        <v>3143</v>
      </c>
    </row>
    <row r="465" spans="1:30" x14ac:dyDescent="0.4">
      <c r="A465" t="s">
        <v>27</v>
      </c>
      <c r="B465">
        <v>5052</v>
      </c>
      <c r="C465" t="s">
        <v>28</v>
      </c>
      <c r="D465" t="s">
        <v>1297</v>
      </c>
      <c r="E465" t="s">
        <v>1283</v>
      </c>
      <c r="F465" t="s">
        <v>1298</v>
      </c>
      <c r="H465" t="s">
        <v>1299</v>
      </c>
      <c r="I465" t="s">
        <v>33</v>
      </c>
      <c r="J465" t="s">
        <v>1300</v>
      </c>
      <c r="K465" t="s">
        <v>35</v>
      </c>
      <c r="L465">
        <v>7904496938</v>
      </c>
      <c r="M465" t="s">
        <v>1301</v>
      </c>
      <c r="N465" t="s">
        <v>1302</v>
      </c>
      <c r="P465" t="s">
        <v>1303</v>
      </c>
      <c r="Q465" t="s">
        <v>1304</v>
      </c>
      <c r="R465" t="s">
        <v>1305</v>
      </c>
      <c r="S465" t="s">
        <v>82</v>
      </c>
      <c r="T465" s="1">
        <v>43581</v>
      </c>
      <c r="U465">
        <v>0</v>
      </c>
      <c r="V465">
        <v>10</v>
      </c>
      <c r="Y465" t="s">
        <v>42</v>
      </c>
      <c r="Z465" t="s">
        <v>43</v>
      </c>
      <c r="AA465" t="s">
        <v>43</v>
      </c>
      <c r="AD465" t="s">
        <v>3143</v>
      </c>
    </row>
    <row r="466" spans="1:30" x14ac:dyDescent="0.4">
      <c r="A466" t="s">
        <v>27</v>
      </c>
      <c r="B466">
        <v>3814</v>
      </c>
      <c r="C466" t="s">
        <v>257</v>
      </c>
      <c r="D466" t="s">
        <v>1306</v>
      </c>
      <c r="E466" t="s">
        <v>1283</v>
      </c>
      <c r="F466" t="s">
        <v>1298</v>
      </c>
      <c r="H466" t="s">
        <v>1299</v>
      </c>
      <c r="I466" t="s">
        <v>33</v>
      </c>
      <c r="J466" t="s">
        <v>1300</v>
      </c>
      <c r="K466" t="s">
        <v>35</v>
      </c>
      <c r="L466">
        <v>7852255964</v>
      </c>
      <c r="M466" t="s">
        <v>1307</v>
      </c>
      <c r="N466" t="s">
        <v>1308</v>
      </c>
      <c r="P466" t="s">
        <v>1309</v>
      </c>
      <c r="Q466" t="s">
        <v>1310</v>
      </c>
      <c r="R466" t="s">
        <v>1311</v>
      </c>
      <c r="S466" t="s">
        <v>82</v>
      </c>
      <c r="T466" s="1">
        <v>41294</v>
      </c>
      <c r="U466">
        <v>0</v>
      </c>
      <c r="V466">
        <v>0</v>
      </c>
      <c r="W466" t="s">
        <v>59</v>
      </c>
      <c r="Y466" t="s">
        <v>42</v>
      </c>
      <c r="Z466" t="s">
        <v>43</v>
      </c>
      <c r="AA466" t="s">
        <v>43</v>
      </c>
      <c r="AD466" t="s">
        <v>3143</v>
      </c>
    </row>
    <row r="467" spans="1:30" x14ac:dyDescent="0.4">
      <c r="A467" t="s">
        <v>27</v>
      </c>
      <c r="B467">
        <v>3814</v>
      </c>
      <c r="C467" t="s">
        <v>257</v>
      </c>
      <c r="D467" t="s">
        <v>1306</v>
      </c>
      <c r="E467" t="s">
        <v>1283</v>
      </c>
      <c r="F467" t="s">
        <v>1298</v>
      </c>
      <c r="H467" t="s">
        <v>1299</v>
      </c>
      <c r="I467" t="s">
        <v>33</v>
      </c>
      <c r="J467" t="s">
        <v>1300</v>
      </c>
      <c r="K467" t="s">
        <v>35</v>
      </c>
      <c r="L467">
        <v>7852255964</v>
      </c>
      <c r="M467" t="s">
        <v>1307</v>
      </c>
      <c r="N467" t="s">
        <v>1308</v>
      </c>
      <c r="P467" t="s">
        <v>1312</v>
      </c>
      <c r="Q467" t="s">
        <v>1313</v>
      </c>
      <c r="R467" t="s">
        <v>1314</v>
      </c>
      <c r="S467" t="s">
        <v>82</v>
      </c>
      <c r="T467" s="1">
        <v>42320</v>
      </c>
      <c r="U467">
        <v>0</v>
      </c>
      <c r="V467">
        <v>10</v>
      </c>
      <c r="Y467" t="s">
        <v>42</v>
      </c>
      <c r="Z467" t="s">
        <v>43</v>
      </c>
      <c r="AA467" t="s">
        <v>43</v>
      </c>
      <c r="AD467" t="s">
        <v>3143</v>
      </c>
    </row>
    <row r="468" spans="1:30" x14ac:dyDescent="0.4">
      <c r="A468" t="s">
        <v>27</v>
      </c>
      <c r="B468">
        <v>3814</v>
      </c>
      <c r="C468" t="s">
        <v>257</v>
      </c>
      <c r="D468" t="s">
        <v>1306</v>
      </c>
      <c r="E468" t="s">
        <v>1283</v>
      </c>
      <c r="F468" t="s">
        <v>1298</v>
      </c>
      <c r="H468" t="s">
        <v>1299</v>
      </c>
      <c r="I468" t="s">
        <v>33</v>
      </c>
      <c r="J468" t="s">
        <v>1300</v>
      </c>
      <c r="K468" t="s">
        <v>35</v>
      </c>
      <c r="L468">
        <v>7852255964</v>
      </c>
      <c r="M468" t="s">
        <v>1307</v>
      </c>
      <c r="N468" t="s">
        <v>1308</v>
      </c>
      <c r="P468" t="s">
        <v>1312</v>
      </c>
      <c r="Q468" t="s">
        <v>1313</v>
      </c>
      <c r="R468" t="s">
        <v>1314</v>
      </c>
      <c r="S468" t="s">
        <v>82</v>
      </c>
      <c r="T468" s="1">
        <v>42320</v>
      </c>
      <c r="U468">
        <v>0</v>
      </c>
      <c r="V468">
        <v>8</v>
      </c>
      <c r="Y468" t="s">
        <v>42</v>
      </c>
      <c r="Z468" t="s">
        <v>43</v>
      </c>
      <c r="AA468" t="s">
        <v>43</v>
      </c>
      <c r="AD468" t="s">
        <v>3143</v>
      </c>
    </row>
    <row r="469" spans="1:30" x14ac:dyDescent="0.4">
      <c r="A469" t="s">
        <v>27</v>
      </c>
      <c r="B469">
        <v>1588</v>
      </c>
      <c r="C469" t="s">
        <v>257</v>
      </c>
      <c r="D469" t="s">
        <v>1315</v>
      </c>
      <c r="E469" t="s">
        <v>1316</v>
      </c>
      <c r="F469" t="s">
        <v>1317</v>
      </c>
      <c r="G469" t="s">
        <v>1318</v>
      </c>
      <c r="H469" t="s">
        <v>1319</v>
      </c>
      <c r="I469" t="s">
        <v>1320</v>
      </c>
      <c r="J469" t="s">
        <v>1321</v>
      </c>
      <c r="K469" t="s">
        <v>35</v>
      </c>
      <c r="L469">
        <v>1223624880</v>
      </c>
      <c r="M469" t="s">
        <v>1322</v>
      </c>
      <c r="N469" t="s">
        <v>1323</v>
      </c>
      <c r="P469" t="s">
        <v>1324</v>
      </c>
      <c r="Q469" t="s">
        <v>1325</v>
      </c>
      <c r="R469" t="s">
        <v>58</v>
      </c>
      <c r="S469" t="s">
        <v>82</v>
      </c>
      <c r="T469" s="1">
        <v>44536</v>
      </c>
      <c r="U469">
        <v>0</v>
      </c>
      <c r="V469">
        <v>5</v>
      </c>
      <c r="W469" t="s">
        <v>66</v>
      </c>
      <c r="Y469" t="s">
        <v>42</v>
      </c>
      <c r="Z469" t="s">
        <v>43</v>
      </c>
      <c r="AA469" t="s">
        <v>43</v>
      </c>
      <c r="AD469" t="s">
        <v>3143</v>
      </c>
    </row>
    <row r="470" spans="1:30" x14ac:dyDescent="0.4">
      <c r="A470" t="s">
        <v>27</v>
      </c>
      <c r="B470">
        <v>1588</v>
      </c>
      <c r="C470" t="s">
        <v>257</v>
      </c>
      <c r="D470" t="s">
        <v>1315</v>
      </c>
      <c r="E470" t="s">
        <v>1316</v>
      </c>
      <c r="F470" t="s">
        <v>1317</v>
      </c>
      <c r="G470" t="s">
        <v>1318</v>
      </c>
      <c r="H470" t="s">
        <v>1319</v>
      </c>
      <c r="I470" t="s">
        <v>1320</v>
      </c>
      <c r="J470" t="s">
        <v>1321</v>
      </c>
      <c r="K470" t="s">
        <v>35</v>
      </c>
      <c r="L470">
        <v>1223624880</v>
      </c>
      <c r="M470" t="s">
        <v>1322</v>
      </c>
      <c r="N470" t="s">
        <v>1323</v>
      </c>
      <c r="P470" t="s">
        <v>1326</v>
      </c>
      <c r="Q470" t="s">
        <v>1327</v>
      </c>
      <c r="R470" t="s">
        <v>58</v>
      </c>
      <c r="S470" t="s">
        <v>82</v>
      </c>
      <c r="T470" s="1">
        <v>42622</v>
      </c>
      <c r="U470">
        <v>0</v>
      </c>
      <c r="V470">
        <v>7</v>
      </c>
      <c r="Y470" t="s">
        <v>42</v>
      </c>
      <c r="Z470" t="s">
        <v>43</v>
      </c>
      <c r="AA470" t="s">
        <v>43</v>
      </c>
      <c r="AD470" t="s">
        <v>3143</v>
      </c>
    </row>
    <row r="471" spans="1:30" x14ac:dyDescent="0.4">
      <c r="A471" t="s">
        <v>27</v>
      </c>
      <c r="B471">
        <v>1588</v>
      </c>
      <c r="C471" t="s">
        <v>257</v>
      </c>
      <c r="D471" t="s">
        <v>1315</v>
      </c>
      <c r="E471" t="s">
        <v>1316</v>
      </c>
      <c r="F471" t="s">
        <v>1317</v>
      </c>
      <c r="G471" t="s">
        <v>1318</v>
      </c>
      <c r="H471" t="s">
        <v>1319</v>
      </c>
      <c r="I471" t="s">
        <v>1320</v>
      </c>
      <c r="J471" t="s">
        <v>1321</v>
      </c>
      <c r="K471" t="s">
        <v>35</v>
      </c>
      <c r="L471">
        <v>1223624880</v>
      </c>
      <c r="M471" t="s">
        <v>1322</v>
      </c>
      <c r="N471" t="s">
        <v>1323</v>
      </c>
      <c r="P471" t="s">
        <v>1324</v>
      </c>
      <c r="Q471" t="s">
        <v>1325</v>
      </c>
      <c r="R471" t="s">
        <v>58</v>
      </c>
      <c r="S471" t="s">
        <v>82</v>
      </c>
      <c r="T471" s="1">
        <v>44536</v>
      </c>
      <c r="U471">
        <v>0</v>
      </c>
      <c r="V471">
        <v>15</v>
      </c>
      <c r="Y471" t="s">
        <v>42</v>
      </c>
      <c r="Z471" t="s">
        <v>43</v>
      </c>
      <c r="AA471" t="s">
        <v>43</v>
      </c>
      <c r="AD471" t="s">
        <v>3143</v>
      </c>
    </row>
    <row r="472" spans="1:30" x14ac:dyDescent="0.4">
      <c r="A472" t="s">
        <v>27</v>
      </c>
      <c r="B472">
        <v>1588</v>
      </c>
      <c r="C472" t="s">
        <v>257</v>
      </c>
      <c r="D472" t="s">
        <v>1315</v>
      </c>
      <c r="E472" t="s">
        <v>1316</v>
      </c>
      <c r="F472" t="s">
        <v>1317</v>
      </c>
      <c r="G472" t="s">
        <v>1318</v>
      </c>
      <c r="H472" t="s">
        <v>1319</v>
      </c>
      <c r="I472" t="s">
        <v>1320</v>
      </c>
      <c r="J472" t="s">
        <v>1321</v>
      </c>
      <c r="K472" t="s">
        <v>35</v>
      </c>
      <c r="L472">
        <v>1223624880</v>
      </c>
      <c r="M472" t="s">
        <v>1322</v>
      </c>
      <c r="N472" t="s">
        <v>1323</v>
      </c>
      <c r="P472" t="s">
        <v>1324</v>
      </c>
      <c r="Q472" t="s">
        <v>1325</v>
      </c>
      <c r="R472" t="s">
        <v>58</v>
      </c>
      <c r="S472" t="s">
        <v>82</v>
      </c>
      <c r="T472" s="1">
        <v>44536</v>
      </c>
      <c r="U472">
        <v>0</v>
      </c>
      <c r="V472">
        <v>17</v>
      </c>
      <c r="Y472" t="s">
        <v>42</v>
      </c>
      <c r="Z472" t="s">
        <v>43</v>
      </c>
      <c r="AA472" t="s">
        <v>43</v>
      </c>
      <c r="AD472" t="s">
        <v>3143</v>
      </c>
    </row>
    <row r="473" spans="1:30" x14ac:dyDescent="0.4">
      <c r="A473" t="s">
        <v>27</v>
      </c>
      <c r="B473">
        <v>1588</v>
      </c>
      <c r="C473" t="s">
        <v>257</v>
      </c>
      <c r="D473" t="s">
        <v>1315</v>
      </c>
      <c r="E473" t="s">
        <v>1316</v>
      </c>
      <c r="F473" t="s">
        <v>1317</v>
      </c>
      <c r="G473" t="s">
        <v>1318</v>
      </c>
      <c r="H473" t="s">
        <v>1319</v>
      </c>
      <c r="I473" t="s">
        <v>1320</v>
      </c>
      <c r="J473" t="s">
        <v>1321</v>
      </c>
      <c r="K473" t="s">
        <v>35</v>
      </c>
      <c r="L473">
        <v>1223624880</v>
      </c>
      <c r="M473" t="s">
        <v>1322</v>
      </c>
      <c r="N473" t="s">
        <v>1323</v>
      </c>
      <c r="P473" t="s">
        <v>1326</v>
      </c>
      <c r="Q473" t="s">
        <v>1327</v>
      </c>
      <c r="R473" t="s">
        <v>58</v>
      </c>
      <c r="S473" t="s">
        <v>82</v>
      </c>
      <c r="T473" s="1">
        <v>42622</v>
      </c>
      <c r="U473">
        <v>0</v>
      </c>
      <c r="V473">
        <v>21</v>
      </c>
      <c r="Y473" t="s">
        <v>42</v>
      </c>
      <c r="Z473" t="s">
        <v>43</v>
      </c>
      <c r="AA473" t="s">
        <v>43</v>
      </c>
      <c r="AD473" t="s">
        <v>3143</v>
      </c>
    </row>
    <row r="474" spans="1:30" x14ac:dyDescent="0.4">
      <c r="A474" t="s">
        <v>27</v>
      </c>
      <c r="B474">
        <v>1588</v>
      </c>
      <c r="C474" t="s">
        <v>257</v>
      </c>
      <c r="D474" t="s">
        <v>1315</v>
      </c>
      <c r="E474" t="s">
        <v>1316</v>
      </c>
      <c r="F474" t="s">
        <v>1317</v>
      </c>
      <c r="G474" t="s">
        <v>1318</v>
      </c>
      <c r="H474" t="s">
        <v>1319</v>
      </c>
      <c r="I474" t="s">
        <v>1320</v>
      </c>
      <c r="J474" t="s">
        <v>1321</v>
      </c>
      <c r="K474" t="s">
        <v>35</v>
      </c>
      <c r="L474">
        <v>1223624880</v>
      </c>
      <c r="M474" t="s">
        <v>1322</v>
      </c>
      <c r="N474" t="s">
        <v>1323</v>
      </c>
      <c r="P474" t="s">
        <v>1324</v>
      </c>
      <c r="Q474" t="s">
        <v>1325</v>
      </c>
      <c r="R474" t="s">
        <v>58</v>
      </c>
      <c r="S474" t="s">
        <v>82</v>
      </c>
      <c r="T474" s="1">
        <v>44536</v>
      </c>
      <c r="U474">
        <v>0</v>
      </c>
      <c r="V474">
        <v>19</v>
      </c>
      <c r="Y474" t="s">
        <v>42</v>
      </c>
      <c r="Z474" t="s">
        <v>43</v>
      </c>
      <c r="AA474" t="s">
        <v>43</v>
      </c>
      <c r="AD474" t="s">
        <v>3143</v>
      </c>
    </row>
    <row r="475" spans="1:30" x14ac:dyDescent="0.4">
      <c r="A475" t="s">
        <v>27</v>
      </c>
      <c r="B475">
        <v>1589</v>
      </c>
      <c r="C475" t="s">
        <v>68</v>
      </c>
      <c r="D475" t="s">
        <v>1328</v>
      </c>
      <c r="E475" t="s">
        <v>1316</v>
      </c>
      <c r="F475" t="s">
        <v>1317</v>
      </c>
      <c r="G475" t="s">
        <v>1318</v>
      </c>
      <c r="H475" t="s">
        <v>1319</v>
      </c>
      <c r="I475" t="s">
        <v>1320</v>
      </c>
      <c r="J475" t="s">
        <v>1321</v>
      </c>
      <c r="K475" t="s">
        <v>35</v>
      </c>
      <c r="L475" t="s">
        <v>1329</v>
      </c>
      <c r="M475" t="s">
        <v>1322</v>
      </c>
      <c r="N475" t="s">
        <v>1330</v>
      </c>
      <c r="P475" t="s">
        <v>1331</v>
      </c>
      <c r="Q475" t="s">
        <v>1332</v>
      </c>
      <c r="R475" t="s">
        <v>58</v>
      </c>
      <c r="S475" t="s">
        <v>40</v>
      </c>
      <c r="T475" s="1">
        <v>43780</v>
      </c>
      <c r="U475">
        <v>0</v>
      </c>
      <c r="V475">
        <v>7</v>
      </c>
      <c r="Y475" t="s">
        <v>42</v>
      </c>
      <c r="Z475" t="s">
        <v>43</v>
      </c>
      <c r="AA475" t="s">
        <v>43</v>
      </c>
      <c r="AD475" t="s">
        <v>3143</v>
      </c>
    </row>
    <row r="476" spans="1:30" x14ac:dyDescent="0.4">
      <c r="A476" t="s">
        <v>27</v>
      </c>
      <c r="B476">
        <v>1589</v>
      </c>
      <c r="C476" t="s">
        <v>68</v>
      </c>
      <c r="D476" t="s">
        <v>1328</v>
      </c>
      <c r="E476" t="s">
        <v>1316</v>
      </c>
      <c r="F476" t="s">
        <v>1317</v>
      </c>
      <c r="G476" t="s">
        <v>1318</v>
      </c>
      <c r="H476" t="s">
        <v>1319</v>
      </c>
      <c r="I476" t="s">
        <v>1320</v>
      </c>
      <c r="J476" t="s">
        <v>1321</v>
      </c>
      <c r="K476" t="s">
        <v>35</v>
      </c>
      <c r="L476" t="s">
        <v>1329</v>
      </c>
      <c r="M476" t="s">
        <v>1322</v>
      </c>
      <c r="N476" t="s">
        <v>1330</v>
      </c>
      <c r="P476" t="s">
        <v>1331</v>
      </c>
      <c r="Q476" t="s">
        <v>1332</v>
      </c>
      <c r="R476" t="s">
        <v>58</v>
      </c>
      <c r="S476" t="s">
        <v>40</v>
      </c>
      <c r="T476" s="1">
        <v>43780</v>
      </c>
      <c r="U476">
        <v>0</v>
      </c>
      <c r="V476">
        <v>18</v>
      </c>
      <c r="Y476" t="s">
        <v>42</v>
      </c>
      <c r="Z476" t="s">
        <v>43</v>
      </c>
      <c r="AA476" t="s">
        <v>43</v>
      </c>
      <c r="AD476" t="s">
        <v>3143</v>
      </c>
    </row>
    <row r="477" spans="1:30" x14ac:dyDescent="0.4">
      <c r="A477" t="s">
        <v>27</v>
      </c>
      <c r="B477">
        <v>1589</v>
      </c>
      <c r="C477" t="s">
        <v>68</v>
      </c>
      <c r="D477" t="s">
        <v>1328</v>
      </c>
      <c r="E477" t="s">
        <v>1316</v>
      </c>
      <c r="F477" t="s">
        <v>1317</v>
      </c>
      <c r="G477" t="s">
        <v>1318</v>
      </c>
      <c r="H477" t="s">
        <v>1319</v>
      </c>
      <c r="I477" t="s">
        <v>1320</v>
      </c>
      <c r="J477" t="s">
        <v>1321</v>
      </c>
      <c r="K477" t="s">
        <v>35</v>
      </c>
      <c r="L477" t="s">
        <v>1329</v>
      </c>
      <c r="M477" t="s">
        <v>1322</v>
      </c>
      <c r="N477" t="s">
        <v>1330</v>
      </c>
      <c r="P477" t="s">
        <v>1331</v>
      </c>
      <c r="Q477" t="s">
        <v>1332</v>
      </c>
      <c r="R477" t="s">
        <v>58</v>
      </c>
      <c r="S477" t="s">
        <v>40</v>
      </c>
      <c r="T477" s="1">
        <v>43780</v>
      </c>
      <c r="U477">
        <v>0</v>
      </c>
      <c r="V477">
        <v>20</v>
      </c>
      <c r="Y477" t="s">
        <v>42</v>
      </c>
      <c r="Z477" t="s">
        <v>43</v>
      </c>
      <c r="AA477" t="s">
        <v>43</v>
      </c>
      <c r="AD477" t="s">
        <v>3143</v>
      </c>
    </row>
    <row r="478" spans="1:30" x14ac:dyDescent="0.4">
      <c r="A478" t="s">
        <v>27</v>
      </c>
      <c r="B478">
        <v>5199</v>
      </c>
      <c r="C478" t="s">
        <v>28</v>
      </c>
      <c r="D478" t="s">
        <v>1333</v>
      </c>
      <c r="E478" t="s">
        <v>1334</v>
      </c>
      <c r="F478">
        <v>1</v>
      </c>
      <c r="G478" t="s">
        <v>1335</v>
      </c>
      <c r="H478" t="s">
        <v>1336</v>
      </c>
      <c r="I478" t="s">
        <v>51</v>
      </c>
      <c r="J478" t="s">
        <v>1337</v>
      </c>
      <c r="K478" t="s">
        <v>35</v>
      </c>
      <c r="L478">
        <v>7876350654</v>
      </c>
      <c r="M478" t="s">
        <v>1338</v>
      </c>
      <c r="N478" t="s">
        <v>2956</v>
      </c>
      <c r="P478" t="s">
        <v>3109</v>
      </c>
      <c r="Q478" t="s">
        <v>1340</v>
      </c>
      <c r="R478" t="s">
        <v>58</v>
      </c>
      <c r="S478" t="s">
        <v>40</v>
      </c>
      <c r="T478" s="1">
        <v>44536</v>
      </c>
      <c r="U478">
        <v>0</v>
      </c>
      <c r="V478">
        <v>14</v>
      </c>
      <c r="Y478" t="s">
        <v>42</v>
      </c>
      <c r="Z478" t="s">
        <v>43</v>
      </c>
      <c r="AA478" t="s">
        <v>43</v>
      </c>
      <c r="AD478" t="s">
        <v>3143</v>
      </c>
    </row>
    <row r="479" spans="1:30" x14ac:dyDescent="0.4">
      <c r="A479" t="s">
        <v>27</v>
      </c>
      <c r="B479">
        <v>4440</v>
      </c>
      <c r="C479" t="s">
        <v>68</v>
      </c>
      <c r="D479" t="s">
        <v>1341</v>
      </c>
      <c r="E479" t="s">
        <v>1342</v>
      </c>
      <c r="F479" t="s">
        <v>1343</v>
      </c>
      <c r="G479" t="s">
        <v>1344</v>
      </c>
      <c r="H479" t="s">
        <v>1028</v>
      </c>
      <c r="I479" t="s">
        <v>51</v>
      </c>
      <c r="J479" t="s">
        <v>1345</v>
      </c>
      <c r="K479" t="s">
        <v>35</v>
      </c>
      <c r="L479">
        <v>1794388801</v>
      </c>
      <c r="M479" t="s">
        <v>1346</v>
      </c>
      <c r="N479" t="s">
        <v>2957</v>
      </c>
      <c r="P479" t="s">
        <v>1347</v>
      </c>
      <c r="Q479" t="s">
        <v>1348</v>
      </c>
      <c r="R479" t="s">
        <v>58</v>
      </c>
      <c r="S479" t="s">
        <v>82</v>
      </c>
      <c r="T479" s="1">
        <v>42738</v>
      </c>
      <c r="U479">
        <v>0</v>
      </c>
      <c r="V479">
        <v>15</v>
      </c>
      <c r="Y479" t="s">
        <v>42</v>
      </c>
      <c r="Z479" t="s">
        <v>43</v>
      </c>
      <c r="AA479" t="s">
        <v>43</v>
      </c>
      <c r="AD479" t="s">
        <v>3143</v>
      </c>
    </row>
    <row r="480" spans="1:30" x14ac:dyDescent="0.4">
      <c r="A480" t="s">
        <v>27</v>
      </c>
      <c r="B480">
        <v>4440</v>
      </c>
      <c r="C480" t="s">
        <v>68</v>
      </c>
      <c r="D480" t="s">
        <v>1341</v>
      </c>
      <c r="E480" t="s">
        <v>1342</v>
      </c>
      <c r="F480" t="s">
        <v>1343</v>
      </c>
      <c r="G480" t="s">
        <v>1344</v>
      </c>
      <c r="H480" t="s">
        <v>1028</v>
      </c>
      <c r="I480" t="s">
        <v>51</v>
      </c>
      <c r="J480" t="s">
        <v>1345</v>
      </c>
      <c r="K480" t="s">
        <v>35</v>
      </c>
      <c r="L480">
        <v>1794388801</v>
      </c>
      <c r="M480" t="s">
        <v>1346</v>
      </c>
      <c r="N480" t="s">
        <v>2957</v>
      </c>
      <c r="P480" t="s">
        <v>1347</v>
      </c>
      <c r="Q480" t="s">
        <v>1348</v>
      </c>
      <c r="R480" t="s">
        <v>58</v>
      </c>
      <c r="S480" t="s">
        <v>82</v>
      </c>
      <c r="T480" s="1">
        <v>42738</v>
      </c>
      <c r="U480">
        <v>0</v>
      </c>
      <c r="V480">
        <v>17</v>
      </c>
      <c r="Y480" t="s">
        <v>42</v>
      </c>
      <c r="Z480" t="s">
        <v>43</v>
      </c>
      <c r="AA480" t="s">
        <v>43</v>
      </c>
      <c r="AD480" t="s">
        <v>3143</v>
      </c>
    </row>
    <row r="481" spans="1:30" x14ac:dyDescent="0.4">
      <c r="A481" t="s">
        <v>27</v>
      </c>
      <c r="B481">
        <v>6416</v>
      </c>
      <c r="C481" t="s">
        <v>68</v>
      </c>
      <c r="D481" t="s">
        <v>1349</v>
      </c>
      <c r="E481" t="s">
        <v>1350</v>
      </c>
      <c r="F481" t="s">
        <v>1351</v>
      </c>
      <c r="H481" t="s">
        <v>262</v>
      </c>
      <c r="I481" t="s">
        <v>51</v>
      </c>
      <c r="J481" t="s">
        <v>1352</v>
      </c>
      <c r="K481" t="s">
        <v>35</v>
      </c>
      <c r="L481">
        <v>7428687460</v>
      </c>
      <c r="M481" t="s">
        <v>1353</v>
      </c>
      <c r="N481" t="s">
        <v>1354</v>
      </c>
      <c r="P481" t="s">
        <v>1355</v>
      </c>
      <c r="Q481" t="s">
        <v>1356</v>
      </c>
      <c r="R481" t="s">
        <v>376</v>
      </c>
      <c r="S481" t="s">
        <v>82</v>
      </c>
      <c r="T481" s="1">
        <v>44548</v>
      </c>
      <c r="U481">
        <v>0</v>
      </c>
      <c r="V481">
        <v>0</v>
      </c>
      <c r="W481" t="s">
        <v>59</v>
      </c>
      <c r="Y481" t="s">
        <v>42</v>
      </c>
      <c r="Z481" t="s">
        <v>43</v>
      </c>
      <c r="AA481" t="s">
        <v>43</v>
      </c>
      <c r="AD481" t="s">
        <v>3143</v>
      </c>
    </row>
    <row r="482" spans="1:30" x14ac:dyDescent="0.4">
      <c r="A482" t="s">
        <v>27</v>
      </c>
      <c r="B482">
        <v>6416</v>
      </c>
      <c r="C482" t="s">
        <v>68</v>
      </c>
      <c r="D482" t="s">
        <v>1349</v>
      </c>
      <c r="E482" t="s">
        <v>1350</v>
      </c>
      <c r="F482" t="s">
        <v>1351</v>
      </c>
      <c r="H482" t="s">
        <v>262</v>
      </c>
      <c r="I482" t="s">
        <v>51</v>
      </c>
      <c r="J482" t="s">
        <v>1352</v>
      </c>
      <c r="K482" t="s">
        <v>35</v>
      </c>
      <c r="L482">
        <v>7428687460</v>
      </c>
      <c r="M482" t="s">
        <v>1353</v>
      </c>
      <c r="N482" t="s">
        <v>1354</v>
      </c>
      <c r="P482" t="s">
        <v>1355</v>
      </c>
      <c r="Q482" t="s">
        <v>1356</v>
      </c>
      <c r="R482" t="s">
        <v>376</v>
      </c>
      <c r="S482" t="s">
        <v>82</v>
      </c>
      <c r="T482" s="1">
        <v>44548</v>
      </c>
      <c r="U482">
        <v>0</v>
      </c>
      <c r="V482">
        <v>0</v>
      </c>
      <c r="W482" t="s">
        <v>59</v>
      </c>
      <c r="Y482" t="s">
        <v>42</v>
      </c>
      <c r="Z482" t="s">
        <v>43</v>
      </c>
      <c r="AA482" t="s">
        <v>43</v>
      </c>
      <c r="AD482" t="s">
        <v>3143</v>
      </c>
    </row>
    <row r="483" spans="1:30" x14ac:dyDescent="0.4">
      <c r="A483" t="s">
        <v>27</v>
      </c>
      <c r="B483">
        <v>6416</v>
      </c>
      <c r="C483" t="s">
        <v>68</v>
      </c>
      <c r="D483" t="s">
        <v>1349</v>
      </c>
      <c r="E483" t="s">
        <v>1350</v>
      </c>
      <c r="F483" t="s">
        <v>1351</v>
      </c>
      <c r="H483" t="s">
        <v>262</v>
      </c>
      <c r="I483" t="s">
        <v>51</v>
      </c>
      <c r="J483" t="s">
        <v>1352</v>
      </c>
      <c r="K483" t="s">
        <v>35</v>
      </c>
      <c r="L483">
        <v>7428687460</v>
      </c>
      <c r="M483" t="s">
        <v>1353</v>
      </c>
      <c r="N483" t="s">
        <v>1354</v>
      </c>
      <c r="P483" t="s">
        <v>1357</v>
      </c>
      <c r="Q483" t="s">
        <v>1358</v>
      </c>
      <c r="R483" t="s">
        <v>79</v>
      </c>
      <c r="S483" t="s">
        <v>82</v>
      </c>
      <c r="T483" s="1">
        <v>45020</v>
      </c>
      <c r="U483">
        <v>0</v>
      </c>
      <c r="V483">
        <v>1</v>
      </c>
      <c r="Y483" t="s">
        <v>42</v>
      </c>
      <c r="Z483" t="s">
        <v>43</v>
      </c>
      <c r="AA483" t="s">
        <v>43</v>
      </c>
      <c r="AD483" t="s">
        <v>3143</v>
      </c>
    </row>
    <row r="484" spans="1:30" x14ac:dyDescent="0.4">
      <c r="A484" t="s">
        <v>27</v>
      </c>
      <c r="B484">
        <v>6416</v>
      </c>
      <c r="C484" t="s">
        <v>68</v>
      </c>
      <c r="D484" t="s">
        <v>1349</v>
      </c>
      <c r="E484" t="s">
        <v>1350</v>
      </c>
      <c r="F484" t="s">
        <v>1351</v>
      </c>
      <c r="H484" t="s">
        <v>262</v>
      </c>
      <c r="I484" t="s">
        <v>51</v>
      </c>
      <c r="J484" t="s">
        <v>1352</v>
      </c>
      <c r="K484" t="s">
        <v>35</v>
      </c>
      <c r="L484">
        <v>7428687460</v>
      </c>
      <c r="M484" t="s">
        <v>1353</v>
      </c>
      <c r="N484" t="s">
        <v>1354</v>
      </c>
      <c r="P484" t="s">
        <v>1357</v>
      </c>
      <c r="Q484" t="s">
        <v>1358</v>
      </c>
      <c r="R484" t="s">
        <v>94</v>
      </c>
      <c r="S484" t="s">
        <v>82</v>
      </c>
      <c r="T484" s="1">
        <v>45020</v>
      </c>
      <c r="U484">
        <v>0</v>
      </c>
      <c r="V484">
        <v>2</v>
      </c>
      <c r="Y484" t="s">
        <v>42</v>
      </c>
      <c r="Z484" t="s">
        <v>43</v>
      </c>
      <c r="AA484" t="s">
        <v>43</v>
      </c>
      <c r="AD484" t="s">
        <v>3143</v>
      </c>
    </row>
    <row r="485" spans="1:30" x14ac:dyDescent="0.4">
      <c r="A485" t="s">
        <v>27</v>
      </c>
      <c r="B485">
        <v>6416</v>
      </c>
      <c r="C485" t="s">
        <v>68</v>
      </c>
      <c r="D485" t="s">
        <v>1349</v>
      </c>
      <c r="E485" t="s">
        <v>1350</v>
      </c>
      <c r="F485" t="s">
        <v>1351</v>
      </c>
      <c r="H485" t="s">
        <v>262</v>
      </c>
      <c r="I485" t="s">
        <v>51</v>
      </c>
      <c r="J485" t="s">
        <v>1352</v>
      </c>
      <c r="K485" t="s">
        <v>35</v>
      </c>
      <c r="L485">
        <v>7428687460</v>
      </c>
      <c r="M485" t="s">
        <v>1353</v>
      </c>
      <c r="N485" t="s">
        <v>1354</v>
      </c>
      <c r="P485" t="s">
        <v>1357</v>
      </c>
      <c r="Q485" t="s">
        <v>1358</v>
      </c>
      <c r="R485" t="s">
        <v>94</v>
      </c>
      <c r="S485" t="s">
        <v>82</v>
      </c>
      <c r="T485" s="1">
        <v>45020</v>
      </c>
      <c r="U485">
        <v>0</v>
      </c>
      <c r="V485">
        <v>9</v>
      </c>
      <c r="Y485" t="s">
        <v>42</v>
      </c>
      <c r="Z485" t="s">
        <v>43</v>
      </c>
      <c r="AA485" t="s">
        <v>43</v>
      </c>
      <c r="AD485" t="s">
        <v>3143</v>
      </c>
    </row>
    <row r="486" spans="1:30" x14ac:dyDescent="0.4">
      <c r="A486" t="s">
        <v>27</v>
      </c>
      <c r="B486">
        <v>6416</v>
      </c>
      <c r="C486" t="s">
        <v>68</v>
      </c>
      <c r="D486" t="s">
        <v>1349</v>
      </c>
      <c r="E486" t="s">
        <v>1350</v>
      </c>
      <c r="F486" t="s">
        <v>1351</v>
      </c>
      <c r="H486" t="s">
        <v>262</v>
      </c>
      <c r="I486" t="s">
        <v>51</v>
      </c>
      <c r="J486" t="s">
        <v>1352</v>
      </c>
      <c r="K486" t="s">
        <v>35</v>
      </c>
      <c r="L486">
        <v>7428687460</v>
      </c>
      <c r="M486" t="s">
        <v>1353</v>
      </c>
      <c r="N486" t="s">
        <v>1354</v>
      </c>
      <c r="P486" t="s">
        <v>1357</v>
      </c>
      <c r="Q486" t="s">
        <v>1358</v>
      </c>
      <c r="R486" t="s">
        <v>94</v>
      </c>
      <c r="S486" t="s">
        <v>82</v>
      </c>
      <c r="T486" s="1">
        <v>45020</v>
      </c>
      <c r="U486">
        <v>0</v>
      </c>
      <c r="V486">
        <v>10</v>
      </c>
      <c r="Y486" t="s">
        <v>42</v>
      </c>
      <c r="Z486" t="s">
        <v>43</v>
      </c>
      <c r="AA486" t="s">
        <v>43</v>
      </c>
      <c r="AD486" t="s">
        <v>3143</v>
      </c>
    </row>
    <row r="487" spans="1:30" x14ac:dyDescent="0.4">
      <c r="A487" t="s">
        <v>27</v>
      </c>
      <c r="B487">
        <v>984</v>
      </c>
      <c r="C487" t="s">
        <v>68</v>
      </c>
      <c r="D487" t="s">
        <v>1359</v>
      </c>
      <c r="E487" t="s">
        <v>1360</v>
      </c>
      <c r="F487" t="s">
        <v>1361</v>
      </c>
      <c r="G487" t="s">
        <v>1362</v>
      </c>
      <c r="H487" t="s">
        <v>1363</v>
      </c>
      <c r="I487" t="s">
        <v>1364</v>
      </c>
      <c r="J487" t="s">
        <v>1365</v>
      </c>
      <c r="K487" t="s">
        <v>35</v>
      </c>
      <c r="L487" t="s">
        <v>1366</v>
      </c>
      <c r="M487" t="s">
        <v>1367</v>
      </c>
      <c r="N487" t="s">
        <v>3076</v>
      </c>
      <c r="P487" t="s">
        <v>1368</v>
      </c>
      <c r="Q487" t="s">
        <v>1369</v>
      </c>
      <c r="R487" t="s">
        <v>58</v>
      </c>
      <c r="S487" t="s">
        <v>82</v>
      </c>
      <c r="T487" s="1">
        <v>43886</v>
      </c>
      <c r="U487">
        <v>0</v>
      </c>
      <c r="V487">
        <v>7</v>
      </c>
      <c r="X487" t="s">
        <v>464</v>
      </c>
      <c r="Y487" t="s">
        <v>42</v>
      </c>
      <c r="Z487" t="s">
        <v>43</v>
      </c>
      <c r="AA487" t="s">
        <v>43</v>
      </c>
      <c r="AD487" t="s">
        <v>3143</v>
      </c>
    </row>
    <row r="488" spans="1:30" x14ac:dyDescent="0.4">
      <c r="A488" t="s">
        <v>27</v>
      </c>
      <c r="B488">
        <v>984</v>
      </c>
      <c r="C488" t="s">
        <v>68</v>
      </c>
      <c r="D488" t="s">
        <v>1359</v>
      </c>
      <c r="E488" t="s">
        <v>1360</v>
      </c>
      <c r="F488" t="s">
        <v>1361</v>
      </c>
      <c r="G488" t="s">
        <v>1362</v>
      </c>
      <c r="H488" t="s">
        <v>1363</v>
      </c>
      <c r="I488" t="s">
        <v>1364</v>
      </c>
      <c r="J488" t="s">
        <v>1365</v>
      </c>
      <c r="K488" t="s">
        <v>35</v>
      </c>
      <c r="L488" t="s">
        <v>1366</v>
      </c>
      <c r="M488" t="s">
        <v>1367</v>
      </c>
      <c r="N488" t="s">
        <v>3076</v>
      </c>
      <c r="P488" t="s">
        <v>1368</v>
      </c>
      <c r="Q488" t="s">
        <v>1369</v>
      </c>
      <c r="R488" t="s">
        <v>58</v>
      </c>
      <c r="S488" t="s">
        <v>82</v>
      </c>
      <c r="T488" s="1">
        <v>43886</v>
      </c>
      <c r="U488">
        <v>0</v>
      </c>
      <c r="V488">
        <v>19</v>
      </c>
      <c r="X488" t="s">
        <v>464</v>
      </c>
      <c r="Y488" t="s">
        <v>42</v>
      </c>
      <c r="Z488" t="s">
        <v>43</v>
      </c>
      <c r="AA488" t="s">
        <v>43</v>
      </c>
      <c r="AD488" t="s">
        <v>3143</v>
      </c>
    </row>
    <row r="489" spans="1:30" x14ac:dyDescent="0.4">
      <c r="A489" t="s">
        <v>27</v>
      </c>
      <c r="B489">
        <v>984</v>
      </c>
      <c r="C489" t="s">
        <v>68</v>
      </c>
      <c r="D489" t="s">
        <v>1359</v>
      </c>
      <c r="E489" t="s">
        <v>1360</v>
      </c>
      <c r="F489" t="s">
        <v>1361</v>
      </c>
      <c r="G489" t="s">
        <v>1362</v>
      </c>
      <c r="H489" t="s">
        <v>1363</v>
      </c>
      <c r="I489" t="s">
        <v>1364</v>
      </c>
      <c r="J489" t="s">
        <v>1365</v>
      </c>
      <c r="K489" t="s">
        <v>35</v>
      </c>
      <c r="L489" t="s">
        <v>1366</v>
      </c>
      <c r="M489" t="s">
        <v>1367</v>
      </c>
      <c r="N489" t="s">
        <v>3076</v>
      </c>
      <c r="P489" t="s">
        <v>1368</v>
      </c>
      <c r="Q489" t="s">
        <v>1369</v>
      </c>
      <c r="R489" t="s">
        <v>58</v>
      </c>
      <c r="S489" t="s">
        <v>82</v>
      </c>
      <c r="T489" s="1">
        <v>43886</v>
      </c>
      <c r="U489">
        <v>0</v>
      </c>
      <c r="V489">
        <v>21</v>
      </c>
      <c r="X489" t="s">
        <v>464</v>
      </c>
      <c r="Y489" t="s">
        <v>42</v>
      </c>
      <c r="Z489" t="s">
        <v>43</v>
      </c>
      <c r="AA489" t="s">
        <v>43</v>
      </c>
      <c r="AD489" t="s">
        <v>3143</v>
      </c>
    </row>
    <row r="490" spans="1:30" x14ac:dyDescent="0.4">
      <c r="A490" t="s">
        <v>27</v>
      </c>
      <c r="B490">
        <v>3069</v>
      </c>
      <c r="C490" t="s">
        <v>68</v>
      </c>
      <c r="D490" t="s">
        <v>656</v>
      </c>
      <c r="E490" t="s">
        <v>1370</v>
      </c>
      <c r="F490" t="s">
        <v>1371</v>
      </c>
      <c r="G490" t="s">
        <v>1372</v>
      </c>
      <c r="H490" t="s">
        <v>623</v>
      </c>
      <c r="I490" t="s">
        <v>33</v>
      </c>
      <c r="J490" t="s">
        <v>1373</v>
      </c>
      <c r="K490" t="s">
        <v>35</v>
      </c>
      <c r="L490">
        <v>7967144704</v>
      </c>
      <c r="M490" t="s">
        <v>1374</v>
      </c>
      <c r="N490" t="s">
        <v>1375</v>
      </c>
      <c r="P490" t="s">
        <v>1376</v>
      </c>
      <c r="Q490" t="s">
        <v>1377</v>
      </c>
      <c r="R490" t="s">
        <v>94</v>
      </c>
      <c r="S490" t="s">
        <v>40</v>
      </c>
      <c r="T490" s="1">
        <v>44469</v>
      </c>
      <c r="U490">
        <v>0</v>
      </c>
      <c r="V490">
        <v>4</v>
      </c>
      <c r="W490" t="s">
        <v>65</v>
      </c>
      <c r="Y490" t="s">
        <v>42</v>
      </c>
      <c r="Z490" t="s">
        <v>43</v>
      </c>
      <c r="AA490" t="s">
        <v>43</v>
      </c>
      <c r="AB490" t="s">
        <v>1378</v>
      </c>
      <c r="AD490" t="s">
        <v>3143</v>
      </c>
    </row>
    <row r="491" spans="1:30" x14ac:dyDescent="0.4">
      <c r="A491" t="s">
        <v>27</v>
      </c>
      <c r="B491">
        <v>3069</v>
      </c>
      <c r="C491" t="s">
        <v>68</v>
      </c>
      <c r="D491" t="s">
        <v>656</v>
      </c>
      <c r="E491" t="s">
        <v>1370</v>
      </c>
      <c r="F491" t="s">
        <v>1371</v>
      </c>
      <c r="G491" t="s">
        <v>1372</v>
      </c>
      <c r="H491" t="s">
        <v>623</v>
      </c>
      <c r="I491" t="s">
        <v>33</v>
      </c>
      <c r="J491" t="s">
        <v>1373</v>
      </c>
      <c r="K491" t="s">
        <v>35</v>
      </c>
      <c r="L491">
        <v>7967144704</v>
      </c>
      <c r="M491" t="s">
        <v>1374</v>
      </c>
      <c r="N491" t="s">
        <v>1375</v>
      </c>
      <c r="P491" t="s">
        <v>1376</v>
      </c>
      <c r="Q491" t="s">
        <v>1377</v>
      </c>
      <c r="R491" t="s">
        <v>94</v>
      </c>
      <c r="S491" t="s">
        <v>40</v>
      </c>
      <c r="T491" s="1">
        <v>44469</v>
      </c>
      <c r="U491">
        <v>0</v>
      </c>
      <c r="V491">
        <v>5</v>
      </c>
      <c r="W491" t="s">
        <v>66</v>
      </c>
      <c r="Y491" t="s">
        <v>42</v>
      </c>
      <c r="Z491" t="s">
        <v>43</v>
      </c>
      <c r="AA491" t="s">
        <v>43</v>
      </c>
      <c r="AB491" t="s">
        <v>1378</v>
      </c>
      <c r="AD491" t="s">
        <v>3143</v>
      </c>
    </row>
    <row r="492" spans="1:30" x14ac:dyDescent="0.4">
      <c r="A492" t="s">
        <v>27</v>
      </c>
      <c r="B492">
        <v>3069</v>
      </c>
      <c r="C492" t="s">
        <v>68</v>
      </c>
      <c r="D492" t="s">
        <v>656</v>
      </c>
      <c r="E492" t="s">
        <v>1370</v>
      </c>
      <c r="F492" t="s">
        <v>1371</v>
      </c>
      <c r="G492" t="s">
        <v>1372</v>
      </c>
      <c r="H492" t="s">
        <v>623</v>
      </c>
      <c r="I492" t="s">
        <v>33</v>
      </c>
      <c r="J492" t="s">
        <v>1373</v>
      </c>
      <c r="K492" t="s">
        <v>35</v>
      </c>
      <c r="L492">
        <v>7967144704</v>
      </c>
      <c r="M492" t="s">
        <v>1374</v>
      </c>
      <c r="N492" t="s">
        <v>1375</v>
      </c>
      <c r="P492" t="s">
        <v>1376</v>
      </c>
      <c r="Q492" t="s">
        <v>1377</v>
      </c>
      <c r="R492" t="s">
        <v>94</v>
      </c>
      <c r="S492" t="s">
        <v>40</v>
      </c>
      <c r="T492" s="1">
        <v>44469</v>
      </c>
      <c r="U492">
        <v>0</v>
      </c>
      <c r="V492">
        <v>12</v>
      </c>
      <c r="Y492" t="s">
        <v>42</v>
      </c>
      <c r="Z492" t="s">
        <v>43</v>
      </c>
      <c r="AA492" t="s">
        <v>43</v>
      </c>
      <c r="AB492" t="s">
        <v>1378</v>
      </c>
      <c r="AD492" t="s">
        <v>3143</v>
      </c>
    </row>
    <row r="493" spans="1:30" x14ac:dyDescent="0.4">
      <c r="A493" t="s">
        <v>27</v>
      </c>
      <c r="B493">
        <v>3069</v>
      </c>
      <c r="C493" t="s">
        <v>68</v>
      </c>
      <c r="D493" t="s">
        <v>656</v>
      </c>
      <c r="E493" t="s">
        <v>1370</v>
      </c>
      <c r="F493" t="s">
        <v>1371</v>
      </c>
      <c r="G493" t="s">
        <v>1372</v>
      </c>
      <c r="H493" t="s">
        <v>623</v>
      </c>
      <c r="I493" t="s">
        <v>33</v>
      </c>
      <c r="J493" t="s">
        <v>1373</v>
      </c>
      <c r="K493" t="s">
        <v>35</v>
      </c>
      <c r="L493">
        <v>7967144704</v>
      </c>
      <c r="M493" t="s">
        <v>1374</v>
      </c>
      <c r="N493" t="s">
        <v>1375</v>
      </c>
      <c r="P493" t="s">
        <v>1376</v>
      </c>
      <c r="Q493" t="s">
        <v>1377</v>
      </c>
      <c r="R493" t="s">
        <v>94</v>
      </c>
      <c r="S493" t="s">
        <v>40</v>
      </c>
      <c r="T493" s="1">
        <v>44469</v>
      </c>
      <c r="U493">
        <v>0</v>
      </c>
      <c r="V493">
        <v>14</v>
      </c>
      <c r="Y493" t="s">
        <v>42</v>
      </c>
      <c r="Z493" t="s">
        <v>43</v>
      </c>
      <c r="AA493" t="s">
        <v>43</v>
      </c>
      <c r="AB493" t="s">
        <v>1378</v>
      </c>
      <c r="AD493" t="s">
        <v>3143</v>
      </c>
    </row>
    <row r="494" spans="1:30" x14ac:dyDescent="0.4">
      <c r="A494" t="s">
        <v>27</v>
      </c>
      <c r="B494">
        <v>4961</v>
      </c>
      <c r="C494" t="s">
        <v>195</v>
      </c>
      <c r="D494" t="s">
        <v>1379</v>
      </c>
      <c r="E494" t="s">
        <v>1380</v>
      </c>
      <c r="F494" t="s">
        <v>1381</v>
      </c>
      <c r="G494" t="s">
        <v>1382</v>
      </c>
      <c r="H494" t="s">
        <v>1383</v>
      </c>
      <c r="I494" t="s">
        <v>426</v>
      </c>
      <c r="J494" t="s">
        <v>1384</v>
      </c>
      <c r="K494" t="s">
        <v>35</v>
      </c>
      <c r="L494">
        <v>7734031945</v>
      </c>
      <c r="M494" t="s">
        <v>1385</v>
      </c>
      <c r="N494" t="s">
        <v>1386</v>
      </c>
      <c r="P494" t="s">
        <v>1387</v>
      </c>
      <c r="Q494" t="s">
        <v>1388</v>
      </c>
      <c r="R494" t="s">
        <v>284</v>
      </c>
      <c r="S494" t="s">
        <v>40</v>
      </c>
      <c r="T494" s="1">
        <v>43695</v>
      </c>
      <c r="U494">
        <v>0</v>
      </c>
      <c r="V494">
        <v>4</v>
      </c>
      <c r="W494" t="s">
        <v>65</v>
      </c>
      <c r="X494" t="s">
        <v>135</v>
      </c>
      <c r="Y494" t="s">
        <v>42</v>
      </c>
      <c r="Z494" t="s">
        <v>43</v>
      </c>
      <c r="AA494" t="s">
        <v>43</v>
      </c>
      <c r="AD494" t="s">
        <v>3143</v>
      </c>
    </row>
    <row r="495" spans="1:30" x14ac:dyDescent="0.4">
      <c r="A495" t="s">
        <v>27</v>
      </c>
      <c r="B495">
        <v>4961</v>
      </c>
      <c r="C495" t="s">
        <v>195</v>
      </c>
      <c r="D495" t="s">
        <v>1379</v>
      </c>
      <c r="E495" t="s">
        <v>1380</v>
      </c>
      <c r="F495" t="s">
        <v>1381</v>
      </c>
      <c r="G495" t="s">
        <v>1382</v>
      </c>
      <c r="H495" t="s">
        <v>1383</v>
      </c>
      <c r="I495" t="s">
        <v>426</v>
      </c>
      <c r="J495" t="s">
        <v>1384</v>
      </c>
      <c r="K495" t="s">
        <v>35</v>
      </c>
      <c r="L495">
        <v>7734031945</v>
      </c>
      <c r="M495" t="s">
        <v>1385</v>
      </c>
      <c r="N495" t="s">
        <v>1386</v>
      </c>
      <c r="P495" t="s">
        <v>1387</v>
      </c>
      <c r="Q495" t="s">
        <v>1388</v>
      </c>
      <c r="R495" t="s">
        <v>284</v>
      </c>
      <c r="S495" t="s">
        <v>40</v>
      </c>
      <c r="T495" s="1">
        <v>43695</v>
      </c>
      <c r="U495">
        <v>0</v>
      </c>
      <c r="V495">
        <v>12</v>
      </c>
      <c r="X495" t="s">
        <v>135</v>
      </c>
      <c r="Y495" t="s">
        <v>42</v>
      </c>
      <c r="Z495" t="s">
        <v>43</v>
      </c>
      <c r="AA495" t="s">
        <v>43</v>
      </c>
      <c r="AD495" t="s">
        <v>3143</v>
      </c>
    </row>
    <row r="496" spans="1:30" x14ac:dyDescent="0.4">
      <c r="A496" t="s">
        <v>27</v>
      </c>
      <c r="B496">
        <v>1815</v>
      </c>
      <c r="C496" t="s">
        <v>28</v>
      </c>
      <c r="D496" t="s">
        <v>1389</v>
      </c>
      <c r="E496" t="s">
        <v>1390</v>
      </c>
      <c r="F496" t="s">
        <v>1391</v>
      </c>
      <c r="G496" t="s">
        <v>1392</v>
      </c>
      <c r="H496" t="s">
        <v>1393</v>
      </c>
      <c r="I496" t="s">
        <v>1394</v>
      </c>
      <c r="J496" t="s">
        <v>1395</v>
      </c>
      <c r="K496" t="s">
        <v>35</v>
      </c>
      <c r="L496">
        <v>1725511843</v>
      </c>
      <c r="M496" t="s">
        <v>1396</v>
      </c>
      <c r="N496" t="s">
        <v>3077</v>
      </c>
      <c r="P496" t="s">
        <v>3110</v>
      </c>
      <c r="Q496" t="s">
        <v>1399</v>
      </c>
      <c r="R496" t="s">
        <v>376</v>
      </c>
      <c r="S496" t="s">
        <v>40</v>
      </c>
      <c r="T496" s="1">
        <v>44860</v>
      </c>
      <c r="U496">
        <v>0</v>
      </c>
      <c r="V496">
        <v>12</v>
      </c>
      <c r="Y496" t="s">
        <v>42</v>
      </c>
      <c r="Z496" t="s">
        <v>43</v>
      </c>
      <c r="AA496" t="s">
        <v>43</v>
      </c>
      <c r="AD496" t="s">
        <v>3143</v>
      </c>
    </row>
    <row r="497" spans="1:30" x14ac:dyDescent="0.4">
      <c r="A497" t="s">
        <v>27</v>
      </c>
      <c r="B497">
        <v>1815</v>
      </c>
      <c r="C497" t="s">
        <v>28</v>
      </c>
      <c r="D497" t="s">
        <v>1389</v>
      </c>
      <c r="E497" t="s">
        <v>1390</v>
      </c>
      <c r="F497" t="s">
        <v>1391</v>
      </c>
      <c r="G497" t="s">
        <v>1392</v>
      </c>
      <c r="H497" t="s">
        <v>1393</v>
      </c>
      <c r="I497" t="s">
        <v>1394</v>
      </c>
      <c r="J497" t="s">
        <v>1395</v>
      </c>
      <c r="K497" t="s">
        <v>35</v>
      </c>
      <c r="L497">
        <v>1725511843</v>
      </c>
      <c r="M497" t="s">
        <v>1396</v>
      </c>
      <c r="N497" t="s">
        <v>3077</v>
      </c>
      <c r="P497" t="s">
        <v>3111</v>
      </c>
      <c r="Q497" t="s">
        <v>1402</v>
      </c>
      <c r="R497" t="s">
        <v>376</v>
      </c>
      <c r="S497" t="s">
        <v>40</v>
      </c>
      <c r="T497" s="1">
        <v>43797</v>
      </c>
      <c r="U497">
        <v>0</v>
      </c>
      <c r="V497">
        <v>14</v>
      </c>
      <c r="Y497" t="s">
        <v>42</v>
      </c>
      <c r="Z497" t="s">
        <v>43</v>
      </c>
      <c r="AA497" t="s">
        <v>43</v>
      </c>
      <c r="AD497" t="s">
        <v>3143</v>
      </c>
    </row>
    <row r="498" spans="1:30" x14ac:dyDescent="0.4">
      <c r="A498" t="s">
        <v>27</v>
      </c>
      <c r="B498">
        <v>1815</v>
      </c>
      <c r="C498" t="s">
        <v>28</v>
      </c>
      <c r="D498" t="s">
        <v>1389</v>
      </c>
      <c r="E498" t="s">
        <v>1390</v>
      </c>
      <c r="F498" t="s">
        <v>1391</v>
      </c>
      <c r="G498" t="s">
        <v>1392</v>
      </c>
      <c r="H498" t="s">
        <v>1393</v>
      </c>
      <c r="I498" t="s">
        <v>1394</v>
      </c>
      <c r="J498" t="s">
        <v>1395</v>
      </c>
      <c r="K498" t="s">
        <v>35</v>
      </c>
      <c r="L498">
        <v>1725511843</v>
      </c>
      <c r="M498" t="s">
        <v>1396</v>
      </c>
      <c r="N498" t="s">
        <v>3077</v>
      </c>
      <c r="P498" t="s">
        <v>3111</v>
      </c>
      <c r="Q498" t="s">
        <v>1402</v>
      </c>
      <c r="R498" t="s">
        <v>376</v>
      </c>
      <c r="S498" t="s">
        <v>40</v>
      </c>
      <c r="T498" s="1">
        <v>43797</v>
      </c>
      <c r="U498">
        <v>0</v>
      </c>
      <c r="V498">
        <v>18</v>
      </c>
      <c r="Y498" t="s">
        <v>42</v>
      </c>
      <c r="Z498" t="s">
        <v>43</v>
      </c>
      <c r="AA498" t="s">
        <v>43</v>
      </c>
      <c r="AD498" t="s">
        <v>3143</v>
      </c>
    </row>
    <row r="499" spans="1:30" x14ac:dyDescent="0.4">
      <c r="A499" t="s">
        <v>27</v>
      </c>
      <c r="B499">
        <v>1815</v>
      </c>
      <c r="C499" t="s">
        <v>28</v>
      </c>
      <c r="D499" t="s">
        <v>1389</v>
      </c>
      <c r="E499" t="s">
        <v>1390</v>
      </c>
      <c r="F499" t="s">
        <v>1391</v>
      </c>
      <c r="G499" t="s">
        <v>1392</v>
      </c>
      <c r="H499" t="s">
        <v>1393</v>
      </c>
      <c r="I499" t="s">
        <v>1394</v>
      </c>
      <c r="J499" t="s">
        <v>1395</v>
      </c>
      <c r="K499" t="s">
        <v>35</v>
      </c>
      <c r="L499">
        <v>1725511843</v>
      </c>
      <c r="M499" t="s">
        <v>1396</v>
      </c>
      <c r="N499" t="s">
        <v>1397</v>
      </c>
      <c r="P499" t="s">
        <v>1403</v>
      </c>
      <c r="Q499" t="s">
        <v>1404</v>
      </c>
      <c r="R499" t="s">
        <v>1400</v>
      </c>
      <c r="S499" t="s">
        <v>40</v>
      </c>
      <c r="T499" s="1">
        <v>44499</v>
      </c>
      <c r="U499">
        <v>0</v>
      </c>
      <c r="V499">
        <v>0</v>
      </c>
      <c r="W499" t="s">
        <v>59</v>
      </c>
      <c r="Y499" t="s">
        <v>42</v>
      </c>
      <c r="Z499" t="s">
        <v>43</v>
      </c>
      <c r="AA499" t="s">
        <v>43</v>
      </c>
      <c r="AD499" t="s">
        <v>3143</v>
      </c>
    </row>
    <row r="500" spans="1:30" x14ac:dyDescent="0.4">
      <c r="A500" t="s">
        <v>27</v>
      </c>
      <c r="B500">
        <v>1815</v>
      </c>
      <c r="C500" t="s">
        <v>28</v>
      </c>
      <c r="D500" t="s">
        <v>1389</v>
      </c>
      <c r="E500" t="s">
        <v>1390</v>
      </c>
      <c r="F500" t="s">
        <v>1391</v>
      </c>
      <c r="G500" t="s">
        <v>1392</v>
      </c>
      <c r="H500" t="s">
        <v>1393</v>
      </c>
      <c r="I500" t="s">
        <v>1394</v>
      </c>
      <c r="J500" t="s">
        <v>1395</v>
      </c>
      <c r="K500" t="s">
        <v>35</v>
      </c>
      <c r="L500">
        <v>1725511843</v>
      </c>
      <c r="M500" t="s">
        <v>1396</v>
      </c>
      <c r="N500" t="s">
        <v>1397</v>
      </c>
      <c r="P500" t="s">
        <v>1405</v>
      </c>
      <c r="Q500" t="s">
        <v>1406</v>
      </c>
      <c r="R500" t="s">
        <v>1400</v>
      </c>
      <c r="S500" t="s">
        <v>82</v>
      </c>
      <c r="T500" s="1">
        <v>45085</v>
      </c>
      <c r="U500">
        <v>0</v>
      </c>
      <c r="V500">
        <v>0</v>
      </c>
      <c r="W500" t="s">
        <v>59</v>
      </c>
      <c r="Y500" t="s">
        <v>42</v>
      </c>
      <c r="Z500" t="s">
        <v>43</v>
      </c>
      <c r="AA500" t="s">
        <v>43</v>
      </c>
      <c r="AD500" t="s">
        <v>3143</v>
      </c>
    </row>
    <row r="501" spans="1:30" x14ac:dyDescent="0.4">
      <c r="A501" t="s">
        <v>27</v>
      </c>
      <c r="B501">
        <v>1815</v>
      </c>
      <c r="C501" t="s">
        <v>28</v>
      </c>
      <c r="D501" t="s">
        <v>1389</v>
      </c>
      <c r="E501" t="s">
        <v>1390</v>
      </c>
      <c r="F501" t="s">
        <v>1391</v>
      </c>
      <c r="G501" t="s">
        <v>1392</v>
      </c>
      <c r="H501" t="s">
        <v>1393</v>
      </c>
      <c r="I501" t="s">
        <v>1394</v>
      </c>
      <c r="J501" t="s">
        <v>1395</v>
      </c>
      <c r="K501" t="s">
        <v>35</v>
      </c>
      <c r="L501">
        <v>1725511843</v>
      </c>
      <c r="M501" t="s">
        <v>1396</v>
      </c>
      <c r="N501" t="s">
        <v>1397</v>
      </c>
      <c r="P501" t="s">
        <v>1407</v>
      </c>
      <c r="Q501" t="s">
        <v>1408</v>
      </c>
      <c r="R501" t="s">
        <v>79</v>
      </c>
      <c r="S501" t="s">
        <v>40</v>
      </c>
      <c r="T501" s="1">
        <v>42748</v>
      </c>
      <c r="U501">
        <v>0</v>
      </c>
      <c r="V501">
        <v>0</v>
      </c>
      <c r="W501" t="s">
        <v>59</v>
      </c>
      <c r="Y501" t="s">
        <v>42</v>
      </c>
      <c r="Z501" t="s">
        <v>43</v>
      </c>
      <c r="AA501" t="s">
        <v>43</v>
      </c>
      <c r="AD501" t="s">
        <v>3143</v>
      </c>
    </row>
    <row r="502" spans="1:30" x14ac:dyDescent="0.4">
      <c r="A502" t="s">
        <v>27</v>
      </c>
      <c r="B502">
        <v>1815</v>
      </c>
      <c r="C502" t="s">
        <v>28</v>
      </c>
      <c r="D502" t="s">
        <v>1389</v>
      </c>
      <c r="E502" t="s">
        <v>1390</v>
      </c>
      <c r="F502" t="s">
        <v>1391</v>
      </c>
      <c r="G502" t="s">
        <v>1392</v>
      </c>
      <c r="H502" t="s">
        <v>1393</v>
      </c>
      <c r="I502" t="s">
        <v>1394</v>
      </c>
      <c r="J502" t="s">
        <v>1395</v>
      </c>
      <c r="K502" t="s">
        <v>35</v>
      </c>
      <c r="L502">
        <v>1725511843</v>
      </c>
      <c r="M502" t="s">
        <v>1396</v>
      </c>
      <c r="N502" t="s">
        <v>1397</v>
      </c>
      <c r="P502" t="s">
        <v>1409</v>
      </c>
      <c r="Q502" t="s">
        <v>1410</v>
      </c>
      <c r="R502" t="s">
        <v>1400</v>
      </c>
      <c r="S502" t="s">
        <v>82</v>
      </c>
      <c r="T502" s="1">
        <v>45558</v>
      </c>
      <c r="U502">
        <v>0</v>
      </c>
      <c r="V502">
        <v>0</v>
      </c>
      <c r="W502" t="s">
        <v>59</v>
      </c>
      <c r="Y502" t="s">
        <v>42</v>
      </c>
      <c r="Z502" t="s">
        <v>43</v>
      </c>
      <c r="AA502" t="s">
        <v>43</v>
      </c>
      <c r="AD502" t="s">
        <v>3143</v>
      </c>
    </row>
    <row r="503" spans="1:30" x14ac:dyDescent="0.4">
      <c r="A503" t="s">
        <v>27</v>
      </c>
      <c r="B503">
        <v>1815</v>
      </c>
      <c r="C503" t="s">
        <v>28</v>
      </c>
      <c r="D503" t="s">
        <v>1389</v>
      </c>
      <c r="E503" t="s">
        <v>1390</v>
      </c>
      <c r="F503" t="s">
        <v>1391</v>
      </c>
      <c r="G503" t="s">
        <v>1392</v>
      </c>
      <c r="H503" t="s">
        <v>1393</v>
      </c>
      <c r="I503" t="s">
        <v>1394</v>
      </c>
      <c r="J503" t="s">
        <v>1395</v>
      </c>
      <c r="K503" t="s">
        <v>35</v>
      </c>
      <c r="L503">
        <v>1725511843</v>
      </c>
      <c r="M503" t="s">
        <v>1396</v>
      </c>
      <c r="N503" t="s">
        <v>1397</v>
      </c>
      <c r="P503" t="s">
        <v>1411</v>
      </c>
      <c r="Q503" t="s">
        <v>1412</v>
      </c>
      <c r="R503" t="s">
        <v>79</v>
      </c>
      <c r="S503" t="s">
        <v>40</v>
      </c>
      <c r="T503" s="1">
        <v>41960</v>
      </c>
      <c r="U503">
        <v>0</v>
      </c>
      <c r="V503">
        <v>0</v>
      </c>
      <c r="W503" t="s">
        <v>59</v>
      </c>
      <c r="Y503" t="s">
        <v>42</v>
      </c>
      <c r="Z503" t="s">
        <v>43</v>
      </c>
      <c r="AA503" t="s">
        <v>43</v>
      </c>
      <c r="AD503" t="s">
        <v>3143</v>
      </c>
    </row>
    <row r="504" spans="1:30" x14ac:dyDescent="0.4">
      <c r="A504" t="s">
        <v>27</v>
      </c>
      <c r="B504">
        <v>1728</v>
      </c>
      <c r="C504" t="s">
        <v>68</v>
      </c>
      <c r="D504" t="s">
        <v>1413</v>
      </c>
      <c r="E504" t="s">
        <v>1414</v>
      </c>
      <c r="F504" t="s">
        <v>1415</v>
      </c>
      <c r="G504" t="s">
        <v>1416</v>
      </c>
      <c r="H504" t="s">
        <v>1417</v>
      </c>
      <c r="I504" t="s">
        <v>1418</v>
      </c>
      <c r="J504" t="s">
        <v>1419</v>
      </c>
      <c r="K504" t="s">
        <v>35</v>
      </c>
      <c r="L504">
        <v>7818604767</v>
      </c>
      <c r="M504" t="s">
        <v>1420</v>
      </c>
      <c r="N504" t="s">
        <v>3078</v>
      </c>
      <c r="P504" t="s">
        <v>1421</v>
      </c>
      <c r="Q504" t="s">
        <v>1422</v>
      </c>
      <c r="R504" t="s">
        <v>94</v>
      </c>
      <c r="S504" t="s">
        <v>40</v>
      </c>
      <c r="T504" s="1">
        <v>43308</v>
      </c>
      <c r="U504">
        <v>0</v>
      </c>
      <c r="V504">
        <v>18</v>
      </c>
      <c r="Y504" t="s">
        <v>42</v>
      </c>
      <c r="Z504" t="s">
        <v>43</v>
      </c>
      <c r="AA504" t="s">
        <v>42</v>
      </c>
      <c r="AD504" t="s">
        <v>3143</v>
      </c>
    </row>
    <row r="505" spans="1:30" x14ac:dyDescent="0.4">
      <c r="A505" t="s">
        <v>27</v>
      </c>
      <c r="B505">
        <v>1728</v>
      </c>
      <c r="C505" t="s">
        <v>68</v>
      </c>
      <c r="D505" t="s">
        <v>1413</v>
      </c>
      <c r="E505" t="s">
        <v>1414</v>
      </c>
      <c r="F505" t="s">
        <v>1415</v>
      </c>
      <c r="G505" t="s">
        <v>1416</v>
      </c>
      <c r="H505" t="s">
        <v>1417</v>
      </c>
      <c r="I505" t="s">
        <v>1418</v>
      </c>
      <c r="J505" t="s">
        <v>1419</v>
      </c>
      <c r="K505" t="s">
        <v>35</v>
      </c>
      <c r="L505">
        <v>7818604767</v>
      </c>
      <c r="M505" t="s">
        <v>1420</v>
      </c>
      <c r="N505" t="s">
        <v>3078</v>
      </c>
      <c r="P505" t="s">
        <v>1421</v>
      </c>
      <c r="Q505" t="s">
        <v>1422</v>
      </c>
      <c r="R505" t="s">
        <v>94</v>
      </c>
      <c r="S505" t="s">
        <v>40</v>
      </c>
      <c r="T505" s="1">
        <v>43308</v>
      </c>
      <c r="U505">
        <v>0</v>
      </c>
      <c r="V505">
        <v>20</v>
      </c>
      <c r="Y505" t="s">
        <v>42</v>
      </c>
      <c r="Z505" t="s">
        <v>43</v>
      </c>
      <c r="AA505" t="s">
        <v>42</v>
      </c>
      <c r="AD505" t="s">
        <v>3143</v>
      </c>
    </row>
    <row r="506" spans="1:30" x14ac:dyDescent="0.4">
      <c r="A506" t="s">
        <v>27</v>
      </c>
      <c r="B506">
        <v>4415</v>
      </c>
      <c r="C506" t="s">
        <v>28</v>
      </c>
      <c r="D506" t="s">
        <v>1423</v>
      </c>
      <c r="E506" t="s">
        <v>1424</v>
      </c>
      <c r="F506" t="s">
        <v>1425</v>
      </c>
      <c r="H506" t="s">
        <v>1426</v>
      </c>
      <c r="I506" t="s">
        <v>495</v>
      </c>
      <c r="J506" t="s">
        <v>1427</v>
      </c>
      <c r="K506" t="s">
        <v>35</v>
      </c>
      <c r="L506">
        <v>7549652365</v>
      </c>
      <c r="M506" t="s">
        <v>1428</v>
      </c>
      <c r="N506" t="s">
        <v>1429</v>
      </c>
      <c r="P506" t="s">
        <v>1430</v>
      </c>
      <c r="Q506" t="s">
        <v>1431</v>
      </c>
      <c r="R506" t="s">
        <v>58</v>
      </c>
      <c r="S506" t="s">
        <v>40</v>
      </c>
      <c r="T506" s="1">
        <v>43668</v>
      </c>
      <c r="U506">
        <v>0</v>
      </c>
      <c r="V506">
        <v>20</v>
      </c>
      <c r="Y506" t="s">
        <v>42</v>
      </c>
      <c r="Z506" t="s">
        <v>43</v>
      </c>
      <c r="AA506" t="s">
        <v>43</v>
      </c>
      <c r="AD506" t="s">
        <v>3143</v>
      </c>
    </row>
    <row r="507" spans="1:30" x14ac:dyDescent="0.4">
      <c r="A507" t="s">
        <v>27</v>
      </c>
      <c r="B507">
        <v>25</v>
      </c>
      <c r="C507" t="s">
        <v>68</v>
      </c>
      <c r="D507" t="s">
        <v>481</v>
      </c>
      <c r="E507" t="s">
        <v>1432</v>
      </c>
      <c r="F507" t="s">
        <v>1433</v>
      </c>
      <c r="G507" t="s">
        <v>1434</v>
      </c>
      <c r="H507" t="s">
        <v>886</v>
      </c>
      <c r="I507" t="s">
        <v>51</v>
      </c>
      <c r="J507" t="s">
        <v>1435</v>
      </c>
      <c r="K507" t="s">
        <v>35</v>
      </c>
      <c r="L507" t="s">
        <v>1436</v>
      </c>
      <c r="M507" t="s">
        <v>1437</v>
      </c>
      <c r="N507" t="s">
        <v>1438</v>
      </c>
      <c r="P507" t="s">
        <v>1439</v>
      </c>
      <c r="Q507" t="s">
        <v>1440</v>
      </c>
      <c r="R507" t="s">
        <v>169</v>
      </c>
      <c r="S507" t="s">
        <v>40</v>
      </c>
      <c r="T507" s="1">
        <v>40921</v>
      </c>
      <c r="U507">
        <v>0</v>
      </c>
      <c r="V507">
        <v>0</v>
      </c>
      <c r="W507" t="s">
        <v>59</v>
      </c>
      <c r="Y507" t="s">
        <v>42</v>
      </c>
      <c r="Z507" t="s">
        <v>43</v>
      </c>
      <c r="AA507" t="s">
        <v>43</v>
      </c>
      <c r="AD507" t="s">
        <v>3143</v>
      </c>
    </row>
    <row r="508" spans="1:30" x14ac:dyDescent="0.4">
      <c r="A508" t="s">
        <v>27</v>
      </c>
      <c r="B508">
        <v>25</v>
      </c>
      <c r="C508" t="s">
        <v>68</v>
      </c>
      <c r="D508" t="s">
        <v>481</v>
      </c>
      <c r="E508" t="s">
        <v>1432</v>
      </c>
      <c r="F508" t="s">
        <v>1433</v>
      </c>
      <c r="G508" t="s">
        <v>1434</v>
      </c>
      <c r="H508" t="s">
        <v>886</v>
      </c>
      <c r="I508" t="s">
        <v>51</v>
      </c>
      <c r="J508" t="s">
        <v>1435</v>
      </c>
      <c r="K508" t="s">
        <v>35</v>
      </c>
      <c r="L508" t="s">
        <v>1436</v>
      </c>
      <c r="M508" t="s">
        <v>1437</v>
      </c>
      <c r="N508" t="s">
        <v>1438</v>
      </c>
      <c r="P508" t="s">
        <v>1439</v>
      </c>
      <c r="Q508" t="s">
        <v>1440</v>
      </c>
      <c r="R508" t="s">
        <v>169</v>
      </c>
      <c r="S508" t="s">
        <v>40</v>
      </c>
      <c r="T508" s="1">
        <v>40921</v>
      </c>
      <c r="U508">
        <v>0</v>
      </c>
      <c r="V508">
        <v>0</v>
      </c>
      <c r="W508" t="s">
        <v>59</v>
      </c>
      <c r="Y508" t="s">
        <v>42</v>
      </c>
      <c r="Z508" t="s">
        <v>43</v>
      </c>
      <c r="AA508" t="s">
        <v>43</v>
      </c>
      <c r="AD508" t="s">
        <v>3143</v>
      </c>
    </row>
    <row r="509" spans="1:30" x14ac:dyDescent="0.4">
      <c r="A509" t="s">
        <v>27</v>
      </c>
      <c r="B509">
        <v>25</v>
      </c>
      <c r="C509" t="s">
        <v>68</v>
      </c>
      <c r="D509" t="s">
        <v>481</v>
      </c>
      <c r="E509" t="s">
        <v>1432</v>
      </c>
      <c r="F509" t="s">
        <v>1433</v>
      </c>
      <c r="G509" t="s">
        <v>1434</v>
      </c>
      <c r="H509" t="s">
        <v>886</v>
      </c>
      <c r="I509" t="s">
        <v>51</v>
      </c>
      <c r="J509" t="s">
        <v>1435</v>
      </c>
      <c r="K509" t="s">
        <v>35</v>
      </c>
      <c r="L509" t="s">
        <v>1436</v>
      </c>
      <c r="M509" t="s">
        <v>1437</v>
      </c>
      <c r="N509" t="s">
        <v>2960</v>
      </c>
      <c r="P509" t="s">
        <v>1441</v>
      </c>
      <c r="Q509" t="s">
        <v>1442</v>
      </c>
      <c r="R509" t="s">
        <v>169</v>
      </c>
      <c r="S509" t="s">
        <v>40</v>
      </c>
      <c r="T509" s="1">
        <v>43678</v>
      </c>
      <c r="U509">
        <v>0</v>
      </c>
      <c r="V509">
        <v>6</v>
      </c>
      <c r="W509" t="s">
        <v>83</v>
      </c>
      <c r="Y509" t="s">
        <v>42</v>
      </c>
      <c r="Z509" t="s">
        <v>43</v>
      </c>
      <c r="AA509" t="s">
        <v>43</v>
      </c>
      <c r="AD509" t="s">
        <v>3143</v>
      </c>
    </row>
    <row r="510" spans="1:30" x14ac:dyDescent="0.4">
      <c r="A510" t="s">
        <v>27</v>
      </c>
      <c r="B510">
        <v>25</v>
      </c>
      <c r="C510" t="s">
        <v>68</v>
      </c>
      <c r="D510" t="s">
        <v>481</v>
      </c>
      <c r="E510" t="s">
        <v>1432</v>
      </c>
      <c r="F510" t="s">
        <v>1433</v>
      </c>
      <c r="G510" t="s">
        <v>1434</v>
      </c>
      <c r="H510" t="s">
        <v>886</v>
      </c>
      <c r="I510" t="s">
        <v>51</v>
      </c>
      <c r="J510" t="s">
        <v>1435</v>
      </c>
      <c r="K510" t="s">
        <v>35</v>
      </c>
      <c r="L510" t="s">
        <v>1436</v>
      </c>
      <c r="M510" t="s">
        <v>1437</v>
      </c>
      <c r="N510" t="s">
        <v>2960</v>
      </c>
      <c r="P510" t="s">
        <v>1443</v>
      </c>
      <c r="Q510" t="s">
        <v>1444</v>
      </c>
      <c r="R510" t="s">
        <v>169</v>
      </c>
      <c r="S510" t="s">
        <v>40</v>
      </c>
      <c r="T510" s="1">
        <v>45011</v>
      </c>
      <c r="U510">
        <v>0</v>
      </c>
      <c r="V510">
        <v>6</v>
      </c>
      <c r="W510" t="s">
        <v>83</v>
      </c>
      <c r="Y510" t="s">
        <v>42</v>
      </c>
      <c r="Z510" t="s">
        <v>43</v>
      </c>
      <c r="AA510" t="s">
        <v>43</v>
      </c>
      <c r="AD510" t="s">
        <v>3143</v>
      </c>
    </row>
    <row r="511" spans="1:30" x14ac:dyDescent="0.4">
      <c r="A511" t="s">
        <v>27</v>
      </c>
      <c r="B511">
        <v>25</v>
      </c>
      <c r="C511" t="s">
        <v>68</v>
      </c>
      <c r="D511" t="s">
        <v>481</v>
      </c>
      <c r="E511" t="s">
        <v>1432</v>
      </c>
      <c r="F511" t="s">
        <v>1433</v>
      </c>
      <c r="G511" t="s">
        <v>1434</v>
      </c>
      <c r="H511" t="s">
        <v>886</v>
      </c>
      <c r="I511" t="s">
        <v>51</v>
      </c>
      <c r="J511" t="s">
        <v>1435</v>
      </c>
      <c r="K511" t="s">
        <v>35</v>
      </c>
      <c r="L511" t="s">
        <v>1436</v>
      </c>
      <c r="M511" t="s">
        <v>1437</v>
      </c>
      <c r="N511" t="s">
        <v>2960</v>
      </c>
      <c r="P511" t="s">
        <v>1441</v>
      </c>
      <c r="Q511" t="s">
        <v>1442</v>
      </c>
      <c r="R511" t="s">
        <v>169</v>
      </c>
      <c r="S511" t="s">
        <v>40</v>
      </c>
      <c r="T511" s="1">
        <v>43678</v>
      </c>
      <c r="U511">
        <v>0</v>
      </c>
      <c r="V511">
        <v>7</v>
      </c>
      <c r="Y511" t="s">
        <v>42</v>
      </c>
      <c r="Z511" t="s">
        <v>43</v>
      </c>
      <c r="AA511" t="s">
        <v>43</v>
      </c>
      <c r="AD511" t="s">
        <v>3143</v>
      </c>
    </row>
    <row r="512" spans="1:30" x14ac:dyDescent="0.4">
      <c r="A512" t="s">
        <v>27</v>
      </c>
      <c r="B512">
        <v>25</v>
      </c>
      <c r="C512" t="s">
        <v>68</v>
      </c>
      <c r="D512" t="s">
        <v>481</v>
      </c>
      <c r="E512" t="s">
        <v>1432</v>
      </c>
      <c r="F512" t="s">
        <v>1433</v>
      </c>
      <c r="G512" t="s">
        <v>1434</v>
      </c>
      <c r="H512" t="s">
        <v>886</v>
      </c>
      <c r="I512" t="s">
        <v>51</v>
      </c>
      <c r="J512" t="s">
        <v>1435</v>
      </c>
      <c r="K512" t="s">
        <v>35</v>
      </c>
      <c r="L512" t="s">
        <v>1436</v>
      </c>
      <c r="M512" t="s">
        <v>1437</v>
      </c>
      <c r="N512" t="s">
        <v>2960</v>
      </c>
      <c r="P512" t="s">
        <v>1443</v>
      </c>
      <c r="Q512" t="s">
        <v>1444</v>
      </c>
      <c r="R512" t="s">
        <v>169</v>
      </c>
      <c r="S512" t="s">
        <v>40</v>
      </c>
      <c r="T512" s="1">
        <v>45011</v>
      </c>
      <c r="U512">
        <v>0</v>
      </c>
      <c r="V512">
        <v>7</v>
      </c>
      <c r="Y512" t="s">
        <v>42</v>
      </c>
      <c r="Z512" t="s">
        <v>43</v>
      </c>
      <c r="AA512" t="s">
        <v>43</v>
      </c>
      <c r="AD512" t="s">
        <v>3143</v>
      </c>
    </row>
    <row r="513" spans="1:30" x14ac:dyDescent="0.4">
      <c r="A513" t="s">
        <v>27</v>
      </c>
      <c r="B513">
        <v>25</v>
      </c>
      <c r="C513" t="s">
        <v>68</v>
      </c>
      <c r="D513" t="s">
        <v>481</v>
      </c>
      <c r="E513" t="s">
        <v>1432</v>
      </c>
      <c r="F513" t="s">
        <v>1433</v>
      </c>
      <c r="G513" t="s">
        <v>1434</v>
      </c>
      <c r="H513" t="s">
        <v>886</v>
      </c>
      <c r="I513" t="s">
        <v>51</v>
      </c>
      <c r="J513" t="s">
        <v>1435</v>
      </c>
      <c r="K513" t="s">
        <v>35</v>
      </c>
      <c r="L513" t="s">
        <v>1436</v>
      </c>
      <c r="M513" t="s">
        <v>1437</v>
      </c>
      <c r="N513" t="s">
        <v>2960</v>
      </c>
      <c r="P513" t="s">
        <v>1441</v>
      </c>
      <c r="Q513" t="s">
        <v>1442</v>
      </c>
      <c r="R513" t="s">
        <v>169</v>
      </c>
      <c r="S513" t="s">
        <v>40</v>
      </c>
      <c r="T513" s="1">
        <v>43678</v>
      </c>
      <c r="U513">
        <v>0</v>
      </c>
      <c r="V513">
        <v>16</v>
      </c>
      <c r="Y513" t="s">
        <v>42</v>
      </c>
      <c r="Z513" t="s">
        <v>43</v>
      </c>
      <c r="AA513" t="s">
        <v>43</v>
      </c>
      <c r="AD513" t="s">
        <v>3143</v>
      </c>
    </row>
    <row r="514" spans="1:30" x14ac:dyDescent="0.4">
      <c r="A514" t="s">
        <v>27</v>
      </c>
      <c r="B514">
        <v>25</v>
      </c>
      <c r="C514" t="s">
        <v>68</v>
      </c>
      <c r="D514" t="s">
        <v>481</v>
      </c>
      <c r="E514" t="s">
        <v>1432</v>
      </c>
      <c r="F514" t="s">
        <v>1433</v>
      </c>
      <c r="G514" t="s">
        <v>1434</v>
      </c>
      <c r="H514" t="s">
        <v>886</v>
      </c>
      <c r="I514" t="s">
        <v>51</v>
      </c>
      <c r="J514" t="s">
        <v>1435</v>
      </c>
      <c r="K514" t="s">
        <v>35</v>
      </c>
      <c r="L514" t="s">
        <v>1436</v>
      </c>
      <c r="M514" t="s">
        <v>1437</v>
      </c>
      <c r="N514" t="s">
        <v>2960</v>
      </c>
      <c r="P514" t="s">
        <v>1443</v>
      </c>
      <c r="Q514" t="s">
        <v>1444</v>
      </c>
      <c r="R514" t="s">
        <v>169</v>
      </c>
      <c r="S514" t="s">
        <v>40</v>
      </c>
      <c r="T514" s="1">
        <v>45011</v>
      </c>
      <c r="U514">
        <v>0</v>
      </c>
      <c r="V514">
        <v>16</v>
      </c>
      <c r="Y514" t="s">
        <v>42</v>
      </c>
      <c r="Z514" t="s">
        <v>43</v>
      </c>
      <c r="AA514" t="s">
        <v>43</v>
      </c>
      <c r="AD514" t="s">
        <v>3143</v>
      </c>
    </row>
    <row r="515" spans="1:30" x14ac:dyDescent="0.4">
      <c r="A515" t="s">
        <v>27</v>
      </c>
      <c r="B515">
        <v>25</v>
      </c>
      <c r="C515" t="s">
        <v>68</v>
      </c>
      <c r="D515" t="s">
        <v>481</v>
      </c>
      <c r="E515" t="s">
        <v>1432</v>
      </c>
      <c r="F515" t="s">
        <v>1433</v>
      </c>
      <c r="G515" t="s">
        <v>1434</v>
      </c>
      <c r="H515" t="s">
        <v>886</v>
      </c>
      <c r="I515" t="s">
        <v>51</v>
      </c>
      <c r="J515" t="s">
        <v>1435</v>
      </c>
      <c r="K515" t="s">
        <v>35</v>
      </c>
      <c r="L515" t="s">
        <v>1436</v>
      </c>
      <c r="M515" t="s">
        <v>1437</v>
      </c>
      <c r="N515" t="s">
        <v>2960</v>
      </c>
      <c r="P515" t="s">
        <v>1441</v>
      </c>
      <c r="Q515" t="s">
        <v>1442</v>
      </c>
      <c r="R515" t="s">
        <v>169</v>
      </c>
      <c r="S515" t="s">
        <v>40</v>
      </c>
      <c r="T515" s="1">
        <v>43678</v>
      </c>
      <c r="U515">
        <v>0</v>
      </c>
      <c r="V515">
        <v>18</v>
      </c>
      <c r="Y515" t="s">
        <v>42</v>
      </c>
      <c r="Z515" t="s">
        <v>43</v>
      </c>
      <c r="AA515" t="s">
        <v>43</v>
      </c>
      <c r="AD515" t="s">
        <v>3143</v>
      </c>
    </row>
    <row r="516" spans="1:30" x14ac:dyDescent="0.4">
      <c r="A516" t="s">
        <v>27</v>
      </c>
      <c r="B516">
        <v>25</v>
      </c>
      <c r="C516" t="s">
        <v>68</v>
      </c>
      <c r="D516" t="s">
        <v>481</v>
      </c>
      <c r="E516" t="s">
        <v>1432</v>
      </c>
      <c r="F516" t="s">
        <v>1433</v>
      </c>
      <c r="G516" t="s">
        <v>1434</v>
      </c>
      <c r="H516" t="s">
        <v>886</v>
      </c>
      <c r="I516" t="s">
        <v>51</v>
      </c>
      <c r="J516" t="s">
        <v>1435</v>
      </c>
      <c r="K516" t="s">
        <v>35</v>
      </c>
      <c r="L516" t="s">
        <v>1436</v>
      </c>
      <c r="M516" t="s">
        <v>1437</v>
      </c>
      <c r="N516" t="s">
        <v>2960</v>
      </c>
      <c r="P516" t="s">
        <v>1443</v>
      </c>
      <c r="Q516" t="s">
        <v>1444</v>
      </c>
      <c r="R516" t="s">
        <v>169</v>
      </c>
      <c r="S516" t="s">
        <v>40</v>
      </c>
      <c r="T516" s="1">
        <v>45011</v>
      </c>
      <c r="U516">
        <v>0</v>
      </c>
      <c r="V516">
        <v>18</v>
      </c>
      <c r="Y516" t="s">
        <v>42</v>
      </c>
      <c r="Z516" t="s">
        <v>43</v>
      </c>
      <c r="AA516" t="s">
        <v>43</v>
      </c>
      <c r="AD516" t="s">
        <v>3143</v>
      </c>
    </row>
    <row r="517" spans="1:30" x14ac:dyDescent="0.4">
      <c r="A517" t="s">
        <v>27</v>
      </c>
      <c r="B517">
        <v>311</v>
      </c>
      <c r="C517" t="s">
        <v>28</v>
      </c>
      <c r="D517" t="s">
        <v>1445</v>
      </c>
      <c r="E517" t="s">
        <v>1432</v>
      </c>
      <c r="F517" t="s">
        <v>1446</v>
      </c>
      <c r="G517" t="s">
        <v>1447</v>
      </c>
      <c r="H517" t="s">
        <v>1448</v>
      </c>
      <c r="I517" t="s">
        <v>634</v>
      </c>
      <c r="J517" t="s">
        <v>1449</v>
      </c>
      <c r="K517" t="s">
        <v>35</v>
      </c>
      <c r="L517">
        <v>7931733643</v>
      </c>
      <c r="M517" t="s">
        <v>1450</v>
      </c>
      <c r="N517" t="s">
        <v>2961</v>
      </c>
      <c r="P517" t="s">
        <v>1451</v>
      </c>
      <c r="Q517" t="s">
        <v>1452</v>
      </c>
      <c r="R517" t="s">
        <v>58</v>
      </c>
      <c r="S517" t="s">
        <v>82</v>
      </c>
      <c r="T517" s="1">
        <v>44961</v>
      </c>
      <c r="U517">
        <v>0</v>
      </c>
      <c r="V517">
        <v>4</v>
      </c>
      <c r="W517" t="s">
        <v>65</v>
      </c>
      <c r="Y517" t="s">
        <v>42</v>
      </c>
      <c r="Z517" t="s">
        <v>43</v>
      </c>
      <c r="AA517" t="s">
        <v>42</v>
      </c>
      <c r="AB517" t="s">
        <v>1453</v>
      </c>
      <c r="AD517" t="s">
        <v>3143</v>
      </c>
    </row>
    <row r="518" spans="1:30" x14ac:dyDescent="0.4">
      <c r="A518" t="s">
        <v>27</v>
      </c>
      <c r="B518">
        <v>311</v>
      </c>
      <c r="C518" t="s">
        <v>28</v>
      </c>
      <c r="D518" t="s">
        <v>1445</v>
      </c>
      <c r="E518" t="s">
        <v>1432</v>
      </c>
      <c r="F518" t="s">
        <v>1446</v>
      </c>
      <c r="G518" t="s">
        <v>1447</v>
      </c>
      <c r="H518" t="s">
        <v>1448</v>
      </c>
      <c r="I518" t="s">
        <v>634</v>
      </c>
      <c r="J518" t="s">
        <v>1449</v>
      </c>
      <c r="K518" t="s">
        <v>35</v>
      </c>
      <c r="L518">
        <v>7931733643</v>
      </c>
      <c r="M518" t="s">
        <v>1450</v>
      </c>
      <c r="N518" t="s">
        <v>2961</v>
      </c>
      <c r="P518" t="s">
        <v>1451</v>
      </c>
      <c r="Q518" t="s">
        <v>1452</v>
      </c>
      <c r="R518" t="s">
        <v>58</v>
      </c>
      <c r="S518" t="s">
        <v>82</v>
      </c>
      <c r="T518" s="1">
        <v>44961</v>
      </c>
      <c r="U518">
        <v>0</v>
      </c>
      <c r="V518">
        <v>13</v>
      </c>
      <c r="Y518" t="s">
        <v>42</v>
      </c>
      <c r="Z518" t="s">
        <v>43</v>
      </c>
      <c r="AA518" t="s">
        <v>42</v>
      </c>
      <c r="AB518" t="s">
        <v>1453</v>
      </c>
      <c r="AD518" t="s">
        <v>3143</v>
      </c>
    </row>
    <row r="519" spans="1:30" x14ac:dyDescent="0.4">
      <c r="A519" t="s">
        <v>27</v>
      </c>
      <c r="B519">
        <v>311</v>
      </c>
      <c r="C519" t="s">
        <v>28</v>
      </c>
      <c r="D519" t="s">
        <v>1445</v>
      </c>
      <c r="E519" t="s">
        <v>1432</v>
      </c>
      <c r="F519" t="s">
        <v>1446</v>
      </c>
      <c r="G519" t="s">
        <v>1447</v>
      </c>
      <c r="H519" t="s">
        <v>1448</v>
      </c>
      <c r="I519" t="s">
        <v>634</v>
      </c>
      <c r="J519" t="s">
        <v>1449</v>
      </c>
      <c r="K519" t="s">
        <v>35</v>
      </c>
      <c r="L519">
        <v>7931733643</v>
      </c>
      <c r="M519" t="s">
        <v>1450</v>
      </c>
      <c r="N519" t="s">
        <v>2961</v>
      </c>
      <c r="P519" t="s">
        <v>1454</v>
      </c>
      <c r="Q519" t="s">
        <v>1455</v>
      </c>
      <c r="R519" t="s">
        <v>58</v>
      </c>
      <c r="S519" t="s">
        <v>82</v>
      </c>
      <c r="T519" s="1">
        <v>44268</v>
      </c>
      <c r="U519">
        <v>0</v>
      </c>
      <c r="V519">
        <v>6</v>
      </c>
      <c r="W519" t="s">
        <v>83</v>
      </c>
      <c r="Y519" t="s">
        <v>42</v>
      </c>
      <c r="Z519" t="s">
        <v>43</v>
      </c>
      <c r="AA519" t="s">
        <v>42</v>
      </c>
      <c r="AB519" t="s">
        <v>1453</v>
      </c>
      <c r="AD519" t="s">
        <v>3143</v>
      </c>
    </row>
    <row r="520" spans="1:30" x14ac:dyDescent="0.4">
      <c r="A520" t="s">
        <v>27</v>
      </c>
      <c r="B520">
        <v>311</v>
      </c>
      <c r="C520" t="s">
        <v>28</v>
      </c>
      <c r="D520" t="s">
        <v>1445</v>
      </c>
      <c r="E520" t="s">
        <v>1432</v>
      </c>
      <c r="F520" t="s">
        <v>1446</v>
      </c>
      <c r="G520" t="s">
        <v>1447</v>
      </c>
      <c r="H520" t="s">
        <v>1448</v>
      </c>
      <c r="I520" t="s">
        <v>634</v>
      </c>
      <c r="J520" t="s">
        <v>1449</v>
      </c>
      <c r="K520" t="s">
        <v>35</v>
      </c>
      <c r="L520">
        <v>7931733643</v>
      </c>
      <c r="M520" t="s">
        <v>1450</v>
      </c>
      <c r="N520" t="s">
        <v>2961</v>
      </c>
      <c r="P520" t="s">
        <v>1454</v>
      </c>
      <c r="Q520" t="s">
        <v>1455</v>
      </c>
      <c r="R520" t="s">
        <v>58</v>
      </c>
      <c r="S520" t="s">
        <v>82</v>
      </c>
      <c r="T520" s="1">
        <v>44268</v>
      </c>
      <c r="U520">
        <v>0</v>
      </c>
      <c r="V520">
        <v>7</v>
      </c>
      <c r="Y520" t="s">
        <v>42</v>
      </c>
      <c r="Z520" t="s">
        <v>43</v>
      </c>
      <c r="AA520" t="s">
        <v>42</v>
      </c>
      <c r="AB520" t="s">
        <v>1453</v>
      </c>
      <c r="AD520" t="s">
        <v>3143</v>
      </c>
    </row>
    <row r="521" spans="1:30" x14ac:dyDescent="0.4">
      <c r="A521" t="s">
        <v>27</v>
      </c>
      <c r="B521">
        <v>311</v>
      </c>
      <c r="C521" t="s">
        <v>28</v>
      </c>
      <c r="D521" t="s">
        <v>1445</v>
      </c>
      <c r="E521" t="s">
        <v>1432</v>
      </c>
      <c r="F521" t="s">
        <v>1446</v>
      </c>
      <c r="G521" t="s">
        <v>1447</v>
      </c>
      <c r="H521" t="s">
        <v>1448</v>
      </c>
      <c r="I521" t="s">
        <v>634</v>
      </c>
      <c r="J521" t="s">
        <v>1449</v>
      </c>
      <c r="K521" t="s">
        <v>35</v>
      </c>
      <c r="L521">
        <v>7931733643</v>
      </c>
      <c r="M521" t="s">
        <v>1450</v>
      </c>
      <c r="N521" t="s">
        <v>2961</v>
      </c>
      <c r="P521" t="s">
        <v>1454</v>
      </c>
      <c r="Q521" t="s">
        <v>1455</v>
      </c>
      <c r="R521" t="s">
        <v>58</v>
      </c>
      <c r="S521" t="s">
        <v>82</v>
      </c>
      <c r="T521" s="1">
        <v>44268</v>
      </c>
      <c r="U521">
        <v>0</v>
      </c>
      <c r="V521">
        <v>17</v>
      </c>
      <c r="Y521" t="s">
        <v>42</v>
      </c>
      <c r="Z521" t="s">
        <v>43</v>
      </c>
      <c r="AA521" t="s">
        <v>42</v>
      </c>
      <c r="AB521" t="s">
        <v>1453</v>
      </c>
      <c r="AD521" t="s">
        <v>3143</v>
      </c>
    </row>
    <row r="522" spans="1:30" x14ac:dyDescent="0.4">
      <c r="A522" t="s">
        <v>27</v>
      </c>
      <c r="B522">
        <v>311</v>
      </c>
      <c r="C522" t="s">
        <v>28</v>
      </c>
      <c r="D522" t="s">
        <v>1445</v>
      </c>
      <c r="E522" t="s">
        <v>1432</v>
      </c>
      <c r="F522" t="s">
        <v>1446</v>
      </c>
      <c r="G522" t="s">
        <v>1447</v>
      </c>
      <c r="H522" t="s">
        <v>1448</v>
      </c>
      <c r="I522" t="s">
        <v>634</v>
      </c>
      <c r="J522" t="s">
        <v>1449</v>
      </c>
      <c r="K522" t="s">
        <v>35</v>
      </c>
      <c r="L522">
        <v>7931733643</v>
      </c>
      <c r="M522" t="s">
        <v>1450</v>
      </c>
      <c r="N522" t="s">
        <v>2961</v>
      </c>
      <c r="P522" t="s">
        <v>1454</v>
      </c>
      <c r="Q522" t="s">
        <v>1455</v>
      </c>
      <c r="R522" t="s">
        <v>58</v>
      </c>
      <c r="S522" t="s">
        <v>82</v>
      </c>
      <c r="T522" s="1">
        <v>44268</v>
      </c>
      <c r="U522">
        <v>0</v>
      </c>
      <c r="V522">
        <v>19</v>
      </c>
      <c r="Y522" t="s">
        <v>42</v>
      </c>
      <c r="Z522" t="s">
        <v>43</v>
      </c>
      <c r="AA522" t="s">
        <v>42</v>
      </c>
      <c r="AB522" t="s">
        <v>1453</v>
      </c>
      <c r="AD522" t="s">
        <v>3143</v>
      </c>
    </row>
    <row r="523" spans="1:30" x14ac:dyDescent="0.4">
      <c r="A523" t="s">
        <v>27</v>
      </c>
      <c r="B523">
        <v>1532</v>
      </c>
      <c r="C523" t="s">
        <v>28</v>
      </c>
      <c r="D523" t="s">
        <v>1456</v>
      </c>
      <c r="E523" t="s">
        <v>1457</v>
      </c>
      <c r="F523" t="s">
        <v>1458</v>
      </c>
      <c r="H523" t="s">
        <v>559</v>
      </c>
      <c r="I523" t="s">
        <v>51</v>
      </c>
      <c r="J523" t="s">
        <v>1459</v>
      </c>
      <c r="K523" t="s">
        <v>35</v>
      </c>
      <c r="L523">
        <v>7786565082</v>
      </c>
      <c r="M523" t="s">
        <v>1460</v>
      </c>
      <c r="N523" t="s">
        <v>3079</v>
      </c>
      <c r="P523" t="s">
        <v>1461</v>
      </c>
      <c r="Q523" t="s">
        <v>1462</v>
      </c>
      <c r="R523" t="s">
        <v>58</v>
      </c>
      <c r="S523" t="s">
        <v>82</v>
      </c>
      <c r="T523" s="1">
        <v>43302</v>
      </c>
      <c r="U523">
        <v>0</v>
      </c>
      <c r="V523">
        <v>6</v>
      </c>
      <c r="W523" t="s">
        <v>83</v>
      </c>
      <c r="Y523" t="s">
        <v>42</v>
      </c>
      <c r="Z523" t="s">
        <v>43</v>
      </c>
      <c r="AA523" t="s">
        <v>43</v>
      </c>
      <c r="AD523" t="s">
        <v>3143</v>
      </c>
    </row>
    <row r="524" spans="1:30" x14ac:dyDescent="0.4">
      <c r="A524" t="s">
        <v>27</v>
      </c>
      <c r="B524">
        <v>1532</v>
      </c>
      <c r="C524" t="s">
        <v>28</v>
      </c>
      <c r="D524" t="s">
        <v>1456</v>
      </c>
      <c r="E524" t="s">
        <v>1457</v>
      </c>
      <c r="F524" t="s">
        <v>1458</v>
      </c>
      <c r="H524" t="s">
        <v>559</v>
      </c>
      <c r="I524" t="s">
        <v>51</v>
      </c>
      <c r="J524" t="s">
        <v>1459</v>
      </c>
      <c r="K524" t="s">
        <v>35</v>
      </c>
      <c r="L524">
        <v>7786565082</v>
      </c>
      <c r="M524" t="s">
        <v>1460</v>
      </c>
      <c r="N524" t="s">
        <v>3079</v>
      </c>
      <c r="P524" t="s">
        <v>1461</v>
      </c>
      <c r="Q524" t="s">
        <v>1462</v>
      </c>
      <c r="R524" t="s">
        <v>58</v>
      </c>
      <c r="S524" t="s">
        <v>82</v>
      </c>
      <c r="T524" s="1">
        <v>43302</v>
      </c>
      <c r="U524">
        <v>0</v>
      </c>
      <c r="V524">
        <v>17</v>
      </c>
      <c r="Y524" t="s">
        <v>42</v>
      </c>
      <c r="Z524" t="s">
        <v>43</v>
      </c>
      <c r="AA524" t="s">
        <v>43</v>
      </c>
      <c r="AD524" t="s">
        <v>3143</v>
      </c>
    </row>
    <row r="525" spans="1:30" x14ac:dyDescent="0.4">
      <c r="A525" t="s">
        <v>27</v>
      </c>
      <c r="B525">
        <v>1567</v>
      </c>
      <c r="C525" t="s">
        <v>68</v>
      </c>
      <c r="D525" t="s">
        <v>1463</v>
      </c>
      <c r="E525" t="s">
        <v>1464</v>
      </c>
      <c r="F525" t="s">
        <v>1465</v>
      </c>
      <c r="H525" t="s">
        <v>1466</v>
      </c>
      <c r="I525" t="s">
        <v>1467</v>
      </c>
      <c r="J525" t="s">
        <v>1468</v>
      </c>
      <c r="K525" t="s">
        <v>35</v>
      </c>
      <c r="L525" t="s">
        <v>1469</v>
      </c>
      <c r="M525" t="s">
        <v>1470</v>
      </c>
      <c r="N525" t="s">
        <v>3080</v>
      </c>
      <c r="P525" t="s">
        <v>3112</v>
      </c>
      <c r="Q525" t="s">
        <v>1472</v>
      </c>
      <c r="R525" t="s">
        <v>58</v>
      </c>
      <c r="S525" t="s">
        <v>82</v>
      </c>
      <c r="T525" s="1">
        <v>44743</v>
      </c>
      <c r="U525">
        <v>0</v>
      </c>
      <c r="V525">
        <v>5</v>
      </c>
      <c r="W525" t="s">
        <v>66</v>
      </c>
      <c r="Y525" t="s">
        <v>42</v>
      </c>
      <c r="Z525" t="s">
        <v>43</v>
      </c>
      <c r="AA525" t="s">
        <v>42</v>
      </c>
      <c r="AD525" t="s">
        <v>3143</v>
      </c>
    </row>
    <row r="526" spans="1:30" x14ac:dyDescent="0.4">
      <c r="A526" t="s">
        <v>27</v>
      </c>
      <c r="B526">
        <v>1567</v>
      </c>
      <c r="C526" t="s">
        <v>68</v>
      </c>
      <c r="D526" t="s">
        <v>1463</v>
      </c>
      <c r="E526" t="s">
        <v>1464</v>
      </c>
      <c r="F526" t="s">
        <v>1465</v>
      </c>
      <c r="H526" t="s">
        <v>1466</v>
      </c>
      <c r="I526" t="s">
        <v>1467</v>
      </c>
      <c r="J526" t="s">
        <v>1468</v>
      </c>
      <c r="K526" t="s">
        <v>35</v>
      </c>
      <c r="L526" t="s">
        <v>1469</v>
      </c>
      <c r="M526" t="s">
        <v>1470</v>
      </c>
      <c r="N526" t="s">
        <v>3080</v>
      </c>
      <c r="P526" t="s">
        <v>3113</v>
      </c>
      <c r="Q526" t="s">
        <v>1474</v>
      </c>
      <c r="R526" t="s">
        <v>94</v>
      </c>
      <c r="S526" t="s">
        <v>82</v>
      </c>
      <c r="T526" s="1">
        <v>43270</v>
      </c>
      <c r="U526">
        <v>0</v>
      </c>
      <c r="V526">
        <v>6</v>
      </c>
      <c r="W526" t="s">
        <v>83</v>
      </c>
      <c r="Y526" t="s">
        <v>42</v>
      </c>
      <c r="Z526" t="s">
        <v>43</v>
      </c>
      <c r="AA526" t="s">
        <v>42</v>
      </c>
      <c r="AD526" t="s">
        <v>3143</v>
      </c>
    </row>
    <row r="527" spans="1:30" x14ac:dyDescent="0.4">
      <c r="A527" t="s">
        <v>27</v>
      </c>
      <c r="B527">
        <v>77</v>
      </c>
      <c r="C527" t="s">
        <v>195</v>
      </c>
      <c r="D527" t="s">
        <v>1475</v>
      </c>
      <c r="E527" t="s">
        <v>1476</v>
      </c>
      <c r="F527" t="s">
        <v>1477</v>
      </c>
      <c r="H527" t="s">
        <v>1164</v>
      </c>
      <c r="I527" t="s">
        <v>426</v>
      </c>
      <c r="J527" t="s">
        <v>1478</v>
      </c>
      <c r="K527" t="s">
        <v>35</v>
      </c>
      <c r="L527" t="s">
        <v>1479</v>
      </c>
      <c r="M527" t="s">
        <v>1480</v>
      </c>
      <c r="N527" t="s">
        <v>1481</v>
      </c>
      <c r="P527" t="s">
        <v>1482</v>
      </c>
      <c r="Q527" t="s">
        <v>1483</v>
      </c>
      <c r="R527" t="s">
        <v>275</v>
      </c>
      <c r="S527" t="s">
        <v>82</v>
      </c>
      <c r="T527" s="1">
        <v>41419</v>
      </c>
      <c r="U527">
        <v>0</v>
      </c>
      <c r="V527">
        <v>0</v>
      </c>
      <c r="W527" t="s">
        <v>59</v>
      </c>
      <c r="Y527" t="s">
        <v>42</v>
      </c>
      <c r="Z527" t="s">
        <v>43</v>
      </c>
      <c r="AA527" t="s">
        <v>43</v>
      </c>
      <c r="AD527" t="s">
        <v>3143</v>
      </c>
    </row>
    <row r="528" spans="1:30" x14ac:dyDescent="0.4">
      <c r="A528" t="s">
        <v>27</v>
      </c>
      <c r="B528">
        <v>77</v>
      </c>
      <c r="C528" t="s">
        <v>195</v>
      </c>
      <c r="D528" t="s">
        <v>1475</v>
      </c>
      <c r="E528" t="s">
        <v>1476</v>
      </c>
      <c r="F528" t="s">
        <v>1477</v>
      </c>
      <c r="H528" t="s">
        <v>1164</v>
      </c>
      <c r="I528" t="s">
        <v>426</v>
      </c>
      <c r="J528" t="s">
        <v>1478</v>
      </c>
      <c r="K528" t="s">
        <v>35</v>
      </c>
      <c r="L528" t="s">
        <v>1479</v>
      </c>
      <c r="M528" t="s">
        <v>1480</v>
      </c>
      <c r="N528" t="s">
        <v>1481</v>
      </c>
      <c r="P528" t="s">
        <v>1484</v>
      </c>
      <c r="Q528" t="s">
        <v>1485</v>
      </c>
      <c r="R528" t="s">
        <v>1486</v>
      </c>
      <c r="S528" t="s">
        <v>40</v>
      </c>
      <c r="T528" s="1">
        <v>41772</v>
      </c>
      <c r="U528">
        <v>0</v>
      </c>
      <c r="V528">
        <v>0</v>
      </c>
      <c r="W528" t="s">
        <v>59</v>
      </c>
      <c r="Y528" t="s">
        <v>42</v>
      </c>
      <c r="Z528" t="s">
        <v>43</v>
      </c>
      <c r="AA528" t="s">
        <v>43</v>
      </c>
      <c r="AD528" t="s">
        <v>3143</v>
      </c>
    </row>
    <row r="529" spans="1:30" x14ac:dyDescent="0.4">
      <c r="A529" t="s">
        <v>27</v>
      </c>
      <c r="B529">
        <v>77</v>
      </c>
      <c r="C529" t="s">
        <v>195</v>
      </c>
      <c r="D529" t="s">
        <v>1475</v>
      </c>
      <c r="E529" t="s">
        <v>1476</v>
      </c>
      <c r="F529" t="s">
        <v>1477</v>
      </c>
      <c r="H529" t="s">
        <v>1164</v>
      </c>
      <c r="I529" t="s">
        <v>426</v>
      </c>
      <c r="J529" t="s">
        <v>1478</v>
      </c>
      <c r="K529" t="s">
        <v>35</v>
      </c>
      <c r="L529" t="s">
        <v>1479</v>
      </c>
      <c r="M529" t="s">
        <v>1480</v>
      </c>
      <c r="N529" t="s">
        <v>1481</v>
      </c>
      <c r="P529" t="s">
        <v>1482</v>
      </c>
      <c r="Q529" t="s">
        <v>1483</v>
      </c>
      <c r="R529" t="s">
        <v>275</v>
      </c>
      <c r="S529" t="s">
        <v>82</v>
      </c>
      <c r="T529" s="1">
        <v>41419</v>
      </c>
      <c r="U529">
        <v>0</v>
      </c>
      <c r="V529">
        <v>0</v>
      </c>
      <c r="W529" t="s">
        <v>59</v>
      </c>
      <c r="Y529" t="s">
        <v>42</v>
      </c>
      <c r="Z529" t="s">
        <v>43</v>
      </c>
      <c r="AA529" t="s">
        <v>43</v>
      </c>
      <c r="AD529" t="s">
        <v>3143</v>
      </c>
    </row>
    <row r="530" spans="1:30" x14ac:dyDescent="0.4">
      <c r="A530" t="s">
        <v>27</v>
      </c>
      <c r="B530">
        <v>77</v>
      </c>
      <c r="C530" t="s">
        <v>195</v>
      </c>
      <c r="D530" t="s">
        <v>1475</v>
      </c>
      <c r="E530" t="s">
        <v>1476</v>
      </c>
      <c r="F530" t="s">
        <v>1477</v>
      </c>
      <c r="H530" t="s">
        <v>1164</v>
      </c>
      <c r="I530" t="s">
        <v>426</v>
      </c>
      <c r="J530" t="s">
        <v>1478</v>
      </c>
      <c r="K530" t="s">
        <v>35</v>
      </c>
      <c r="L530" t="s">
        <v>1479</v>
      </c>
      <c r="M530" t="s">
        <v>1480</v>
      </c>
      <c r="N530" t="s">
        <v>1481</v>
      </c>
      <c r="P530" t="s">
        <v>1484</v>
      </c>
      <c r="Q530" t="s">
        <v>1485</v>
      </c>
      <c r="R530" t="s">
        <v>1486</v>
      </c>
      <c r="S530" t="s">
        <v>40</v>
      </c>
      <c r="T530" s="1">
        <v>41772</v>
      </c>
      <c r="U530">
        <v>0</v>
      </c>
      <c r="V530">
        <v>0</v>
      </c>
      <c r="W530" t="s">
        <v>59</v>
      </c>
      <c r="Y530" t="s">
        <v>42</v>
      </c>
      <c r="Z530" t="s">
        <v>43</v>
      </c>
      <c r="AA530" t="s">
        <v>43</v>
      </c>
      <c r="AD530" t="s">
        <v>3143</v>
      </c>
    </row>
    <row r="531" spans="1:30" x14ac:dyDescent="0.4">
      <c r="A531" t="s">
        <v>27</v>
      </c>
      <c r="B531">
        <v>77</v>
      </c>
      <c r="C531" t="s">
        <v>195</v>
      </c>
      <c r="D531" t="s">
        <v>1475</v>
      </c>
      <c r="E531" t="s">
        <v>1476</v>
      </c>
      <c r="F531" t="s">
        <v>1477</v>
      </c>
      <c r="H531" t="s">
        <v>1164</v>
      </c>
      <c r="I531" t="s">
        <v>426</v>
      </c>
      <c r="J531" t="s">
        <v>1478</v>
      </c>
      <c r="K531" t="s">
        <v>35</v>
      </c>
      <c r="L531" t="s">
        <v>1479</v>
      </c>
      <c r="M531" t="s">
        <v>1480</v>
      </c>
      <c r="N531" t="s">
        <v>1481</v>
      </c>
      <c r="P531" t="s">
        <v>1487</v>
      </c>
      <c r="Q531" t="s">
        <v>1488</v>
      </c>
      <c r="R531" t="s">
        <v>3135</v>
      </c>
      <c r="S531" t="s">
        <v>82</v>
      </c>
      <c r="T531" s="1">
        <v>43787</v>
      </c>
      <c r="U531">
        <v>0</v>
      </c>
      <c r="V531">
        <v>5</v>
      </c>
      <c r="W531" t="s">
        <v>66</v>
      </c>
      <c r="Y531" t="s">
        <v>42</v>
      </c>
      <c r="Z531" t="s">
        <v>43</v>
      </c>
      <c r="AA531" t="s">
        <v>43</v>
      </c>
      <c r="AD531" t="s">
        <v>3143</v>
      </c>
    </row>
    <row r="532" spans="1:30" x14ac:dyDescent="0.4">
      <c r="A532" t="s">
        <v>27</v>
      </c>
      <c r="B532">
        <v>77</v>
      </c>
      <c r="C532" t="s">
        <v>195</v>
      </c>
      <c r="D532" t="s">
        <v>1475</v>
      </c>
      <c r="E532" t="s">
        <v>1476</v>
      </c>
      <c r="F532" t="s">
        <v>1477</v>
      </c>
      <c r="H532" t="s">
        <v>1164</v>
      </c>
      <c r="I532" t="s">
        <v>426</v>
      </c>
      <c r="J532" t="s">
        <v>1478</v>
      </c>
      <c r="K532" t="s">
        <v>35</v>
      </c>
      <c r="L532" t="s">
        <v>1479</v>
      </c>
      <c r="M532" t="s">
        <v>1480</v>
      </c>
      <c r="N532" t="s">
        <v>1481</v>
      </c>
      <c r="P532" t="s">
        <v>1487</v>
      </c>
      <c r="Q532" t="s">
        <v>1488</v>
      </c>
      <c r="R532" t="s">
        <v>3135</v>
      </c>
      <c r="S532" t="s">
        <v>82</v>
      </c>
      <c r="T532" s="1">
        <v>43787</v>
      </c>
      <c r="U532">
        <v>0</v>
      </c>
      <c r="V532">
        <v>6</v>
      </c>
      <c r="W532" t="s">
        <v>83</v>
      </c>
      <c r="Y532" t="s">
        <v>42</v>
      </c>
      <c r="Z532" t="s">
        <v>43</v>
      </c>
      <c r="AA532" t="s">
        <v>43</v>
      </c>
      <c r="AD532" t="s">
        <v>3143</v>
      </c>
    </row>
    <row r="533" spans="1:30" x14ac:dyDescent="0.4">
      <c r="A533" t="s">
        <v>27</v>
      </c>
      <c r="B533">
        <v>77</v>
      </c>
      <c r="C533" t="s">
        <v>195</v>
      </c>
      <c r="D533" t="s">
        <v>1475</v>
      </c>
      <c r="E533" t="s">
        <v>1476</v>
      </c>
      <c r="F533" t="s">
        <v>1477</v>
      </c>
      <c r="H533" t="s">
        <v>1164</v>
      </c>
      <c r="I533" t="s">
        <v>426</v>
      </c>
      <c r="J533" t="s">
        <v>1478</v>
      </c>
      <c r="K533" t="s">
        <v>35</v>
      </c>
      <c r="L533" t="s">
        <v>1479</v>
      </c>
      <c r="M533" t="s">
        <v>1480</v>
      </c>
      <c r="N533" t="s">
        <v>1481</v>
      </c>
      <c r="P533" t="s">
        <v>1487</v>
      </c>
      <c r="Q533" t="s">
        <v>1488</v>
      </c>
      <c r="R533" t="s">
        <v>3135</v>
      </c>
      <c r="S533" t="s">
        <v>82</v>
      </c>
      <c r="T533" s="1">
        <v>43787</v>
      </c>
      <c r="U533">
        <v>0</v>
      </c>
      <c r="V533">
        <v>7</v>
      </c>
      <c r="Y533" t="s">
        <v>42</v>
      </c>
      <c r="Z533" t="s">
        <v>43</v>
      </c>
      <c r="AA533" t="s">
        <v>43</v>
      </c>
      <c r="AD533" t="s">
        <v>3143</v>
      </c>
    </row>
    <row r="534" spans="1:30" x14ac:dyDescent="0.4">
      <c r="A534" t="s">
        <v>27</v>
      </c>
      <c r="B534">
        <v>77</v>
      </c>
      <c r="C534" t="s">
        <v>195</v>
      </c>
      <c r="D534" t="s">
        <v>1475</v>
      </c>
      <c r="E534" t="s">
        <v>1476</v>
      </c>
      <c r="F534" t="s">
        <v>1477</v>
      </c>
      <c r="H534" t="s">
        <v>1164</v>
      </c>
      <c r="I534" t="s">
        <v>426</v>
      </c>
      <c r="J534" t="s">
        <v>1478</v>
      </c>
      <c r="K534" t="s">
        <v>35</v>
      </c>
      <c r="L534" t="s">
        <v>1479</v>
      </c>
      <c r="M534" t="s">
        <v>1480</v>
      </c>
      <c r="N534" t="s">
        <v>1481</v>
      </c>
      <c r="P534" t="s">
        <v>1487</v>
      </c>
      <c r="Q534" t="s">
        <v>1488</v>
      </c>
      <c r="R534" t="s">
        <v>3135</v>
      </c>
      <c r="S534" t="s">
        <v>82</v>
      </c>
      <c r="T534" s="1">
        <v>43787</v>
      </c>
      <c r="U534">
        <v>0</v>
      </c>
      <c r="V534">
        <v>15</v>
      </c>
      <c r="Y534" t="s">
        <v>42</v>
      </c>
      <c r="Z534" t="s">
        <v>43</v>
      </c>
      <c r="AA534" t="s">
        <v>43</v>
      </c>
      <c r="AD534" t="s">
        <v>3143</v>
      </c>
    </row>
    <row r="535" spans="1:30" x14ac:dyDescent="0.4">
      <c r="A535" t="s">
        <v>27</v>
      </c>
      <c r="B535">
        <v>77</v>
      </c>
      <c r="C535" t="s">
        <v>195</v>
      </c>
      <c r="D535" t="s">
        <v>1475</v>
      </c>
      <c r="E535" t="s">
        <v>1476</v>
      </c>
      <c r="F535" t="s">
        <v>1477</v>
      </c>
      <c r="H535" t="s">
        <v>1164</v>
      </c>
      <c r="I535" t="s">
        <v>426</v>
      </c>
      <c r="J535" t="s">
        <v>1478</v>
      </c>
      <c r="K535" t="s">
        <v>35</v>
      </c>
      <c r="L535" t="s">
        <v>1479</v>
      </c>
      <c r="M535" t="s">
        <v>1480</v>
      </c>
      <c r="N535" t="s">
        <v>1481</v>
      </c>
      <c r="P535" t="s">
        <v>1487</v>
      </c>
      <c r="Q535" t="s">
        <v>1488</v>
      </c>
      <c r="R535" t="s">
        <v>3135</v>
      </c>
      <c r="S535" t="s">
        <v>82</v>
      </c>
      <c r="T535" s="1">
        <v>43787</v>
      </c>
      <c r="U535">
        <v>0</v>
      </c>
      <c r="V535">
        <v>17</v>
      </c>
      <c r="Y535" t="s">
        <v>42</v>
      </c>
      <c r="Z535" t="s">
        <v>43</v>
      </c>
      <c r="AA535" t="s">
        <v>43</v>
      </c>
      <c r="AD535" t="s">
        <v>3143</v>
      </c>
    </row>
    <row r="536" spans="1:30" x14ac:dyDescent="0.4">
      <c r="A536" t="s">
        <v>27</v>
      </c>
      <c r="B536">
        <v>77</v>
      </c>
      <c r="C536" t="s">
        <v>195</v>
      </c>
      <c r="D536" t="s">
        <v>1475</v>
      </c>
      <c r="E536" t="s">
        <v>1476</v>
      </c>
      <c r="F536" t="s">
        <v>1477</v>
      </c>
      <c r="H536" t="s">
        <v>1164</v>
      </c>
      <c r="I536" t="s">
        <v>426</v>
      </c>
      <c r="J536" t="s">
        <v>1478</v>
      </c>
      <c r="K536" t="s">
        <v>35</v>
      </c>
      <c r="L536" t="s">
        <v>1479</v>
      </c>
      <c r="M536" t="s">
        <v>1480</v>
      </c>
      <c r="N536" t="s">
        <v>1481</v>
      </c>
      <c r="P536" t="s">
        <v>1487</v>
      </c>
      <c r="Q536" t="s">
        <v>1488</v>
      </c>
      <c r="R536" t="s">
        <v>3135</v>
      </c>
      <c r="S536" t="s">
        <v>82</v>
      </c>
      <c r="T536" s="1">
        <v>43787</v>
      </c>
      <c r="U536">
        <v>0</v>
      </c>
      <c r="V536">
        <v>19</v>
      </c>
      <c r="Y536" t="s">
        <v>42</v>
      </c>
      <c r="Z536" t="s">
        <v>43</v>
      </c>
      <c r="AA536" t="s">
        <v>43</v>
      </c>
      <c r="AD536" t="s">
        <v>3143</v>
      </c>
    </row>
    <row r="537" spans="1:30" x14ac:dyDescent="0.4">
      <c r="A537" t="s">
        <v>27</v>
      </c>
      <c r="B537">
        <v>553</v>
      </c>
      <c r="C537" t="s">
        <v>68</v>
      </c>
      <c r="D537" t="s">
        <v>535</v>
      </c>
      <c r="E537" t="s">
        <v>1489</v>
      </c>
      <c r="F537" t="s">
        <v>1490</v>
      </c>
      <c r="H537" t="s">
        <v>1491</v>
      </c>
      <c r="I537" t="s">
        <v>1492</v>
      </c>
      <c r="J537" t="s">
        <v>1493</v>
      </c>
      <c r="K537" t="s">
        <v>35</v>
      </c>
      <c r="L537">
        <v>1787228204</v>
      </c>
      <c r="M537" t="s">
        <v>1494</v>
      </c>
      <c r="N537" t="s">
        <v>1495</v>
      </c>
      <c r="P537" t="s">
        <v>1496</v>
      </c>
      <c r="Q537" t="s">
        <v>1497</v>
      </c>
      <c r="R537" t="s">
        <v>1498</v>
      </c>
      <c r="S537" t="s">
        <v>40</v>
      </c>
      <c r="T537" s="1">
        <v>45625</v>
      </c>
      <c r="U537">
        <v>0</v>
      </c>
      <c r="V537">
        <v>0</v>
      </c>
      <c r="W537" t="s">
        <v>59</v>
      </c>
      <c r="X537" t="s">
        <v>135</v>
      </c>
      <c r="Y537" t="s">
        <v>42</v>
      </c>
      <c r="Z537" t="s">
        <v>43</v>
      </c>
      <c r="AA537" t="s">
        <v>42</v>
      </c>
      <c r="AD537" t="s">
        <v>3143</v>
      </c>
    </row>
    <row r="538" spans="1:30" x14ac:dyDescent="0.4">
      <c r="A538" t="s">
        <v>27</v>
      </c>
      <c r="B538">
        <v>553</v>
      </c>
      <c r="C538" t="s">
        <v>68</v>
      </c>
      <c r="D538" t="s">
        <v>535</v>
      </c>
      <c r="E538" t="s">
        <v>1489</v>
      </c>
      <c r="F538" t="s">
        <v>1490</v>
      </c>
      <c r="H538" t="s">
        <v>1491</v>
      </c>
      <c r="I538" t="s">
        <v>1492</v>
      </c>
      <c r="J538" t="s">
        <v>1493</v>
      </c>
      <c r="K538" t="s">
        <v>35</v>
      </c>
      <c r="L538">
        <v>1787228204</v>
      </c>
      <c r="M538" t="s">
        <v>1494</v>
      </c>
      <c r="N538" t="s">
        <v>1495</v>
      </c>
      <c r="P538" t="s">
        <v>1496</v>
      </c>
      <c r="Q538" t="s">
        <v>1497</v>
      </c>
      <c r="R538" t="s">
        <v>1498</v>
      </c>
      <c r="S538" t="s">
        <v>40</v>
      </c>
      <c r="T538" s="1">
        <v>45625</v>
      </c>
      <c r="U538">
        <v>0</v>
      </c>
      <c r="V538">
        <v>0</v>
      </c>
      <c r="W538" t="s">
        <v>59</v>
      </c>
      <c r="X538" t="s">
        <v>135</v>
      </c>
      <c r="Y538" t="s">
        <v>42</v>
      </c>
      <c r="Z538" t="s">
        <v>43</v>
      </c>
      <c r="AA538" t="s">
        <v>42</v>
      </c>
      <c r="AD538" t="s">
        <v>3143</v>
      </c>
    </row>
    <row r="539" spans="1:30" x14ac:dyDescent="0.4">
      <c r="A539" t="s">
        <v>27</v>
      </c>
      <c r="B539">
        <v>553</v>
      </c>
      <c r="C539" t="s">
        <v>68</v>
      </c>
      <c r="D539" t="s">
        <v>535</v>
      </c>
      <c r="E539" t="s">
        <v>1489</v>
      </c>
      <c r="F539" t="s">
        <v>1490</v>
      </c>
      <c r="H539" t="s">
        <v>1491</v>
      </c>
      <c r="I539" t="s">
        <v>1492</v>
      </c>
      <c r="J539" t="s">
        <v>1493</v>
      </c>
      <c r="K539" t="s">
        <v>35</v>
      </c>
      <c r="L539">
        <v>1787228204</v>
      </c>
      <c r="M539" t="s">
        <v>1494</v>
      </c>
      <c r="N539" t="s">
        <v>2868</v>
      </c>
      <c r="P539" t="s">
        <v>1499</v>
      </c>
      <c r="Q539" t="s">
        <v>1500</v>
      </c>
      <c r="R539" t="s">
        <v>94</v>
      </c>
      <c r="S539" t="s">
        <v>82</v>
      </c>
      <c r="T539" s="1">
        <v>43741</v>
      </c>
      <c r="U539">
        <v>0</v>
      </c>
      <c r="V539">
        <v>4</v>
      </c>
      <c r="W539" t="s">
        <v>65</v>
      </c>
      <c r="X539" t="s">
        <v>135</v>
      </c>
      <c r="Y539" t="s">
        <v>42</v>
      </c>
      <c r="Z539" t="s">
        <v>43</v>
      </c>
      <c r="AA539" t="s">
        <v>42</v>
      </c>
      <c r="AD539" t="s">
        <v>3143</v>
      </c>
    </row>
    <row r="540" spans="1:30" x14ac:dyDescent="0.4">
      <c r="A540" t="s">
        <v>27</v>
      </c>
      <c r="B540">
        <v>553</v>
      </c>
      <c r="C540" t="s">
        <v>68</v>
      </c>
      <c r="D540" t="s">
        <v>535</v>
      </c>
      <c r="E540" t="s">
        <v>1489</v>
      </c>
      <c r="F540" t="s">
        <v>1490</v>
      </c>
      <c r="H540" t="s">
        <v>1491</v>
      </c>
      <c r="I540" t="s">
        <v>1492</v>
      </c>
      <c r="J540" t="s">
        <v>1493</v>
      </c>
      <c r="K540" t="s">
        <v>35</v>
      </c>
      <c r="L540">
        <v>1787228204</v>
      </c>
      <c r="M540" t="s">
        <v>1494</v>
      </c>
      <c r="N540" t="s">
        <v>2868</v>
      </c>
      <c r="P540" t="s">
        <v>1501</v>
      </c>
      <c r="Q540" t="s">
        <v>1502</v>
      </c>
      <c r="R540" t="s">
        <v>58</v>
      </c>
      <c r="S540" t="s">
        <v>82</v>
      </c>
      <c r="T540" s="1">
        <v>44536</v>
      </c>
      <c r="U540">
        <v>0</v>
      </c>
      <c r="V540">
        <v>4</v>
      </c>
      <c r="W540" t="s">
        <v>65</v>
      </c>
      <c r="X540" t="s">
        <v>135</v>
      </c>
      <c r="Y540" t="s">
        <v>42</v>
      </c>
      <c r="Z540" t="s">
        <v>43</v>
      </c>
      <c r="AA540" t="s">
        <v>42</v>
      </c>
      <c r="AD540" t="s">
        <v>3143</v>
      </c>
    </row>
    <row r="541" spans="1:30" x14ac:dyDescent="0.4">
      <c r="A541" t="s">
        <v>27</v>
      </c>
      <c r="B541">
        <v>553</v>
      </c>
      <c r="C541" t="s">
        <v>68</v>
      </c>
      <c r="D541" t="s">
        <v>535</v>
      </c>
      <c r="E541" t="s">
        <v>1489</v>
      </c>
      <c r="F541" t="s">
        <v>1490</v>
      </c>
      <c r="H541" t="s">
        <v>1491</v>
      </c>
      <c r="I541" t="s">
        <v>1492</v>
      </c>
      <c r="J541" t="s">
        <v>1493</v>
      </c>
      <c r="K541" t="s">
        <v>35</v>
      </c>
      <c r="L541">
        <v>1787228204</v>
      </c>
      <c r="M541" t="s">
        <v>1494</v>
      </c>
      <c r="N541" t="s">
        <v>2868</v>
      </c>
      <c r="P541" t="s">
        <v>1499</v>
      </c>
      <c r="Q541" t="s">
        <v>1500</v>
      </c>
      <c r="R541" t="s">
        <v>94</v>
      </c>
      <c r="S541" t="s">
        <v>82</v>
      </c>
      <c r="T541" s="1">
        <v>43741</v>
      </c>
      <c r="U541">
        <v>0</v>
      </c>
      <c r="V541">
        <v>5</v>
      </c>
      <c r="W541" t="s">
        <v>66</v>
      </c>
      <c r="X541" t="s">
        <v>135</v>
      </c>
      <c r="Y541" t="s">
        <v>42</v>
      </c>
      <c r="Z541" t="s">
        <v>43</v>
      </c>
      <c r="AA541" t="s">
        <v>42</v>
      </c>
      <c r="AD541" t="s">
        <v>3143</v>
      </c>
    </row>
    <row r="542" spans="1:30" x14ac:dyDescent="0.4">
      <c r="A542" t="s">
        <v>27</v>
      </c>
      <c r="B542">
        <v>553</v>
      </c>
      <c r="C542" t="s">
        <v>68</v>
      </c>
      <c r="D542" t="s">
        <v>535</v>
      </c>
      <c r="E542" t="s">
        <v>1489</v>
      </c>
      <c r="F542" t="s">
        <v>1490</v>
      </c>
      <c r="H542" t="s">
        <v>1491</v>
      </c>
      <c r="I542" t="s">
        <v>1492</v>
      </c>
      <c r="J542" t="s">
        <v>1493</v>
      </c>
      <c r="K542" t="s">
        <v>35</v>
      </c>
      <c r="L542">
        <v>1787228204</v>
      </c>
      <c r="M542" t="s">
        <v>1494</v>
      </c>
      <c r="N542" t="s">
        <v>2868</v>
      </c>
      <c r="P542" t="s">
        <v>1501</v>
      </c>
      <c r="Q542" t="s">
        <v>1502</v>
      </c>
      <c r="R542" t="s">
        <v>58</v>
      </c>
      <c r="S542" t="s">
        <v>82</v>
      </c>
      <c r="T542" s="1">
        <v>44536</v>
      </c>
      <c r="U542">
        <v>0</v>
      </c>
      <c r="V542">
        <v>5</v>
      </c>
      <c r="W542" t="s">
        <v>66</v>
      </c>
      <c r="X542" t="s">
        <v>135</v>
      </c>
      <c r="Y542" t="s">
        <v>42</v>
      </c>
      <c r="Z542" t="s">
        <v>43</v>
      </c>
      <c r="AA542" t="s">
        <v>42</v>
      </c>
      <c r="AD542" t="s">
        <v>3143</v>
      </c>
    </row>
    <row r="543" spans="1:30" x14ac:dyDescent="0.4">
      <c r="A543" t="s">
        <v>27</v>
      </c>
      <c r="B543">
        <v>553</v>
      </c>
      <c r="C543" t="s">
        <v>68</v>
      </c>
      <c r="D543" t="s">
        <v>535</v>
      </c>
      <c r="E543" t="s">
        <v>1489</v>
      </c>
      <c r="F543" t="s">
        <v>1490</v>
      </c>
      <c r="H543" t="s">
        <v>1491</v>
      </c>
      <c r="I543" t="s">
        <v>1492</v>
      </c>
      <c r="J543" t="s">
        <v>1493</v>
      </c>
      <c r="K543" t="s">
        <v>35</v>
      </c>
      <c r="L543">
        <v>1787228204</v>
      </c>
      <c r="M543" t="s">
        <v>1494</v>
      </c>
      <c r="N543" t="s">
        <v>2868</v>
      </c>
      <c r="P543" t="s">
        <v>1499</v>
      </c>
      <c r="Q543" t="s">
        <v>1500</v>
      </c>
      <c r="R543" t="s">
        <v>94</v>
      </c>
      <c r="S543" t="s">
        <v>82</v>
      </c>
      <c r="T543" s="1">
        <v>43741</v>
      </c>
      <c r="U543">
        <v>0</v>
      </c>
      <c r="V543">
        <v>13</v>
      </c>
      <c r="X543" t="s">
        <v>135</v>
      </c>
      <c r="Y543" t="s">
        <v>42</v>
      </c>
      <c r="Z543" t="s">
        <v>43</v>
      </c>
      <c r="AA543" t="s">
        <v>42</v>
      </c>
      <c r="AD543" t="s">
        <v>3143</v>
      </c>
    </row>
    <row r="544" spans="1:30" x14ac:dyDescent="0.4">
      <c r="A544" t="s">
        <v>27</v>
      </c>
      <c r="B544">
        <v>553</v>
      </c>
      <c r="C544" t="s">
        <v>68</v>
      </c>
      <c r="D544" t="s">
        <v>535</v>
      </c>
      <c r="E544" t="s">
        <v>1489</v>
      </c>
      <c r="F544" t="s">
        <v>1490</v>
      </c>
      <c r="H544" t="s">
        <v>1491</v>
      </c>
      <c r="I544" t="s">
        <v>1492</v>
      </c>
      <c r="J544" t="s">
        <v>1493</v>
      </c>
      <c r="K544" t="s">
        <v>35</v>
      </c>
      <c r="L544">
        <v>1787228204</v>
      </c>
      <c r="M544" t="s">
        <v>1494</v>
      </c>
      <c r="N544" t="s">
        <v>2868</v>
      </c>
      <c r="P544" t="s">
        <v>1501</v>
      </c>
      <c r="Q544" t="s">
        <v>1502</v>
      </c>
      <c r="R544" t="s">
        <v>58</v>
      </c>
      <c r="S544" t="s">
        <v>82</v>
      </c>
      <c r="T544" s="1">
        <v>44536</v>
      </c>
      <c r="U544">
        <v>0</v>
      </c>
      <c r="V544">
        <v>13</v>
      </c>
      <c r="X544" t="s">
        <v>135</v>
      </c>
      <c r="Y544" t="s">
        <v>42</v>
      </c>
      <c r="Z544" t="s">
        <v>43</v>
      </c>
      <c r="AA544" t="s">
        <v>42</v>
      </c>
      <c r="AD544" t="s">
        <v>3143</v>
      </c>
    </row>
    <row r="545" spans="1:30" x14ac:dyDescent="0.4">
      <c r="A545" t="s">
        <v>27</v>
      </c>
      <c r="B545">
        <v>553</v>
      </c>
      <c r="C545" t="s">
        <v>68</v>
      </c>
      <c r="D545" t="s">
        <v>535</v>
      </c>
      <c r="E545" t="s">
        <v>1489</v>
      </c>
      <c r="F545" t="s">
        <v>1490</v>
      </c>
      <c r="H545" t="s">
        <v>1491</v>
      </c>
      <c r="I545" t="s">
        <v>1492</v>
      </c>
      <c r="J545" t="s">
        <v>1493</v>
      </c>
      <c r="K545" t="s">
        <v>35</v>
      </c>
      <c r="L545">
        <v>1787228204</v>
      </c>
      <c r="M545" t="s">
        <v>1494</v>
      </c>
      <c r="N545" t="s">
        <v>2868</v>
      </c>
      <c r="P545" t="s">
        <v>1499</v>
      </c>
      <c r="Q545" t="s">
        <v>1500</v>
      </c>
      <c r="R545" t="s">
        <v>94</v>
      </c>
      <c r="S545" t="s">
        <v>82</v>
      </c>
      <c r="T545" s="1">
        <v>43741</v>
      </c>
      <c r="U545">
        <v>0</v>
      </c>
      <c r="V545">
        <v>15</v>
      </c>
      <c r="X545" t="s">
        <v>135</v>
      </c>
      <c r="Y545" t="s">
        <v>42</v>
      </c>
      <c r="Z545" t="s">
        <v>43</v>
      </c>
      <c r="AA545" t="s">
        <v>42</v>
      </c>
      <c r="AD545" t="s">
        <v>3143</v>
      </c>
    </row>
    <row r="546" spans="1:30" x14ac:dyDescent="0.4">
      <c r="A546" t="s">
        <v>27</v>
      </c>
      <c r="B546">
        <v>553</v>
      </c>
      <c r="C546" t="s">
        <v>68</v>
      </c>
      <c r="D546" t="s">
        <v>535</v>
      </c>
      <c r="E546" t="s">
        <v>1489</v>
      </c>
      <c r="F546" t="s">
        <v>1490</v>
      </c>
      <c r="H546" t="s">
        <v>1491</v>
      </c>
      <c r="I546" t="s">
        <v>1492</v>
      </c>
      <c r="J546" t="s">
        <v>1493</v>
      </c>
      <c r="K546" t="s">
        <v>35</v>
      </c>
      <c r="L546">
        <v>1787228204</v>
      </c>
      <c r="M546" t="s">
        <v>1494</v>
      </c>
      <c r="N546" t="s">
        <v>2868</v>
      </c>
      <c r="P546" t="s">
        <v>1501</v>
      </c>
      <c r="Q546" t="s">
        <v>1502</v>
      </c>
      <c r="R546" t="s">
        <v>58</v>
      </c>
      <c r="S546" t="s">
        <v>82</v>
      </c>
      <c r="T546" s="1">
        <v>44536</v>
      </c>
      <c r="U546">
        <v>0</v>
      </c>
      <c r="V546">
        <v>15</v>
      </c>
      <c r="X546" t="s">
        <v>135</v>
      </c>
      <c r="Y546" t="s">
        <v>42</v>
      </c>
      <c r="Z546" t="s">
        <v>43</v>
      </c>
      <c r="AA546" t="s">
        <v>42</v>
      </c>
      <c r="AD546" t="s">
        <v>3143</v>
      </c>
    </row>
    <row r="547" spans="1:30" x14ac:dyDescent="0.4">
      <c r="A547" t="s">
        <v>27</v>
      </c>
      <c r="B547">
        <v>6149</v>
      </c>
      <c r="C547" t="s">
        <v>257</v>
      </c>
      <c r="D547" t="s">
        <v>1503</v>
      </c>
      <c r="E547" t="s">
        <v>1504</v>
      </c>
      <c r="F547" t="s">
        <v>1505</v>
      </c>
      <c r="G547" t="s">
        <v>504</v>
      </c>
      <c r="H547" t="s">
        <v>50</v>
      </c>
      <c r="I547" t="s">
        <v>51</v>
      </c>
      <c r="J547" t="s">
        <v>1506</v>
      </c>
      <c r="K547" t="s">
        <v>35</v>
      </c>
      <c r="L547">
        <v>7813467875</v>
      </c>
      <c r="M547" t="s">
        <v>1507</v>
      </c>
      <c r="N547" t="s">
        <v>2964</v>
      </c>
      <c r="P547" t="s">
        <v>1508</v>
      </c>
      <c r="Q547" t="s">
        <v>1509</v>
      </c>
      <c r="R547" t="s">
        <v>1296</v>
      </c>
      <c r="S547" t="s">
        <v>40</v>
      </c>
      <c r="T547" s="1">
        <v>43813</v>
      </c>
      <c r="U547">
        <v>0</v>
      </c>
      <c r="V547">
        <v>8</v>
      </c>
      <c r="Y547" t="s">
        <v>42</v>
      </c>
      <c r="Z547" t="s">
        <v>43</v>
      </c>
      <c r="AA547" t="s">
        <v>42</v>
      </c>
      <c r="AD547" t="s">
        <v>3143</v>
      </c>
    </row>
    <row r="548" spans="1:30" x14ac:dyDescent="0.4">
      <c r="A548" t="s">
        <v>27</v>
      </c>
      <c r="B548">
        <v>6149</v>
      </c>
      <c r="C548" t="s">
        <v>257</v>
      </c>
      <c r="D548" t="s">
        <v>1503</v>
      </c>
      <c r="E548" t="s">
        <v>1504</v>
      </c>
      <c r="F548" t="s">
        <v>1505</v>
      </c>
      <c r="G548" t="s">
        <v>504</v>
      </c>
      <c r="H548" t="s">
        <v>50</v>
      </c>
      <c r="I548" t="s">
        <v>51</v>
      </c>
      <c r="J548" t="s">
        <v>1506</v>
      </c>
      <c r="K548" t="s">
        <v>35</v>
      </c>
      <c r="L548">
        <v>7813467875</v>
      </c>
      <c r="M548" t="s">
        <v>1507</v>
      </c>
      <c r="N548" t="s">
        <v>2964</v>
      </c>
      <c r="P548" t="s">
        <v>1508</v>
      </c>
      <c r="Q548" t="s">
        <v>1509</v>
      </c>
      <c r="R548" t="s">
        <v>1296</v>
      </c>
      <c r="S548" t="s">
        <v>40</v>
      </c>
      <c r="T548" s="1">
        <v>43813</v>
      </c>
      <c r="U548">
        <v>0</v>
      </c>
      <c r="V548">
        <v>9</v>
      </c>
      <c r="Y548" t="s">
        <v>42</v>
      </c>
      <c r="Z548" t="s">
        <v>43</v>
      </c>
      <c r="AA548" t="s">
        <v>42</v>
      </c>
      <c r="AD548" t="s">
        <v>3143</v>
      </c>
    </row>
    <row r="549" spans="1:30" x14ac:dyDescent="0.4">
      <c r="A549" t="s">
        <v>27</v>
      </c>
      <c r="B549">
        <v>6149</v>
      </c>
      <c r="C549" t="s">
        <v>257</v>
      </c>
      <c r="D549" t="s">
        <v>1503</v>
      </c>
      <c r="E549" t="s">
        <v>1504</v>
      </c>
      <c r="F549" t="s">
        <v>1505</v>
      </c>
      <c r="G549" t="s">
        <v>504</v>
      </c>
      <c r="H549" t="s">
        <v>50</v>
      </c>
      <c r="I549" t="s">
        <v>51</v>
      </c>
      <c r="J549" t="s">
        <v>1506</v>
      </c>
      <c r="K549" t="s">
        <v>35</v>
      </c>
      <c r="L549">
        <v>7813467875</v>
      </c>
      <c r="M549" t="s">
        <v>1507</v>
      </c>
      <c r="N549" t="s">
        <v>2964</v>
      </c>
      <c r="P549" t="s">
        <v>1508</v>
      </c>
      <c r="Q549" t="s">
        <v>1509</v>
      </c>
      <c r="R549" t="s">
        <v>1296</v>
      </c>
      <c r="S549" t="s">
        <v>40</v>
      </c>
      <c r="T549" s="1">
        <v>43813</v>
      </c>
      <c r="U549">
        <v>0</v>
      </c>
      <c r="V549">
        <v>10</v>
      </c>
      <c r="Y549" t="s">
        <v>42</v>
      </c>
      <c r="Z549" t="s">
        <v>43</v>
      </c>
      <c r="AA549" t="s">
        <v>42</v>
      </c>
      <c r="AD549" t="s">
        <v>3143</v>
      </c>
    </row>
    <row r="550" spans="1:30" x14ac:dyDescent="0.4">
      <c r="A550" t="s">
        <v>27</v>
      </c>
      <c r="B550">
        <v>1025</v>
      </c>
      <c r="C550" t="s">
        <v>257</v>
      </c>
      <c r="D550" t="s">
        <v>1510</v>
      </c>
      <c r="E550" t="s">
        <v>1511</v>
      </c>
      <c r="F550" t="s">
        <v>1512</v>
      </c>
      <c r="G550" t="s">
        <v>1513</v>
      </c>
      <c r="H550" t="s">
        <v>584</v>
      </c>
      <c r="I550" t="s">
        <v>242</v>
      </c>
      <c r="J550" t="s">
        <v>1514</v>
      </c>
      <c r="K550" t="s">
        <v>35</v>
      </c>
      <c r="L550" t="s">
        <v>1515</v>
      </c>
      <c r="M550" t="s">
        <v>1516</v>
      </c>
      <c r="N550" t="s">
        <v>2965</v>
      </c>
      <c r="P550" t="s">
        <v>3114</v>
      </c>
      <c r="Q550" t="s">
        <v>1518</v>
      </c>
      <c r="R550" t="s">
        <v>58</v>
      </c>
      <c r="S550" t="s">
        <v>40</v>
      </c>
      <c r="T550" s="1">
        <v>44841</v>
      </c>
      <c r="U550">
        <v>0</v>
      </c>
      <c r="V550">
        <v>5</v>
      </c>
      <c r="W550" t="s">
        <v>66</v>
      </c>
      <c r="Y550" t="s">
        <v>42</v>
      </c>
      <c r="Z550" t="s">
        <v>43</v>
      </c>
      <c r="AA550" t="s">
        <v>43</v>
      </c>
      <c r="AD550" t="s">
        <v>3143</v>
      </c>
    </row>
    <row r="551" spans="1:30" x14ac:dyDescent="0.4">
      <c r="A551" t="s">
        <v>27</v>
      </c>
      <c r="B551">
        <v>1025</v>
      </c>
      <c r="C551" t="s">
        <v>257</v>
      </c>
      <c r="D551" t="s">
        <v>1510</v>
      </c>
      <c r="E551" t="s">
        <v>1511</v>
      </c>
      <c r="F551" t="s">
        <v>1512</v>
      </c>
      <c r="G551" t="s">
        <v>1513</v>
      </c>
      <c r="H551" t="s">
        <v>584</v>
      </c>
      <c r="I551" t="s">
        <v>242</v>
      </c>
      <c r="J551" t="s">
        <v>1514</v>
      </c>
      <c r="K551" t="s">
        <v>35</v>
      </c>
      <c r="L551" t="s">
        <v>1515</v>
      </c>
      <c r="M551" t="s">
        <v>1516</v>
      </c>
      <c r="N551" t="s">
        <v>2965</v>
      </c>
      <c r="P551" t="s">
        <v>3114</v>
      </c>
      <c r="Q551" t="s">
        <v>1518</v>
      </c>
      <c r="R551" t="s">
        <v>58</v>
      </c>
      <c r="S551" t="s">
        <v>40</v>
      </c>
      <c r="T551" s="1">
        <v>44841</v>
      </c>
      <c r="U551">
        <v>0</v>
      </c>
      <c r="V551">
        <v>6</v>
      </c>
      <c r="W551" t="s">
        <v>83</v>
      </c>
      <c r="Y551" t="s">
        <v>42</v>
      </c>
      <c r="Z551" t="s">
        <v>43</v>
      </c>
      <c r="AA551" t="s">
        <v>43</v>
      </c>
      <c r="AD551" t="s">
        <v>3143</v>
      </c>
    </row>
    <row r="552" spans="1:30" x14ac:dyDescent="0.4">
      <c r="A552" t="s">
        <v>27</v>
      </c>
      <c r="B552">
        <v>1025</v>
      </c>
      <c r="C552" t="s">
        <v>257</v>
      </c>
      <c r="D552" t="s">
        <v>1510</v>
      </c>
      <c r="E552" t="s">
        <v>1511</v>
      </c>
      <c r="F552" t="s">
        <v>1512</v>
      </c>
      <c r="G552" t="s">
        <v>1513</v>
      </c>
      <c r="H552" t="s">
        <v>584</v>
      </c>
      <c r="I552" t="s">
        <v>242</v>
      </c>
      <c r="J552" t="s">
        <v>1514</v>
      </c>
      <c r="K552" t="s">
        <v>35</v>
      </c>
      <c r="L552" t="s">
        <v>1515</v>
      </c>
      <c r="M552" t="s">
        <v>1516</v>
      </c>
      <c r="N552" t="s">
        <v>2965</v>
      </c>
      <c r="P552" t="s">
        <v>3114</v>
      </c>
      <c r="Q552" t="s">
        <v>1518</v>
      </c>
      <c r="R552" t="s">
        <v>58</v>
      </c>
      <c r="S552" t="s">
        <v>40</v>
      </c>
      <c r="T552" s="1">
        <v>44841</v>
      </c>
      <c r="U552">
        <v>0</v>
      </c>
      <c r="V552">
        <v>7</v>
      </c>
      <c r="Y552" t="s">
        <v>42</v>
      </c>
      <c r="Z552" t="s">
        <v>43</v>
      </c>
      <c r="AA552" t="s">
        <v>43</v>
      </c>
      <c r="AD552" t="s">
        <v>3143</v>
      </c>
    </row>
    <row r="553" spans="1:30" x14ac:dyDescent="0.4">
      <c r="A553" t="s">
        <v>27</v>
      </c>
      <c r="B553">
        <v>1025</v>
      </c>
      <c r="C553" t="s">
        <v>257</v>
      </c>
      <c r="D553" t="s">
        <v>1510</v>
      </c>
      <c r="E553" t="s">
        <v>1511</v>
      </c>
      <c r="F553" t="s">
        <v>1512</v>
      </c>
      <c r="G553" t="s">
        <v>1513</v>
      </c>
      <c r="H553" t="s">
        <v>584</v>
      </c>
      <c r="I553" t="s">
        <v>242</v>
      </c>
      <c r="J553" t="s">
        <v>1514</v>
      </c>
      <c r="K553" t="s">
        <v>35</v>
      </c>
      <c r="L553" t="s">
        <v>1515</v>
      </c>
      <c r="M553" t="s">
        <v>1516</v>
      </c>
      <c r="N553" t="s">
        <v>2965</v>
      </c>
      <c r="P553" t="s">
        <v>3114</v>
      </c>
      <c r="Q553" t="s">
        <v>1518</v>
      </c>
      <c r="R553" t="s">
        <v>58</v>
      </c>
      <c r="S553" t="s">
        <v>40</v>
      </c>
      <c r="T553" s="1">
        <v>44841</v>
      </c>
      <c r="U553">
        <v>0</v>
      </c>
      <c r="V553">
        <v>14</v>
      </c>
      <c r="Y553" t="s">
        <v>42</v>
      </c>
      <c r="Z553" t="s">
        <v>43</v>
      </c>
      <c r="AA553" t="s">
        <v>43</v>
      </c>
      <c r="AD553" t="s">
        <v>3143</v>
      </c>
    </row>
    <row r="554" spans="1:30" x14ac:dyDescent="0.4">
      <c r="A554" t="s">
        <v>27</v>
      </c>
      <c r="B554">
        <v>1025</v>
      </c>
      <c r="C554" t="s">
        <v>257</v>
      </c>
      <c r="D554" t="s">
        <v>1510</v>
      </c>
      <c r="E554" t="s">
        <v>1511</v>
      </c>
      <c r="F554" t="s">
        <v>1512</v>
      </c>
      <c r="G554" t="s">
        <v>1513</v>
      </c>
      <c r="H554" t="s">
        <v>584</v>
      </c>
      <c r="I554" t="s">
        <v>242</v>
      </c>
      <c r="J554" t="s">
        <v>1514</v>
      </c>
      <c r="K554" t="s">
        <v>35</v>
      </c>
      <c r="L554" t="s">
        <v>1515</v>
      </c>
      <c r="M554" t="s">
        <v>1516</v>
      </c>
      <c r="N554" t="s">
        <v>2965</v>
      </c>
      <c r="P554" t="s">
        <v>3114</v>
      </c>
      <c r="Q554" t="s">
        <v>1518</v>
      </c>
      <c r="R554" t="s">
        <v>58</v>
      </c>
      <c r="S554" t="s">
        <v>40</v>
      </c>
      <c r="T554" s="1">
        <v>44841</v>
      </c>
      <c r="U554">
        <v>0</v>
      </c>
      <c r="V554">
        <v>16</v>
      </c>
      <c r="Y554" t="s">
        <v>42</v>
      </c>
      <c r="Z554" t="s">
        <v>43</v>
      </c>
      <c r="AA554" t="s">
        <v>43</v>
      </c>
      <c r="AD554" t="s">
        <v>3143</v>
      </c>
    </row>
    <row r="555" spans="1:30" x14ac:dyDescent="0.4">
      <c r="A555" t="s">
        <v>27</v>
      </c>
      <c r="B555">
        <v>1025</v>
      </c>
      <c r="C555" t="s">
        <v>257</v>
      </c>
      <c r="D555" t="s">
        <v>1510</v>
      </c>
      <c r="E555" t="s">
        <v>1511</v>
      </c>
      <c r="F555" t="s">
        <v>1512</v>
      </c>
      <c r="G555" t="s">
        <v>1513</v>
      </c>
      <c r="H555" t="s">
        <v>584</v>
      </c>
      <c r="I555" t="s">
        <v>242</v>
      </c>
      <c r="J555" t="s">
        <v>1514</v>
      </c>
      <c r="K555" t="s">
        <v>35</v>
      </c>
      <c r="L555" t="s">
        <v>1515</v>
      </c>
      <c r="M555" t="s">
        <v>1516</v>
      </c>
      <c r="N555" t="s">
        <v>2965</v>
      </c>
      <c r="P555" t="s">
        <v>3114</v>
      </c>
      <c r="Q555" t="s">
        <v>1518</v>
      </c>
      <c r="R555" t="s">
        <v>58</v>
      </c>
      <c r="S555" t="s">
        <v>40</v>
      </c>
      <c r="T555" s="1">
        <v>44841</v>
      </c>
      <c r="U555">
        <v>0</v>
      </c>
      <c r="V555">
        <v>18</v>
      </c>
      <c r="Y555" t="s">
        <v>42</v>
      </c>
      <c r="Z555" t="s">
        <v>43</v>
      </c>
      <c r="AA555" t="s">
        <v>43</v>
      </c>
      <c r="AD555" t="s">
        <v>3143</v>
      </c>
    </row>
    <row r="556" spans="1:30" x14ac:dyDescent="0.4">
      <c r="A556" t="s">
        <v>27</v>
      </c>
      <c r="B556">
        <v>496</v>
      </c>
      <c r="C556" t="s">
        <v>68</v>
      </c>
      <c r="D556" t="s">
        <v>535</v>
      </c>
      <c r="E556" t="s">
        <v>1519</v>
      </c>
      <c r="F556" t="s">
        <v>1520</v>
      </c>
      <c r="G556" t="s">
        <v>1521</v>
      </c>
      <c r="H556" t="s">
        <v>1522</v>
      </c>
      <c r="I556" t="s">
        <v>528</v>
      </c>
      <c r="J556" t="s">
        <v>1523</v>
      </c>
      <c r="K556" t="s">
        <v>35</v>
      </c>
      <c r="L556">
        <v>1903740367</v>
      </c>
      <c r="M556" t="s">
        <v>1524</v>
      </c>
      <c r="N556" t="s">
        <v>2966</v>
      </c>
      <c r="P556" t="s">
        <v>1525</v>
      </c>
      <c r="Q556" t="s">
        <v>1526</v>
      </c>
      <c r="R556" t="s">
        <v>58</v>
      </c>
      <c r="S556" t="s">
        <v>40</v>
      </c>
      <c r="T556" s="1">
        <v>43494</v>
      </c>
      <c r="U556">
        <v>0</v>
      </c>
      <c r="V556">
        <v>5</v>
      </c>
      <c r="W556" t="s">
        <v>66</v>
      </c>
      <c r="Y556" t="s">
        <v>42</v>
      </c>
      <c r="Z556" t="s">
        <v>43</v>
      </c>
      <c r="AA556" t="s">
        <v>42</v>
      </c>
      <c r="AD556" t="s">
        <v>3143</v>
      </c>
    </row>
    <row r="557" spans="1:30" x14ac:dyDescent="0.4">
      <c r="A557" t="s">
        <v>27</v>
      </c>
      <c r="B557">
        <v>496</v>
      </c>
      <c r="C557" t="s">
        <v>68</v>
      </c>
      <c r="D557" t="s">
        <v>535</v>
      </c>
      <c r="E557" t="s">
        <v>1519</v>
      </c>
      <c r="F557" t="s">
        <v>1520</v>
      </c>
      <c r="G557" t="s">
        <v>1521</v>
      </c>
      <c r="H557" t="s">
        <v>1522</v>
      </c>
      <c r="I557" t="s">
        <v>528</v>
      </c>
      <c r="J557" t="s">
        <v>1523</v>
      </c>
      <c r="K557" t="s">
        <v>35</v>
      </c>
      <c r="L557">
        <v>1903740367</v>
      </c>
      <c r="M557" t="s">
        <v>1524</v>
      </c>
      <c r="N557" t="s">
        <v>2966</v>
      </c>
      <c r="P557" t="s">
        <v>1525</v>
      </c>
      <c r="Q557" t="s">
        <v>1526</v>
      </c>
      <c r="R557" t="s">
        <v>58</v>
      </c>
      <c r="S557" t="s">
        <v>40</v>
      </c>
      <c r="T557" s="1">
        <v>43494</v>
      </c>
      <c r="U557">
        <v>0</v>
      </c>
      <c r="V557">
        <v>6</v>
      </c>
      <c r="W557" t="s">
        <v>83</v>
      </c>
      <c r="Y557" t="s">
        <v>42</v>
      </c>
      <c r="Z557" t="s">
        <v>43</v>
      </c>
      <c r="AA557" t="s">
        <v>42</v>
      </c>
      <c r="AD557" t="s">
        <v>3143</v>
      </c>
    </row>
    <row r="558" spans="1:30" x14ac:dyDescent="0.4">
      <c r="A558" t="s">
        <v>27</v>
      </c>
      <c r="B558">
        <v>496</v>
      </c>
      <c r="C558" t="s">
        <v>68</v>
      </c>
      <c r="D558" t="s">
        <v>535</v>
      </c>
      <c r="E558" t="s">
        <v>1519</v>
      </c>
      <c r="F558" t="s">
        <v>1520</v>
      </c>
      <c r="G558" t="s">
        <v>1521</v>
      </c>
      <c r="H558" t="s">
        <v>1522</v>
      </c>
      <c r="I558" t="s">
        <v>528</v>
      </c>
      <c r="J558" t="s">
        <v>1523</v>
      </c>
      <c r="K558" t="s">
        <v>35</v>
      </c>
      <c r="L558">
        <v>1903740367</v>
      </c>
      <c r="M558" t="s">
        <v>1524</v>
      </c>
      <c r="N558" t="s">
        <v>2966</v>
      </c>
      <c r="P558" t="s">
        <v>1525</v>
      </c>
      <c r="Q558" t="s">
        <v>1526</v>
      </c>
      <c r="R558" t="s">
        <v>58</v>
      </c>
      <c r="S558" t="s">
        <v>40</v>
      </c>
      <c r="T558" s="1">
        <v>43494</v>
      </c>
      <c r="U558">
        <v>0</v>
      </c>
      <c r="V558">
        <v>14</v>
      </c>
      <c r="Y558" t="s">
        <v>42</v>
      </c>
      <c r="Z558" t="s">
        <v>43</v>
      </c>
      <c r="AA558" t="s">
        <v>42</v>
      </c>
      <c r="AD558" t="s">
        <v>3143</v>
      </c>
    </row>
    <row r="559" spans="1:30" x14ac:dyDescent="0.4">
      <c r="A559" t="s">
        <v>27</v>
      </c>
      <c r="B559">
        <v>496</v>
      </c>
      <c r="C559" t="s">
        <v>68</v>
      </c>
      <c r="D559" t="s">
        <v>535</v>
      </c>
      <c r="E559" t="s">
        <v>1519</v>
      </c>
      <c r="F559" t="s">
        <v>1520</v>
      </c>
      <c r="G559" t="s">
        <v>1521</v>
      </c>
      <c r="H559" t="s">
        <v>1522</v>
      </c>
      <c r="I559" t="s">
        <v>528</v>
      </c>
      <c r="J559" t="s">
        <v>1523</v>
      </c>
      <c r="K559" t="s">
        <v>35</v>
      </c>
      <c r="L559">
        <v>1903740367</v>
      </c>
      <c r="M559" t="s">
        <v>1524</v>
      </c>
      <c r="N559" t="s">
        <v>2966</v>
      </c>
      <c r="P559" t="s">
        <v>1525</v>
      </c>
      <c r="Q559" t="s">
        <v>1526</v>
      </c>
      <c r="R559" t="s">
        <v>58</v>
      </c>
      <c r="S559" t="s">
        <v>40</v>
      </c>
      <c r="T559" s="1">
        <v>43494</v>
      </c>
      <c r="U559">
        <v>0</v>
      </c>
      <c r="V559">
        <v>16</v>
      </c>
      <c r="Y559" t="s">
        <v>42</v>
      </c>
      <c r="Z559" t="s">
        <v>43</v>
      </c>
      <c r="AA559" t="s">
        <v>42</v>
      </c>
      <c r="AD559" t="s">
        <v>3143</v>
      </c>
    </row>
    <row r="560" spans="1:30" x14ac:dyDescent="0.4">
      <c r="A560" t="s">
        <v>27</v>
      </c>
      <c r="B560">
        <v>496</v>
      </c>
      <c r="C560" t="s">
        <v>68</v>
      </c>
      <c r="D560" t="s">
        <v>535</v>
      </c>
      <c r="E560" t="s">
        <v>1519</v>
      </c>
      <c r="F560" t="s">
        <v>1520</v>
      </c>
      <c r="G560" t="s">
        <v>1521</v>
      </c>
      <c r="H560" t="s">
        <v>1522</v>
      </c>
      <c r="I560" t="s">
        <v>528</v>
      </c>
      <c r="J560" t="s">
        <v>1523</v>
      </c>
      <c r="K560" t="s">
        <v>35</v>
      </c>
      <c r="L560">
        <v>1903740367</v>
      </c>
      <c r="M560" t="s">
        <v>1524</v>
      </c>
      <c r="P560" t="s">
        <v>1527</v>
      </c>
      <c r="Q560" t="s">
        <v>1528</v>
      </c>
      <c r="R560" t="s">
        <v>58</v>
      </c>
      <c r="S560" t="s">
        <v>40</v>
      </c>
      <c r="T560" s="1">
        <v>41400</v>
      </c>
      <c r="U560">
        <v>0</v>
      </c>
      <c r="V560">
        <v>0</v>
      </c>
      <c r="W560" t="s">
        <v>59</v>
      </c>
      <c r="Y560" t="s">
        <v>42</v>
      </c>
      <c r="Z560" t="s">
        <v>43</v>
      </c>
      <c r="AA560" t="s">
        <v>42</v>
      </c>
      <c r="AD560" t="s">
        <v>3143</v>
      </c>
    </row>
    <row r="561" spans="1:30" x14ac:dyDescent="0.4">
      <c r="A561" t="s">
        <v>27</v>
      </c>
      <c r="B561">
        <v>496</v>
      </c>
      <c r="C561" t="s">
        <v>68</v>
      </c>
      <c r="D561" t="s">
        <v>535</v>
      </c>
      <c r="E561" t="s">
        <v>1519</v>
      </c>
      <c r="F561" t="s">
        <v>1520</v>
      </c>
      <c r="G561" t="s">
        <v>1521</v>
      </c>
      <c r="H561" t="s">
        <v>1522</v>
      </c>
      <c r="I561" t="s">
        <v>528</v>
      </c>
      <c r="J561" t="s">
        <v>1523</v>
      </c>
      <c r="K561" t="s">
        <v>35</v>
      </c>
      <c r="L561">
        <v>1903740367</v>
      </c>
      <c r="M561" t="s">
        <v>1524</v>
      </c>
      <c r="P561" t="s">
        <v>1527</v>
      </c>
      <c r="Q561" t="s">
        <v>1528</v>
      </c>
      <c r="R561" t="s">
        <v>58</v>
      </c>
      <c r="S561" t="s">
        <v>40</v>
      </c>
      <c r="T561" s="1">
        <v>41400</v>
      </c>
      <c r="U561">
        <v>0</v>
      </c>
      <c r="V561">
        <v>0</v>
      </c>
      <c r="W561" t="s">
        <v>59</v>
      </c>
      <c r="Y561" t="s">
        <v>42</v>
      </c>
      <c r="Z561" t="s">
        <v>43</v>
      </c>
      <c r="AA561" t="s">
        <v>42</v>
      </c>
      <c r="AD561" t="s">
        <v>3143</v>
      </c>
    </row>
    <row r="562" spans="1:30" x14ac:dyDescent="0.4">
      <c r="A562" t="s">
        <v>27</v>
      </c>
      <c r="B562">
        <v>4913</v>
      </c>
      <c r="C562" t="s">
        <v>68</v>
      </c>
      <c r="D562" t="s">
        <v>594</v>
      </c>
      <c r="E562" t="s">
        <v>1529</v>
      </c>
      <c r="F562" t="s">
        <v>1530</v>
      </c>
      <c r="H562" t="s">
        <v>1531</v>
      </c>
      <c r="I562" t="s">
        <v>426</v>
      </c>
      <c r="J562" t="s">
        <v>1532</v>
      </c>
      <c r="K562" t="s">
        <v>35</v>
      </c>
      <c r="L562">
        <v>7815289733</v>
      </c>
      <c r="M562" t="s">
        <v>1533</v>
      </c>
      <c r="N562" t="s">
        <v>1534</v>
      </c>
      <c r="P562" t="s">
        <v>1535</v>
      </c>
      <c r="Q562" t="s">
        <v>1536</v>
      </c>
      <c r="R562" t="s">
        <v>3133</v>
      </c>
      <c r="S562" t="s">
        <v>40</v>
      </c>
      <c r="T562" s="1">
        <v>45059</v>
      </c>
      <c r="U562">
        <v>0</v>
      </c>
      <c r="V562">
        <v>5</v>
      </c>
      <c r="W562" t="s">
        <v>66</v>
      </c>
      <c r="Y562" t="s">
        <v>42</v>
      </c>
      <c r="Z562" t="s">
        <v>43</v>
      </c>
      <c r="AA562" t="s">
        <v>43</v>
      </c>
      <c r="AD562" t="s">
        <v>3143</v>
      </c>
    </row>
    <row r="563" spans="1:30" x14ac:dyDescent="0.4">
      <c r="A563" t="s">
        <v>27</v>
      </c>
      <c r="B563">
        <v>4913</v>
      </c>
      <c r="C563" t="s">
        <v>68</v>
      </c>
      <c r="D563" t="s">
        <v>594</v>
      </c>
      <c r="E563" t="s">
        <v>1529</v>
      </c>
      <c r="F563" t="s">
        <v>1530</v>
      </c>
      <c r="H563" t="s">
        <v>1531</v>
      </c>
      <c r="I563" t="s">
        <v>426</v>
      </c>
      <c r="J563" t="s">
        <v>1532</v>
      </c>
      <c r="K563" t="s">
        <v>35</v>
      </c>
      <c r="L563">
        <v>7815289733</v>
      </c>
      <c r="M563" t="s">
        <v>1533</v>
      </c>
      <c r="N563" t="s">
        <v>1534</v>
      </c>
      <c r="P563" t="s">
        <v>1535</v>
      </c>
      <c r="Q563" t="s">
        <v>1536</v>
      </c>
      <c r="R563" t="s">
        <v>3133</v>
      </c>
      <c r="S563" t="s">
        <v>40</v>
      </c>
      <c r="T563" s="1">
        <v>45059</v>
      </c>
      <c r="U563">
        <v>0</v>
      </c>
      <c r="V563">
        <v>6</v>
      </c>
      <c r="Y563" t="s">
        <v>42</v>
      </c>
      <c r="Z563" t="s">
        <v>43</v>
      </c>
      <c r="AA563" t="s">
        <v>43</v>
      </c>
      <c r="AD563" t="s">
        <v>3143</v>
      </c>
    </row>
    <row r="564" spans="1:30" x14ac:dyDescent="0.4">
      <c r="A564" t="s">
        <v>27</v>
      </c>
      <c r="B564">
        <v>4913</v>
      </c>
      <c r="C564" t="s">
        <v>68</v>
      </c>
      <c r="D564" t="s">
        <v>594</v>
      </c>
      <c r="E564" t="s">
        <v>1529</v>
      </c>
      <c r="F564" t="s">
        <v>1530</v>
      </c>
      <c r="H564" t="s">
        <v>1531</v>
      </c>
      <c r="I564" t="s">
        <v>426</v>
      </c>
      <c r="J564" t="s">
        <v>1532</v>
      </c>
      <c r="K564" t="s">
        <v>35</v>
      </c>
      <c r="L564">
        <v>7815289733</v>
      </c>
      <c r="M564" t="s">
        <v>1533</v>
      </c>
      <c r="N564" t="s">
        <v>1534</v>
      </c>
      <c r="P564" t="s">
        <v>1535</v>
      </c>
      <c r="Q564" t="s">
        <v>1536</v>
      </c>
      <c r="R564" t="s">
        <v>3133</v>
      </c>
      <c r="S564" t="s">
        <v>40</v>
      </c>
      <c r="T564" s="1">
        <v>45059</v>
      </c>
      <c r="U564">
        <v>0</v>
      </c>
      <c r="V564">
        <v>14</v>
      </c>
      <c r="Y564" t="s">
        <v>42</v>
      </c>
      <c r="Z564" t="s">
        <v>43</v>
      </c>
      <c r="AA564" t="s">
        <v>43</v>
      </c>
      <c r="AD564" t="s">
        <v>3143</v>
      </c>
    </row>
    <row r="565" spans="1:30" x14ac:dyDescent="0.4">
      <c r="A565" t="s">
        <v>27</v>
      </c>
      <c r="B565">
        <v>4913</v>
      </c>
      <c r="C565" t="s">
        <v>68</v>
      </c>
      <c r="D565" t="s">
        <v>594</v>
      </c>
      <c r="E565" t="s">
        <v>1529</v>
      </c>
      <c r="F565" t="s">
        <v>1530</v>
      </c>
      <c r="H565" t="s">
        <v>1531</v>
      </c>
      <c r="I565" t="s">
        <v>426</v>
      </c>
      <c r="J565" t="s">
        <v>1532</v>
      </c>
      <c r="K565" t="s">
        <v>35</v>
      </c>
      <c r="L565">
        <v>7815289733</v>
      </c>
      <c r="M565" t="s">
        <v>1533</v>
      </c>
      <c r="N565" t="s">
        <v>1534</v>
      </c>
      <c r="P565" t="s">
        <v>1535</v>
      </c>
      <c r="Q565" t="s">
        <v>1536</v>
      </c>
      <c r="R565" t="s">
        <v>3133</v>
      </c>
      <c r="S565" t="s">
        <v>40</v>
      </c>
      <c r="T565" s="1">
        <v>45059</v>
      </c>
      <c r="U565">
        <v>0</v>
      </c>
      <c r="V565">
        <v>16</v>
      </c>
      <c r="Y565" t="s">
        <v>42</v>
      </c>
      <c r="Z565" t="s">
        <v>43</v>
      </c>
      <c r="AA565" t="s">
        <v>43</v>
      </c>
      <c r="AD565" t="s">
        <v>3143</v>
      </c>
    </row>
    <row r="566" spans="1:30" x14ac:dyDescent="0.4">
      <c r="A566" t="s">
        <v>27</v>
      </c>
      <c r="B566">
        <v>4913</v>
      </c>
      <c r="C566" t="s">
        <v>68</v>
      </c>
      <c r="D566" t="s">
        <v>594</v>
      </c>
      <c r="E566" t="s">
        <v>1529</v>
      </c>
      <c r="F566" t="s">
        <v>1530</v>
      </c>
      <c r="H566" t="s">
        <v>1531</v>
      </c>
      <c r="I566" t="s">
        <v>426</v>
      </c>
      <c r="J566" t="s">
        <v>1532</v>
      </c>
      <c r="K566" t="s">
        <v>35</v>
      </c>
      <c r="L566">
        <v>7815289733</v>
      </c>
      <c r="M566" t="s">
        <v>1533</v>
      </c>
      <c r="N566" t="s">
        <v>1534</v>
      </c>
      <c r="P566" t="s">
        <v>1537</v>
      </c>
      <c r="Q566" t="s">
        <v>1538</v>
      </c>
      <c r="R566" t="s">
        <v>58</v>
      </c>
      <c r="S566" t="s">
        <v>40</v>
      </c>
      <c r="T566" s="1">
        <v>44367</v>
      </c>
      <c r="U566">
        <v>0</v>
      </c>
      <c r="V566">
        <v>0</v>
      </c>
      <c r="W566" t="s">
        <v>59</v>
      </c>
      <c r="Y566" t="s">
        <v>42</v>
      </c>
      <c r="Z566" t="s">
        <v>43</v>
      </c>
      <c r="AA566" t="s">
        <v>43</v>
      </c>
      <c r="AD566" t="s">
        <v>3143</v>
      </c>
    </row>
    <row r="567" spans="1:30" x14ac:dyDescent="0.4">
      <c r="A567" t="s">
        <v>27</v>
      </c>
      <c r="B567">
        <v>4913</v>
      </c>
      <c r="C567" t="s">
        <v>68</v>
      </c>
      <c r="D567" t="s">
        <v>594</v>
      </c>
      <c r="E567" t="s">
        <v>1529</v>
      </c>
      <c r="F567" t="s">
        <v>1530</v>
      </c>
      <c r="H567" t="s">
        <v>1531</v>
      </c>
      <c r="I567" t="s">
        <v>426</v>
      </c>
      <c r="J567" t="s">
        <v>1532</v>
      </c>
      <c r="K567" t="s">
        <v>35</v>
      </c>
      <c r="L567">
        <v>7815289733</v>
      </c>
      <c r="M567" t="s">
        <v>1533</v>
      </c>
      <c r="N567" t="s">
        <v>1534</v>
      </c>
      <c r="P567" t="s">
        <v>1537</v>
      </c>
      <c r="Q567" t="s">
        <v>1538</v>
      </c>
      <c r="R567" t="s">
        <v>58</v>
      </c>
      <c r="S567" t="s">
        <v>40</v>
      </c>
      <c r="T567" s="1">
        <v>44367</v>
      </c>
      <c r="U567">
        <v>0</v>
      </c>
      <c r="V567">
        <v>0</v>
      </c>
      <c r="W567" t="s">
        <v>59</v>
      </c>
      <c r="Y567" t="s">
        <v>42</v>
      </c>
      <c r="Z567" t="s">
        <v>43</v>
      </c>
      <c r="AA567" t="s">
        <v>43</v>
      </c>
      <c r="AD567" t="s">
        <v>3143</v>
      </c>
    </row>
    <row r="568" spans="1:30" x14ac:dyDescent="0.4">
      <c r="A568" t="s">
        <v>27</v>
      </c>
      <c r="B568">
        <v>56</v>
      </c>
      <c r="C568" t="s">
        <v>68</v>
      </c>
      <c r="D568" t="s">
        <v>1539</v>
      </c>
      <c r="E568" t="s">
        <v>1540</v>
      </c>
      <c r="F568" t="s">
        <v>1541</v>
      </c>
      <c r="H568" t="s">
        <v>348</v>
      </c>
      <c r="I568" t="s">
        <v>226</v>
      </c>
      <c r="J568" t="s">
        <v>1542</v>
      </c>
      <c r="K568" t="s">
        <v>35</v>
      </c>
      <c r="L568" t="s">
        <v>1543</v>
      </c>
      <c r="M568" t="s">
        <v>1544</v>
      </c>
      <c r="N568" t="s">
        <v>2967</v>
      </c>
      <c r="P568" t="s">
        <v>1545</v>
      </c>
      <c r="Q568" t="s">
        <v>1546</v>
      </c>
      <c r="R568" t="s">
        <v>376</v>
      </c>
      <c r="S568" t="s">
        <v>40</v>
      </c>
      <c r="T568" s="1">
        <v>44444</v>
      </c>
      <c r="U568">
        <v>0</v>
      </c>
      <c r="V568">
        <v>4</v>
      </c>
      <c r="W568" t="s">
        <v>65</v>
      </c>
      <c r="Y568" t="s">
        <v>42</v>
      </c>
      <c r="Z568" t="s">
        <v>43</v>
      </c>
      <c r="AA568" t="s">
        <v>43</v>
      </c>
      <c r="AB568" t="s">
        <v>1547</v>
      </c>
      <c r="AD568" t="s">
        <v>3143</v>
      </c>
    </row>
    <row r="569" spans="1:30" x14ac:dyDescent="0.4">
      <c r="A569" t="s">
        <v>27</v>
      </c>
      <c r="B569">
        <v>56</v>
      </c>
      <c r="C569" t="s">
        <v>68</v>
      </c>
      <c r="D569" t="s">
        <v>1539</v>
      </c>
      <c r="E569" t="s">
        <v>1540</v>
      </c>
      <c r="F569" t="s">
        <v>1541</v>
      </c>
      <c r="H569" t="s">
        <v>348</v>
      </c>
      <c r="I569" t="s">
        <v>226</v>
      </c>
      <c r="J569" t="s">
        <v>1542</v>
      </c>
      <c r="K569" t="s">
        <v>35</v>
      </c>
      <c r="L569" t="s">
        <v>1543</v>
      </c>
      <c r="M569" t="s">
        <v>1544</v>
      </c>
      <c r="N569" t="s">
        <v>2967</v>
      </c>
      <c r="P569" t="s">
        <v>1545</v>
      </c>
      <c r="Q569" t="s">
        <v>1546</v>
      </c>
      <c r="R569" t="s">
        <v>376</v>
      </c>
      <c r="S569" t="s">
        <v>40</v>
      </c>
      <c r="T569" s="1">
        <v>44444</v>
      </c>
      <c r="U569">
        <v>0</v>
      </c>
      <c r="V569">
        <v>5</v>
      </c>
      <c r="W569" t="s">
        <v>66</v>
      </c>
      <c r="Y569" t="s">
        <v>42</v>
      </c>
      <c r="Z569" t="s">
        <v>43</v>
      </c>
      <c r="AA569" t="s">
        <v>43</v>
      </c>
      <c r="AB569" t="s">
        <v>1547</v>
      </c>
      <c r="AD569" t="s">
        <v>3143</v>
      </c>
    </row>
    <row r="570" spans="1:30" x14ac:dyDescent="0.4">
      <c r="A570" t="s">
        <v>27</v>
      </c>
      <c r="B570">
        <v>2038</v>
      </c>
      <c r="C570" t="s">
        <v>68</v>
      </c>
      <c r="D570" t="s">
        <v>238</v>
      </c>
      <c r="E570" t="s">
        <v>1548</v>
      </c>
      <c r="F570" t="s">
        <v>1549</v>
      </c>
      <c r="G570" t="s">
        <v>1550</v>
      </c>
      <c r="H570" t="s">
        <v>1448</v>
      </c>
      <c r="I570" t="s">
        <v>370</v>
      </c>
      <c r="J570" t="s">
        <v>1551</v>
      </c>
      <c r="K570" t="s">
        <v>35</v>
      </c>
      <c r="L570">
        <v>7733214095</v>
      </c>
      <c r="M570" t="s">
        <v>1552</v>
      </c>
      <c r="N570" t="s">
        <v>1553</v>
      </c>
      <c r="P570" t="s">
        <v>1554</v>
      </c>
      <c r="Q570" t="s">
        <v>1555</v>
      </c>
      <c r="R570" t="s">
        <v>94</v>
      </c>
      <c r="S570" t="s">
        <v>40</v>
      </c>
      <c r="T570" s="1">
        <v>42284</v>
      </c>
      <c r="U570">
        <v>0</v>
      </c>
      <c r="V570">
        <v>0</v>
      </c>
      <c r="W570" t="s">
        <v>59</v>
      </c>
      <c r="Y570" t="s">
        <v>42</v>
      </c>
      <c r="Z570" t="s">
        <v>43</v>
      </c>
      <c r="AA570" t="s">
        <v>43</v>
      </c>
      <c r="AD570" t="s">
        <v>3143</v>
      </c>
    </row>
    <row r="571" spans="1:30" x14ac:dyDescent="0.4">
      <c r="A571" t="s">
        <v>27</v>
      </c>
      <c r="B571">
        <v>2038</v>
      </c>
      <c r="C571" t="s">
        <v>68</v>
      </c>
      <c r="D571" t="s">
        <v>238</v>
      </c>
      <c r="E571" t="s">
        <v>1548</v>
      </c>
      <c r="F571" t="s">
        <v>1549</v>
      </c>
      <c r="G571" t="s">
        <v>1550</v>
      </c>
      <c r="H571" t="s">
        <v>1448</v>
      </c>
      <c r="I571" t="s">
        <v>370</v>
      </c>
      <c r="J571" t="s">
        <v>1551</v>
      </c>
      <c r="K571" t="s">
        <v>35</v>
      </c>
      <c r="L571">
        <v>7733214095</v>
      </c>
      <c r="M571" t="s">
        <v>1552</v>
      </c>
      <c r="N571" t="s">
        <v>1553</v>
      </c>
      <c r="P571" t="s">
        <v>1554</v>
      </c>
      <c r="Q571" t="s">
        <v>1555</v>
      </c>
      <c r="R571" t="s">
        <v>94</v>
      </c>
      <c r="S571" t="s">
        <v>40</v>
      </c>
      <c r="T571" s="1">
        <v>42284</v>
      </c>
      <c r="U571">
        <v>0</v>
      </c>
      <c r="V571">
        <v>0</v>
      </c>
      <c r="W571" t="s">
        <v>59</v>
      </c>
      <c r="Y571" t="s">
        <v>42</v>
      </c>
      <c r="Z571" t="s">
        <v>43</v>
      </c>
      <c r="AA571" t="s">
        <v>43</v>
      </c>
      <c r="AD571" t="s">
        <v>3143</v>
      </c>
    </row>
    <row r="572" spans="1:30" x14ac:dyDescent="0.4">
      <c r="A572" t="s">
        <v>27</v>
      </c>
      <c r="B572">
        <v>2038</v>
      </c>
      <c r="C572" t="s">
        <v>68</v>
      </c>
      <c r="D572" t="s">
        <v>238</v>
      </c>
      <c r="E572" t="s">
        <v>1548</v>
      </c>
      <c r="F572" t="s">
        <v>1549</v>
      </c>
      <c r="G572" t="s">
        <v>1550</v>
      </c>
      <c r="H572" t="s">
        <v>1448</v>
      </c>
      <c r="I572" t="s">
        <v>370</v>
      </c>
      <c r="J572" t="s">
        <v>1551</v>
      </c>
      <c r="K572" t="s">
        <v>35</v>
      </c>
      <c r="L572">
        <v>7733214095</v>
      </c>
      <c r="M572" t="s">
        <v>1552</v>
      </c>
      <c r="N572" t="s">
        <v>2968</v>
      </c>
      <c r="P572" t="s">
        <v>1556</v>
      </c>
      <c r="Q572" t="s">
        <v>1557</v>
      </c>
      <c r="R572" t="s">
        <v>376</v>
      </c>
      <c r="S572" t="s">
        <v>40</v>
      </c>
      <c r="T572" s="1">
        <v>44354</v>
      </c>
      <c r="U572">
        <v>0</v>
      </c>
      <c r="V572">
        <v>5</v>
      </c>
      <c r="W572" t="s">
        <v>66</v>
      </c>
      <c r="Y572" t="s">
        <v>42</v>
      </c>
      <c r="Z572" t="s">
        <v>43</v>
      </c>
      <c r="AA572" t="s">
        <v>43</v>
      </c>
      <c r="AD572" t="s">
        <v>3143</v>
      </c>
    </row>
    <row r="573" spans="1:30" x14ac:dyDescent="0.4">
      <c r="A573" t="s">
        <v>27</v>
      </c>
      <c r="B573">
        <v>2038</v>
      </c>
      <c r="C573" t="s">
        <v>68</v>
      </c>
      <c r="D573" t="s">
        <v>238</v>
      </c>
      <c r="E573" t="s">
        <v>1548</v>
      </c>
      <c r="F573" t="s">
        <v>1549</v>
      </c>
      <c r="G573" t="s">
        <v>1550</v>
      </c>
      <c r="H573" t="s">
        <v>1448</v>
      </c>
      <c r="I573" t="s">
        <v>370</v>
      </c>
      <c r="J573" t="s">
        <v>1551</v>
      </c>
      <c r="K573" t="s">
        <v>35</v>
      </c>
      <c r="L573">
        <v>7733214095</v>
      </c>
      <c r="M573" t="s">
        <v>1552</v>
      </c>
      <c r="N573" t="s">
        <v>2968</v>
      </c>
      <c r="P573" t="s">
        <v>1556</v>
      </c>
      <c r="Q573" t="s">
        <v>1557</v>
      </c>
      <c r="R573" t="s">
        <v>376</v>
      </c>
      <c r="S573" t="s">
        <v>40</v>
      </c>
      <c r="T573" s="1">
        <v>44354</v>
      </c>
      <c r="U573">
        <v>0</v>
      </c>
      <c r="V573">
        <v>14</v>
      </c>
      <c r="Y573" t="s">
        <v>42</v>
      </c>
      <c r="Z573" t="s">
        <v>43</v>
      </c>
      <c r="AA573" t="s">
        <v>43</v>
      </c>
      <c r="AD573" t="s">
        <v>3143</v>
      </c>
    </row>
    <row r="574" spans="1:30" x14ac:dyDescent="0.4">
      <c r="A574" t="s">
        <v>27</v>
      </c>
      <c r="B574">
        <v>758</v>
      </c>
      <c r="C574" t="s">
        <v>68</v>
      </c>
      <c r="D574" t="s">
        <v>1558</v>
      </c>
      <c r="E574" t="s">
        <v>1559</v>
      </c>
      <c r="F574" t="s">
        <v>1560</v>
      </c>
      <c r="H574" t="s">
        <v>1561</v>
      </c>
      <c r="I574" t="s">
        <v>215</v>
      </c>
      <c r="J574" t="s">
        <v>1562</v>
      </c>
      <c r="K574" t="s">
        <v>35</v>
      </c>
      <c r="L574">
        <v>7908842800</v>
      </c>
      <c r="M574" t="s">
        <v>1563</v>
      </c>
      <c r="N574" t="s">
        <v>2969</v>
      </c>
      <c r="P574" t="s">
        <v>1564</v>
      </c>
      <c r="Q574" t="s">
        <v>1565</v>
      </c>
      <c r="R574" t="s">
        <v>58</v>
      </c>
      <c r="S574" t="s">
        <v>40</v>
      </c>
      <c r="T574" s="1">
        <v>43675</v>
      </c>
      <c r="U574">
        <v>0</v>
      </c>
      <c r="V574">
        <v>12</v>
      </c>
      <c r="Y574" t="s">
        <v>42</v>
      </c>
      <c r="Z574" t="s">
        <v>43</v>
      </c>
      <c r="AA574" t="s">
        <v>42</v>
      </c>
      <c r="AD574" t="s">
        <v>3143</v>
      </c>
    </row>
    <row r="575" spans="1:30" x14ac:dyDescent="0.4">
      <c r="A575" t="s">
        <v>27</v>
      </c>
      <c r="B575">
        <v>758</v>
      </c>
      <c r="C575" t="s">
        <v>68</v>
      </c>
      <c r="D575" t="s">
        <v>1558</v>
      </c>
      <c r="E575" t="s">
        <v>1559</v>
      </c>
      <c r="F575" t="s">
        <v>1560</v>
      </c>
      <c r="H575" t="s">
        <v>1561</v>
      </c>
      <c r="I575" t="s">
        <v>215</v>
      </c>
      <c r="J575" t="s">
        <v>1562</v>
      </c>
      <c r="K575" t="s">
        <v>35</v>
      </c>
      <c r="L575">
        <v>7908842800</v>
      </c>
      <c r="M575" t="s">
        <v>1563</v>
      </c>
      <c r="N575" t="s">
        <v>2969</v>
      </c>
      <c r="P575" t="s">
        <v>1564</v>
      </c>
      <c r="Q575" t="s">
        <v>1565</v>
      </c>
      <c r="R575" t="s">
        <v>58</v>
      </c>
      <c r="S575" t="s">
        <v>40</v>
      </c>
      <c r="T575" s="1">
        <v>43675</v>
      </c>
      <c r="U575">
        <v>0</v>
      </c>
      <c r="V575">
        <v>14</v>
      </c>
      <c r="Y575" t="s">
        <v>42</v>
      </c>
      <c r="Z575" t="s">
        <v>43</v>
      </c>
      <c r="AA575" t="s">
        <v>42</v>
      </c>
      <c r="AD575" t="s">
        <v>3143</v>
      </c>
    </row>
    <row r="576" spans="1:30" x14ac:dyDescent="0.4">
      <c r="A576" t="s">
        <v>27</v>
      </c>
      <c r="B576">
        <v>5893</v>
      </c>
      <c r="C576" t="s">
        <v>195</v>
      </c>
      <c r="D576" t="s">
        <v>772</v>
      </c>
      <c r="E576" t="s">
        <v>1566</v>
      </c>
      <c r="F576" t="s">
        <v>1567</v>
      </c>
      <c r="G576" t="s">
        <v>1568</v>
      </c>
      <c r="H576" t="s">
        <v>1569</v>
      </c>
      <c r="I576" t="s">
        <v>51</v>
      </c>
      <c r="J576" t="s">
        <v>1570</v>
      </c>
      <c r="K576" t="s">
        <v>35</v>
      </c>
      <c r="L576">
        <v>7970530026</v>
      </c>
      <c r="M576" t="s">
        <v>1571</v>
      </c>
      <c r="N576" t="s">
        <v>1572</v>
      </c>
      <c r="P576" t="s">
        <v>1573</v>
      </c>
      <c r="Q576" t="s">
        <v>1574</v>
      </c>
      <c r="R576" t="s">
        <v>3134</v>
      </c>
      <c r="S576" t="s">
        <v>82</v>
      </c>
      <c r="T576" s="1">
        <v>42752</v>
      </c>
      <c r="U576">
        <v>0</v>
      </c>
      <c r="V576">
        <v>3</v>
      </c>
      <c r="Y576" t="s">
        <v>42</v>
      </c>
      <c r="Z576" t="s">
        <v>43</v>
      </c>
      <c r="AA576" t="s">
        <v>43</v>
      </c>
      <c r="AD576" t="s">
        <v>3143</v>
      </c>
    </row>
    <row r="577" spans="1:30" x14ac:dyDescent="0.4">
      <c r="A577" t="s">
        <v>27</v>
      </c>
      <c r="B577">
        <v>5893</v>
      </c>
      <c r="C577" t="s">
        <v>195</v>
      </c>
      <c r="D577" t="s">
        <v>772</v>
      </c>
      <c r="E577" t="s">
        <v>1566</v>
      </c>
      <c r="F577" t="s">
        <v>1567</v>
      </c>
      <c r="G577" t="s">
        <v>1568</v>
      </c>
      <c r="H577" t="s">
        <v>1569</v>
      </c>
      <c r="I577" t="s">
        <v>51</v>
      </c>
      <c r="J577" t="s">
        <v>1570</v>
      </c>
      <c r="K577" t="s">
        <v>35</v>
      </c>
      <c r="L577">
        <v>7970530026</v>
      </c>
      <c r="M577" t="s">
        <v>1571</v>
      </c>
      <c r="N577" t="s">
        <v>1572</v>
      </c>
      <c r="P577" t="s">
        <v>1575</v>
      </c>
      <c r="Q577" t="s">
        <v>1576</v>
      </c>
      <c r="R577" t="s">
        <v>3134</v>
      </c>
      <c r="S577" t="s">
        <v>82</v>
      </c>
      <c r="T577" s="1">
        <v>44400</v>
      </c>
      <c r="U577">
        <v>0</v>
      </c>
      <c r="V577">
        <v>3</v>
      </c>
      <c r="Y577" t="s">
        <v>42</v>
      </c>
      <c r="Z577" t="s">
        <v>43</v>
      </c>
      <c r="AA577" t="s">
        <v>43</v>
      </c>
      <c r="AD577" t="s">
        <v>3143</v>
      </c>
    </row>
    <row r="578" spans="1:30" x14ac:dyDescent="0.4">
      <c r="A578" t="s">
        <v>27</v>
      </c>
      <c r="B578">
        <v>5893</v>
      </c>
      <c r="C578" t="s">
        <v>195</v>
      </c>
      <c r="D578" t="s">
        <v>772</v>
      </c>
      <c r="E578" t="s">
        <v>1566</v>
      </c>
      <c r="F578" t="s">
        <v>1567</v>
      </c>
      <c r="G578" t="s">
        <v>1568</v>
      </c>
      <c r="H578" t="s">
        <v>1569</v>
      </c>
      <c r="I578" t="s">
        <v>51</v>
      </c>
      <c r="J578" t="s">
        <v>1570</v>
      </c>
      <c r="K578" t="s">
        <v>35</v>
      </c>
      <c r="L578">
        <v>7970530026</v>
      </c>
      <c r="M578" t="s">
        <v>1571</v>
      </c>
      <c r="N578" t="s">
        <v>1572</v>
      </c>
      <c r="P578" t="s">
        <v>1573</v>
      </c>
      <c r="Q578" t="s">
        <v>1574</v>
      </c>
      <c r="R578" t="s">
        <v>3134</v>
      </c>
      <c r="S578" t="s">
        <v>82</v>
      </c>
      <c r="T578" s="1">
        <v>42752</v>
      </c>
      <c r="U578">
        <v>0</v>
      </c>
      <c r="V578">
        <v>11</v>
      </c>
      <c r="Y578" t="s">
        <v>42</v>
      </c>
      <c r="Z578" t="s">
        <v>43</v>
      </c>
      <c r="AA578" t="s">
        <v>43</v>
      </c>
      <c r="AD578" t="s">
        <v>3143</v>
      </c>
    </row>
    <row r="579" spans="1:30" x14ac:dyDescent="0.4">
      <c r="A579" t="s">
        <v>27</v>
      </c>
      <c r="B579">
        <v>5893</v>
      </c>
      <c r="C579" t="s">
        <v>195</v>
      </c>
      <c r="D579" t="s">
        <v>772</v>
      </c>
      <c r="E579" t="s">
        <v>1566</v>
      </c>
      <c r="F579" t="s">
        <v>1567</v>
      </c>
      <c r="G579" t="s">
        <v>1568</v>
      </c>
      <c r="H579" t="s">
        <v>1569</v>
      </c>
      <c r="I579" t="s">
        <v>51</v>
      </c>
      <c r="J579" t="s">
        <v>1570</v>
      </c>
      <c r="K579" t="s">
        <v>35</v>
      </c>
      <c r="L579">
        <v>7970530026</v>
      </c>
      <c r="M579" t="s">
        <v>1571</v>
      </c>
      <c r="N579" t="s">
        <v>1572</v>
      </c>
      <c r="P579" t="s">
        <v>1575</v>
      </c>
      <c r="Q579" t="s">
        <v>1576</v>
      </c>
      <c r="R579" t="s">
        <v>3134</v>
      </c>
      <c r="S579" t="s">
        <v>82</v>
      </c>
      <c r="T579" s="1">
        <v>44400</v>
      </c>
      <c r="U579">
        <v>0</v>
      </c>
      <c r="V579">
        <v>11</v>
      </c>
      <c r="Y579" t="s">
        <v>42</v>
      </c>
      <c r="Z579" t="s">
        <v>43</v>
      </c>
      <c r="AA579" t="s">
        <v>43</v>
      </c>
      <c r="AD579" t="s">
        <v>3143</v>
      </c>
    </row>
    <row r="580" spans="1:30" x14ac:dyDescent="0.4">
      <c r="A580" t="s">
        <v>27</v>
      </c>
      <c r="B580">
        <v>4538</v>
      </c>
      <c r="C580" t="s">
        <v>68</v>
      </c>
      <c r="D580" t="s">
        <v>1577</v>
      </c>
      <c r="E580" t="s">
        <v>1566</v>
      </c>
      <c r="F580" t="s">
        <v>1578</v>
      </c>
      <c r="G580" t="s">
        <v>1579</v>
      </c>
      <c r="H580" t="s">
        <v>1580</v>
      </c>
      <c r="I580" t="s">
        <v>495</v>
      </c>
      <c r="J580" t="s">
        <v>1581</v>
      </c>
      <c r="K580" t="s">
        <v>35</v>
      </c>
      <c r="L580" t="s">
        <v>1582</v>
      </c>
      <c r="M580" t="s">
        <v>1583</v>
      </c>
      <c r="N580" t="s">
        <v>1584</v>
      </c>
      <c r="P580" t="s">
        <v>1585</v>
      </c>
      <c r="Q580" t="s">
        <v>1586</v>
      </c>
      <c r="R580" t="s">
        <v>138</v>
      </c>
      <c r="S580" t="s">
        <v>82</v>
      </c>
      <c r="T580" s="1">
        <v>45064</v>
      </c>
      <c r="U580">
        <v>0</v>
      </c>
      <c r="V580">
        <v>4</v>
      </c>
      <c r="W580" t="s">
        <v>65</v>
      </c>
      <c r="Y580" t="s">
        <v>42</v>
      </c>
      <c r="Z580" t="s">
        <v>43</v>
      </c>
      <c r="AA580" t="s">
        <v>43</v>
      </c>
      <c r="AD580" t="s">
        <v>3143</v>
      </c>
    </row>
    <row r="581" spans="1:30" x14ac:dyDescent="0.4">
      <c r="A581" t="s">
        <v>27</v>
      </c>
      <c r="B581">
        <v>4538</v>
      </c>
      <c r="C581" t="s">
        <v>68</v>
      </c>
      <c r="D581" t="s">
        <v>1577</v>
      </c>
      <c r="E581" t="s">
        <v>1566</v>
      </c>
      <c r="F581" t="s">
        <v>1578</v>
      </c>
      <c r="G581" t="s">
        <v>1579</v>
      </c>
      <c r="H581" t="s">
        <v>1580</v>
      </c>
      <c r="I581" t="s">
        <v>495</v>
      </c>
      <c r="J581" t="s">
        <v>1581</v>
      </c>
      <c r="K581" t="s">
        <v>35</v>
      </c>
      <c r="L581" t="s">
        <v>1582</v>
      </c>
      <c r="M581" t="s">
        <v>1583</v>
      </c>
      <c r="N581" t="s">
        <v>1584</v>
      </c>
      <c r="P581" t="s">
        <v>1585</v>
      </c>
      <c r="Q581" t="s">
        <v>1586</v>
      </c>
      <c r="R581" t="s">
        <v>138</v>
      </c>
      <c r="S581" t="s">
        <v>82</v>
      </c>
      <c r="T581" s="1">
        <v>45064</v>
      </c>
      <c r="U581">
        <v>0</v>
      </c>
      <c r="V581">
        <v>5</v>
      </c>
      <c r="W581" t="s">
        <v>66</v>
      </c>
      <c r="Y581" t="s">
        <v>42</v>
      </c>
      <c r="Z581" t="s">
        <v>43</v>
      </c>
      <c r="AA581" t="s">
        <v>43</v>
      </c>
      <c r="AD581" t="s">
        <v>3143</v>
      </c>
    </row>
    <row r="582" spans="1:30" x14ac:dyDescent="0.4">
      <c r="A582" t="s">
        <v>27</v>
      </c>
      <c r="B582">
        <v>1766</v>
      </c>
      <c r="C582" t="s">
        <v>68</v>
      </c>
      <c r="D582" t="s">
        <v>979</v>
      </c>
      <c r="E582" t="s">
        <v>1566</v>
      </c>
      <c r="F582" t="s">
        <v>1587</v>
      </c>
      <c r="G582" t="s">
        <v>1588</v>
      </c>
      <c r="H582" t="s">
        <v>1589</v>
      </c>
      <c r="I582" t="s">
        <v>426</v>
      </c>
      <c r="J582" t="s">
        <v>1590</v>
      </c>
      <c r="K582" t="s">
        <v>35</v>
      </c>
      <c r="L582">
        <v>1227832759</v>
      </c>
      <c r="M582" t="s">
        <v>1591</v>
      </c>
      <c r="N582" t="s">
        <v>1592</v>
      </c>
      <c r="P582" t="s">
        <v>1593</v>
      </c>
      <c r="Q582" t="s">
        <v>1594</v>
      </c>
      <c r="R582" t="s">
        <v>94</v>
      </c>
      <c r="S582" t="s">
        <v>40</v>
      </c>
      <c r="T582" s="1">
        <v>42069</v>
      </c>
      <c r="U582">
        <v>0</v>
      </c>
      <c r="V582">
        <v>20</v>
      </c>
      <c r="Y582" t="s">
        <v>42</v>
      </c>
      <c r="Z582" t="s">
        <v>43</v>
      </c>
      <c r="AA582" t="s">
        <v>42</v>
      </c>
      <c r="AD582" t="s">
        <v>3143</v>
      </c>
    </row>
    <row r="583" spans="1:30" x14ac:dyDescent="0.4">
      <c r="A583" t="s">
        <v>27</v>
      </c>
      <c r="B583">
        <v>3275</v>
      </c>
      <c r="C583" t="s">
        <v>68</v>
      </c>
      <c r="D583" t="s">
        <v>160</v>
      </c>
      <c r="E583" t="s">
        <v>1566</v>
      </c>
      <c r="F583" t="s">
        <v>1595</v>
      </c>
      <c r="H583" t="s">
        <v>1596</v>
      </c>
      <c r="I583" t="s">
        <v>1597</v>
      </c>
      <c r="J583" t="s">
        <v>1598</v>
      </c>
      <c r="K583" t="s">
        <v>35</v>
      </c>
      <c r="L583">
        <v>7724748246</v>
      </c>
      <c r="M583" t="s">
        <v>1599</v>
      </c>
      <c r="N583" t="s">
        <v>160</v>
      </c>
      <c r="P583" t="s">
        <v>1600</v>
      </c>
      <c r="Q583" t="s">
        <v>1601</v>
      </c>
      <c r="R583" t="s">
        <v>356</v>
      </c>
      <c r="S583" t="s">
        <v>40</v>
      </c>
      <c r="T583" s="1">
        <v>43868</v>
      </c>
      <c r="U583">
        <v>0</v>
      </c>
      <c r="V583">
        <v>0</v>
      </c>
      <c r="W583" t="s">
        <v>59</v>
      </c>
      <c r="X583" t="s">
        <v>1602</v>
      </c>
      <c r="Y583" t="s">
        <v>42</v>
      </c>
      <c r="Z583" t="s">
        <v>43</v>
      </c>
      <c r="AA583" t="s">
        <v>42</v>
      </c>
      <c r="AD583" t="s">
        <v>3143</v>
      </c>
    </row>
    <row r="584" spans="1:30" x14ac:dyDescent="0.4">
      <c r="A584" t="s">
        <v>27</v>
      </c>
      <c r="B584">
        <v>3275</v>
      </c>
      <c r="C584" t="s">
        <v>68</v>
      </c>
      <c r="D584" t="s">
        <v>160</v>
      </c>
      <c r="E584" t="s">
        <v>1566</v>
      </c>
      <c r="F584" t="s">
        <v>1595</v>
      </c>
      <c r="H584" t="s">
        <v>1596</v>
      </c>
      <c r="I584" t="s">
        <v>1597</v>
      </c>
      <c r="J584" t="s">
        <v>1598</v>
      </c>
      <c r="K584" t="s">
        <v>35</v>
      </c>
      <c r="L584">
        <v>7724748246</v>
      </c>
      <c r="M584" t="s">
        <v>1599</v>
      </c>
      <c r="N584" t="s">
        <v>160</v>
      </c>
      <c r="P584" t="s">
        <v>1600</v>
      </c>
      <c r="Q584" t="s">
        <v>1601</v>
      </c>
      <c r="R584" t="s">
        <v>356</v>
      </c>
      <c r="S584" t="s">
        <v>40</v>
      </c>
      <c r="T584" s="1">
        <v>43868</v>
      </c>
      <c r="U584">
        <v>0</v>
      </c>
      <c r="V584">
        <v>0</v>
      </c>
      <c r="W584" t="s">
        <v>59</v>
      </c>
      <c r="X584" t="s">
        <v>1602</v>
      </c>
      <c r="Y584" t="s">
        <v>42</v>
      </c>
      <c r="Z584" t="s">
        <v>43</v>
      </c>
      <c r="AA584" t="s">
        <v>42</v>
      </c>
      <c r="AD584" t="s">
        <v>3143</v>
      </c>
    </row>
    <row r="585" spans="1:30" x14ac:dyDescent="0.4">
      <c r="A585" t="s">
        <v>27</v>
      </c>
      <c r="B585">
        <v>3275</v>
      </c>
      <c r="C585" t="s">
        <v>68</v>
      </c>
      <c r="D585" t="s">
        <v>160</v>
      </c>
      <c r="E585" t="s">
        <v>1566</v>
      </c>
      <c r="F585" t="s">
        <v>1595</v>
      </c>
      <c r="H585" t="s">
        <v>1596</v>
      </c>
      <c r="I585" t="s">
        <v>1597</v>
      </c>
      <c r="J585" t="s">
        <v>1598</v>
      </c>
      <c r="K585" t="s">
        <v>35</v>
      </c>
      <c r="L585">
        <v>7724748246</v>
      </c>
      <c r="M585" t="s">
        <v>1599</v>
      </c>
      <c r="N585" t="s">
        <v>160</v>
      </c>
      <c r="P585" t="s">
        <v>1603</v>
      </c>
      <c r="Q585" t="s">
        <v>1604</v>
      </c>
      <c r="S585" t="s">
        <v>82</v>
      </c>
      <c r="T585" s="1">
        <v>45364</v>
      </c>
      <c r="U585">
        <v>0</v>
      </c>
      <c r="V585">
        <v>0</v>
      </c>
      <c r="W585" t="s">
        <v>59</v>
      </c>
      <c r="X585" t="s">
        <v>1602</v>
      </c>
      <c r="Y585" t="s">
        <v>42</v>
      </c>
      <c r="Z585" t="s">
        <v>43</v>
      </c>
      <c r="AA585" t="s">
        <v>42</v>
      </c>
      <c r="AD585" t="s">
        <v>3143</v>
      </c>
    </row>
    <row r="586" spans="1:30" x14ac:dyDescent="0.4">
      <c r="A586" t="s">
        <v>27</v>
      </c>
      <c r="B586">
        <v>3275</v>
      </c>
      <c r="C586" t="s">
        <v>68</v>
      </c>
      <c r="D586" t="s">
        <v>160</v>
      </c>
      <c r="E586" t="s">
        <v>1566</v>
      </c>
      <c r="F586" t="s">
        <v>1595</v>
      </c>
      <c r="H586" t="s">
        <v>1596</v>
      </c>
      <c r="I586" t="s">
        <v>1597</v>
      </c>
      <c r="J586" t="s">
        <v>1598</v>
      </c>
      <c r="K586" t="s">
        <v>35</v>
      </c>
      <c r="L586">
        <v>7724748246</v>
      </c>
      <c r="M586" t="s">
        <v>1599</v>
      </c>
      <c r="N586" t="s">
        <v>160</v>
      </c>
      <c r="P586" t="s">
        <v>1603</v>
      </c>
      <c r="Q586" t="s">
        <v>1604</v>
      </c>
      <c r="S586" t="s">
        <v>82</v>
      </c>
      <c r="T586" s="1">
        <v>45364</v>
      </c>
      <c r="U586">
        <v>0</v>
      </c>
      <c r="V586">
        <v>0</v>
      </c>
      <c r="W586" t="s">
        <v>59</v>
      </c>
      <c r="X586" t="s">
        <v>1602</v>
      </c>
      <c r="Y586" t="s">
        <v>42</v>
      </c>
      <c r="Z586" t="s">
        <v>43</v>
      </c>
      <c r="AA586" t="s">
        <v>42</v>
      </c>
      <c r="AD586" t="s">
        <v>3143</v>
      </c>
    </row>
    <row r="587" spans="1:30" x14ac:dyDescent="0.4">
      <c r="A587" t="s">
        <v>27</v>
      </c>
      <c r="B587">
        <v>6160</v>
      </c>
      <c r="C587" t="s">
        <v>257</v>
      </c>
      <c r="D587" t="s">
        <v>384</v>
      </c>
      <c r="E587" t="s">
        <v>1605</v>
      </c>
      <c r="F587" t="s">
        <v>1606</v>
      </c>
      <c r="H587" t="s">
        <v>1607</v>
      </c>
      <c r="I587" t="s">
        <v>51</v>
      </c>
      <c r="J587" t="s">
        <v>1608</v>
      </c>
      <c r="K587" t="s">
        <v>35</v>
      </c>
      <c r="L587">
        <v>7815600317</v>
      </c>
      <c r="M587" t="s">
        <v>1609</v>
      </c>
      <c r="N587" t="s">
        <v>2900</v>
      </c>
      <c r="P587" t="s">
        <v>1610</v>
      </c>
      <c r="Q587" t="s">
        <v>1611</v>
      </c>
      <c r="R587" t="s">
        <v>534</v>
      </c>
      <c r="S587" t="s">
        <v>82</v>
      </c>
      <c r="T587" s="1">
        <v>44851</v>
      </c>
      <c r="U587">
        <v>0</v>
      </c>
      <c r="V587">
        <v>1</v>
      </c>
      <c r="Y587" t="s">
        <v>42</v>
      </c>
      <c r="Z587" t="s">
        <v>43</v>
      </c>
      <c r="AA587" t="s">
        <v>43</v>
      </c>
      <c r="AD587" t="s">
        <v>3143</v>
      </c>
    </row>
    <row r="588" spans="1:30" x14ac:dyDescent="0.4">
      <c r="A588" t="s">
        <v>27</v>
      </c>
      <c r="B588">
        <v>6160</v>
      </c>
      <c r="C588" t="s">
        <v>257</v>
      </c>
      <c r="D588" t="s">
        <v>384</v>
      </c>
      <c r="E588" t="s">
        <v>1605</v>
      </c>
      <c r="F588" t="s">
        <v>1606</v>
      </c>
      <c r="H588" t="s">
        <v>1607</v>
      </c>
      <c r="I588" t="s">
        <v>51</v>
      </c>
      <c r="J588" t="s">
        <v>1608</v>
      </c>
      <c r="K588" t="s">
        <v>35</v>
      </c>
      <c r="L588">
        <v>7815600317</v>
      </c>
      <c r="M588" t="s">
        <v>1609</v>
      </c>
      <c r="N588" t="s">
        <v>2900</v>
      </c>
      <c r="P588" t="s">
        <v>1610</v>
      </c>
      <c r="Q588" t="s">
        <v>1611</v>
      </c>
      <c r="R588" t="s">
        <v>534</v>
      </c>
      <c r="S588" t="s">
        <v>82</v>
      </c>
      <c r="T588" s="1">
        <v>44851</v>
      </c>
      <c r="U588">
        <v>0</v>
      </c>
      <c r="V588">
        <v>2</v>
      </c>
      <c r="Y588" t="s">
        <v>42</v>
      </c>
      <c r="Z588" t="s">
        <v>43</v>
      </c>
      <c r="AA588" t="s">
        <v>43</v>
      </c>
      <c r="AD588" t="s">
        <v>3143</v>
      </c>
    </row>
    <row r="589" spans="1:30" x14ac:dyDescent="0.4">
      <c r="A589" t="s">
        <v>27</v>
      </c>
      <c r="B589">
        <v>6160</v>
      </c>
      <c r="C589" t="s">
        <v>257</v>
      </c>
      <c r="D589" t="s">
        <v>384</v>
      </c>
      <c r="E589" t="s">
        <v>1605</v>
      </c>
      <c r="F589" t="s">
        <v>1606</v>
      </c>
      <c r="H589" t="s">
        <v>1607</v>
      </c>
      <c r="I589" t="s">
        <v>51</v>
      </c>
      <c r="J589" t="s">
        <v>1608</v>
      </c>
      <c r="K589" t="s">
        <v>35</v>
      </c>
      <c r="L589">
        <v>7815600317</v>
      </c>
      <c r="M589" t="s">
        <v>1609</v>
      </c>
      <c r="N589" t="s">
        <v>2900</v>
      </c>
      <c r="P589" t="s">
        <v>1610</v>
      </c>
      <c r="Q589" t="s">
        <v>1611</v>
      </c>
      <c r="R589" t="s">
        <v>534</v>
      </c>
      <c r="S589" t="s">
        <v>82</v>
      </c>
      <c r="T589" s="1">
        <v>44851</v>
      </c>
      <c r="U589">
        <v>0</v>
      </c>
      <c r="V589">
        <v>3</v>
      </c>
      <c r="Y589" t="s">
        <v>42</v>
      </c>
      <c r="Z589" t="s">
        <v>43</v>
      </c>
      <c r="AA589" t="s">
        <v>43</v>
      </c>
      <c r="AD589" t="s">
        <v>3143</v>
      </c>
    </row>
    <row r="590" spans="1:30" x14ac:dyDescent="0.4">
      <c r="A590" t="s">
        <v>27</v>
      </c>
      <c r="B590">
        <v>6160</v>
      </c>
      <c r="C590" t="s">
        <v>257</v>
      </c>
      <c r="D590" t="s">
        <v>384</v>
      </c>
      <c r="E590" t="s">
        <v>1605</v>
      </c>
      <c r="F590" t="s">
        <v>1606</v>
      </c>
      <c r="H590" t="s">
        <v>1607</v>
      </c>
      <c r="I590" t="s">
        <v>51</v>
      </c>
      <c r="J590" t="s">
        <v>1608</v>
      </c>
      <c r="K590" t="s">
        <v>35</v>
      </c>
      <c r="L590">
        <v>7815600317</v>
      </c>
      <c r="M590" t="s">
        <v>1609</v>
      </c>
      <c r="N590" t="s">
        <v>2900</v>
      </c>
      <c r="P590" t="s">
        <v>1610</v>
      </c>
      <c r="Q590" t="s">
        <v>1611</v>
      </c>
      <c r="R590" t="s">
        <v>534</v>
      </c>
      <c r="S590" t="s">
        <v>82</v>
      </c>
      <c r="T590" s="1">
        <v>44851</v>
      </c>
      <c r="U590">
        <v>0</v>
      </c>
      <c r="V590">
        <v>8</v>
      </c>
      <c r="Y590" t="s">
        <v>42</v>
      </c>
      <c r="Z590" t="s">
        <v>43</v>
      </c>
      <c r="AA590" t="s">
        <v>43</v>
      </c>
      <c r="AD590" t="s">
        <v>3143</v>
      </c>
    </row>
    <row r="591" spans="1:30" x14ac:dyDescent="0.4">
      <c r="A591" t="s">
        <v>27</v>
      </c>
      <c r="B591">
        <v>6160</v>
      </c>
      <c r="C591" t="s">
        <v>257</v>
      </c>
      <c r="D591" t="s">
        <v>384</v>
      </c>
      <c r="E591" t="s">
        <v>1605</v>
      </c>
      <c r="F591" t="s">
        <v>1606</v>
      </c>
      <c r="H591" t="s">
        <v>1607</v>
      </c>
      <c r="I591" t="s">
        <v>51</v>
      </c>
      <c r="J591" t="s">
        <v>1608</v>
      </c>
      <c r="K591" t="s">
        <v>35</v>
      </c>
      <c r="L591">
        <v>7815600317</v>
      </c>
      <c r="M591" t="s">
        <v>1609</v>
      </c>
      <c r="N591" t="s">
        <v>2900</v>
      </c>
      <c r="P591" t="s">
        <v>1610</v>
      </c>
      <c r="Q591" t="s">
        <v>1611</v>
      </c>
      <c r="R591" t="s">
        <v>534</v>
      </c>
      <c r="S591" t="s">
        <v>82</v>
      </c>
      <c r="T591" s="1">
        <v>44851</v>
      </c>
      <c r="U591">
        <v>0</v>
      </c>
      <c r="V591">
        <v>9</v>
      </c>
      <c r="Y591" t="s">
        <v>42</v>
      </c>
      <c r="Z591" t="s">
        <v>43</v>
      </c>
      <c r="AA591" t="s">
        <v>43</v>
      </c>
      <c r="AD591" t="s">
        <v>3143</v>
      </c>
    </row>
    <row r="592" spans="1:30" x14ac:dyDescent="0.4">
      <c r="A592" t="s">
        <v>27</v>
      </c>
      <c r="B592">
        <v>6160</v>
      </c>
      <c r="C592" t="s">
        <v>257</v>
      </c>
      <c r="D592" t="s">
        <v>384</v>
      </c>
      <c r="E592" t="s">
        <v>1605</v>
      </c>
      <c r="F592" t="s">
        <v>1606</v>
      </c>
      <c r="H592" t="s">
        <v>1607</v>
      </c>
      <c r="I592" t="s">
        <v>51</v>
      </c>
      <c r="J592" t="s">
        <v>1608</v>
      </c>
      <c r="K592" t="s">
        <v>35</v>
      </c>
      <c r="L592">
        <v>7815600317</v>
      </c>
      <c r="M592" t="s">
        <v>1609</v>
      </c>
      <c r="N592" t="s">
        <v>2900</v>
      </c>
      <c r="P592" t="s">
        <v>1610</v>
      </c>
      <c r="Q592" t="s">
        <v>1611</v>
      </c>
      <c r="R592" t="s">
        <v>534</v>
      </c>
      <c r="S592" t="s">
        <v>82</v>
      </c>
      <c r="T592" s="1">
        <v>44851</v>
      </c>
      <c r="U592">
        <v>0</v>
      </c>
      <c r="V592">
        <v>10</v>
      </c>
      <c r="Y592" t="s">
        <v>42</v>
      </c>
      <c r="Z592" t="s">
        <v>43</v>
      </c>
      <c r="AA592" t="s">
        <v>43</v>
      </c>
      <c r="AD592" t="s">
        <v>3143</v>
      </c>
    </row>
    <row r="593" spans="1:30" x14ac:dyDescent="0.4">
      <c r="A593" t="s">
        <v>27</v>
      </c>
      <c r="B593">
        <v>1545</v>
      </c>
      <c r="C593" t="s">
        <v>68</v>
      </c>
      <c r="D593" t="s">
        <v>47</v>
      </c>
      <c r="E593" t="s">
        <v>1612</v>
      </c>
      <c r="F593" t="s">
        <v>1613</v>
      </c>
      <c r="G593" t="s">
        <v>1614</v>
      </c>
      <c r="H593" t="s">
        <v>1615</v>
      </c>
      <c r="I593" t="s">
        <v>330</v>
      </c>
      <c r="J593" t="s">
        <v>1616</v>
      </c>
      <c r="K593" t="s">
        <v>35</v>
      </c>
      <c r="L593" t="s">
        <v>1617</v>
      </c>
      <c r="M593" t="s">
        <v>1618</v>
      </c>
      <c r="N593" t="s">
        <v>2970</v>
      </c>
      <c r="P593" t="s">
        <v>1619</v>
      </c>
      <c r="Q593" t="s">
        <v>1620</v>
      </c>
      <c r="R593" t="s">
        <v>474</v>
      </c>
      <c r="S593" t="s">
        <v>40</v>
      </c>
      <c r="T593" s="1">
        <v>43948</v>
      </c>
      <c r="U593">
        <v>0</v>
      </c>
      <c r="V593">
        <v>11</v>
      </c>
      <c r="Y593" t="s">
        <v>42</v>
      </c>
      <c r="Z593" t="s">
        <v>43</v>
      </c>
      <c r="AA593" t="s">
        <v>42</v>
      </c>
      <c r="AB593" t="s">
        <v>1621</v>
      </c>
      <c r="AD593" t="s">
        <v>3143</v>
      </c>
    </row>
    <row r="594" spans="1:30" x14ac:dyDescent="0.4">
      <c r="A594" t="s">
        <v>27</v>
      </c>
      <c r="B594">
        <v>1545</v>
      </c>
      <c r="C594" t="s">
        <v>68</v>
      </c>
      <c r="D594" t="s">
        <v>47</v>
      </c>
      <c r="E594" t="s">
        <v>1612</v>
      </c>
      <c r="F594" t="s">
        <v>1613</v>
      </c>
      <c r="G594" t="s">
        <v>1614</v>
      </c>
      <c r="H594" t="s">
        <v>1615</v>
      </c>
      <c r="I594" t="s">
        <v>330</v>
      </c>
      <c r="J594" t="s">
        <v>1616</v>
      </c>
      <c r="K594" t="s">
        <v>35</v>
      </c>
      <c r="L594" t="s">
        <v>1617</v>
      </c>
      <c r="M594" t="s">
        <v>1618</v>
      </c>
      <c r="N594" t="s">
        <v>2970</v>
      </c>
      <c r="P594" t="s">
        <v>1622</v>
      </c>
      <c r="Q594" t="s">
        <v>1623</v>
      </c>
      <c r="R594" t="s">
        <v>474</v>
      </c>
      <c r="S594" t="s">
        <v>40</v>
      </c>
      <c r="T594" s="1">
        <v>42510</v>
      </c>
      <c r="U594">
        <v>0</v>
      </c>
      <c r="V594">
        <v>12</v>
      </c>
      <c r="Y594" t="s">
        <v>42</v>
      </c>
      <c r="Z594" t="s">
        <v>43</v>
      </c>
      <c r="AA594" t="s">
        <v>42</v>
      </c>
      <c r="AB594" t="s">
        <v>1621</v>
      </c>
      <c r="AD594" t="s">
        <v>3143</v>
      </c>
    </row>
    <row r="595" spans="1:30" x14ac:dyDescent="0.4">
      <c r="A595" t="s">
        <v>27</v>
      </c>
      <c r="B595">
        <v>1545</v>
      </c>
      <c r="C595" t="s">
        <v>68</v>
      </c>
      <c r="D595" t="s">
        <v>47</v>
      </c>
      <c r="E595" t="s">
        <v>1612</v>
      </c>
      <c r="F595" t="s">
        <v>1613</v>
      </c>
      <c r="G595" t="s">
        <v>1614</v>
      </c>
      <c r="H595" t="s">
        <v>1615</v>
      </c>
      <c r="I595" t="s">
        <v>330</v>
      </c>
      <c r="J595" t="s">
        <v>1616</v>
      </c>
      <c r="K595" t="s">
        <v>35</v>
      </c>
      <c r="L595" t="s">
        <v>1617</v>
      </c>
      <c r="M595" t="s">
        <v>1618</v>
      </c>
      <c r="N595" t="s">
        <v>2970</v>
      </c>
      <c r="P595" t="s">
        <v>1622</v>
      </c>
      <c r="Q595" t="s">
        <v>1623</v>
      </c>
      <c r="R595" t="s">
        <v>474</v>
      </c>
      <c r="S595" t="s">
        <v>40</v>
      </c>
      <c r="T595" s="1">
        <v>42510</v>
      </c>
      <c r="U595">
        <v>0</v>
      </c>
      <c r="V595">
        <v>14</v>
      </c>
      <c r="Y595" t="s">
        <v>42</v>
      </c>
      <c r="Z595" t="s">
        <v>43</v>
      </c>
      <c r="AA595" t="s">
        <v>42</v>
      </c>
      <c r="AB595" t="s">
        <v>1621</v>
      </c>
      <c r="AD595" t="s">
        <v>3143</v>
      </c>
    </row>
    <row r="596" spans="1:30" x14ac:dyDescent="0.4">
      <c r="A596" t="s">
        <v>27</v>
      </c>
      <c r="B596">
        <v>1545</v>
      </c>
      <c r="C596" t="s">
        <v>68</v>
      </c>
      <c r="D596" t="s">
        <v>47</v>
      </c>
      <c r="E596" t="s">
        <v>1612</v>
      </c>
      <c r="F596" t="s">
        <v>1613</v>
      </c>
      <c r="G596" t="s">
        <v>1614</v>
      </c>
      <c r="H596" t="s">
        <v>1615</v>
      </c>
      <c r="I596" t="s">
        <v>330</v>
      </c>
      <c r="J596" t="s">
        <v>1616</v>
      </c>
      <c r="K596" t="s">
        <v>35</v>
      </c>
      <c r="L596" t="s">
        <v>1617</v>
      </c>
      <c r="M596" t="s">
        <v>1618</v>
      </c>
      <c r="N596" t="s">
        <v>2970</v>
      </c>
      <c r="P596" t="s">
        <v>1622</v>
      </c>
      <c r="Q596" t="s">
        <v>1623</v>
      </c>
      <c r="R596" t="s">
        <v>474</v>
      </c>
      <c r="S596" t="s">
        <v>40</v>
      </c>
      <c r="T596" s="1">
        <v>42510</v>
      </c>
      <c r="U596">
        <v>0</v>
      </c>
      <c r="V596">
        <v>16</v>
      </c>
      <c r="Y596" t="s">
        <v>42</v>
      </c>
      <c r="Z596" t="s">
        <v>43</v>
      </c>
      <c r="AA596" t="s">
        <v>42</v>
      </c>
      <c r="AB596" t="s">
        <v>1621</v>
      </c>
      <c r="AD596" t="s">
        <v>3143</v>
      </c>
    </row>
    <row r="597" spans="1:30" x14ac:dyDescent="0.4">
      <c r="A597" t="s">
        <v>27</v>
      </c>
      <c r="B597">
        <v>4697</v>
      </c>
      <c r="C597" t="s">
        <v>257</v>
      </c>
      <c r="D597" t="s">
        <v>1624</v>
      </c>
      <c r="E597" t="s">
        <v>1625</v>
      </c>
      <c r="F597" t="s">
        <v>1626</v>
      </c>
      <c r="G597" t="s">
        <v>1627</v>
      </c>
      <c r="H597" t="s">
        <v>1227</v>
      </c>
      <c r="I597" t="s">
        <v>1628</v>
      </c>
      <c r="J597" t="s">
        <v>1629</v>
      </c>
      <c r="K597" t="s">
        <v>35</v>
      </c>
      <c r="L597">
        <v>7810103919</v>
      </c>
      <c r="M597" t="s">
        <v>1630</v>
      </c>
      <c r="N597" t="s">
        <v>2971</v>
      </c>
      <c r="P597" t="s">
        <v>1632</v>
      </c>
      <c r="Q597" t="s">
        <v>1633</v>
      </c>
      <c r="R597" t="s">
        <v>58</v>
      </c>
      <c r="S597" t="s">
        <v>40</v>
      </c>
      <c r="T597" s="1">
        <v>44841</v>
      </c>
      <c r="U597">
        <v>0</v>
      </c>
      <c r="V597">
        <v>4</v>
      </c>
      <c r="W597" t="s">
        <v>65</v>
      </c>
      <c r="Y597" t="s">
        <v>42</v>
      </c>
      <c r="Z597" t="s">
        <v>43</v>
      </c>
      <c r="AA597" t="s">
        <v>43</v>
      </c>
      <c r="AD597" t="s">
        <v>3143</v>
      </c>
    </row>
    <row r="598" spans="1:30" x14ac:dyDescent="0.4">
      <c r="A598" t="s">
        <v>27</v>
      </c>
      <c r="B598">
        <v>4697</v>
      </c>
      <c r="C598" t="s">
        <v>257</v>
      </c>
      <c r="D598" t="s">
        <v>1624</v>
      </c>
      <c r="E598" t="s">
        <v>1625</v>
      </c>
      <c r="F598" t="s">
        <v>1626</v>
      </c>
      <c r="G598" t="s">
        <v>1627</v>
      </c>
      <c r="H598" t="s">
        <v>1227</v>
      </c>
      <c r="I598" t="s">
        <v>1628</v>
      </c>
      <c r="J598" t="s">
        <v>1629</v>
      </c>
      <c r="K598" t="s">
        <v>35</v>
      </c>
      <c r="L598">
        <v>7810103919</v>
      </c>
      <c r="M598" t="s">
        <v>1630</v>
      </c>
      <c r="N598" t="s">
        <v>2971</v>
      </c>
      <c r="P598" t="s">
        <v>1632</v>
      </c>
      <c r="Q598" t="s">
        <v>1633</v>
      </c>
      <c r="R598" t="s">
        <v>58</v>
      </c>
      <c r="S598" t="s">
        <v>40</v>
      </c>
      <c r="T598" s="1">
        <v>44841</v>
      </c>
      <c r="U598">
        <v>0</v>
      </c>
      <c r="V598">
        <v>5</v>
      </c>
      <c r="W598" t="s">
        <v>66</v>
      </c>
      <c r="Y598" t="s">
        <v>42</v>
      </c>
      <c r="Z598" t="s">
        <v>43</v>
      </c>
      <c r="AA598" t="s">
        <v>43</v>
      </c>
      <c r="AD598" t="s">
        <v>3143</v>
      </c>
    </row>
    <row r="599" spans="1:30" x14ac:dyDescent="0.4">
      <c r="A599" t="s">
        <v>27</v>
      </c>
      <c r="B599">
        <v>4697</v>
      </c>
      <c r="C599" t="s">
        <v>257</v>
      </c>
      <c r="D599" t="s">
        <v>1624</v>
      </c>
      <c r="E599" t="s">
        <v>1625</v>
      </c>
      <c r="F599" t="s">
        <v>1626</v>
      </c>
      <c r="G599" t="s">
        <v>1627</v>
      </c>
      <c r="H599" t="s">
        <v>1227</v>
      </c>
      <c r="I599" t="s">
        <v>1628</v>
      </c>
      <c r="J599" t="s">
        <v>1629</v>
      </c>
      <c r="K599" t="s">
        <v>35</v>
      </c>
      <c r="L599">
        <v>7810103919</v>
      </c>
      <c r="M599" t="s">
        <v>1630</v>
      </c>
      <c r="N599" t="s">
        <v>2971</v>
      </c>
      <c r="P599" t="s">
        <v>1634</v>
      </c>
      <c r="Q599" t="s">
        <v>1635</v>
      </c>
      <c r="R599" t="s">
        <v>94</v>
      </c>
      <c r="S599" t="s">
        <v>40</v>
      </c>
      <c r="T599" s="1">
        <v>42963</v>
      </c>
      <c r="U599">
        <v>0</v>
      </c>
      <c r="V599">
        <v>6</v>
      </c>
      <c r="W599" t="s">
        <v>83</v>
      </c>
      <c r="Y599" t="s">
        <v>42</v>
      </c>
      <c r="Z599" t="s">
        <v>43</v>
      </c>
      <c r="AA599" t="s">
        <v>43</v>
      </c>
      <c r="AD599" t="s">
        <v>3143</v>
      </c>
    </row>
    <row r="600" spans="1:30" x14ac:dyDescent="0.4">
      <c r="A600" t="s">
        <v>27</v>
      </c>
      <c r="B600">
        <v>4697</v>
      </c>
      <c r="C600" t="s">
        <v>257</v>
      </c>
      <c r="D600" t="s">
        <v>1624</v>
      </c>
      <c r="E600" t="s">
        <v>1625</v>
      </c>
      <c r="F600" t="s">
        <v>1626</v>
      </c>
      <c r="G600" t="s">
        <v>1627</v>
      </c>
      <c r="H600" t="s">
        <v>1227</v>
      </c>
      <c r="I600" t="s">
        <v>1628</v>
      </c>
      <c r="J600" t="s">
        <v>1629</v>
      </c>
      <c r="K600" t="s">
        <v>35</v>
      </c>
      <c r="L600">
        <v>7810103919</v>
      </c>
      <c r="M600" t="s">
        <v>1630</v>
      </c>
      <c r="N600" t="s">
        <v>2971</v>
      </c>
      <c r="P600" t="s">
        <v>1634</v>
      </c>
      <c r="Q600" t="s">
        <v>1635</v>
      </c>
      <c r="R600" t="s">
        <v>94</v>
      </c>
      <c r="S600" t="s">
        <v>40</v>
      </c>
      <c r="T600" s="1">
        <v>42963</v>
      </c>
      <c r="U600">
        <v>0</v>
      </c>
      <c r="V600">
        <v>7</v>
      </c>
      <c r="Y600" t="s">
        <v>42</v>
      </c>
      <c r="Z600" t="s">
        <v>43</v>
      </c>
      <c r="AA600" t="s">
        <v>43</v>
      </c>
      <c r="AD600" t="s">
        <v>3143</v>
      </c>
    </row>
    <row r="601" spans="1:30" x14ac:dyDescent="0.4">
      <c r="A601" t="s">
        <v>27</v>
      </c>
      <c r="B601">
        <v>4697</v>
      </c>
      <c r="C601" t="s">
        <v>257</v>
      </c>
      <c r="D601" t="s">
        <v>1624</v>
      </c>
      <c r="E601" t="s">
        <v>1625</v>
      </c>
      <c r="F601" t="s">
        <v>1626</v>
      </c>
      <c r="G601" t="s">
        <v>1627</v>
      </c>
      <c r="H601" t="s">
        <v>1227</v>
      </c>
      <c r="I601" t="s">
        <v>1628</v>
      </c>
      <c r="J601" t="s">
        <v>1629</v>
      </c>
      <c r="K601" t="s">
        <v>35</v>
      </c>
      <c r="L601">
        <v>7810103919</v>
      </c>
      <c r="M601" t="s">
        <v>1630</v>
      </c>
      <c r="N601" t="s">
        <v>1631</v>
      </c>
      <c r="P601" t="s">
        <v>1636</v>
      </c>
      <c r="Q601" t="s">
        <v>1637</v>
      </c>
      <c r="R601" t="s">
        <v>1638</v>
      </c>
      <c r="S601" t="s">
        <v>82</v>
      </c>
      <c r="T601" s="1">
        <v>44380</v>
      </c>
      <c r="U601">
        <v>0</v>
      </c>
      <c r="V601">
        <v>0</v>
      </c>
      <c r="W601" t="s">
        <v>59</v>
      </c>
      <c r="Y601" t="s">
        <v>42</v>
      </c>
      <c r="Z601" t="s">
        <v>43</v>
      </c>
      <c r="AA601" t="s">
        <v>43</v>
      </c>
      <c r="AD601" t="s">
        <v>3143</v>
      </c>
    </row>
    <row r="602" spans="1:30" x14ac:dyDescent="0.4">
      <c r="A602" t="s">
        <v>27</v>
      </c>
      <c r="B602">
        <v>4697</v>
      </c>
      <c r="C602" t="s">
        <v>257</v>
      </c>
      <c r="D602" t="s">
        <v>1624</v>
      </c>
      <c r="E602" t="s">
        <v>1625</v>
      </c>
      <c r="F602" t="s">
        <v>1626</v>
      </c>
      <c r="G602" t="s">
        <v>1627</v>
      </c>
      <c r="H602" t="s">
        <v>1227</v>
      </c>
      <c r="I602" t="s">
        <v>1628</v>
      </c>
      <c r="J602" t="s">
        <v>1629</v>
      </c>
      <c r="K602" t="s">
        <v>35</v>
      </c>
      <c r="L602">
        <v>7810103919</v>
      </c>
      <c r="M602" t="s">
        <v>1630</v>
      </c>
      <c r="N602" t="s">
        <v>2971</v>
      </c>
      <c r="P602" t="s">
        <v>1632</v>
      </c>
      <c r="Q602" t="s">
        <v>1633</v>
      </c>
      <c r="R602" t="s">
        <v>58</v>
      </c>
      <c r="S602" t="s">
        <v>40</v>
      </c>
      <c r="T602" s="1">
        <v>44841</v>
      </c>
      <c r="U602">
        <v>0</v>
      </c>
      <c r="V602">
        <v>12</v>
      </c>
      <c r="Y602" t="s">
        <v>42</v>
      </c>
      <c r="Z602" t="s">
        <v>43</v>
      </c>
      <c r="AA602" t="s">
        <v>43</v>
      </c>
      <c r="AD602" t="s">
        <v>3143</v>
      </c>
    </row>
    <row r="603" spans="1:30" x14ac:dyDescent="0.4">
      <c r="A603" t="s">
        <v>27</v>
      </c>
      <c r="B603">
        <v>4697</v>
      </c>
      <c r="C603" t="s">
        <v>257</v>
      </c>
      <c r="D603" t="s">
        <v>1624</v>
      </c>
      <c r="E603" t="s">
        <v>1625</v>
      </c>
      <c r="F603" t="s">
        <v>1626</v>
      </c>
      <c r="G603" t="s">
        <v>1627</v>
      </c>
      <c r="H603" t="s">
        <v>1227</v>
      </c>
      <c r="I603" t="s">
        <v>1628</v>
      </c>
      <c r="J603" t="s">
        <v>1629</v>
      </c>
      <c r="K603" t="s">
        <v>35</v>
      </c>
      <c r="L603">
        <v>7810103919</v>
      </c>
      <c r="M603" t="s">
        <v>1630</v>
      </c>
      <c r="N603" t="s">
        <v>2971</v>
      </c>
      <c r="P603" t="s">
        <v>1632</v>
      </c>
      <c r="Q603" t="s">
        <v>1633</v>
      </c>
      <c r="R603" t="s">
        <v>58</v>
      </c>
      <c r="S603" t="s">
        <v>40</v>
      </c>
      <c r="T603" s="1">
        <v>44841</v>
      </c>
      <c r="U603">
        <v>0</v>
      </c>
      <c r="V603">
        <v>14</v>
      </c>
      <c r="Y603" t="s">
        <v>42</v>
      </c>
      <c r="Z603" t="s">
        <v>43</v>
      </c>
      <c r="AA603" t="s">
        <v>43</v>
      </c>
      <c r="AD603" t="s">
        <v>3143</v>
      </c>
    </row>
    <row r="604" spans="1:30" x14ac:dyDescent="0.4">
      <c r="A604" t="s">
        <v>27</v>
      </c>
      <c r="B604">
        <v>4697</v>
      </c>
      <c r="C604" t="s">
        <v>257</v>
      </c>
      <c r="D604" t="s">
        <v>1624</v>
      </c>
      <c r="E604" t="s">
        <v>1625</v>
      </c>
      <c r="F604" t="s">
        <v>1626</v>
      </c>
      <c r="G604" t="s">
        <v>1627</v>
      </c>
      <c r="H604" t="s">
        <v>1227</v>
      </c>
      <c r="I604" t="s">
        <v>1628</v>
      </c>
      <c r="J604" t="s">
        <v>1629</v>
      </c>
      <c r="K604" t="s">
        <v>35</v>
      </c>
      <c r="L604">
        <v>7810103919</v>
      </c>
      <c r="M604" t="s">
        <v>1630</v>
      </c>
      <c r="N604" t="s">
        <v>2971</v>
      </c>
      <c r="P604" t="s">
        <v>1634</v>
      </c>
      <c r="Q604" t="s">
        <v>1635</v>
      </c>
      <c r="R604" t="s">
        <v>94</v>
      </c>
      <c r="S604" t="s">
        <v>40</v>
      </c>
      <c r="T604" s="1">
        <v>42963</v>
      </c>
      <c r="U604">
        <v>0</v>
      </c>
      <c r="V604">
        <v>16</v>
      </c>
      <c r="Y604" t="s">
        <v>42</v>
      </c>
      <c r="Z604" t="s">
        <v>43</v>
      </c>
      <c r="AA604" t="s">
        <v>43</v>
      </c>
      <c r="AD604" t="s">
        <v>3143</v>
      </c>
    </row>
    <row r="605" spans="1:30" x14ac:dyDescent="0.4">
      <c r="A605" t="s">
        <v>27</v>
      </c>
      <c r="B605">
        <v>4697</v>
      </c>
      <c r="C605" t="s">
        <v>257</v>
      </c>
      <c r="D605" t="s">
        <v>1624</v>
      </c>
      <c r="E605" t="s">
        <v>1625</v>
      </c>
      <c r="F605" t="s">
        <v>1626</v>
      </c>
      <c r="G605" t="s">
        <v>1627</v>
      </c>
      <c r="H605" t="s">
        <v>1227</v>
      </c>
      <c r="I605" t="s">
        <v>1628</v>
      </c>
      <c r="J605" t="s">
        <v>1629</v>
      </c>
      <c r="K605" t="s">
        <v>35</v>
      </c>
      <c r="L605">
        <v>7810103919</v>
      </c>
      <c r="M605" t="s">
        <v>1630</v>
      </c>
      <c r="N605" t="s">
        <v>2971</v>
      </c>
      <c r="P605" t="s">
        <v>1634</v>
      </c>
      <c r="Q605" t="s">
        <v>1635</v>
      </c>
      <c r="R605" t="s">
        <v>94</v>
      </c>
      <c r="S605" t="s">
        <v>40</v>
      </c>
      <c r="T605" s="1">
        <v>42963</v>
      </c>
      <c r="U605">
        <v>0</v>
      </c>
      <c r="V605">
        <v>18</v>
      </c>
      <c r="Y605" t="s">
        <v>42</v>
      </c>
      <c r="Z605" t="s">
        <v>43</v>
      </c>
      <c r="AA605" t="s">
        <v>43</v>
      </c>
      <c r="AD605" t="s">
        <v>3143</v>
      </c>
    </row>
    <row r="606" spans="1:30" x14ac:dyDescent="0.4">
      <c r="A606" t="s">
        <v>27</v>
      </c>
      <c r="B606">
        <v>4697</v>
      </c>
      <c r="C606" t="s">
        <v>257</v>
      </c>
      <c r="D606" t="s">
        <v>1624</v>
      </c>
      <c r="E606" t="s">
        <v>1625</v>
      </c>
      <c r="F606" t="s">
        <v>1626</v>
      </c>
      <c r="G606" t="s">
        <v>1627</v>
      </c>
      <c r="H606" t="s">
        <v>1227</v>
      </c>
      <c r="I606" t="s">
        <v>1628</v>
      </c>
      <c r="J606" t="s">
        <v>1629</v>
      </c>
      <c r="K606" t="s">
        <v>35</v>
      </c>
      <c r="L606">
        <v>7810103919</v>
      </c>
      <c r="M606" t="s">
        <v>1630</v>
      </c>
      <c r="N606" t="s">
        <v>1631</v>
      </c>
      <c r="P606" t="s">
        <v>1636</v>
      </c>
      <c r="Q606" t="s">
        <v>1637</v>
      </c>
      <c r="R606" t="s">
        <v>1638</v>
      </c>
      <c r="S606" t="s">
        <v>82</v>
      </c>
      <c r="T606" s="1">
        <v>44380</v>
      </c>
      <c r="U606">
        <v>0</v>
      </c>
      <c r="V606">
        <v>0</v>
      </c>
      <c r="W606" t="s">
        <v>59</v>
      </c>
      <c r="Y606" t="s">
        <v>42</v>
      </c>
      <c r="Z606" t="s">
        <v>43</v>
      </c>
      <c r="AA606" t="s">
        <v>43</v>
      </c>
      <c r="AD606" t="s">
        <v>3143</v>
      </c>
    </row>
    <row r="607" spans="1:30" x14ac:dyDescent="0.4">
      <c r="A607" t="s">
        <v>27</v>
      </c>
      <c r="B607">
        <v>4697</v>
      </c>
      <c r="C607" t="s">
        <v>257</v>
      </c>
      <c r="D607" t="s">
        <v>1624</v>
      </c>
      <c r="E607" t="s">
        <v>1625</v>
      </c>
      <c r="F607" t="s">
        <v>1626</v>
      </c>
      <c r="G607" t="s">
        <v>1627</v>
      </c>
      <c r="H607" t="s">
        <v>1227</v>
      </c>
      <c r="I607" t="s">
        <v>1628</v>
      </c>
      <c r="J607" t="s">
        <v>1629</v>
      </c>
      <c r="K607" t="s">
        <v>35</v>
      </c>
      <c r="L607">
        <v>7810103919</v>
      </c>
      <c r="M607" t="s">
        <v>1630</v>
      </c>
      <c r="N607" t="s">
        <v>1631</v>
      </c>
      <c r="P607" t="s">
        <v>1639</v>
      </c>
      <c r="Q607" t="s">
        <v>1640</v>
      </c>
      <c r="R607" t="s">
        <v>94</v>
      </c>
      <c r="S607" t="s">
        <v>40</v>
      </c>
      <c r="T607" s="1">
        <v>41313</v>
      </c>
      <c r="U607">
        <v>0</v>
      </c>
      <c r="V607">
        <v>0</v>
      </c>
      <c r="W607" t="s">
        <v>59</v>
      </c>
      <c r="Y607" t="s">
        <v>42</v>
      </c>
      <c r="Z607" t="s">
        <v>43</v>
      </c>
      <c r="AA607" t="s">
        <v>43</v>
      </c>
      <c r="AD607" t="s">
        <v>3143</v>
      </c>
    </row>
    <row r="608" spans="1:30" x14ac:dyDescent="0.4">
      <c r="A608" t="s">
        <v>27</v>
      </c>
      <c r="B608">
        <v>4697</v>
      </c>
      <c r="C608" t="s">
        <v>257</v>
      </c>
      <c r="D608" t="s">
        <v>1624</v>
      </c>
      <c r="E608" t="s">
        <v>1625</v>
      </c>
      <c r="F608" t="s">
        <v>1626</v>
      </c>
      <c r="G608" t="s">
        <v>1627</v>
      </c>
      <c r="H608" t="s">
        <v>1227</v>
      </c>
      <c r="I608" t="s">
        <v>1628</v>
      </c>
      <c r="J608" t="s">
        <v>1629</v>
      </c>
      <c r="K608" t="s">
        <v>35</v>
      </c>
      <c r="L608">
        <v>7810103919</v>
      </c>
      <c r="M608" t="s">
        <v>1630</v>
      </c>
      <c r="N608" t="s">
        <v>1631</v>
      </c>
      <c r="P608" t="s">
        <v>1639</v>
      </c>
      <c r="Q608" t="s">
        <v>1640</v>
      </c>
      <c r="R608" t="s">
        <v>94</v>
      </c>
      <c r="S608" t="s">
        <v>40</v>
      </c>
      <c r="T608" s="1">
        <v>41313</v>
      </c>
      <c r="U608">
        <v>0</v>
      </c>
      <c r="V608">
        <v>0</v>
      </c>
      <c r="W608" t="s">
        <v>59</v>
      </c>
      <c r="Y608" t="s">
        <v>42</v>
      </c>
      <c r="Z608" t="s">
        <v>43</v>
      </c>
      <c r="AA608" t="s">
        <v>43</v>
      </c>
      <c r="AD608" t="s">
        <v>3143</v>
      </c>
    </row>
    <row r="609" spans="1:30" x14ac:dyDescent="0.4">
      <c r="A609" t="s">
        <v>27</v>
      </c>
      <c r="B609">
        <v>1124</v>
      </c>
      <c r="C609" t="s">
        <v>68</v>
      </c>
      <c r="D609" t="s">
        <v>1196</v>
      </c>
      <c r="E609" t="s">
        <v>1625</v>
      </c>
      <c r="F609" t="s">
        <v>1641</v>
      </c>
      <c r="G609" t="s">
        <v>1642</v>
      </c>
      <c r="H609" t="s">
        <v>1643</v>
      </c>
      <c r="I609" t="s">
        <v>73</v>
      </c>
      <c r="J609" t="s">
        <v>1644</v>
      </c>
      <c r="K609" t="s">
        <v>35</v>
      </c>
      <c r="L609">
        <v>1293862758</v>
      </c>
      <c r="M609" t="s">
        <v>1645</v>
      </c>
      <c r="N609" t="s">
        <v>2972</v>
      </c>
      <c r="P609" t="s">
        <v>1646</v>
      </c>
      <c r="Q609" t="s">
        <v>1647</v>
      </c>
      <c r="R609" t="s">
        <v>555</v>
      </c>
      <c r="S609" t="s">
        <v>40</v>
      </c>
      <c r="T609" t="s">
        <v>1648</v>
      </c>
      <c r="U609">
        <v>0</v>
      </c>
      <c r="V609">
        <v>12</v>
      </c>
      <c r="Y609" t="s">
        <v>42</v>
      </c>
      <c r="Z609" t="s">
        <v>43</v>
      </c>
      <c r="AA609" t="s">
        <v>43</v>
      </c>
      <c r="AB609" t="s">
        <v>1649</v>
      </c>
      <c r="AD609" t="s">
        <v>3143</v>
      </c>
    </row>
    <row r="610" spans="1:30" x14ac:dyDescent="0.4">
      <c r="A610" t="s">
        <v>27</v>
      </c>
      <c r="B610">
        <v>1124</v>
      </c>
      <c r="C610" t="s">
        <v>68</v>
      </c>
      <c r="D610" t="s">
        <v>1196</v>
      </c>
      <c r="E610" t="s">
        <v>1625</v>
      </c>
      <c r="F610" t="s">
        <v>1641</v>
      </c>
      <c r="G610" t="s">
        <v>1642</v>
      </c>
      <c r="H610" t="s">
        <v>1643</v>
      </c>
      <c r="I610" t="s">
        <v>73</v>
      </c>
      <c r="J610" t="s">
        <v>1644</v>
      </c>
      <c r="K610" t="s">
        <v>35</v>
      </c>
      <c r="L610">
        <v>1293862758</v>
      </c>
      <c r="M610" t="s">
        <v>1645</v>
      </c>
      <c r="N610" t="s">
        <v>3068</v>
      </c>
      <c r="P610" t="s">
        <v>1650</v>
      </c>
      <c r="Q610" t="s">
        <v>1651</v>
      </c>
      <c r="R610" t="s">
        <v>94</v>
      </c>
      <c r="S610" t="s">
        <v>40</v>
      </c>
      <c r="T610" s="1">
        <v>41327</v>
      </c>
      <c r="U610">
        <v>0</v>
      </c>
      <c r="V610">
        <v>16</v>
      </c>
      <c r="Y610" t="s">
        <v>42</v>
      </c>
      <c r="Z610" t="s">
        <v>43</v>
      </c>
      <c r="AA610" t="s">
        <v>43</v>
      </c>
      <c r="AB610" t="s">
        <v>1649</v>
      </c>
      <c r="AD610" t="s">
        <v>3143</v>
      </c>
    </row>
    <row r="611" spans="1:30" x14ac:dyDescent="0.4">
      <c r="A611" t="s">
        <v>27</v>
      </c>
      <c r="B611">
        <v>377</v>
      </c>
      <c r="C611" t="s">
        <v>68</v>
      </c>
      <c r="D611" t="s">
        <v>883</v>
      </c>
      <c r="E611" t="s">
        <v>1652</v>
      </c>
      <c r="F611" t="s">
        <v>1653</v>
      </c>
      <c r="H611" t="s">
        <v>1654</v>
      </c>
      <c r="I611" t="s">
        <v>1655</v>
      </c>
      <c r="J611" t="s">
        <v>1656</v>
      </c>
      <c r="K611" t="s">
        <v>35</v>
      </c>
      <c r="L611">
        <v>7973737124</v>
      </c>
      <c r="M611" t="s">
        <v>1657</v>
      </c>
      <c r="N611" t="s">
        <v>2973</v>
      </c>
      <c r="P611" t="s">
        <v>1658</v>
      </c>
      <c r="Q611" t="s">
        <v>1659</v>
      </c>
      <c r="R611" t="s">
        <v>58</v>
      </c>
      <c r="S611" t="s">
        <v>82</v>
      </c>
      <c r="T611" s="1">
        <v>44109</v>
      </c>
      <c r="U611">
        <v>0</v>
      </c>
      <c r="V611">
        <v>15</v>
      </c>
      <c r="Y611" t="s">
        <v>42</v>
      </c>
      <c r="Z611" t="s">
        <v>43</v>
      </c>
      <c r="AA611" t="s">
        <v>42</v>
      </c>
      <c r="AD611" t="s">
        <v>3143</v>
      </c>
    </row>
    <row r="612" spans="1:30" x14ac:dyDescent="0.4">
      <c r="A612" t="s">
        <v>27</v>
      </c>
      <c r="B612">
        <v>377</v>
      </c>
      <c r="C612" t="s">
        <v>68</v>
      </c>
      <c r="D612" t="s">
        <v>883</v>
      </c>
      <c r="E612" t="s">
        <v>1652</v>
      </c>
      <c r="F612" t="s">
        <v>1653</v>
      </c>
      <c r="H612" t="s">
        <v>1654</v>
      </c>
      <c r="I612" t="s">
        <v>1655</v>
      </c>
      <c r="J612" t="s">
        <v>1656</v>
      </c>
      <c r="K612" t="s">
        <v>35</v>
      </c>
      <c r="L612">
        <v>7973737124</v>
      </c>
      <c r="M612" t="s">
        <v>1657</v>
      </c>
      <c r="N612" t="s">
        <v>2973</v>
      </c>
      <c r="P612" t="s">
        <v>1658</v>
      </c>
      <c r="Q612" t="s">
        <v>1659</v>
      </c>
      <c r="R612" t="s">
        <v>58</v>
      </c>
      <c r="S612" t="s">
        <v>82</v>
      </c>
      <c r="T612" s="1">
        <v>44109</v>
      </c>
      <c r="U612">
        <v>0</v>
      </c>
      <c r="V612">
        <v>17</v>
      </c>
      <c r="Y612" t="s">
        <v>42</v>
      </c>
      <c r="Z612" t="s">
        <v>43</v>
      </c>
      <c r="AA612" t="s">
        <v>42</v>
      </c>
      <c r="AD612" t="s">
        <v>3143</v>
      </c>
    </row>
    <row r="613" spans="1:30" x14ac:dyDescent="0.4">
      <c r="A613" t="s">
        <v>27</v>
      </c>
      <c r="B613">
        <v>377</v>
      </c>
      <c r="C613" t="s">
        <v>68</v>
      </c>
      <c r="D613" t="s">
        <v>883</v>
      </c>
      <c r="E613" t="s">
        <v>1652</v>
      </c>
      <c r="F613" t="s">
        <v>1653</v>
      </c>
      <c r="H613" t="s">
        <v>1654</v>
      </c>
      <c r="I613" t="s">
        <v>1655</v>
      </c>
      <c r="J613" t="s">
        <v>1656</v>
      </c>
      <c r="K613" t="s">
        <v>35</v>
      </c>
      <c r="L613">
        <v>7973737124</v>
      </c>
      <c r="M613" t="s">
        <v>1657</v>
      </c>
      <c r="N613" t="s">
        <v>2973</v>
      </c>
      <c r="P613" t="s">
        <v>1660</v>
      </c>
      <c r="Q613" t="s">
        <v>1661</v>
      </c>
      <c r="R613" t="s">
        <v>94</v>
      </c>
      <c r="S613" t="s">
        <v>82</v>
      </c>
      <c r="T613" s="1">
        <v>42662</v>
      </c>
      <c r="U613">
        <v>0</v>
      </c>
      <c r="V613">
        <v>19</v>
      </c>
      <c r="Y613" t="s">
        <v>42</v>
      </c>
      <c r="Z613" t="s">
        <v>43</v>
      </c>
      <c r="AA613" t="s">
        <v>42</v>
      </c>
      <c r="AD613" t="s">
        <v>3143</v>
      </c>
    </row>
    <row r="614" spans="1:30" x14ac:dyDescent="0.4">
      <c r="A614" t="s">
        <v>27</v>
      </c>
      <c r="B614">
        <v>377</v>
      </c>
      <c r="C614" t="s">
        <v>68</v>
      </c>
      <c r="D614" t="s">
        <v>883</v>
      </c>
      <c r="E614" t="s">
        <v>1652</v>
      </c>
      <c r="F614" t="s">
        <v>1653</v>
      </c>
      <c r="H614" t="s">
        <v>1654</v>
      </c>
      <c r="I614" t="s">
        <v>1655</v>
      </c>
      <c r="J614" t="s">
        <v>1656</v>
      </c>
      <c r="K614" t="s">
        <v>35</v>
      </c>
      <c r="L614">
        <v>7973737124</v>
      </c>
      <c r="M614" t="s">
        <v>1657</v>
      </c>
      <c r="N614" t="s">
        <v>2973</v>
      </c>
      <c r="P614" t="s">
        <v>1660</v>
      </c>
      <c r="Q614" t="s">
        <v>1661</v>
      </c>
      <c r="R614" t="s">
        <v>94</v>
      </c>
      <c r="S614" t="s">
        <v>82</v>
      </c>
      <c r="T614" s="1">
        <v>42662</v>
      </c>
      <c r="U614">
        <v>0</v>
      </c>
      <c r="V614">
        <v>21</v>
      </c>
      <c r="Y614" t="s">
        <v>42</v>
      </c>
      <c r="Z614" t="s">
        <v>43</v>
      </c>
      <c r="AA614" t="s">
        <v>42</v>
      </c>
      <c r="AD614" t="s">
        <v>3143</v>
      </c>
    </row>
    <row r="615" spans="1:30" x14ac:dyDescent="0.4">
      <c r="A615" t="s">
        <v>27</v>
      </c>
      <c r="B615">
        <v>1577</v>
      </c>
      <c r="C615" t="s">
        <v>28</v>
      </c>
      <c r="D615" t="s">
        <v>1080</v>
      </c>
      <c r="E615" t="s">
        <v>1662</v>
      </c>
      <c r="F615" t="s">
        <v>1663</v>
      </c>
      <c r="G615" t="s">
        <v>1664</v>
      </c>
      <c r="H615" t="s">
        <v>1665</v>
      </c>
      <c r="I615" t="s">
        <v>1666</v>
      </c>
      <c r="J615" t="s">
        <v>1667</v>
      </c>
      <c r="K615" t="s">
        <v>35</v>
      </c>
      <c r="L615">
        <v>7793933194</v>
      </c>
      <c r="M615" t="s">
        <v>1668</v>
      </c>
      <c r="N615" t="s">
        <v>1669</v>
      </c>
      <c r="P615" t="s">
        <v>1670</v>
      </c>
      <c r="Q615" t="s">
        <v>1671</v>
      </c>
      <c r="R615" t="s">
        <v>94</v>
      </c>
      <c r="S615" t="s">
        <v>40</v>
      </c>
      <c r="T615" s="1">
        <v>43062</v>
      </c>
      <c r="U615">
        <v>0</v>
      </c>
      <c r="V615">
        <v>20</v>
      </c>
      <c r="Y615" t="s">
        <v>42</v>
      </c>
      <c r="Z615" t="s">
        <v>43</v>
      </c>
      <c r="AA615" t="s">
        <v>43</v>
      </c>
      <c r="AD615" t="s">
        <v>3143</v>
      </c>
    </row>
    <row r="616" spans="1:30" x14ac:dyDescent="0.4">
      <c r="A616" t="s">
        <v>27</v>
      </c>
      <c r="B616">
        <v>168</v>
      </c>
      <c r="C616" t="s">
        <v>28</v>
      </c>
      <c r="D616" t="s">
        <v>1672</v>
      </c>
      <c r="E616" t="s">
        <v>1673</v>
      </c>
      <c r="F616" t="s">
        <v>1674</v>
      </c>
      <c r="H616" t="s">
        <v>1675</v>
      </c>
      <c r="I616" t="s">
        <v>1676</v>
      </c>
      <c r="J616" t="s">
        <v>1677</v>
      </c>
      <c r="K616" t="s">
        <v>35</v>
      </c>
      <c r="L616">
        <v>7534177163</v>
      </c>
      <c r="M616" t="s">
        <v>1678</v>
      </c>
      <c r="N616" t="s">
        <v>3081</v>
      </c>
      <c r="P616" t="s">
        <v>3115</v>
      </c>
      <c r="Q616" t="s">
        <v>1681</v>
      </c>
      <c r="R616" t="s">
        <v>58</v>
      </c>
      <c r="S616" t="s">
        <v>82</v>
      </c>
      <c r="T616" s="1">
        <v>43887</v>
      </c>
      <c r="U616">
        <v>0</v>
      </c>
      <c r="V616">
        <v>6</v>
      </c>
      <c r="W616" t="s">
        <v>83</v>
      </c>
      <c r="Y616" t="s">
        <v>42</v>
      </c>
      <c r="Z616" t="s">
        <v>43</v>
      </c>
      <c r="AA616" t="s">
        <v>43</v>
      </c>
      <c r="AD616" t="s">
        <v>3143</v>
      </c>
    </row>
    <row r="617" spans="1:30" x14ac:dyDescent="0.4">
      <c r="A617" t="s">
        <v>27</v>
      </c>
      <c r="B617">
        <v>168</v>
      </c>
      <c r="C617" t="s">
        <v>28</v>
      </c>
      <c r="D617" t="s">
        <v>1672</v>
      </c>
      <c r="E617" t="s">
        <v>1673</v>
      </c>
      <c r="F617" t="s">
        <v>1674</v>
      </c>
      <c r="H617" t="s">
        <v>1675</v>
      </c>
      <c r="I617" t="s">
        <v>1676</v>
      </c>
      <c r="J617" t="s">
        <v>1677</v>
      </c>
      <c r="K617" t="s">
        <v>35</v>
      </c>
      <c r="L617">
        <v>7534177163</v>
      </c>
      <c r="M617" t="s">
        <v>1678</v>
      </c>
      <c r="N617" t="s">
        <v>3081</v>
      </c>
      <c r="P617" t="s">
        <v>3115</v>
      </c>
      <c r="Q617" t="s">
        <v>1681</v>
      </c>
      <c r="R617" t="s">
        <v>58</v>
      </c>
      <c r="S617" t="s">
        <v>82</v>
      </c>
      <c r="T617" s="1">
        <v>43887</v>
      </c>
      <c r="U617">
        <v>0</v>
      </c>
      <c r="V617">
        <v>17</v>
      </c>
      <c r="Y617" t="s">
        <v>42</v>
      </c>
      <c r="Z617" t="s">
        <v>43</v>
      </c>
      <c r="AA617" t="s">
        <v>43</v>
      </c>
      <c r="AD617" t="s">
        <v>3143</v>
      </c>
    </row>
    <row r="618" spans="1:30" x14ac:dyDescent="0.4">
      <c r="A618" t="s">
        <v>27</v>
      </c>
      <c r="B618">
        <v>168</v>
      </c>
      <c r="C618" t="s">
        <v>28</v>
      </c>
      <c r="D618" t="s">
        <v>1672</v>
      </c>
      <c r="E618" t="s">
        <v>1673</v>
      </c>
      <c r="F618" t="s">
        <v>1674</v>
      </c>
      <c r="H618" t="s">
        <v>1675</v>
      </c>
      <c r="I618" t="s">
        <v>1676</v>
      </c>
      <c r="J618" t="s">
        <v>1677</v>
      </c>
      <c r="K618" t="s">
        <v>35</v>
      </c>
      <c r="L618">
        <v>7534177163</v>
      </c>
      <c r="M618" t="s">
        <v>1678</v>
      </c>
      <c r="N618" t="s">
        <v>1679</v>
      </c>
      <c r="P618" t="s">
        <v>1682</v>
      </c>
      <c r="Q618" t="s">
        <v>1683</v>
      </c>
      <c r="R618" t="s">
        <v>1684</v>
      </c>
      <c r="S618" t="s">
        <v>82</v>
      </c>
      <c r="T618" s="1">
        <v>41807</v>
      </c>
      <c r="U618">
        <v>0</v>
      </c>
      <c r="V618">
        <v>0</v>
      </c>
      <c r="W618" t="s">
        <v>59</v>
      </c>
      <c r="Y618" t="s">
        <v>42</v>
      </c>
      <c r="Z618" t="s">
        <v>43</v>
      </c>
      <c r="AA618" t="s">
        <v>43</v>
      </c>
      <c r="AD618" t="s">
        <v>3143</v>
      </c>
    </row>
    <row r="619" spans="1:30" x14ac:dyDescent="0.4">
      <c r="A619" t="s">
        <v>27</v>
      </c>
      <c r="B619">
        <v>168</v>
      </c>
      <c r="C619" t="s">
        <v>28</v>
      </c>
      <c r="D619" t="s">
        <v>1672</v>
      </c>
      <c r="E619" t="s">
        <v>1673</v>
      </c>
      <c r="F619" t="s">
        <v>1674</v>
      </c>
      <c r="H619" t="s">
        <v>1675</v>
      </c>
      <c r="I619" t="s">
        <v>1676</v>
      </c>
      <c r="J619" t="s">
        <v>1677</v>
      </c>
      <c r="K619" t="s">
        <v>35</v>
      </c>
      <c r="L619">
        <v>7534177163</v>
      </c>
      <c r="M619" t="s">
        <v>1678</v>
      </c>
      <c r="N619" t="s">
        <v>1679</v>
      </c>
      <c r="P619" t="s">
        <v>1682</v>
      </c>
      <c r="Q619" t="s">
        <v>1683</v>
      </c>
      <c r="R619" t="s">
        <v>1684</v>
      </c>
      <c r="S619" t="s">
        <v>82</v>
      </c>
      <c r="T619" s="1">
        <v>41807</v>
      </c>
      <c r="U619">
        <v>0</v>
      </c>
      <c r="V619">
        <v>0</v>
      </c>
      <c r="W619" t="s">
        <v>59</v>
      </c>
      <c r="Y619" t="s">
        <v>42</v>
      </c>
      <c r="Z619" t="s">
        <v>43</v>
      </c>
      <c r="AA619" t="s">
        <v>43</v>
      </c>
      <c r="AD619" t="s">
        <v>3143</v>
      </c>
    </row>
    <row r="620" spans="1:30" x14ac:dyDescent="0.4">
      <c r="A620" t="s">
        <v>27</v>
      </c>
      <c r="B620">
        <v>168</v>
      </c>
      <c r="C620" t="s">
        <v>28</v>
      </c>
      <c r="D620" t="s">
        <v>1672</v>
      </c>
      <c r="E620" t="s">
        <v>1673</v>
      </c>
      <c r="F620" t="s">
        <v>1674</v>
      </c>
      <c r="H620" t="s">
        <v>1675</v>
      </c>
      <c r="I620" t="s">
        <v>1676</v>
      </c>
      <c r="J620" t="s">
        <v>1677</v>
      </c>
      <c r="K620" t="s">
        <v>35</v>
      </c>
      <c r="L620">
        <v>7534177163</v>
      </c>
      <c r="M620" t="s">
        <v>1678</v>
      </c>
      <c r="N620" t="s">
        <v>1679</v>
      </c>
      <c r="P620" t="s">
        <v>1685</v>
      </c>
      <c r="Q620" t="s">
        <v>1686</v>
      </c>
      <c r="R620" t="s">
        <v>1684</v>
      </c>
      <c r="S620" t="s">
        <v>82</v>
      </c>
      <c r="T620" s="1">
        <v>42215</v>
      </c>
      <c r="U620">
        <v>0</v>
      </c>
      <c r="V620">
        <v>0</v>
      </c>
      <c r="W620" t="s">
        <v>59</v>
      </c>
      <c r="Y620" t="s">
        <v>42</v>
      </c>
      <c r="Z620" t="s">
        <v>43</v>
      </c>
      <c r="AA620" t="s">
        <v>43</v>
      </c>
      <c r="AD620" t="s">
        <v>3143</v>
      </c>
    </row>
    <row r="621" spans="1:30" x14ac:dyDescent="0.4">
      <c r="A621" t="s">
        <v>27</v>
      </c>
      <c r="B621">
        <v>168</v>
      </c>
      <c r="C621" t="s">
        <v>28</v>
      </c>
      <c r="D621" t="s">
        <v>1672</v>
      </c>
      <c r="E621" t="s">
        <v>1673</v>
      </c>
      <c r="F621" t="s">
        <v>1674</v>
      </c>
      <c r="H621" t="s">
        <v>1675</v>
      </c>
      <c r="I621" t="s">
        <v>1676</v>
      </c>
      <c r="J621" t="s">
        <v>1677</v>
      </c>
      <c r="K621" t="s">
        <v>35</v>
      </c>
      <c r="L621">
        <v>7534177163</v>
      </c>
      <c r="M621" t="s">
        <v>1678</v>
      </c>
      <c r="N621" t="s">
        <v>1679</v>
      </c>
      <c r="P621" t="s">
        <v>1685</v>
      </c>
      <c r="Q621" t="s">
        <v>1686</v>
      </c>
      <c r="R621" t="s">
        <v>1684</v>
      </c>
      <c r="S621" t="s">
        <v>82</v>
      </c>
      <c r="T621" s="1">
        <v>42215</v>
      </c>
      <c r="U621">
        <v>0</v>
      </c>
      <c r="V621">
        <v>0</v>
      </c>
      <c r="W621" t="s">
        <v>59</v>
      </c>
      <c r="Y621" t="s">
        <v>42</v>
      </c>
      <c r="Z621" t="s">
        <v>43</v>
      </c>
      <c r="AA621" t="s">
        <v>43</v>
      </c>
      <c r="AD621" t="s">
        <v>3143</v>
      </c>
    </row>
    <row r="622" spans="1:30" x14ac:dyDescent="0.4">
      <c r="A622" t="s">
        <v>27</v>
      </c>
      <c r="B622">
        <v>168</v>
      </c>
      <c r="C622" t="s">
        <v>28</v>
      </c>
      <c r="D622" t="s">
        <v>1672</v>
      </c>
      <c r="E622" t="s">
        <v>1673</v>
      </c>
      <c r="F622" t="s">
        <v>1674</v>
      </c>
      <c r="H622" t="s">
        <v>1675</v>
      </c>
      <c r="I622" t="s">
        <v>1676</v>
      </c>
      <c r="J622" t="s">
        <v>1677</v>
      </c>
      <c r="K622" t="s">
        <v>35</v>
      </c>
      <c r="L622">
        <v>7534177163</v>
      </c>
      <c r="M622" t="s">
        <v>1678</v>
      </c>
      <c r="N622" t="s">
        <v>1679</v>
      </c>
      <c r="P622" t="s">
        <v>1687</v>
      </c>
      <c r="Q622" t="s">
        <v>1688</v>
      </c>
      <c r="R622" t="s">
        <v>1684</v>
      </c>
      <c r="S622" t="s">
        <v>82</v>
      </c>
      <c r="T622" s="1">
        <v>43342</v>
      </c>
      <c r="U622">
        <v>0</v>
      </c>
      <c r="V622">
        <v>0</v>
      </c>
      <c r="W622" t="s">
        <v>59</v>
      </c>
      <c r="Y622" t="s">
        <v>42</v>
      </c>
      <c r="Z622" t="s">
        <v>43</v>
      </c>
      <c r="AA622" t="s">
        <v>43</v>
      </c>
      <c r="AD622" t="s">
        <v>3143</v>
      </c>
    </row>
    <row r="623" spans="1:30" x14ac:dyDescent="0.4">
      <c r="A623" t="s">
        <v>27</v>
      </c>
      <c r="B623">
        <v>168</v>
      </c>
      <c r="C623" t="s">
        <v>28</v>
      </c>
      <c r="D623" t="s">
        <v>1672</v>
      </c>
      <c r="E623" t="s">
        <v>1673</v>
      </c>
      <c r="F623" t="s">
        <v>1674</v>
      </c>
      <c r="H623" t="s">
        <v>1675</v>
      </c>
      <c r="I623" t="s">
        <v>1676</v>
      </c>
      <c r="J623" t="s">
        <v>1677</v>
      </c>
      <c r="K623" t="s">
        <v>35</v>
      </c>
      <c r="L623">
        <v>7534177163</v>
      </c>
      <c r="M623" t="s">
        <v>1678</v>
      </c>
      <c r="N623" t="s">
        <v>1679</v>
      </c>
      <c r="P623" t="s">
        <v>1687</v>
      </c>
      <c r="Q623" t="s">
        <v>1688</v>
      </c>
      <c r="R623" t="s">
        <v>1684</v>
      </c>
      <c r="S623" t="s">
        <v>82</v>
      </c>
      <c r="T623" s="1">
        <v>43342</v>
      </c>
      <c r="U623">
        <v>0</v>
      </c>
      <c r="V623">
        <v>0</v>
      </c>
      <c r="W623" t="s">
        <v>59</v>
      </c>
      <c r="Y623" t="s">
        <v>42</v>
      </c>
      <c r="Z623" t="s">
        <v>43</v>
      </c>
      <c r="AA623" t="s">
        <v>43</v>
      </c>
      <c r="AD623" t="s">
        <v>3143</v>
      </c>
    </row>
    <row r="624" spans="1:30" x14ac:dyDescent="0.4">
      <c r="A624" t="s">
        <v>27</v>
      </c>
      <c r="B624">
        <v>168</v>
      </c>
      <c r="C624" t="s">
        <v>28</v>
      </c>
      <c r="D624" t="s">
        <v>1672</v>
      </c>
      <c r="E624" t="s">
        <v>1673</v>
      </c>
      <c r="F624" t="s">
        <v>1674</v>
      </c>
      <c r="H624" t="s">
        <v>1675</v>
      </c>
      <c r="I624" t="s">
        <v>1676</v>
      </c>
      <c r="J624" t="s">
        <v>1677</v>
      </c>
      <c r="K624" t="s">
        <v>35</v>
      </c>
      <c r="L624">
        <v>7534177163</v>
      </c>
      <c r="M624" t="s">
        <v>1678</v>
      </c>
      <c r="N624" t="s">
        <v>1679</v>
      </c>
      <c r="P624" t="s">
        <v>1689</v>
      </c>
      <c r="Q624" t="s">
        <v>1690</v>
      </c>
      <c r="R624" t="s">
        <v>1684</v>
      </c>
      <c r="S624" t="s">
        <v>82</v>
      </c>
      <c r="T624" s="1">
        <v>43968</v>
      </c>
      <c r="U624">
        <v>0</v>
      </c>
      <c r="V624">
        <v>0</v>
      </c>
      <c r="W624" t="s">
        <v>59</v>
      </c>
      <c r="Y624" t="s">
        <v>42</v>
      </c>
      <c r="Z624" t="s">
        <v>43</v>
      </c>
      <c r="AA624" t="s">
        <v>43</v>
      </c>
      <c r="AD624" t="s">
        <v>3143</v>
      </c>
    </row>
    <row r="625" spans="1:30" x14ac:dyDescent="0.4">
      <c r="A625" t="s">
        <v>27</v>
      </c>
      <c r="B625">
        <v>168</v>
      </c>
      <c r="C625" t="s">
        <v>28</v>
      </c>
      <c r="D625" t="s">
        <v>1672</v>
      </c>
      <c r="E625" t="s">
        <v>1673</v>
      </c>
      <c r="F625" t="s">
        <v>1674</v>
      </c>
      <c r="H625" t="s">
        <v>1675</v>
      </c>
      <c r="I625" t="s">
        <v>1676</v>
      </c>
      <c r="J625" t="s">
        <v>1677</v>
      </c>
      <c r="K625" t="s">
        <v>35</v>
      </c>
      <c r="L625">
        <v>7534177163</v>
      </c>
      <c r="M625" t="s">
        <v>1678</v>
      </c>
      <c r="N625" t="s">
        <v>1679</v>
      </c>
      <c r="P625" t="s">
        <v>1689</v>
      </c>
      <c r="Q625" t="s">
        <v>1690</v>
      </c>
      <c r="R625" t="s">
        <v>1684</v>
      </c>
      <c r="S625" t="s">
        <v>82</v>
      </c>
      <c r="T625" s="1">
        <v>43968</v>
      </c>
      <c r="U625">
        <v>0</v>
      </c>
      <c r="V625">
        <v>0</v>
      </c>
      <c r="W625" t="s">
        <v>59</v>
      </c>
      <c r="Y625" t="s">
        <v>42</v>
      </c>
      <c r="Z625" t="s">
        <v>43</v>
      </c>
      <c r="AA625" t="s">
        <v>43</v>
      </c>
      <c r="AD625" t="s">
        <v>3143</v>
      </c>
    </row>
    <row r="626" spans="1:30" x14ac:dyDescent="0.4">
      <c r="A626" t="s">
        <v>27</v>
      </c>
      <c r="B626">
        <v>974</v>
      </c>
      <c r="C626" t="s">
        <v>28</v>
      </c>
      <c r="D626" t="s">
        <v>1691</v>
      </c>
      <c r="E626" t="s">
        <v>1692</v>
      </c>
      <c r="F626" t="s">
        <v>1693</v>
      </c>
      <c r="G626" t="s">
        <v>1694</v>
      </c>
      <c r="H626" t="s">
        <v>1695</v>
      </c>
      <c r="I626" t="s">
        <v>1696</v>
      </c>
      <c r="J626" t="s">
        <v>1697</v>
      </c>
      <c r="K626" t="s">
        <v>35</v>
      </c>
      <c r="L626" t="s">
        <v>1698</v>
      </c>
      <c r="M626" t="s">
        <v>1699</v>
      </c>
      <c r="N626" t="s">
        <v>1700</v>
      </c>
      <c r="P626" t="s">
        <v>1701</v>
      </c>
      <c r="Q626" t="s">
        <v>1702</v>
      </c>
      <c r="R626" t="s">
        <v>94</v>
      </c>
      <c r="S626" t="s">
        <v>40</v>
      </c>
      <c r="T626" s="1">
        <v>45038</v>
      </c>
      <c r="U626">
        <v>0</v>
      </c>
      <c r="V626">
        <v>12</v>
      </c>
      <c r="Y626" t="s">
        <v>42</v>
      </c>
      <c r="Z626" t="s">
        <v>43</v>
      </c>
      <c r="AA626" t="s">
        <v>43</v>
      </c>
      <c r="AD626" t="s">
        <v>3143</v>
      </c>
    </row>
    <row r="627" spans="1:30" x14ac:dyDescent="0.4">
      <c r="A627" t="s">
        <v>27</v>
      </c>
      <c r="B627">
        <v>974</v>
      </c>
      <c r="C627" t="s">
        <v>28</v>
      </c>
      <c r="D627" t="s">
        <v>1691</v>
      </c>
      <c r="E627" t="s">
        <v>1692</v>
      </c>
      <c r="F627" t="s">
        <v>1693</v>
      </c>
      <c r="G627" t="s">
        <v>1694</v>
      </c>
      <c r="H627" t="s">
        <v>1695</v>
      </c>
      <c r="I627" t="s">
        <v>1696</v>
      </c>
      <c r="J627" t="s">
        <v>1697</v>
      </c>
      <c r="K627" t="s">
        <v>35</v>
      </c>
      <c r="L627" t="s">
        <v>1698</v>
      </c>
      <c r="M627" t="s">
        <v>1699</v>
      </c>
      <c r="N627" t="s">
        <v>1700</v>
      </c>
      <c r="P627" t="s">
        <v>1701</v>
      </c>
      <c r="Q627" t="s">
        <v>1702</v>
      </c>
      <c r="R627" t="s">
        <v>94</v>
      </c>
      <c r="S627" t="s">
        <v>40</v>
      </c>
      <c r="T627" s="1">
        <v>45038</v>
      </c>
      <c r="U627">
        <v>0</v>
      </c>
      <c r="V627">
        <v>14</v>
      </c>
      <c r="Y627" t="s">
        <v>42</v>
      </c>
      <c r="Z627" t="s">
        <v>43</v>
      </c>
      <c r="AA627" t="s">
        <v>43</v>
      </c>
      <c r="AD627" t="s">
        <v>3143</v>
      </c>
    </row>
    <row r="628" spans="1:30" x14ac:dyDescent="0.4">
      <c r="A628" t="s">
        <v>27</v>
      </c>
      <c r="B628">
        <v>1340</v>
      </c>
      <c r="C628" t="s">
        <v>195</v>
      </c>
      <c r="D628" t="s">
        <v>858</v>
      </c>
      <c r="E628" t="s">
        <v>1703</v>
      </c>
      <c r="F628" t="s">
        <v>1704</v>
      </c>
      <c r="G628" t="s">
        <v>86</v>
      </c>
      <c r="H628" t="s">
        <v>1705</v>
      </c>
      <c r="I628" t="s">
        <v>1706</v>
      </c>
      <c r="J628" t="s">
        <v>1707</v>
      </c>
      <c r="K628" t="s">
        <v>35</v>
      </c>
      <c r="L628">
        <v>1922452976</v>
      </c>
      <c r="M628" t="s">
        <v>1708</v>
      </c>
      <c r="N628" t="s">
        <v>1709</v>
      </c>
      <c r="P628" t="s">
        <v>1710</v>
      </c>
      <c r="Q628" t="s">
        <v>1711</v>
      </c>
      <c r="R628" t="s">
        <v>94</v>
      </c>
      <c r="S628" t="s">
        <v>82</v>
      </c>
      <c r="T628" s="1">
        <v>44809</v>
      </c>
      <c r="U628">
        <v>0</v>
      </c>
      <c r="V628">
        <v>0</v>
      </c>
      <c r="W628" t="s">
        <v>59</v>
      </c>
      <c r="X628" t="s">
        <v>135</v>
      </c>
      <c r="Y628" t="s">
        <v>42</v>
      </c>
      <c r="Z628" t="s">
        <v>43</v>
      </c>
      <c r="AA628" t="s">
        <v>43</v>
      </c>
      <c r="AD628" t="s">
        <v>3143</v>
      </c>
    </row>
    <row r="629" spans="1:30" x14ac:dyDescent="0.4">
      <c r="A629" t="s">
        <v>27</v>
      </c>
      <c r="B629">
        <v>1340</v>
      </c>
      <c r="C629" t="s">
        <v>195</v>
      </c>
      <c r="D629" t="s">
        <v>858</v>
      </c>
      <c r="E629" t="s">
        <v>1703</v>
      </c>
      <c r="F629" t="s">
        <v>1704</v>
      </c>
      <c r="G629" t="s">
        <v>86</v>
      </c>
      <c r="H629" t="s">
        <v>1705</v>
      </c>
      <c r="I629" t="s">
        <v>1706</v>
      </c>
      <c r="J629" t="s">
        <v>1707</v>
      </c>
      <c r="K629" t="s">
        <v>35</v>
      </c>
      <c r="L629">
        <v>1922452976</v>
      </c>
      <c r="M629" t="s">
        <v>1708</v>
      </c>
      <c r="N629" t="s">
        <v>1709</v>
      </c>
      <c r="P629" t="s">
        <v>1712</v>
      </c>
      <c r="Q629" t="s">
        <v>1713</v>
      </c>
      <c r="R629" t="s">
        <v>94</v>
      </c>
      <c r="S629" t="s">
        <v>40</v>
      </c>
      <c r="T629" s="1">
        <v>40726</v>
      </c>
      <c r="U629">
        <v>0</v>
      </c>
      <c r="V629">
        <v>0</v>
      </c>
      <c r="W629" t="s">
        <v>59</v>
      </c>
      <c r="X629" t="s">
        <v>135</v>
      </c>
      <c r="Y629" t="s">
        <v>42</v>
      </c>
      <c r="Z629" t="s">
        <v>43</v>
      </c>
      <c r="AA629" t="s">
        <v>43</v>
      </c>
      <c r="AD629" t="s">
        <v>3143</v>
      </c>
    </row>
    <row r="630" spans="1:30" x14ac:dyDescent="0.4">
      <c r="A630" t="s">
        <v>27</v>
      </c>
      <c r="B630">
        <v>1340</v>
      </c>
      <c r="C630" t="s">
        <v>195</v>
      </c>
      <c r="D630" t="s">
        <v>858</v>
      </c>
      <c r="E630" t="s">
        <v>1703</v>
      </c>
      <c r="F630" t="s">
        <v>1704</v>
      </c>
      <c r="G630" t="s">
        <v>86</v>
      </c>
      <c r="H630" t="s">
        <v>1705</v>
      </c>
      <c r="I630" t="s">
        <v>1706</v>
      </c>
      <c r="J630" t="s">
        <v>1707</v>
      </c>
      <c r="K630" t="s">
        <v>35</v>
      </c>
      <c r="L630">
        <v>1922452976</v>
      </c>
      <c r="M630" t="s">
        <v>1708</v>
      </c>
      <c r="N630" t="s">
        <v>1709</v>
      </c>
      <c r="P630" t="s">
        <v>1712</v>
      </c>
      <c r="Q630" t="s">
        <v>1713</v>
      </c>
      <c r="R630" t="s">
        <v>94</v>
      </c>
      <c r="S630" t="s">
        <v>40</v>
      </c>
      <c r="T630" s="1">
        <v>40726</v>
      </c>
      <c r="U630">
        <v>0</v>
      </c>
      <c r="V630">
        <v>0</v>
      </c>
      <c r="W630" t="s">
        <v>59</v>
      </c>
      <c r="X630" t="s">
        <v>135</v>
      </c>
      <c r="Y630" t="s">
        <v>42</v>
      </c>
      <c r="Z630" t="s">
        <v>43</v>
      </c>
      <c r="AA630" t="s">
        <v>43</v>
      </c>
      <c r="AD630" t="s">
        <v>3143</v>
      </c>
    </row>
    <row r="631" spans="1:30" x14ac:dyDescent="0.4">
      <c r="A631" t="s">
        <v>27</v>
      </c>
      <c r="B631">
        <v>1340</v>
      </c>
      <c r="C631" t="s">
        <v>195</v>
      </c>
      <c r="D631" t="s">
        <v>858</v>
      </c>
      <c r="E631" t="s">
        <v>1703</v>
      </c>
      <c r="F631" t="s">
        <v>1704</v>
      </c>
      <c r="G631" t="s">
        <v>86</v>
      </c>
      <c r="H631" t="s">
        <v>1705</v>
      </c>
      <c r="I631" t="s">
        <v>1706</v>
      </c>
      <c r="J631" t="s">
        <v>1707</v>
      </c>
      <c r="K631" t="s">
        <v>35</v>
      </c>
      <c r="L631">
        <v>1922452976</v>
      </c>
      <c r="M631" t="s">
        <v>1708</v>
      </c>
      <c r="N631" t="s">
        <v>1709</v>
      </c>
      <c r="P631" t="s">
        <v>1710</v>
      </c>
      <c r="Q631" t="s">
        <v>1711</v>
      </c>
      <c r="R631" t="s">
        <v>94</v>
      </c>
      <c r="S631" t="s">
        <v>82</v>
      </c>
      <c r="T631" s="1">
        <v>44809</v>
      </c>
      <c r="U631">
        <v>0</v>
      </c>
      <c r="V631">
        <v>0</v>
      </c>
      <c r="W631" t="s">
        <v>59</v>
      </c>
      <c r="X631" t="s">
        <v>135</v>
      </c>
      <c r="Y631" t="s">
        <v>42</v>
      </c>
      <c r="Z631" t="s">
        <v>43</v>
      </c>
      <c r="AA631" t="s">
        <v>43</v>
      </c>
      <c r="AD631" t="s">
        <v>3143</v>
      </c>
    </row>
    <row r="632" spans="1:30" x14ac:dyDescent="0.4">
      <c r="A632" t="s">
        <v>27</v>
      </c>
      <c r="B632">
        <v>1340</v>
      </c>
      <c r="C632" t="s">
        <v>195</v>
      </c>
      <c r="D632" t="s">
        <v>858</v>
      </c>
      <c r="E632" t="s">
        <v>1703</v>
      </c>
      <c r="F632" t="s">
        <v>1704</v>
      </c>
      <c r="G632" t="s">
        <v>86</v>
      </c>
      <c r="H632" t="s">
        <v>1705</v>
      </c>
      <c r="I632" t="s">
        <v>1706</v>
      </c>
      <c r="J632" t="s">
        <v>1707</v>
      </c>
      <c r="K632" t="s">
        <v>35</v>
      </c>
      <c r="L632">
        <v>1922452976</v>
      </c>
      <c r="M632" t="s">
        <v>1708</v>
      </c>
      <c r="N632" t="s">
        <v>2870</v>
      </c>
      <c r="P632" t="s">
        <v>1714</v>
      </c>
      <c r="Q632" t="s">
        <v>1715</v>
      </c>
      <c r="R632" t="s">
        <v>94</v>
      </c>
      <c r="S632" t="s">
        <v>40</v>
      </c>
      <c r="T632" s="1">
        <v>43907</v>
      </c>
      <c r="U632">
        <v>0</v>
      </c>
      <c r="V632">
        <v>7</v>
      </c>
      <c r="X632" t="s">
        <v>135</v>
      </c>
      <c r="Y632" t="s">
        <v>42</v>
      </c>
      <c r="Z632" t="s">
        <v>43</v>
      </c>
      <c r="AA632" t="s">
        <v>43</v>
      </c>
      <c r="AD632" t="s">
        <v>3143</v>
      </c>
    </row>
    <row r="633" spans="1:30" x14ac:dyDescent="0.4">
      <c r="A633" t="s">
        <v>27</v>
      </c>
      <c r="B633">
        <v>1340</v>
      </c>
      <c r="C633" t="s">
        <v>195</v>
      </c>
      <c r="D633" t="s">
        <v>858</v>
      </c>
      <c r="E633" t="s">
        <v>1703</v>
      </c>
      <c r="F633" t="s">
        <v>1704</v>
      </c>
      <c r="G633" t="s">
        <v>86</v>
      </c>
      <c r="H633" t="s">
        <v>1705</v>
      </c>
      <c r="I633" t="s">
        <v>1706</v>
      </c>
      <c r="J633" t="s">
        <v>1707</v>
      </c>
      <c r="K633" t="s">
        <v>35</v>
      </c>
      <c r="L633">
        <v>1922452976</v>
      </c>
      <c r="M633" t="s">
        <v>1708</v>
      </c>
      <c r="N633" t="s">
        <v>2870</v>
      </c>
      <c r="P633" t="s">
        <v>1714</v>
      </c>
      <c r="Q633" t="s">
        <v>1715</v>
      </c>
      <c r="R633" t="s">
        <v>94</v>
      </c>
      <c r="S633" t="s">
        <v>40</v>
      </c>
      <c r="T633" s="1">
        <v>43907</v>
      </c>
      <c r="U633">
        <v>0</v>
      </c>
      <c r="V633">
        <v>18</v>
      </c>
      <c r="X633" t="s">
        <v>135</v>
      </c>
      <c r="Y633" t="s">
        <v>42</v>
      </c>
      <c r="Z633" t="s">
        <v>43</v>
      </c>
      <c r="AA633" t="s">
        <v>43</v>
      </c>
      <c r="AD633" t="s">
        <v>3143</v>
      </c>
    </row>
    <row r="634" spans="1:30" x14ac:dyDescent="0.4">
      <c r="A634" t="s">
        <v>27</v>
      </c>
      <c r="B634">
        <v>2584</v>
      </c>
      <c r="C634" t="s">
        <v>68</v>
      </c>
      <c r="D634" t="s">
        <v>105</v>
      </c>
      <c r="E634" t="s">
        <v>1716</v>
      </c>
      <c r="F634" t="s">
        <v>1717</v>
      </c>
      <c r="H634" t="s">
        <v>1718</v>
      </c>
      <c r="I634" t="s">
        <v>73</v>
      </c>
      <c r="J634" t="s">
        <v>1719</v>
      </c>
      <c r="K634" t="s">
        <v>35</v>
      </c>
      <c r="L634" t="s">
        <v>1720</v>
      </c>
      <c r="M634" t="s">
        <v>1721</v>
      </c>
      <c r="N634" t="s">
        <v>2871</v>
      </c>
      <c r="P634" t="s">
        <v>1722</v>
      </c>
      <c r="Q634" t="s">
        <v>1723</v>
      </c>
      <c r="R634" t="s">
        <v>94</v>
      </c>
      <c r="S634" t="s">
        <v>40</v>
      </c>
      <c r="T634" s="1">
        <v>45087</v>
      </c>
      <c r="U634">
        <v>0</v>
      </c>
      <c r="V634">
        <v>4</v>
      </c>
      <c r="W634" t="s">
        <v>65</v>
      </c>
      <c r="X634" t="s">
        <v>135</v>
      </c>
      <c r="Y634" t="s">
        <v>42</v>
      </c>
      <c r="Z634" t="s">
        <v>43</v>
      </c>
      <c r="AA634" t="s">
        <v>43</v>
      </c>
      <c r="AD634" t="s">
        <v>3143</v>
      </c>
    </row>
    <row r="635" spans="1:30" x14ac:dyDescent="0.4">
      <c r="A635" t="s">
        <v>27</v>
      </c>
      <c r="B635">
        <v>2584</v>
      </c>
      <c r="C635" t="s">
        <v>68</v>
      </c>
      <c r="D635" t="s">
        <v>105</v>
      </c>
      <c r="E635" t="s">
        <v>1716</v>
      </c>
      <c r="F635" t="s">
        <v>1717</v>
      </c>
      <c r="H635" t="s">
        <v>1718</v>
      </c>
      <c r="I635" t="s">
        <v>73</v>
      </c>
      <c r="J635" t="s">
        <v>1719</v>
      </c>
      <c r="K635" t="s">
        <v>35</v>
      </c>
      <c r="L635" t="s">
        <v>1720</v>
      </c>
      <c r="M635" t="s">
        <v>1721</v>
      </c>
      <c r="N635" t="s">
        <v>2871</v>
      </c>
      <c r="P635" t="s">
        <v>3116</v>
      </c>
      <c r="Q635" t="s">
        <v>1725</v>
      </c>
      <c r="R635" t="s">
        <v>94</v>
      </c>
      <c r="S635" t="s">
        <v>40</v>
      </c>
      <c r="T635" s="1">
        <v>42129</v>
      </c>
      <c r="U635">
        <v>0</v>
      </c>
      <c r="V635">
        <v>5</v>
      </c>
      <c r="W635" t="s">
        <v>66</v>
      </c>
      <c r="X635" t="s">
        <v>135</v>
      </c>
      <c r="Y635" t="s">
        <v>42</v>
      </c>
      <c r="Z635" t="s">
        <v>43</v>
      </c>
      <c r="AA635" t="s">
        <v>43</v>
      </c>
      <c r="AD635" t="s">
        <v>3143</v>
      </c>
    </row>
    <row r="636" spans="1:30" x14ac:dyDescent="0.4">
      <c r="A636" t="s">
        <v>27</v>
      </c>
      <c r="B636">
        <v>2584</v>
      </c>
      <c r="C636" t="s">
        <v>68</v>
      </c>
      <c r="D636" t="s">
        <v>105</v>
      </c>
      <c r="E636" t="s">
        <v>1716</v>
      </c>
      <c r="F636" t="s">
        <v>1717</v>
      </c>
      <c r="H636" t="s">
        <v>1718</v>
      </c>
      <c r="I636" t="s">
        <v>73</v>
      </c>
      <c r="J636" t="s">
        <v>1719</v>
      </c>
      <c r="K636" t="s">
        <v>35</v>
      </c>
      <c r="L636" t="s">
        <v>1720</v>
      </c>
      <c r="M636" t="s">
        <v>1721</v>
      </c>
      <c r="N636" t="s">
        <v>2871</v>
      </c>
      <c r="P636" t="s">
        <v>1722</v>
      </c>
      <c r="Q636" t="s">
        <v>1723</v>
      </c>
      <c r="R636" t="s">
        <v>94</v>
      </c>
      <c r="S636" t="s">
        <v>40</v>
      </c>
      <c r="T636" s="1">
        <v>45087</v>
      </c>
      <c r="U636">
        <v>0</v>
      </c>
      <c r="V636">
        <v>12</v>
      </c>
      <c r="X636" t="s">
        <v>135</v>
      </c>
      <c r="Y636" t="s">
        <v>42</v>
      </c>
      <c r="Z636" t="s">
        <v>43</v>
      </c>
      <c r="AA636" t="s">
        <v>43</v>
      </c>
      <c r="AD636" t="s">
        <v>3143</v>
      </c>
    </row>
    <row r="637" spans="1:30" x14ac:dyDescent="0.4">
      <c r="A637" t="s">
        <v>27</v>
      </c>
      <c r="B637">
        <v>2584</v>
      </c>
      <c r="C637" t="s">
        <v>68</v>
      </c>
      <c r="D637" t="s">
        <v>105</v>
      </c>
      <c r="E637" t="s">
        <v>1716</v>
      </c>
      <c r="F637" t="s">
        <v>1717</v>
      </c>
      <c r="H637" t="s">
        <v>1718</v>
      </c>
      <c r="I637" t="s">
        <v>73</v>
      </c>
      <c r="J637" t="s">
        <v>1719</v>
      </c>
      <c r="K637" t="s">
        <v>35</v>
      </c>
      <c r="L637" t="s">
        <v>1720</v>
      </c>
      <c r="M637" t="s">
        <v>1721</v>
      </c>
      <c r="N637" t="s">
        <v>2871</v>
      </c>
      <c r="P637" t="s">
        <v>3116</v>
      </c>
      <c r="Q637" t="s">
        <v>1725</v>
      </c>
      <c r="R637" t="s">
        <v>94</v>
      </c>
      <c r="S637" t="s">
        <v>40</v>
      </c>
      <c r="T637" s="1">
        <v>42129</v>
      </c>
      <c r="U637">
        <v>0</v>
      </c>
      <c r="V637">
        <v>14</v>
      </c>
      <c r="X637" t="s">
        <v>135</v>
      </c>
      <c r="Y637" t="s">
        <v>42</v>
      </c>
      <c r="Z637" t="s">
        <v>43</v>
      </c>
      <c r="AA637" t="s">
        <v>43</v>
      </c>
      <c r="AD637" t="s">
        <v>3143</v>
      </c>
    </row>
    <row r="638" spans="1:30" x14ac:dyDescent="0.4">
      <c r="A638" t="s">
        <v>27</v>
      </c>
      <c r="B638">
        <v>2052</v>
      </c>
      <c r="C638" t="s">
        <v>257</v>
      </c>
      <c r="D638" t="s">
        <v>1726</v>
      </c>
      <c r="E638" t="s">
        <v>1727</v>
      </c>
      <c r="F638" t="s">
        <v>1717</v>
      </c>
      <c r="H638" t="s">
        <v>1718</v>
      </c>
      <c r="I638" t="s">
        <v>73</v>
      </c>
      <c r="J638" t="s">
        <v>1719</v>
      </c>
      <c r="K638" t="s">
        <v>35</v>
      </c>
      <c r="L638" t="s">
        <v>1720</v>
      </c>
      <c r="M638" t="s">
        <v>1721</v>
      </c>
      <c r="N638" t="s">
        <v>3044</v>
      </c>
      <c r="P638" t="s">
        <v>3052</v>
      </c>
      <c r="Q638" t="s">
        <v>1729</v>
      </c>
      <c r="R638" t="s">
        <v>94</v>
      </c>
      <c r="S638" t="s">
        <v>40</v>
      </c>
      <c r="T638" s="1">
        <v>43199</v>
      </c>
      <c r="U638">
        <v>0</v>
      </c>
      <c r="V638">
        <v>4</v>
      </c>
      <c r="W638" t="s">
        <v>65</v>
      </c>
      <c r="Y638" t="s">
        <v>42</v>
      </c>
      <c r="Z638" t="s">
        <v>43</v>
      </c>
      <c r="AA638" t="s">
        <v>43</v>
      </c>
      <c r="AD638" t="s">
        <v>3143</v>
      </c>
    </row>
    <row r="639" spans="1:30" x14ac:dyDescent="0.4">
      <c r="A639" t="s">
        <v>27</v>
      </c>
      <c r="B639">
        <v>2052</v>
      </c>
      <c r="C639" t="s">
        <v>257</v>
      </c>
      <c r="D639" t="s">
        <v>1726</v>
      </c>
      <c r="E639" t="s">
        <v>1727</v>
      </c>
      <c r="F639" t="s">
        <v>1717</v>
      </c>
      <c r="H639" t="s">
        <v>1718</v>
      </c>
      <c r="I639" t="s">
        <v>73</v>
      </c>
      <c r="J639" t="s">
        <v>1719</v>
      </c>
      <c r="K639" t="s">
        <v>35</v>
      </c>
      <c r="L639" t="s">
        <v>1720</v>
      </c>
      <c r="M639" t="s">
        <v>1721</v>
      </c>
      <c r="N639" t="s">
        <v>3044</v>
      </c>
      <c r="P639" t="s">
        <v>3052</v>
      </c>
      <c r="Q639" t="s">
        <v>1729</v>
      </c>
      <c r="R639" t="s">
        <v>94</v>
      </c>
      <c r="S639" t="s">
        <v>40</v>
      </c>
      <c r="T639" s="1">
        <v>43199</v>
      </c>
      <c r="U639">
        <v>0</v>
      </c>
      <c r="V639">
        <v>5</v>
      </c>
      <c r="W639" t="s">
        <v>66</v>
      </c>
      <c r="Y639" t="s">
        <v>42</v>
      </c>
      <c r="Z639" t="s">
        <v>43</v>
      </c>
      <c r="AA639" t="s">
        <v>43</v>
      </c>
      <c r="AD639" t="s">
        <v>3143</v>
      </c>
    </row>
    <row r="640" spans="1:30" x14ac:dyDescent="0.4">
      <c r="A640" t="s">
        <v>27</v>
      </c>
      <c r="B640">
        <v>2052</v>
      </c>
      <c r="C640" t="s">
        <v>257</v>
      </c>
      <c r="D640" t="s">
        <v>1726</v>
      </c>
      <c r="E640" t="s">
        <v>1727</v>
      </c>
      <c r="F640" t="s">
        <v>1717</v>
      </c>
      <c r="H640" t="s">
        <v>1718</v>
      </c>
      <c r="I640" t="s">
        <v>73</v>
      </c>
      <c r="J640" t="s">
        <v>1719</v>
      </c>
      <c r="K640" t="s">
        <v>35</v>
      </c>
      <c r="L640" t="s">
        <v>1720</v>
      </c>
      <c r="M640" t="s">
        <v>1721</v>
      </c>
      <c r="N640" t="s">
        <v>3044</v>
      </c>
      <c r="P640" t="s">
        <v>3052</v>
      </c>
      <c r="Q640" t="s">
        <v>1729</v>
      </c>
      <c r="R640" t="s">
        <v>94</v>
      </c>
      <c r="S640" t="s">
        <v>40</v>
      </c>
      <c r="T640" s="1">
        <v>43199</v>
      </c>
      <c r="U640">
        <v>0</v>
      </c>
      <c r="V640">
        <v>12</v>
      </c>
      <c r="Y640" t="s">
        <v>42</v>
      </c>
      <c r="Z640" t="s">
        <v>43</v>
      </c>
      <c r="AA640" t="s">
        <v>43</v>
      </c>
      <c r="AD640" t="s">
        <v>3143</v>
      </c>
    </row>
    <row r="641" spans="1:30" x14ac:dyDescent="0.4">
      <c r="A641" t="s">
        <v>27</v>
      </c>
      <c r="B641">
        <v>2052</v>
      </c>
      <c r="C641" t="s">
        <v>257</v>
      </c>
      <c r="D641" t="s">
        <v>1726</v>
      </c>
      <c r="E641" t="s">
        <v>1727</v>
      </c>
      <c r="F641" t="s">
        <v>1717</v>
      </c>
      <c r="H641" t="s">
        <v>1718</v>
      </c>
      <c r="I641" t="s">
        <v>73</v>
      </c>
      <c r="J641" t="s">
        <v>1719</v>
      </c>
      <c r="K641" t="s">
        <v>35</v>
      </c>
      <c r="L641" t="s">
        <v>1720</v>
      </c>
      <c r="M641" t="s">
        <v>1721</v>
      </c>
      <c r="N641" t="s">
        <v>3044</v>
      </c>
      <c r="P641" t="s">
        <v>3052</v>
      </c>
      <c r="Q641" t="s">
        <v>1729</v>
      </c>
      <c r="R641" t="s">
        <v>94</v>
      </c>
      <c r="S641" t="s">
        <v>40</v>
      </c>
      <c r="T641" s="1">
        <v>43199</v>
      </c>
      <c r="U641">
        <v>0</v>
      </c>
      <c r="V641">
        <v>14</v>
      </c>
      <c r="Y641" t="s">
        <v>42</v>
      </c>
      <c r="Z641" t="s">
        <v>43</v>
      </c>
      <c r="AA641" t="s">
        <v>43</v>
      </c>
      <c r="AD641" t="s">
        <v>3143</v>
      </c>
    </row>
    <row r="642" spans="1:30" x14ac:dyDescent="0.4">
      <c r="A642" t="s">
        <v>27</v>
      </c>
      <c r="B642">
        <v>5405</v>
      </c>
      <c r="C642" t="s">
        <v>195</v>
      </c>
      <c r="D642" t="s">
        <v>1577</v>
      </c>
      <c r="E642" t="s">
        <v>1730</v>
      </c>
      <c r="F642" t="s">
        <v>1731</v>
      </c>
      <c r="H642" t="s">
        <v>1732</v>
      </c>
      <c r="I642" t="s">
        <v>1733</v>
      </c>
      <c r="J642" t="s">
        <v>1734</v>
      </c>
      <c r="K642" t="s">
        <v>35</v>
      </c>
      <c r="L642">
        <v>7842075908</v>
      </c>
      <c r="M642" t="s">
        <v>1735</v>
      </c>
      <c r="N642" t="s">
        <v>2872</v>
      </c>
      <c r="P642" t="s">
        <v>1736</v>
      </c>
      <c r="Q642" t="s">
        <v>1737</v>
      </c>
      <c r="R642" t="s">
        <v>376</v>
      </c>
      <c r="S642" t="s">
        <v>40</v>
      </c>
      <c r="T642" s="1">
        <v>44284</v>
      </c>
      <c r="U642">
        <v>0</v>
      </c>
      <c r="V642">
        <v>4</v>
      </c>
      <c r="W642" t="s">
        <v>65</v>
      </c>
      <c r="X642" t="s">
        <v>135</v>
      </c>
      <c r="Y642" t="s">
        <v>42</v>
      </c>
      <c r="Z642" t="s">
        <v>43</v>
      </c>
      <c r="AA642" t="s">
        <v>43</v>
      </c>
      <c r="AD642" t="s">
        <v>3143</v>
      </c>
    </row>
    <row r="643" spans="1:30" x14ac:dyDescent="0.4">
      <c r="A643" t="s">
        <v>27</v>
      </c>
      <c r="B643">
        <v>5405</v>
      </c>
      <c r="C643" t="s">
        <v>195</v>
      </c>
      <c r="D643" t="s">
        <v>1577</v>
      </c>
      <c r="E643" t="s">
        <v>1730</v>
      </c>
      <c r="F643" t="s">
        <v>1731</v>
      </c>
      <c r="H643" t="s">
        <v>1732</v>
      </c>
      <c r="I643" t="s">
        <v>1733</v>
      </c>
      <c r="J643" t="s">
        <v>1734</v>
      </c>
      <c r="K643" t="s">
        <v>35</v>
      </c>
      <c r="L643">
        <v>7842075908</v>
      </c>
      <c r="M643" t="s">
        <v>1735</v>
      </c>
      <c r="N643" t="s">
        <v>2872</v>
      </c>
      <c r="P643" t="s">
        <v>1736</v>
      </c>
      <c r="Q643" t="s">
        <v>1737</v>
      </c>
      <c r="R643" t="s">
        <v>376</v>
      </c>
      <c r="S643" t="s">
        <v>40</v>
      </c>
      <c r="T643" s="1">
        <v>44284</v>
      </c>
      <c r="U643">
        <v>0</v>
      </c>
      <c r="V643">
        <v>5</v>
      </c>
      <c r="W643" t="s">
        <v>66</v>
      </c>
      <c r="X643" t="s">
        <v>135</v>
      </c>
      <c r="Y643" t="s">
        <v>42</v>
      </c>
      <c r="Z643" t="s">
        <v>43</v>
      </c>
      <c r="AA643" t="s">
        <v>43</v>
      </c>
      <c r="AD643" t="s">
        <v>3143</v>
      </c>
    </row>
    <row r="644" spans="1:30" x14ac:dyDescent="0.4">
      <c r="A644" t="s">
        <v>27</v>
      </c>
      <c r="B644">
        <v>5405</v>
      </c>
      <c r="C644" t="s">
        <v>195</v>
      </c>
      <c r="D644" t="s">
        <v>1577</v>
      </c>
      <c r="E644" t="s">
        <v>1730</v>
      </c>
      <c r="F644" t="s">
        <v>1731</v>
      </c>
      <c r="H644" t="s">
        <v>1732</v>
      </c>
      <c r="I644" t="s">
        <v>1733</v>
      </c>
      <c r="J644" t="s">
        <v>1734</v>
      </c>
      <c r="K644" t="s">
        <v>35</v>
      </c>
      <c r="L644">
        <v>7842075908</v>
      </c>
      <c r="M644" t="s">
        <v>1735</v>
      </c>
      <c r="N644" t="s">
        <v>2872</v>
      </c>
      <c r="P644" t="s">
        <v>1736</v>
      </c>
      <c r="Q644" t="s">
        <v>1737</v>
      </c>
      <c r="R644" t="s">
        <v>376</v>
      </c>
      <c r="S644" t="s">
        <v>40</v>
      </c>
      <c r="T644" s="1">
        <v>44284</v>
      </c>
      <c r="U644">
        <v>0</v>
      </c>
      <c r="V644">
        <v>12</v>
      </c>
      <c r="X644" t="s">
        <v>135</v>
      </c>
      <c r="Y644" t="s">
        <v>42</v>
      </c>
      <c r="Z644" t="s">
        <v>43</v>
      </c>
      <c r="AA644" t="s">
        <v>43</v>
      </c>
      <c r="AD644" t="s">
        <v>3143</v>
      </c>
    </row>
    <row r="645" spans="1:30" x14ac:dyDescent="0.4">
      <c r="A645" t="s">
        <v>27</v>
      </c>
      <c r="B645">
        <v>5405</v>
      </c>
      <c r="C645" t="s">
        <v>195</v>
      </c>
      <c r="D645" t="s">
        <v>1577</v>
      </c>
      <c r="E645" t="s">
        <v>1730</v>
      </c>
      <c r="F645" t="s">
        <v>1731</v>
      </c>
      <c r="H645" t="s">
        <v>1732</v>
      </c>
      <c r="I645" t="s">
        <v>1733</v>
      </c>
      <c r="J645" t="s">
        <v>1734</v>
      </c>
      <c r="K645" t="s">
        <v>35</v>
      </c>
      <c r="L645">
        <v>7842075908</v>
      </c>
      <c r="M645" t="s">
        <v>1735</v>
      </c>
      <c r="N645" t="s">
        <v>2872</v>
      </c>
      <c r="P645" t="s">
        <v>1736</v>
      </c>
      <c r="Q645" t="s">
        <v>1737</v>
      </c>
      <c r="R645" t="s">
        <v>376</v>
      </c>
      <c r="S645" t="s">
        <v>40</v>
      </c>
      <c r="T645" s="1">
        <v>44284</v>
      </c>
      <c r="U645">
        <v>0</v>
      </c>
      <c r="V645">
        <v>14</v>
      </c>
      <c r="X645" t="s">
        <v>135</v>
      </c>
      <c r="Y645" t="s">
        <v>42</v>
      </c>
      <c r="Z645" t="s">
        <v>43</v>
      </c>
      <c r="AA645" t="s">
        <v>43</v>
      </c>
      <c r="AD645" t="s">
        <v>3143</v>
      </c>
    </row>
    <row r="646" spans="1:30" x14ac:dyDescent="0.4">
      <c r="A646" t="s">
        <v>27</v>
      </c>
      <c r="B646">
        <v>1066</v>
      </c>
      <c r="C646" t="s">
        <v>68</v>
      </c>
      <c r="D646" t="s">
        <v>47</v>
      </c>
      <c r="E646" t="s">
        <v>1738</v>
      </c>
      <c r="F646" t="s">
        <v>1739</v>
      </c>
      <c r="G646" t="s">
        <v>1740</v>
      </c>
      <c r="H646" t="s">
        <v>1741</v>
      </c>
      <c r="I646" t="s">
        <v>73</v>
      </c>
      <c r="J646" t="s">
        <v>1742</v>
      </c>
      <c r="K646" t="s">
        <v>35</v>
      </c>
      <c r="L646" t="s">
        <v>1743</v>
      </c>
      <c r="M646" t="s">
        <v>1744</v>
      </c>
      <c r="N646" t="s">
        <v>2976</v>
      </c>
      <c r="P646" t="s">
        <v>1745</v>
      </c>
      <c r="Q646" t="s">
        <v>1746</v>
      </c>
      <c r="R646" t="s">
        <v>1747</v>
      </c>
      <c r="S646" t="s">
        <v>82</v>
      </c>
      <c r="T646" s="1">
        <v>44638</v>
      </c>
      <c r="U646">
        <v>0</v>
      </c>
      <c r="V646">
        <v>11</v>
      </c>
      <c r="Y646" t="s">
        <v>42</v>
      </c>
      <c r="Z646" t="s">
        <v>43</v>
      </c>
      <c r="AA646" t="s">
        <v>43</v>
      </c>
      <c r="AD646" t="s">
        <v>3143</v>
      </c>
    </row>
    <row r="647" spans="1:30" x14ac:dyDescent="0.4">
      <c r="A647" t="s">
        <v>27</v>
      </c>
      <c r="B647">
        <v>5695</v>
      </c>
      <c r="C647" t="s">
        <v>28</v>
      </c>
      <c r="D647" t="s">
        <v>1748</v>
      </c>
      <c r="E647" t="s">
        <v>1749</v>
      </c>
      <c r="F647" t="s">
        <v>1750</v>
      </c>
      <c r="G647" t="s">
        <v>1751</v>
      </c>
      <c r="H647" t="s">
        <v>1752</v>
      </c>
      <c r="I647" t="s">
        <v>1753</v>
      </c>
      <c r="J647" t="s">
        <v>1754</v>
      </c>
      <c r="K647" t="s">
        <v>35</v>
      </c>
      <c r="L647">
        <v>7845059975</v>
      </c>
      <c r="M647" t="s">
        <v>1755</v>
      </c>
      <c r="N647" t="s">
        <v>1756</v>
      </c>
      <c r="P647" t="s">
        <v>1757</v>
      </c>
      <c r="Q647" t="s">
        <v>1758</v>
      </c>
      <c r="R647" t="s">
        <v>1759</v>
      </c>
      <c r="S647" t="s">
        <v>40</v>
      </c>
      <c r="T647" s="1">
        <v>41489</v>
      </c>
      <c r="U647">
        <v>0</v>
      </c>
      <c r="V647">
        <v>8</v>
      </c>
      <c r="Y647" t="s">
        <v>42</v>
      </c>
      <c r="Z647" t="s">
        <v>43</v>
      </c>
      <c r="AA647" t="s">
        <v>43</v>
      </c>
      <c r="AD647" t="s">
        <v>3143</v>
      </c>
    </row>
    <row r="648" spans="1:30" x14ac:dyDescent="0.4">
      <c r="A648" t="s">
        <v>27</v>
      </c>
      <c r="B648">
        <v>5695</v>
      </c>
      <c r="C648" t="s">
        <v>28</v>
      </c>
      <c r="D648" t="s">
        <v>1748</v>
      </c>
      <c r="E648" t="s">
        <v>1749</v>
      </c>
      <c r="F648" t="s">
        <v>1750</v>
      </c>
      <c r="G648" t="s">
        <v>1751</v>
      </c>
      <c r="H648" t="s">
        <v>1752</v>
      </c>
      <c r="I648" t="s">
        <v>1753</v>
      </c>
      <c r="J648" t="s">
        <v>1754</v>
      </c>
      <c r="K648" t="s">
        <v>35</v>
      </c>
      <c r="L648">
        <v>7845059975</v>
      </c>
      <c r="M648" t="s">
        <v>1755</v>
      </c>
      <c r="N648" t="s">
        <v>1756</v>
      </c>
      <c r="P648" t="s">
        <v>1757</v>
      </c>
      <c r="Q648" t="s">
        <v>1758</v>
      </c>
      <c r="R648" t="s">
        <v>1759</v>
      </c>
      <c r="S648" t="s">
        <v>40</v>
      </c>
      <c r="T648" s="1">
        <v>41489</v>
      </c>
      <c r="U648">
        <v>0</v>
      </c>
      <c r="V648">
        <v>10</v>
      </c>
      <c r="Y648" t="s">
        <v>42</v>
      </c>
      <c r="Z648" t="s">
        <v>43</v>
      </c>
      <c r="AA648" t="s">
        <v>43</v>
      </c>
      <c r="AD648" t="s">
        <v>3143</v>
      </c>
    </row>
    <row r="649" spans="1:30" x14ac:dyDescent="0.4">
      <c r="A649" t="s">
        <v>27</v>
      </c>
      <c r="B649">
        <v>3020</v>
      </c>
      <c r="C649" t="s">
        <v>195</v>
      </c>
      <c r="D649" t="s">
        <v>481</v>
      </c>
      <c r="E649" t="s">
        <v>1760</v>
      </c>
      <c r="F649" t="s">
        <v>1381</v>
      </c>
      <c r="G649" t="s">
        <v>1382</v>
      </c>
      <c r="H649" t="s">
        <v>1383</v>
      </c>
      <c r="I649" t="s">
        <v>426</v>
      </c>
      <c r="J649" t="s">
        <v>1384</v>
      </c>
      <c r="K649" t="s">
        <v>35</v>
      </c>
      <c r="L649" t="s">
        <v>1761</v>
      </c>
      <c r="M649" t="s">
        <v>1385</v>
      </c>
      <c r="N649" t="s">
        <v>1762</v>
      </c>
      <c r="P649" t="s">
        <v>1763</v>
      </c>
      <c r="Q649" t="s">
        <v>1764</v>
      </c>
      <c r="R649" t="s">
        <v>413</v>
      </c>
      <c r="S649" t="s">
        <v>40</v>
      </c>
      <c r="T649" s="1">
        <v>45476</v>
      </c>
      <c r="U649">
        <v>0</v>
      </c>
      <c r="V649">
        <v>0</v>
      </c>
      <c r="W649" t="s">
        <v>59</v>
      </c>
      <c r="Y649" t="s">
        <v>42</v>
      </c>
      <c r="Z649" t="s">
        <v>43</v>
      </c>
      <c r="AA649" t="s">
        <v>43</v>
      </c>
      <c r="AD649" t="s">
        <v>3143</v>
      </c>
    </row>
    <row r="650" spans="1:30" x14ac:dyDescent="0.4">
      <c r="A650" t="s">
        <v>27</v>
      </c>
      <c r="B650">
        <v>3020</v>
      </c>
      <c r="C650" t="s">
        <v>195</v>
      </c>
      <c r="D650" t="s">
        <v>481</v>
      </c>
      <c r="E650" t="s">
        <v>1760</v>
      </c>
      <c r="F650" t="s">
        <v>1381</v>
      </c>
      <c r="G650" t="s">
        <v>1382</v>
      </c>
      <c r="H650" t="s">
        <v>1383</v>
      </c>
      <c r="I650" t="s">
        <v>426</v>
      </c>
      <c r="J650" t="s">
        <v>1384</v>
      </c>
      <c r="K650" t="s">
        <v>35</v>
      </c>
      <c r="L650" t="s">
        <v>1761</v>
      </c>
      <c r="M650" t="s">
        <v>1385</v>
      </c>
      <c r="N650" t="s">
        <v>1762</v>
      </c>
      <c r="P650" t="s">
        <v>1763</v>
      </c>
      <c r="Q650" t="s">
        <v>1764</v>
      </c>
      <c r="R650" t="s">
        <v>413</v>
      </c>
      <c r="S650" t="s">
        <v>40</v>
      </c>
      <c r="T650" s="1">
        <v>45476</v>
      </c>
      <c r="U650">
        <v>0</v>
      </c>
      <c r="V650">
        <v>0</v>
      </c>
      <c r="W650" t="s">
        <v>59</v>
      </c>
      <c r="Y650" t="s">
        <v>42</v>
      </c>
      <c r="Z650" t="s">
        <v>43</v>
      </c>
      <c r="AA650" t="s">
        <v>43</v>
      </c>
      <c r="AD650" t="s">
        <v>3143</v>
      </c>
    </row>
    <row r="651" spans="1:30" x14ac:dyDescent="0.4">
      <c r="A651" t="s">
        <v>27</v>
      </c>
      <c r="B651">
        <v>3020</v>
      </c>
      <c r="C651" t="s">
        <v>195</v>
      </c>
      <c r="D651" t="s">
        <v>481</v>
      </c>
      <c r="E651" t="s">
        <v>1760</v>
      </c>
      <c r="F651" t="s">
        <v>1381</v>
      </c>
      <c r="G651" t="s">
        <v>1382</v>
      </c>
      <c r="H651" t="s">
        <v>1383</v>
      </c>
      <c r="I651" t="s">
        <v>426</v>
      </c>
      <c r="J651" t="s">
        <v>1384</v>
      </c>
      <c r="K651" t="s">
        <v>35</v>
      </c>
      <c r="L651" t="s">
        <v>1761</v>
      </c>
      <c r="M651" t="s">
        <v>1385</v>
      </c>
      <c r="N651" t="s">
        <v>1762</v>
      </c>
      <c r="P651" t="s">
        <v>1765</v>
      </c>
      <c r="Q651" t="s">
        <v>1766</v>
      </c>
      <c r="R651" t="s">
        <v>1767</v>
      </c>
      <c r="S651" t="s">
        <v>40</v>
      </c>
      <c r="T651" s="1">
        <v>42625</v>
      </c>
      <c r="U651">
        <v>0</v>
      </c>
      <c r="V651">
        <v>0</v>
      </c>
      <c r="W651" t="s">
        <v>59</v>
      </c>
      <c r="Y651" t="s">
        <v>42</v>
      </c>
      <c r="Z651" t="s">
        <v>43</v>
      </c>
      <c r="AA651" t="s">
        <v>43</v>
      </c>
      <c r="AD651" t="s">
        <v>3143</v>
      </c>
    </row>
    <row r="652" spans="1:30" x14ac:dyDescent="0.4">
      <c r="A652" t="s">
        <v>27</v>
      </c>
      <c r="B652">
        <v>3020</v>
      </c>
      <c r="C652" t="s">
        <v>195</v>
      </c>
      <c r="D652" t="s">
        <v>481</v>
      </c>
      <c r="E652" t="s">
        <v>1760</v>
      </c>
      <c r="F652" t="s">
        <v>1381</v>
      </c>
      <c r="G652" t="s">
        <v>1382</v>
      </c>
      <c r="H652" t="s">
        <v>1383</v>
      </c>
      <c r="I652" t="s">
        <v>426</v>
      </c>
      <c r="J652" t="s">
        <v>1384</v>
      </c>
      <c r="K652" t="s">
        <v>35</v>
      </c>
      <c r="L652" t="s">
        <v>1761</v>
      </c>
      <c r="M652" t="s">
        <v>1385</v>
      </c>
      <c r="N652" t="s">
        <v>1762</v>
      </c>
      <c r="P652" t="s">
        <v>1765</v>
      </c>
      <c r="Q652" t="s">
        <v>1766</v>
      </c>
      <c r="R652" t="s">
        <v>1767</v>
      </c>
      <c r="S652" t="s">
        <v>40</v>
      </c>
      <c r="T652" s="1">
        <v>42625</v>
      </c>
      <c r="U652">
        <v>0</v>
      </c>
      <c r="V652">
        <v>0</v>
      </c>
      <c r="W652" t="s">
        <v>59</v>
      </c>
      <c r="Y652" t="s">
        <v>42</v>
      </c>
      <c r="Z652" t="s">
        <v>43</v>
      </c>
      <c r="AA652" t="s">
        <v>43</v>
      </c>
      <c r="AD652" t="s">
        <v>3143</v>
      </c>
    </row>
    <row r="653" spans="1:30" x14ac:dyDescent="0.4">
      <c r="A653" t="s">
        <v>27</v>
      </c>
      <c r="B653">
        <v>3020</v>
      </c>
      <c r="C653" t="s">
        <v>195</v>
      </c>
      <c r="D653" t="s">
        <v>481</v>
      </c>
      <c r="E653" t="s">
        <v>1760</v>
      </c>
      <c r="F653" t="s">
        <v>1381</v>
      </c>
      <c r="G653" t="s">
        <v>1382</v>
      </c>
      <c r="H653" t="s">
        <v>1383</v>
      </c>
      <c r="I653" t="s">
        <v>426</v>
      </c>
      <c r="J653" t="s">
        <v>1384</v>
      </c>
      <c r="K653" t="s">
        <v>35</v>
      </c>
      <c r="L653" t="s">
        <v>1761</v>
      </c>
      <c r="M653" t="s">
        <v>1385</v>
      </c>
      <c r="N653" t="s">
        <v>1762</v>
      </c>
      <c r="P653" t="s">
        <v>1768</v>
      </c>
      <c r="Q653" t="s">
        <v>1769</v>
      </c>
      <c r="R653" t="s">
        <v>580</v>
      </c>
      <c r="S653" t="s">
        <v>40</v>
      </c>
      <c r="T653" s="1">
        <v>43277</v>
      </c>
      <c r="U653">
        <v>0</v>
      </c>
      <c r="V653">
        <v>0</v>
      </c>
      <c r="W653" t="s">
        <v>59</v>
      </c>
      <c r="Y653" t="s">
        <v>42</v>
      </c>
      <c r="Z653" t="s">
        <v>43</v>
      </c>
      <c r="AA653" t="s">
        <v>43</v>
      </c>
      <c r="AD653" t="s">
        <v>3143</v>
      </c>
    </row>
    <row r="654" spans="1:30" x14ac:dyDescent="0.4">
      <c r="A654" t="s">
        <v>27</v>
      </c>
      <c r="B654">
        <v>3020</v>
      </c>
      <c r="C654" t="s">
        <v>195</v>
      </c>
      <c r="D654" t="s">
        <v>481</v>
      </c>
      <c r="E654" t="s">
        <v>1760</v>
      </c>
      <c r="F654" t="s">
        <v>1381</v>
      </c>
      <c r="G654" t="s">
        <v>1382</v>
      </c>
      <c r="H654" t="s">
        <v>1383</v>
      </c>
      <c r="I654" t="s">
        <v>426</v>
      </c>
      <c r="J654" t="s">
        <v>1384</v>
      </c>
      <c r="K654" t="s">
        <v>35</v>
      </c>
      <c r="L654" t="s">
        <v>1761</v>
      </c>
      <c r="M654" t="s">
        <v>1385</v>
      </c>
      <c r="N654" t="s">
        <v>1762</v>
      </c>
      <c r="P654" t="s">
        <v>1768</v>
      </c>
      <c r="Q654" t="s">
        <v>1769</v>
      </c>
      <c r="R654" t="s">
        <v>580</v>
      </c>
      <c r="S654" t="s">
        <v>40</v>
      </c>
      <c r="T654" s="1">
        <v>43277</v>
      </c>
      <c r="U654">
        <v>0</v>
      </c>
      <c r="V654">
        <v>0</v>
      </c>
      <c r="W654" t="s">
        <v>59</v>
      </c>
      <c r="Y654" t="s">
        <v>42</v>
      </c>
      <c r="Z654" t="s">
        <v>43</v>
      </c>
      <c r="AA654" t="s">
        <v>43</v>
      </c>
      <c r="AD654" t="s">
        <v>3143</v>
      </c>
    </row>
    <row r="655" spans="1:30" x14ac:dyDescent="0.4">
      <c r="A655" t="s">
        <v>27</v>
      </c>
      <c r="B655">
        <v>633</v>
      </c>
      <c r="C655" t="s">
        <v>68</v>
      </c>
      <c r="D655" t="s">
        <v>858</v>
      </c>
      <c r="E655" t="s">
        <v>1770</v>
      </c>
      <c r="F655" t="s">
        <v>1771</v>
      </c>
      <c r="G655" t="s">
        <v>1772</v>
      </c>
      <c r="H655" t="s">
        <v>1773</v>
      </c>
      <c r="I655" t="s">
        <v>242</v>
      </c>
      <c r="J655" t="s">
        <v>1774</v>
      </c>
      <c r="K655" t="s">
        <v>35</v>
      </c>
      <c r="L655" t="s">
        <v>1775</v>
      </c>
      <c r="M655" t="s">
        <v>1776</v>
      </c>
      <c r="N655" t="s">
        <v>2978</v>
      </c>
      <c r="P655" t="s">
        <v>1777</v>
      </c>
      <c r="Q655" t="s">
        <v>1778</v>
      </c>
      <c r="R655" t="s">
        <v>58</v>
      </c>
      <c r="S655" t="s">
        <v>82</v>
      </c>
      <c r="T655" s="1">
        <v>45353</v>
      </c>
      <c r="U655">
        <v>0</v>
      </c>
      <c r="V655">
        <v>4</v>
      </c>
      <c r="W655" t="s">
        <v>65</v>
      </c>
      <c r="Y655" t="s">
        <v>42</v>
      </c>
      <c r="Z655" t="s">
        <v>43</v>
      </c>
      <c r="AA655" t="s">
        <v>43</v>
      </c>
      <c r="AD655" t="s">
        <v>3143</v>
      </c>
    </row>
    <row r="656" spans="1:30" x14ac:dyDescent="0.4">
      <c r="A656" t="s">
        <v>27</v>
      </c>
      <c r="B656">
        <v>633</v>
      </c>
      <c r="C656" t="s">
        <v>68</v>
      </c>
      <c r="D656" t="s">
        <v>858</v>
      </c>
      <c r="E656" t="s">
        <v>1770</v>
      </c>
      <c r="F656" t="s">
        <v>1771</v>
      </c>
      <c r="G656" t="s">
        <v>1772</v>
      </c>
      <c r="H656" t="s">
        <v>1773</v>
      </c>
      <c r="I656" t="s">
        <v>242</v>
      </c>
      <c r="J656" t="s">
        <v>1774</v>
      </c>
      <c r="K656" t="s">
        <v>35</v>
      </c>
      <c r="L656" t="s">
        <v>1775</v>
      </c>
      <c r="M656" t="s">
        <v>1776</v>
      </c>
      <c r="N656" t="s">
        <v>2978</v>
      </c>
      <c r="P656" t="s">
        <v>1779</v>
      </c>
      <c r="Q656" t="s">
        <v>1780</v>
      </c>
      <c r="R656" t="s">
        <v>58</v>
      </c>
      <c r="S656" t="s">
        <v>40</v>
      </c>
      <c r="T656" s="1">
        <v>43954</v>
      </c>
      <c r="U656">
        <v>0</v>
      </c>
      <c r="V656">
        <v>5</v>
      </c>
      <c r="W656" t="s">
        <v>66</v>
      </c>
      <c r="Y656" t="s">
        <v>42</v>
      </c>
      <c r="Z656" t="s">
        <v>43</v>
      </c>
      <c r="AA656" t="s">
        <v>43</v>
      </c>
      <c r="AD656" t="s">
        <v>3143</v>
      </c>
    </row>
    <row r="657" spans="1:30" x14ac:dyDescent="0.4">
      <c r="A657" t="s">
        <v>27</v>
      </c>
      <c r="B657">
        <v>633</v>
      </c>
      <c r="C657" t="s">
        <v>68</v>
      </c>
      <c r="D657" t="s">
        <v>858</v>
      </c>
      <c r="E657" t="s">
        <v>1770</v>
      </c>
      <c r="F657" t="s">
        <v>1771</v>
      </c>
      <c r="G657" t="s">
        <v>1772</v>
      </c>
      <c r="H657" t="s">
        <v>1773</v>
      </c>
      <c r="I657" t="s">
        <v>242</v>
      </c>
      <c r="J657" t="s">
        <v>1774</v>
      </c>
      <c r="K657" t="s">
        <v>35</v>
      </c>
      <c r="L657" t="s">
        <v>1775</v>
      </c>
      <c r="M657" t="s">
        <v>1776</v>
      </c>
      <c r="N657" t="s">
        <v>2978</v>
      </c>
      <c r="P657" t="s">
        <v>1781</v>
      </c>
      <c r="Q657" t="s">
        <v>1782</v>
      </c>
      <c r="R657" t="s">
        <v>58</v>
      </c>
      <c r="S657" t="s">
        <v>82</v>
      </c>
      <c r="T657" s="1">
        <v>43954</v>
      </c>
      <c r="U657">
        <v>0</v>
      </c>
      <c r="V657">
        <v>5</v>
      </c>
      <c r="W657" t="s">
        <v>66</v>
      </c>
      <c r="Y657" t="s">
        <v>42</v>
      </c>
      <c r="Z657" t="s">
        <v>43</v>
      </c>
      <c r="AA657" t="s">
        <v>43</v>
      </c>
      <c r="AD657" t="s">
        <v>3143</v>
      </c>
    </row>
    <row r="658" spans="1:30" x14ac:dyDescent="0.4">
      <c r="A658" t="s">
        <v>27</v>
      </c>
      <c r="B658">
        <v>633</v>
      </c>
      <c r="C658" t="s">
        <v>68</v>
      </c>
      <c r="D658" t="s">
        <v>858</v>
      </c>
      <c r="E658" t="s">
        <v>1770</v>
      </c>
      <c r="F658" t="s">
        <v>1771</v>
      </c>
      <c r="G658" t="s">
        <v>1772</v>
      </c>
      <c r="H658" t="s">
        <v>1773</v>
      </c>
      <c r="I658" t="s">
        <v>242</v>
      </c>
      <c r="J658" t="s">
        <v>1774</v>
      </c>
      <c r="K658" t="s">
        <v>35</v>
      </c>
      <c r="L658" t="s">
        <v>1775</v>
      </c>
      <c r="M658" t="s">
        <v>1776</v>
      </c>
      <c r="N658" t="s">
        <v>2978</v>
      </c>
      <c r="P658" t="s">
        <v>1783</v>
      </c>
      <c r="Q658" t="s">
        <v>1784</v>
      </c>
      <c r="R658" t="s">
        <v>58</v>
      </c>
      <c r="S658" t="s">
        <v>82</v>
      </c>
      <c r="T658" s="1">
        <v>43108</v>
      </c>
      <c r="U658">
        <v>0</v>
      </c>
      <c r="V658">
        <v>7</v>
      </c>
      <c r="Y658" t="s">
        <v>42</v>
      </c>
      <c r="Z658" t="s">
        <v>43</v>
      </c>
      <c r="AA658" t="s">
        <v>43</v>
      </c>
      <c r="AD658" t="s">
        <v>3143</v>
      </c>
    </row>
    <row r="659" spans="1:30" x14ac:dyDescent="0.4">
      <c r="A659" t="s">
        <v>27</v>
      </c>
      <c r="B659">
        <v>633</v>
      </c>
      <c r="C659" t="s">
        <v>68</v>
      </c>
      <c r="D659" t="s">
        <v>858</v>
      </c>
      <c r="E659" t="s">
        <v>1770</v>
      </c>
      <c r="F659" t="s">
        <v>1771</v>
      </c>
      <c r="G659" t="s">
        <v>1772</v>
      </c>
      <c r="H659" t="s">
        <v>1773</v>
      </c>
      <c r="I659" t="s">
        <v>242</v>
      </c>
      <c r="J659" t="s">
        <v>1774</v>
      </c>
      <c r="K659" t="s">
        <v>35</v>
      </c>
      <c r="L659" t="s">
        <v>1775</v>
      </c>
      <c r="M659" t="s">
        <v>1776</v>
      </c>
      <c r="N659" t="s">
        <v>2978</v>
      </c>
      <c r="P659" t="s">
        <v>1777</v>
      </c>
      <c r="Q659" t="s">
        <v>1778</v>
      </c>
      <c r="R659" t="s">
        <v>58</v>
      </c>
      <c r="S659" t="s">
        <v>82</v>
      </c>
      <c r="T659" s="1">
        <v>45353</v>
      </c>
      <c r="U659">
        <v>0</v>
      </c>
      <c r="V659">
        <v>13</v>
      </c>
      <c r="Y659" t="s">
        <v>42</v>
      </c>
      <c r="Z659" t="s">
        <v>43</v>
      </c>
      <c r="AA659" t="s">
        <v>43</v>
      </c>
      <c r="AD659" t="s">
        <v>3143</v>
      </c>
    </row>
    <row r="660" spans="1:30" x14ac:dyDescent="0.4">
      <c r="A660" t="s">
        <v>27</v>
      </c>
      <c r="B660">
        <v>633</v>
      </c>
      <c r="C660" t="s">
        <v>68</v>
      </c>
      <c r="D660" t="s">
        <v>858</v>
      </c>
      <c r="E660" t="s">
        <v>1770</v>
      </c>
      <c r="F660" t="s">
        <v>1771</v>
      </c>
      <c r="G660" t="s">
        <v>1772</v>
      </c>
      <c r="H660" t="s">
        <v>1773</v>
      </c>
      <c r="I660" t="s">
        <v>242</v>
      </c>
      <c r="J660" t="s">
        <v>1774</v>
      </c>
      <c r="K660" t="s">
        <v>35</v>
      </c>
      <c r="L660" t="s">
        <v>1775</v>
      </c>
      <c r="M660" t="s">
        <v>1776</v>
      </c>
      <c r="N660" t="s">
        <v>2978</v>
      </c>
      <c r="P660" t="s">
        <v>1779</v>
      </c>
      <c r="Q660" t="s">
        <v>1780</v>
      </c>
      <c r="R660" t="s">
        <v>58</v>
      </c>
      <c r="S660" t="s">
        <v>40</v>
      </c>
      <c r="T660" s="1">
        <v>43954</v>
      </c>
      <c r="U660">
        <v>0</v>
      </c>
      <c r="V660">
        <v>14</v>
      </c>
      <c r="Y660" t="s">
        <v>42</v>
      </c>
      <c r="Z660" t="s">
        <v>43</v>
      </c>
      <c r="AA660" t="s">
        <v>43</v>
      </c>
      <c r="AD660" t="s">
        <v>3143</v>
      </c>
    </row>
    <row r="661" spans="1:30" x14ac:dyDescent="0.4">
      <c r="A661" t="s">
        <v>27</v>
      </c>
      <c r="B661">
        <v>633</v>
      </c>
      <c r="C661" t="s">
        <v>68</v>
      </c>
      <c r="D661" t="s">
        <v>858</v>
      </c>
      <c r="E661" t="s">
        <v>1770</v>
      </c>
      <c r="F661" t="s">
        <v>1771</v>
      </c>
      <c r="G661" t="s">
        <v>1772</v>
      </c>
      <c r="H661" t="s">
        <v>1773</v>
      </c>
      <c r="I661" t="s">
        <v>242</v>
      </c>
      <c r="J661" t="s">
        <v>1774</v>
      </c>
      <c r="K661" t="s">
        <v>35</v>
      </c>
      <c r="L661" t="s">
        <v>1775</v>
      </c>
      <c r="M661" t="s">
        <v>1776</v>
      </c>
      <c r="N661" t="s">
        <v>2978</v>
      </c>
      <c r="P661" t="s">
        <v>1781</v>
      </c>
      <c r="Q661" t="s">
        <v>1782</v>
      </c>
      <c r="R661" t="s">
        <v>58</v>
      </c>
      <c r="S661" t="s">
        <v>82</v>
      </c>
      <c r="T661" s="1">
        <v>43954</v>
      </c>
      <c r="U661">
        <v>0</v>
      </c>
      <c r="V661">
        <v>15</v>
      </c>
      <c r="Y661" t="s">
        <v>42</v>
      </c>
      <c r="Z661" t="s">
        <v>43</v>
      </c>
      <c r="AA661" t="s">
        <v>43</v>
      </c>
      <c r="AD661" t="s">
        <v>3143</v>
      </c>
    </row>
    <row r="662" spans="1:30" x14ac:dyDescent="0.4">
      <c r="A662" t="s">
        <v>27</v>
      </c>
      <c r="B662">
        <v>633</v>
      </c>
      <c r="C662" t="s">
        <v>68</v>
      </c>
      <c r="D662" t="s">
        <v>858</v>
      </c>
      <c r="E662" t="s">
        <v>1770</v>
      </c>
      <c r="F662" t="s">
        <v>1771</v>
      </c>
      <c r="G662" t="s">
        <v>1772</v>
      </c>
      <c r="H662" t="s">
        <v>1773</v>
      </c>
      <c r="I662" t="s">
        <v>242</v>
      </c>
      <c r="J662" t="s">
        <v>1774</v>
      </c>
      <c r="K662" t="s">
        <v>35</v>
      </c>
      <c r="L662" t="s">
        <v>1775</v>
      </c>
      <c r="M662" t="s">
        <v>1776</v>
      </c>
      <c r="N662" t="s">
        <v>2978</v>
      </c>
      <c r="P662" t="s">
        <v>1783</v>
      </c>
      <c r="Q662" t="s">
        <v>1784</v>
      </c>
      <c r="R662" t="s">
        <v>58</v>
      </c>
      <c r="S662" t="s">
        <v>82</v>
      </c>
      <c r="T662" s="1">
        <v>43108</v>
      </c>
      <c r="U662">
        <v>0</v>
      </c>
      <c r="V662">
        <v>19</v>
      </c>
      <c r="Y662" t="s">
        <v>42</v>
      </c>
      <c r="Z662" t="s">
        <v>43</v>
      </c>
      <c r="AA662" t="s">
        <v>43</v>
      </c>
      <c r="AD662" t="s">
        <v>3143</v>
      </c>
    </row>
    <row r="663" spans="1:30" x14ac:dyDescent="0.4">
      <c r="A663" t="s">
        <v>27</v>
      </c>
      <c r="B663">
        <v>5874</v>
      </c>
      <c r="C663" t="s">
        <v>28</v>
      </c>
      <c r="D663" t="s">
        <v>1785</v>
      </c>
      <c r="E663" t="s">
        <v>1786</v>
      </c>
      <c r="F663" t="s">
        <v>1787</v>
      </c>
      <c r="H663" t="s">
        <v>559</v>
      </c>
      <c r="I663" t="s">
        <v>51</v>
      </c>
      <c r="J663" t="s">
        <v>1788</v>
      </c>
      <c r="K663" t="s">
        <v>35</v>
      </c>
      <c r="L663">
        <v>7917033788</v>
      </c>
      <c r="M663" t="s">
        <v>1789</v>
      </c>
      <c r="N663" t="s">
        <v>1790</v>
      </c>
      <c r="P663" t="s">
        <v>1791</v>
      </c>
      <c r="Q663" t="s">
        <v>1792</v>
      </c>
      <c r="S663" t="s">
        <v>40</v>
      </c>
      <c r="T663" s="1">
        <v>43569</v>
      </c>
      <c r="U663">
        <v>0</v>
      </c>
      <c r="V663">
        <v>9</v>
      </c>
      <c r="Y663" t="s">
        <v>42</v>
      </c>
      <c r="Z663" t="s">
        <v>43</v>
      </c>
      <c r="AA663" t="s">
        <v>43</v>
      </c>
      <c r="AD663" t="s">
        <v>3143</v>
      </c>
    </row>
    <row r="664" spans="1:30" x14ac:dyDescent="0.4">
      <c r="A664" t="s">
        <v>27</v>
      </c>
      <c r="B664">
        <v>5874</v>
      </c>
      <c r="C664" t="s">
        <v>28</v>
      </c>
      <c r="D664" t="s">
        <v>1785</v>
      </c>
      <c r="E664" t="s">
        <v>1786</v>
      </c>
      <c r="F664" t="s">
        <v>1787</v>
      </c>
      <c r="H664" t="s">
        <v>559</v>
      </c>
      <c r="I664" t="s">
        <v>51</v>
      </c>
      <c r="J664" t="s">
        <v>1788</v>
      </c>
      <c r="K664" t="s">
        <v>35</v>
      </c>
      <c r="L664">
        <v>7917033788</v>
      </c>
      <c r="M664" t="s">
        <v>1789</v>
      </c>
      <c r="N664" t="s">
        <v>1790</v>
      </c>
      <c r="P664" t="s">
        <v>1791</v>
      </c>
      <c r="Q664" t="s">
        <v>1792</v>
      </c>
      <c r="S664" t="s">
        <v>40</v>
      </c>
      <c r="T664" s="1">
        <v>43569</v>
      </c>
      <c r="U664">
        <v>0</v>
      </c>
      <c r="V664">
        <v>10</v>
      </c>
      <c r="Y664" t="s">
        <v>42</v>
      </c>
      <c r="Z664" t="s">
        <v>43</v>
      </c>
      <c r="AA664" t="s">
        <v>43</v>
      </c>
      <c r="AD664" t="s">
        <v>3143</v>
      </c>
    </row>
    <row r="665" spans="1:30" x14ac:dyDescent="0.4">
      <c r="A665" t="s">
        <v>27</v>
      </c>
      <c r="B665">
        <v>5874</v>
      </c>
      <c r="C665" t="s">
        <v>28</v>
      </c>
      <c r="D665" t="s">
        <v>1785</v>
      </c>
      <c r="E665" t="s">
        <v>1786</v>
      </c>
      <c r="F665" t="s">
        <v>1787</v>
      </c>
      <c r="H665" t="s">
        <v>559</v>
      </c>
      <c r="I665" t="s">
        <v>51</v>
      </c>
      <c r="J665" t="s">
        <v>1788</v>
      </c>
      <c r="K665" t="s">
        <v>35</v>
      </c>
      <c r="L665">
        <v>7917033788</v>
      </c>
      <c r="M665" t="s">
        <v>1789</v>
      </c>
      <c r="N665" t="s">
        <v>1790</v>
      </c>
      <c r="P665" t="s">
        <v>1791</v>
      </c>
      <c r="Q665" t="s">
        <v>1792</v>
      </c>
      <c r="S665" t="s">
        <v>40</v>
      </c>
      <c r="T665" s="1">
        <v>43569</v>
      </c>
      <c r="U665">
        <v>0</v>
      </c>
      <c r="V665">
        <v>11</v>
      </c>
      <c r="Y665" t="s">
        <v>42</v>
      </c>
      <c r="Z665" t="s">
        <v>43</v>
      </c>
      <c r="AA665" t="s">
        <v>43</v>
      </c>
      <c r="AD665" t="s">
        <v>3143</v>
      </c>
    </row>
    <row r="666" spans="1:30" x14ac:dyDescent="0.4">
      <c r="A666" t="s">
        <v>27</v>
      </c>
      <c r="B666">
        <v>6078</v>
      </c>
      <c r="C666" t="s">
        <v>195</v>
      </c>
      <c r="D666" t="s">
        <v>1793</v>
      </c>
      <c r="E666" t="s">
        <v>1794</v>
      </c>
      <c r="F666" t="s">
        <v>1795</v>
      </c>
      <c r="G666" t="s">
        <v>1796</v>
      </c>
      <c r="H666" t="s">
        <v>50</v>
      </c>
      <c r="I666" t="s">
        <v>51</v>
      </c>
      <c r="J666" t="s">
        <v>1797</v>
      </c>
      <c r="K666" t="s">
        <v>35</v>
      </c>
      <c r="L666">
        <v>7769677841</v>
      </c>
      <c r="M666" t="s">
        <v>1798</v>
      </c>
      <c r="N666" t="s">
        <v>2905</v>
      </c>
      <c r="P666" t="s">
        <v>1799</v>
      </c>
      <c r="Q666" t="s">
        <v>1800</v>
      </c>
      <c r="R666" t="s">
        <v>169</v>
      </c>
      <c r="S666" t="s">
        <v>40</v>
      </c>
      <c r="T666" s="1">
        <v>44158</v>
      </c>
      <c r="U666">
        <v>0</v>
      </c>
      <c r="V666">
        <v>1</v>
      </c>
      <c r="Y666" t="s">
        <v>42</v>
      </c>
      <c r="Z666" t="s">
        <v>43</v>
      </c>
      <c r="AA666" t="s">
        <v>43</v>
      </c>
      <c r="AD666" t="s">
        <v>3143</v>
      </c>
    </row>
    <row r="667" spans="1:30" x14ac:dyDescent="0.4">
      <c r="A667" t="s">
        <v>27</v>
      </c>
      <c r="B667">
        <v>6078</v>
      </c>
      <c r="C667" t="s">
        <v>195</v>
      </c>
      <c r="D667" t="s">
        <v>1793</v>
      </c>
      <c r="E667" t="s">
        <v>1794</v>
      </c>
      <c r="F667" t="s">
        <v>1795</v>
      </c>
      <c r="G667" t="s">
        <v>1796</v>
      </c>
      <c r="H667" t="s">
        <v>50</v>
      </c>
      <c r="I667" t="s">
        <v>51</v>
      </c>
      <c r="J667" t="s">
        <v>1797</v>
      </c>
      <c r="K667" t="s">
        <v>35</v>
      </c>
      <c r="L667">
        <v>7769677841</v>
      </c>
      <c r="M667" t="s">
        <v>1798</v>
      </c>
      <c r="N667" t="s">
        <v>2901</v>
      </c>
      <c r="P667" t="s">
        <v>1799</v>
      </c>
      <c r="Q667" t="s">
        <v>1800</v>
      </c>
      <c r="R667" t="s">
        <v>169</v>
      </c>
      <c r="S667" t="s">
        <v>40</v>
      </c>
      <c r="T667" s="1">
        <v>44158</v>
      </c>
      <c r="U667">
        <v>0</v>
      </c>
      <c r="V667">
        <v>2</v>
      </c>
      <c r="Y667" t="s">
        <v>42</v>
      </c>
      <c r="Z667" t="s">
        <v>43</v>
      </c>
      <c r="AA667" t="s">
        <v>43</v>
      </c>
      <c r="AD667" t="s">
        <v>3143</v>
      </c>
    </row>
    <row r="668" spans="1:30" x14ac:dyDescent="0.4">
      <c r="A668" t="s">
        <v>27</v>
      </c>
      <c r="B668">
        <v>6078</v>
      </c>
      <c r="C668" t="s">
        <v>195</v>
      </c>
      <c r="D668" t="s">
        <v>1793</v>
      </c>
      <c r="E668" t="s">
        <v>1794</v>
      </c>
      <c r="F668" t="s">
        <v>1795</v>
      </c>
      <c r="G668" t="s">
        <v>1796</v>
      </c>
      <c r="H668" t="s">
        <v>50</v>
      </c>
      <c r="I668" t="s">
        <v>51</v>
      </c>
      <c r="J668" t="s">
        <v>1797</v>
      </c>
      <c r="K668" t="s">
        <v>35</v>
      </c>
      <c r="L668">
        <v>7769677841</v>
      </c>
      <c r="M668" t="s">
        <v>1798</v>
      </c>
      <c r="N668" t="s">
        <v>2901</v>
      </c>
      <c r="P668" t="s">
        <v>1799</v>
      </c>
      <c r="Q668" t="s">
        <v>1800</v>
      </c>
      <c r="R668" t="s">
        <v>169</v>
      </c>
      <c r="S668" t="s">
        <v>40</v>
      </c>
      <c r="T668" s="1">
        <v>44158</v>
      </c>
      <c r="U668">
        <v>0</v>
      </c>
      <c r="V668">
        <v>8</v>
      </c>
      <c r="Y668" t="s">
        <v>42</v>
      </c>
      <c r="Z668" t="s">
        <v>43</v>
      </c>
      <c r="AA668" t="s">
        <v>43</v>
      </c>
      <c r="AD668" t="s">
        <v>3143</v>
      </c>
    </row>
    <row r="669" spans="1:30" x14ac:dyDescent="0.4">
      <c r="A669" t="s">
        <v>27</v>
      </c>
      <c r="B669">
        <v>6078</v>
      </c>
      <c r="C669" t="s">
        <v>195</v>
      </c>
      <c r="D669" t="s">
        <v>1793</v>
      </c>
      <c r="E669" t="s">
        <v>1794</v>
      </c>
      <c r="F669" t="s">
        <v>1795</v>
      </c>
      <c r="G669" t="s">
        <v>1796</v>
      </c>
      <c r="H669" t="s">
        <v>50</v>
      </c>
      <c r="I669" t="s">
        <v>51</v>
      </c>
      <c r="J669" t="s">
        <v>1797</v>
      </c>
      <c r="K669" t="s">
        <v>35</v>
      </c>
      <c r="L669">
        <v>7769677841</v>
      </c>
      <c r="M669" t="s">
        <v>1798</v>
      </c>
      <c r="N669" t="s">
        <v>2901</v>
      </c>
      <c r="P669" t="s">
        <v>1799</v>
      </c>
      <c r="Q669" t="s">
        <v>1800</v>
      </c>
      <c r="R669" t="s">
        <v>169</v>
      </c>
      <c r="S669" t="s">
        <v>40</v>
      </c>
      <c r="T669" s="1">
        <v>44158</v>
      </c>
      <c r="U669">
        <v>0</v>
      </c>
      <c r="V669">
        <v>9</v>
      </c>
      <c r="Y669" t="s">
        <v>42</v>
      </c>
      <c r="Z669" t="s">
        <v>43</v>
      </c>
      <c r="AA669" t="s">
        <v>43</v>
      </c>
      <c r="AD669" t="s">
        <v>3143</v>
      </c>
    </row>
    <row r="670" spans="1:30" x14ac:dyDescent="0.4">
      <c r="A670" t="s">
        <v>27</v>
      </c>
      <c r="B670">
        <v>4711</v>
      </c>
      <c r="C670" t="s">
        <v>68</v>
      </c>
      <c r="D670" t="s">
        <v>950</v>
      </c>
      <c r="E670" t="s">
        <v>1801</v>
      </c>
      <c r="F670" t="s">
        <v>1802</v>
      </c>
      <c r="G670" t="s">
        <v>1803</v>
      </c>
      <c r="H670" t="s">
        <v>1804</v>
      </c>
      <c r="I670" t="s">
        <v>426</v>
      </c>
      <c r="J670" t="s">
        <v>1805</v>
      </c>
      <c r="K670" t="s">
        <v>35</v>
      </c>
      <c r="L670">
        <v>7801499913</v>
      </c>
      <c r="M670" t="s">
        <v>1806</v>
      </c>
      <c r="N670" t="s">
        <v>1807</v>
      </c>
      <c r="P670" t="s">
        <v>1808</v>
      </c>
      <c r="Q670" t="s">
        <v>1809</v>
      </c>
      <c r="R670" t="s">
        <v>555</v>
      </c>
      <c r="S670" t="s">
        <v>82</v>
      </c>
      <c r="T670" s="1">
        <v>43182</v>
      </c>
      <c r="U670">
        <v>0</v>
      </c>
      <c r="V670">
        <v>2</v>
      </c>
      <c r="Y670" t="s">
        <v>42</v>
      </c>
      <c r="Z670" t="s">
        <v>43</v>
      </c>
      <c r="AA670" t="s">
        <v>43</v>
      </c>
      <c r="AB670" t="s">
        <v>1810</v>
      </c>
      <c r="AD670" t="s">
        <v>3143</v>
      </c>
    </row>
    <row r="671" spans="1:30" x14ac:dyDescent="0.4">
      <c r="A671" t="s">
        <v>27</v>
      </c>
      <c r="B671">
        <v>4711</v>
      </c>
      <c r="C671" t="s">
        <v>68</v>
      </c>
      <c r="D671" t="s">
        <v>950</v>
      </c>
      <c r="E671" t="s">
        <v>1801</v>
      </c>
      <c r="F671" t="s">
        <v>1802</v>
      </c>
      <c r="G671" t="s">
        <v>1803</v>
      </c>
      <c r="H671" t="s">
        <v>1804</v>
      </c>
      <c r="I671" t="s">
        <v>426</v>
      </c>
      <c r="J671" t="s">
        <v>1805</v>
      </c>
      <c r="K671" t="s">
        <v>35</v>
      </c>
      <c r="L671">
        <v>7801499913</v>
      </c>
      <c r="M671" t="s">
        <v>1806</v>
      </c>
      <c r="N671" t="s">
        <v>1807</v>
      </c>
      <c r="P671" t="s">
        <v>1808</v>
      </c>
      <c r="Q671" t="s">
        <v>1809</v>
      </c>
      <c r="R671" t="s">
        <v>555</v>
      </c>
      <c r="S671" t="s">
        <v>82</v>
      </c>
      <c r="T671" s="1">
        <v>43182</v>
      </c>
      <c r="U671">
        <v>0</v>
      </c>
      <c r="V671">
        <v>3</v>
      </c>
      <c r="Y671" t="s">
        <v>42</v>
      </c>
      <c r="Z671" t="s">
        <v>43</v>
      </c>
      <c r="AA671" t="s">
        <v>43</v>
      </c>
      <c r="AB671" t="s">
        <v>1810</v>
      </c>
      <c r="AD671" t="s">
        <v>3143</v>
      </c>
    </row>
    <row r="672" spans="1:30" x14ac:dyDescent="0.4">
      <c r="A672" t="s">
        <v>27</v>
      </c>
      <c r="B672">
        <v>5484</v>
      </c>
      <c r="C672" t="s">
        <v>28</v>
      </c>
      <c r="D672" t="s">
        <v>1811</v>
      </c>
      <c r="E672" t="s">
        <v>1812</v>
      </c>
      <c r="F672" t="s">
        <v>1813</v>
      </c>
      <c r="H672" t="s">
        <v>775</v>
      </c>
      <c r="I672" t="s">
        <v>51</v>
      </c>
      <c r="J672" t="s">
        <v>1814</v>
      </c>
      <c r="K672" t="s">
        <v>35</v>
      </c>
      <c r="L672">
        <v>7809202699</v>
      </c>
      <c r="M672" t="s">
        <v>1815</v>
      </c>
      <c r="N672" t="s">
        <v>2980</v>
      </c>
      <c r="P672" t="s">
        <v>1816</v>
      </c>
      <c r="Q672" t="s">
        <v>1817</v>
      </c>
      <c r="R672" t="s">
        <v>1818</v>
      </c>
      <c r="S672" t="s">
        <v>82</v>
      </c>
      <c r="T672" s="1">
        <v>45362</v>
      </c>
      <c r="U672">
        <v>0</v>
      </c>
      <c r="V672">
        <v>9</v>
      </c>
      <c r="Y672" t="s">
        <v>42</v>
      </c>
      <c r="Z672" t="s">
        <v>43</v>
      </c>
      <c r="AA672" t="s">
        <v>43</v>
      </c>
      <c r="AD672" t="s">
        <v>3143</v>
      </c>
    </row>
    <row r="673" spans="1:30" x14ac:dyDescent="0.4">
      <c r="A673" t="s">
        <v>27</v>
      </c>
      <c r="B673">
        <v>5484</v>
      </c>
      <c r="C673" t="s">
        <v>28</v>
      </c>
      <c r="D673" t="s">
        <v>1811</v>
      </c>
      <c r="E673" t="s">
        <v>1812</v>
      </c>
      <c r="F673" t="s">
        <v>1813</v>
      </c>
      <c r="H673" t="s">
        <v>775</v>
      </c>
      <c r="I673" t="s">
        <v>51</v>
      </c>
      <c r="J673" t="s">
        <v>1814</v>
      </c>
      <c r="K673" t="s">
        <v>35</v>
      </c>
      <c r="L673">
        <v>7809202699</v>
      </c>
      <c r="M673" t="s">
        <v>1815</v>
      </c>
      <c r="N673" t="s">
        <v>2980</v>
      </c>
      <c r="P673" t="s">
        <v>1816</v>
      </c>
      <c r="Q673" t="s">
        <v>1817</v>
      </c>
      <c r="R673" t="s">
        <v>1818</v>
      </c>
      <c r="S673" t="s">
        <v>82</v>
      </c>
      <c r="T673" s="1">
        <v>45362</v>
      </c>
      <c r="U673">
        <v>0</v>
      </c>
      <c r="V673">
        <v>8</v>
      </c>
      <c r="Y673" t="s">
        <v>42</v>
      </c>
      <c r="Z673" t="s">
        <v>43</v>
      </c>
      <c r="AA673" t="s">
        <v>43</v>
      </c>
      <c r="AD673" t="s">
        <v>3143</v>
      </c>
    </row>
    <row r="674" spans="1:30" x14ac:dyDescent="0.4">
      <c r="A674" t="s">
        <v>27</v>
      </c>
      <c r="B674">
        <v>520</v>
      </c>
      <c r="C674" t="s">
        <v>68</v>
      </c>
      <c r="D674" t="s">
        <v>1062</v>
      </c>
      <c r="E674" t="s">
        <v>1819</v>
      </c>
      <c r="F674" t="s">
        <v>1820</v>
      </c>
      <c r="H674" t="s">
        <v>1004</v>
      </c>
      <c r="I674" t="s">
        <v>1821</v>
      </c>
      <c r="J674" t="s">
        <v>1822</v>
      </c>
      <c r="K674" t="s">
        <v>35</v>
      </c>
      <c r="L674" t="s">
        <v>1823</v>
      </c>
      <c r="M674" t="s">
        <v>1824</v>
      </c>
      <c r="N674" t="s">
        <v>2981</v>
      </c>
      <c r="P674" t="s">
        <v>1825</v>
      </c>
      <c r="Q674" t="s">
        <v>1826</v>
      </c>
      <c r="R674" t="s">
        <v>284</v>
      </c>
      <c r="S674" t="s">
        <v>40</v>
      </c>
      <c r="T674" s="1">
        <v>45013</v>
      </c>
      <c r="U674">
        <v>0</v>
      </c>
      <c r="V674">
        <v>12</v>
      </c>
      <c r="Y674" t="s">
        <v>42</v>
      </c>
      <c r="Z674" t="s">
        <v>43</v>
      </c>
      <c r="AA674" t="s">
        <v>42</v>
      </c>
      <c r="AB674" t="s">
        <v>1827</v>
      </c>
      <c r="AD674" t="s">
        <v>3143</v>
      </c>
    </row>
    <row r="675" spans="1:30" x14ac:dyDescent="0.4">
      <c r="A675" t="s">
        <v>27</v>
      </c>
      <c r="B675">
        <v>520</v>
      </c>
      <c r="C675" t="s">
        <v>68</v>
      </c>
      <c r="D675" t="s">
        <v>1062</v>
      </c>
      <c r="E675" t="s">
        <v>1819</v>
      </c>
      <c r="F675" t="s">
        <v>1820</v>
      </c>
      <c r="H675" t="s">
        <v>1004</v>
      </c>
      <c r="I675" t="s">
        <v>1821</v>
      </c>
      <c r="J675" t="s">
        <v>1822</v>
      </c>
      <c r="K675" t="s">
        <v>35</v>
      </c>
      <c r="L675" t="s">
        <v>1823</v>
      </c>
      <c r="M675" t="s">
        <v>1824</v>
      </c>
      <c r="N675" t="s">
        <v>2981</v>
      </c>
      <c r="P675" t="s">
        <v>1825</v>
      </c>
      <c r="Q675" t="s">
        <v>1826</v>
      </c>
      <c r="R675" t="s">
        <v>284</v>
      </c>
      <c r="S675" t="s">
        <v>40</v>
      </c>
      <c r="T675" s="1">
        <v>45013</v>
      </c>
      <c r="U675">
        <v>0</v>
      </c>
      <c r="V675">
        <v>14</v>
      </c>
      <c r="Y675" t="s">
        <v>42</v>
      </c>
      <c r="Z675" t="s">
        <v>43</v>
      </c>
      <c r="AA675" t="s">
        <v>42</v>
      </c>
      <c r="AB675" t="s">
        <v>1827</v>
      </c>
      <c r="AD675" t="s">
        <v>3143</v>
      </c>
    </row>
    <row r="676" spans="1:30" x14ac:dyDescent="0.4">
      <c r="A676" t="s">
        <v>27</v>
      </c>
      <c r="B676">
        <v>520</v>
      </c>
      <c r="C676" t="s">
        <v>68</v>
      </c>
      <c r="D676" t="s">
        <v>1062</v>
      </c>
      <c r="E676" t="s">
        <v>1819</v>
      </c>
      <c r="F676" t="s">
        <v>1820</v>
      </c>
      <c r="H676" t="s">
        <v>1004</v>
      </c>
      <c r="I676" t="s">
        <v>1821</v>
      </c>
      <c r="J676" t="s">
        <v>1822</v>
      </c>
      <c r="K676" t="s">
        <v>35</v>
      </c>
      <c r="L676" t="s">
        <v>1823</v>
      </c>
      <c r="M676" t="s">
        <v>1824</v>
      </c>
      <c r="N676" t="s">
        <v>2981</v>
      </c>
      <c r="P676" t="s">
        <v>1828</v>
      </c>
      <c r="Q676" t="s">
        <v>1829</v>
      </c>
      <c r="R676" t="s">
        <v>284</v>
      </c>
      <c r="S676" t="s">
        <v>82</v>
      </c>
      <c r="T676" s="1">
        <v>43532</v>
      </c>
      <c r="U676">
        <v>0</v>
      </c>
      <c r="V676">
        <v>17</v>
      </c>
      <c r="Y676" t="s">
        <v>42</v>
      </c>
      <c r="Z676" t="s">
        <v>43</v>
      </c>
      <c r="AA676" t="s">
        <v>42</v>
      </c>
      <c r="AB676" t="s">
        <v>1827</v>
      </c>
      <c r="AD676" t="s">
        <v>3143</v>
      </c>
    </row>
    <row r="677" spans="1:30" x14ac:dyDescent="0.4">
      <c r="A677" t="s">
        <v>27</v>
      </c>
      <c r="B677">
        <v>738</v>
      </c>
      <c r="C677" t="s">
        <v>68</v>
      </c>
      <c r="D677" t="s">
        <v>1830</v>
      </c>
      <c r="E677" t="s">
        <v>1831</v>
      </c>
      <c r="F677" t="s">
        <v>1832</v>
      </c>
      <c r="H677" t="s">
        <v>1833</v>
      </c>
      <c r="I677" t="s">
        <v>813</v>
      </c>
      <c r="J677" t="s">
        <v>1834</v>
      </c>
      <c r="K677" t="s">
        <v>35</v>
      </c>
      <c r="L677" t="s">
        <v>1835</v>
      </c>
      <c r="M677" t="s">
        <v>1836</v>
      </c>
      <c r="N677" t="s">
        <v>3043</v>
      </c>
      <c r="P677" t="s">
        <v>1838</v>
      </c>
      <c r="Q677" t="s">
        <v>1839</v>
      </c>
      <c r="R677" t="s">
        <v>284</v>
      </c>
      <c r="S677" t="s">
        <v>40</v>
      </c>
      <c r="T677" s="1">
        <v>44680</v>
      </c>
      <c r="U677">
        <v>0</v>
      </c>
      <c r="V677">
        <v>4</v>
      </c>
      <c r="W677" t="s">
        <v>65</v>
      </c>
      <c r="Y677" t="s">
        <v>42</v>
      </c>
      <c r="Z677" t="s">
        <v>43</v>
      </c>
      <c r="AA677" t="s">
        <v>42</v>
      </c>
      <c r="AD677" t="s">
        <v>3143</v>
      </c>
    </row>
    <row r="678" spans="1:30" x14ac:dyDescent="0.4">
      <c r="A678" t="s">
        <v>27</v>
      </c>
      <c r="B678">
        <v>738</v>
      </c>
      <c r="C678" t="s">
        <v>68</v>
      </c>
      <c r="D678" t="s">
        <v>1830</v>
      </c>
      <c r="E678" t="s">
        <v>1831</v>
      </c>
      <c r="F678" t="s">
        <v>1832</v>
      </c>
      <c r="H678" t="s">
        <v>1833</v>
      </c>
      <c r="I678" t="s">
        <v>813</v>
      </c>
      <c r="J678" t="s">
        <v>1834</v>
      </c>
      <c r="K678" t="s">
        <v>35</v>
      </c>
      <c r="L678" t="s">
        <v>1835</v>
      </c>
      <c r="M678" t="s">
        <v>1836</v>
      </c>
      <c r="N678" t="s">
        <v>3043</v>
      </c>
      <c r="P678" t="s">
        <v>1838</v>
      </c>
      <c r="Q678" t="s">
        <v>1839</v>
      </c>
      <c r="R678" t="s">
        <v>284</v>
      </c>
      <c r="S678" t="s">
        <v>40</v>
      </c>
      <c r="T678" s="1">
        <v>44680</v>
      </c>
      <c r="U678">
        <v>0</v>
      </c>
      <c r="V678">
        <v>5</v>
      </c>
      <c r="W678" t="s">
        <v>66</v>
      </c>
      <c r="Y678" t="s">
        <v>42</v>
      </c>
      <c r="Z678" t="s">
        <v>43</v>
      </c>
      <c r="AA678" t="s">
        <v>42</v>
      </c>
      <c r="AD678" t="s">
        <v>3143</v>
      </c>
    </row>
    <row r="679" spans="1:30" x14ac:dyDescent="0.4">
      <c r="A679" t="s">
        <v>27</v>
      </c>
      <c r="B679">
        <v>3792</v>
      </c>
      <c r="C679" t="s">
        <v>68</v>
      </c>
      <c r="D679" t="s">
        <v>1840</v>
      </c>
      <c r="E679" t="s">
        <v>1841</v>
      </c>
      <c r="F679" t="s">
        <v>1842</v>
      </c>
      <c r="H679" t="s">
        <v>1843</v>
      </c>
      <c r="I679" t="s">
        <v>528</v>
      </c>
      <c r="J679" t="s">
        <v>1844</v>
      </c>
      <c r="K679" t="s">
        <v>35</v>
      </c>
      <c r="L679" t="s">
        <v>1845</v>
      </c>
      <c r="M679" t="s">
        <v>1846</v>
      </c>
      <c r="N679" t="s">
        <v>3042</v>
      </c>
      <c r="P679" t="s">
        <v>1847</v>
      </c>
      <c r="Q679" t="s">
        <v>1848</v>
      </c>
      <c r="R679" t="s">
        <v>169</v>
      </c>
      <c r="S679" t="s">
        <v>40</v>
      </c>
      <c r="T679" s="1">
        <v>44159</v>
      </c>
      <c r="U679">
        <v>0</v>
      </c>
      <c r="V679">
        <v>4</v>
      </c>
      <c r="W679" t="s">
        <v>65</v>
      </c>
      <c r="Y679" t="s">
        <v>42</v>
      </c>
      <c r="Z679" t="s">
        <v>43</v>
      </c>
      <c r="AA679" t="s">
        <v>43</v>
      </c>
      <c r="AD679" t="s">
        <v>3143</v>
      </c>
    </row>
    <row r="680" spans="1:30" x14ac:dyDescent="0.4">
      <c r="A680" t="s">
        <v>27</v>
      </c>
      <c r="B680">
        <v>3792</v>
      </c>
      <c r="C680" t="s">
        <v>68</v>
      </c>
      <c r="D680" t="s">
        <v>1840</v>
      </c>
      <c r="E680" t="s">
        <v>1841</v>
      </c>
      <c r="F680" t="s">
        <v>1842</v>
      </c>
      <c r="H680" t="s">
        <v>1843</v>
      </c>
      <c r="I680" t="s">
        <v>528</v>
      </c>
      <c r="J680" t="s">
        <v>1844</v>
      </c>
      <c r="K680" t="s">
        <v>35</v>
      </c>
      <c r="L680" t="s">
        <v>1845</v>
      </c>
      <c r="M680" t="s">
        <v>1846</v>
      </c>
      <c r="N680" t="s">
        <v>3042</v>
      </c>
      <c r="P680" t="s">
        <v>1847</v>
      </c>
      <c r="Q680" t="s">
        <v>1848</v>
      </c>
      <c r="R680" t="s">
        <v>169</v>
      </c>
      <c r="S680" t="s">
        <v>40</v>
      </c>
      <c r="T680" s="1">
        <v>44159</v>
      </c>
      <c r="U680">
        <v>0</v>
      </c>
      <c r="V680">
        <v>5</v>
      </c>
      <c r="W680" t="s">
        <v>66</v>
      </c>
      <c r="Y680" t="s">
        <v>42</v>
      </c>
      <c r="Z680" t="s">
        <v>43</v>
      </c>
      <c r="AA680" t="s">
        <v>43</v>
      </c>
      <c r="AD680" t="s">
        <v>3143</v>
      </c>
    </row>
    <row r="681" spans="1:30" x14ac:dyDescent="0.4">
      <c r="A681" t="s">
        <v>27</v>
      </c>
      <c r="B681">
        <v>3792</v>
      </c>
      <c r="C681" t="s">
        <v>68</v>
      </c>
      <c r="D681" t="s">
        <v>1840</v>
      </c>
      <c r="E681" t="s">
        <v>1841</v>
      </c>
      <c r="F681" t="s">
        <v>1842</v>
      </c>
      <c r="H681" t="s">
        <v>1843</v>
      </c>
      <c r="I681" t="s">
        <v>528</v>
      </c>
      <c r="J681" t="s">
        <v>1844</v>
      </c>
      <c r="K681" t="s">
        <v>35</v>
      </c>
      <c r="L681" t="s">
        <v>1845</v>
      </c>
      <c r="M681" t="s">
        <v>1846</v>
      </c>
      <c r="N681" t="s">
        <v>3042</v>
      </c>
      <c r="P681" t="s">
        <v>1847</v>
      </c>
      <c r="Q681" t="s">
        <v>1848</v>
      </c>
      <c r="R681" t="s">
        <v>169</v>
      </c>
      <c r="S681" t="s">
        <v>40</v>
      </c>
      <c r="T681" s="1">
        <v>44159</v>
      </c>
      <c r="U681">
        <v>0</v>
      </c>
      <c r="V681">
        <v>12</v>
      </c>
      <c r="Y681" t="s">
        <v>42</v>
      </c>
      <c r="Z681" t="s">
        <v>43</v>
      </c>
      <c r="AA681" t="s">
        <v>43</v>
      </c>
      <c r="AD681" t="s">
        <v>3143</v>
      </c>
    </row>
    <row r="682" spans="1:30" x14ac:dyDescent="0.4">
      <c r="A682" t="s">
        <v>27</v>
      </c>
      <c r="B682">
        <v>3792</v>
      </c>
      <c r="C682" t="s">
        <v>68</v>
      </c>
      <c r="D682" t="s">
        <v>1840</v>
      </c>
      <c r="E682" t="s">
        <v>1841</v>
      </c>
      <c r="F682" t="s">
        <v>1842</v>
      </c>
      <c r="H682" t="s">
        <v>1843</v>
      </c>
      <c r="I682" t="s">
        <v>528</v>
      </c>
      <c r="J682" t="s">
        <v>1844</v>
      </c>
      <c r="K682" t="s">
        <v>35</v>
      </c>
      <c r="L682" t="s">
        <v>1845</v>
      </c>
      <c r="M682" t="s">
        <v>1846</v>
      </c>
      <c r="N682" t="s">
        <v>3042</v>
      </c>
      <c r="P682" t="s">
        <v>1847</v>
      </c>
      <c r="Q682" t="s">
        <v>1848</v>
      </c>
      <c r="R682" t="s">
        <v>169</v>
      </c>
      <c r="S682" t="s">
        <v>40</v>
      </c>
      <c r="T682" s="1">
        <v>44159</v>
      </c>
      <c r="U682">
        <v>0</v>
      </c>
      <c r="V682">
        <v>14</v>
      </c>
      <c r="Y682" t="s">
        <v>42</v>
      </c>
      <c r="Z682" t="s">
        <v>43</v>
      </c>
      <c r="AA682" t="s">
        <v>43</v>
      </c>
      <c r="AD682" t="s">
        <v>3143</v>
      </c>
    </row>
    <row r="683" spans="1:30" x14ac:dyDescent="0.4">
      <c r="A683" t="s">
        <v>27</v>
      </c>
      <c r="B683">
        <v>6280</v>
      </c>
      <c r="C683" t="s">
        <v>28</v>
      </c>
      <c r="D683" t="s">
        <v>1849</v>
      </c>
      <c r="E683" t="s">
        <v>1850</v>
      </c>
      <c r="F683" t="s">
        <v>1851</v>
      </c>
      <c r="H683" t="s">
        <v>623</v>
      </c>
      <c r="I683" t="s">
        <v>1852</v>
      </c>
      <c r="J683" t="s">
        <v>1853</v>
      </c>
      <c r="K683" t="s">
        <v>35</v>
      </c>
      <c r="L683">
        <v>7859050081</v>
      </c>
      <c r="M683" t="s">
        <v>1854</v>
      </c>
      <c r="N683" t="s">
        <v>2983</v>
      </c>
      <c r="P683" t="s">
        <v>3117</v>
      </c>
      <c r="Q683" t="s">
        <v>1856</v>
      </c>
      <c r="R683" t="s">
        <v>1857</v>
      </c>
      <c r="S683" t="s">
        <v>40</v>
      </c>
      <c r="T683" s="1">
        <v>44797</v>
      </c>
      <c r="U683">
        <v>0</v>
      </c>
      <c r="V683">
        <v>9</v>
      </c>
      <c r="Y683" t="s">
        <v>42</v>
      </c>
      <c r="Z683" t="s">
        <v>43</v>
      </c>
      <c r="AA683" t="s">
        <v>42</v>
      </c>
      <c r="AD683" t="s">
        <v>3143</v>
      </c>
    </row>
    <row r="684" spans="1:30" x14ac:dyDescent="0.4">
      <c r="A684" t="s">
        <v>27</v>
      </c>
      <c r="B684">
        <v>6280</v>
      </c>
      <c r="C684" t="s">
        <v>28</v>
      </c>
      <c r="D684" t="s">
        <v>1849</v>
      </c>
      <c r="E684" t="s">
        <v>1850</v>
      </c>
      <c r="F684" t="s">
        <v>1851</v>
      </c>
      <c r="H684" t="s">
        <v>623</v>
      </c>
      <c r="I684" t="s">
        <v>1852</v>
      </c>
      <c r="J684" t="s">
        <v>1853</v>
      </c>
      <c r="K684" t="s">
        <v>35</v>
      </c>
      <c r="L684">
        <v>7859050081</v>
      </c>
      <c r="M684" t="s">
        <v>1854</v>
      </c>
      <c r="N684" t="s">
        <v>2983</v>
      </c>
      <c r="P684" t="s">
        <v>3117</v>
      </c>
      <c r="Q684" t="s">
        <v>1856</v>
      </c>
      <c r="R684" t="s">
        <v>1857</v>
      </c>
      <c r="S684" t="s">
        <v>40</v>
      </c>
      <c r="T684" s="1">
        <v>44797</v>
      </c>
      <c r="U684">
        <v>0</v>
      </c>
      <c r="V684">
        <v>10</v>
      </c>
      <c r="Y684" t="s">
        <v>42</v>
      </c>
      <c r="Z684" t="s">
        <v>43</v>
      </c>
      <c r="AA684" t="s">
        <v>42</v>
      </c>
      <c r="AD684" t="s">
        <v>3143</v>
      </c>
    </row>
    <row r="685" spans="1:30" x14ac:dyDescent="0.4">
      <c r="A685" t="s">
        <v>27</v>
      </c>
      <c r="B685">
        <v>1439</v>
      </c>
      <c r="C685" t="s">
        <v>68</v>
      </c>
      <c r="D685" t="s">
        <v>896</v>
      </c>
      <c r="E685" t="s">
        <v>1858</v>
      </c>
      <c r="F685" t="s">
        <v>1859</v>
      </c>
      <c r="G685" t="s">
        <v>1860</v>
      </c>
      <c r="H685" t="s">
        <v>200</v>
      </c>
      <c r="I685" t="s">
        <v>201</v>
      </c>
      <c r="J685" t="s">
        <v>1861</v>
      </c>
      <c r="K685" t="s">
        <v>35</v>
      </c>
      <c r="L685" t="s">
        <v>1862</v>
      </c>
      <c r="M685" t="s">
        <v>1863</v>
      </c>
      <c r="N685" t="s">
        <v>83</v>
      </c>
      <c r="P685" t="s">
        <v>1864</v>
      </c>
      <c r="Q685" t="s">
        <v>1865</v>
      </c>
      <c r="R685" t="s">
        <v>376</v>
      </c>
      <c r="S685" t="s">
        <v>40</v>
      </c>
      <c r="T685" s="1">
        <v>44128</v>
      </c>
      <c r="U685">
        <v>0</v>
      </c>
      <c r="V685">
        <v>20</v>
      </c>
      <c r="Y685" t="s">
        <v>42</v>
      </c>
      <c r="Z685" t="s">
        <v>43</v>
      </c>
      <c r="AA685" t="s">
        <v>42</v>
      </c>
      <c r="AD685" t="s">
        <v>3143</v>
      </c>
    </row>
    <row r="686" spans="1:30" x14ac:dyDescent="0.4">
      <c r="A686" t="s">
        <v>27</v>
      </c>
      <c r="B686">
        <v>1439</v>
      </c>
      <c r="C686" t="s">
        <v>68</v>
      </c>
      <c r="D686" t="s">
        <v>896</v>
      </c>
      <c r="E686" t="s">
        <v>1858</v>
      </c>
      <c r="F686" t="s">
        <v>1859</v>
      </c>
      <c r="G686" t="s">
        <v>1860</v>
      </c>
      <c r="H686" t="s">
        <v>200</v>
      </c>
      <c r="I686" t="s">
        <v>201</v>
      </c>
      <c r="J686" t="s">
        <v>1861</v>
      </c>
      <c r="K686" t="s">
        <v>35</v>
      </c>
      <c r="L686" t="s">
        <v>1862</v>
      </c>
      <c r="M686" t="s">
        <v>1863</v>
      </c>
      <c r="N686" t="s">
        <v>83</v>
      </c>
      <c r="P686" t="s">
        <v>1866</v>
      </c>
      <c r="Q686" t="s">
        <v>1867</v>
      </c>
      <c r="R686" t="s">
        <v>58</v>
      </c>
      <c r="S686" t="s">
        <v>82</v>
      </c>
      <c r="T686" s="1">
        <v>42681</v>
      </c>
      <c r="U686">
        <v>0</v>
      </c>
      <c r="V686">
        <v>21</v>
      </c>
      <c r="Y686" t="s">
        <v>42</v>
      </c>
      <c r="Z686" t="s">
        <v>43</v>
      </c>
      <c r="AA686" t="s">
        <v>42</v>
      </c>
      <c r="AD686" t="s">
        <v>3143</v>
      </c>
    </row>
    <row r="687" spans="1:30" x14ac:dyDescent="0.4">
      <c r="A687" t="s">
        <v>27</v>
      </c>
      <c r="B687">
        <v>1752</v>
      </c>
      <c r="C687" t="s">
        <v>28</v>
      </c>
      <c r="D687" t="s">
        <v>47</v>
      </c>
      <c r="E687" t="s">
        <v>1868</v>
      </c>
      <c r="F687" t="s">
        <v>1869</v>
      </c>
      <c r="G687" t="s">
        <v>1870</v>
      </c>
      <c r="H687" t="s">
        <v>752</v>
      </c>
      <c r="I687" t="s">
        <v>370</v>
      </c>
      <c r="J687" t="s">
        <v>1871</v>
      </c>
      <c r="K687" t="s">
        <v>35</v>
      </c>
      <c r="L687" t="s">
        <v>1872</v>
      </c>
      <c r="M687" t="s">
        <v>1873</v>
      </c>
      <c r="N687" t="s">
        <v>2984</v>
      </c>
      <c r="P687" t="s">
        <v>1875</v>
      </c>
      <c r="Q687" t="s">
        <v>1876</v>
      </c>
      <c r="R687" t="s">
        <v>534</v>
      </c>
      <c r="S687" t="s">
        <v>82</v>
      </c>
      <c r="T687" s="1">
        <v>44723</v>
      </c>
      <c r="U687">
        <v>0</v>
      </c>
      <c r="V687">
        <v>4</v>
      </c>
      <c r="W687" t="s">
        <v>65</v>
      </c>
      <c r="Y687" t="s">
        <v>42</v>
      </c>
      <c r="Z687" t="s">
        <v>43</v>
      </c>
      <c r="AA687" t="s">
        <v>43</v>
      </c>
      <c r="AD687" t="s">
        <v>3143</v>
      </c>
    </row>
    <row r="688" spans="1:30" x14ac:dyDescent="0.4">
      <c r="A688" t="s">
        <v>27</v>
      </c>
      <c r="B688">
        <v>1752</v>
      </c>
      <c r="C688" t="s">
        <v>28</v>
      </c>
      <c r="D688" t="s">
        <v>47</v>
      </c>
      <c r="E688" t="s">
        <v>1868</v>
      </c>
      <c r="F688" t="s">
        <v>1869</v>
      </c>
      <c r="G688" t="s">
        <v>1870</v>
      </c>
      <c r="H688" t="s">
        <v>752</v>
      </c>
      <c r="I688" t="s">
        <v>370</v>
      </c>
      <c r="J688" t="s">
        <v>1871</v>
      </c>
      <c r="K688" t="s">
        <v>35</v>
      </c>
      <c r="L688" t="s">
        <v>1872</v>
      </c>
      <c r="M688" t="s">
        <v>1873</v>
      </c>
      <c r="N688" t="s">
        <v>2984</v>
      </c>
      <c r="P688" t="s">
        <v>1875</v>
      </c>
      <c r="Q688" t="s">
        <v>1876</v>
      </c>
      <c r="R688" t="s">
        <v>534</v>
      </c>
      <c r="S688" t="s">
        <v>82</v>
      </c>
      <c r="T688" s="1">
        <v>44723</v>
      </c>
      <c r="U688">
        <v>0</v>
      </c>
      <c r="V688">
        <v>5</v>
      </c>
      <c r="W688" t="s">
        <v>66</v>
      </c>
      <c r="Y688" t="s">
        <v>42</v>
      </c>
      <c r="Z688" t="s">
        <v>43</v>
      </c>
      <c r="AA688" t="s">
        <v>43</v>
      </c>
      <c r="AD688" t="s">
        <v>3143</v>
      </c>
    </row>
    <row r="689" spans="1:30" x14ac:dyDescent="0.4">
      <c r="A689" t="s">
        <v>27</v>
      </c>
      <c r="B689">
        <v>1752</v>
      </c>
      <c r="C689" t="s">
        <v>28</v>
      </c>
      <c r="D689" t="s">
        <v>47</v>
      </c>
      <c r="E689" t="s">
        <v>1868</v>
      </c>
      <c r="F689" t="s">
        <v>1869</v>
      </c>
      <c r="G689" t="s">
        <v>1870</v>
      </c>
      <c r="H689" t="s">
        <v>752</v>
      </c>
      <c r="I689" t="s">
        <v>370</v>
      </c>
      <c r="J689" t="s">
        <v>1871</v>
      </c>
      <c r="K689" t="s">
        <v>35</v>
      </c>
      <c r="L689" t="s">
        <v>1872</v>
      </c>
      <c r="M689" t="s">
        <v>1873</v>
      </c>
      <c r="N689" t="s">
        <v>2984</v>
      </c>
      <c r="P689" t="s">
        <v>1875</v>
      </c>
      <c r="Q689" t="s">
        <v>1876</v>
      </c>
      <c r="R689" t="s">
        <v>534</v>
      </c>
      <c r="S689" t="s">
        <v>82</v>
      </c>
      <c r="T689" s="1">
        <v>44723</v>
      </c>
      <c r="U689">
        <v>0</v>
      </c>
      <c r="V689">
        <v>13</v>
      </c>
      <c r="Y689" t="s">
        <v>42</v>
      </c>
      <c r="Z689" t="s">
        <v>43</v>
      </c>
      <c r="AA689" t="s">
        <v>43</v>
      </c>
      <c r="AD689" t="s">
        <v>3143</v>
      </c>
    </row>
    <row r="690" spans="1:30" x14ac:dyDescent="0.4">
      <c r="A690" t="s">
        <v>27</v>
      </c>
      <c r="B690">
        <v>1752</v>
      </c>
      <c r="C690" t="s">
        <v>28</v>
      </c>
      <c r="D690" t="s">
        <v>47</v>
      </c>
      <c r="E690" t="s">
        <v>1868</v>
      </c>
      <c r="F690" t="s">
        <v>1869</v>
      </c>
      <c r="G690" t="s">
        <v>1870</v>
      </c>
      <c r="H690" t="s">
        <v>752</v>
      </c>
      <c r="I690" t="s">
        <v>370</v>
      </c>
      <c r="J690" t="s">
        <v>1871</v>
      </c>
      <c r="K690" t="s">
        <v>35</v>
      </c>
      <c r="L690" t="s">
        <v>1872</v>
      </c>
      <c r="M690" t="s">
        <v>1873</v>
      </c>
      <c r="N690" t="s">
        <v>2984</v>
      </c>
      <c r="P690" t="s">
        <v>1875</v>
      </c>
      <c r="Q690" t="s">
        <v>1876</v>
      </c>
      <c r="R690" t="s">
        <v>534</v>
      </c>
      <c r="S690" t="s">
        <v>82</v>
      </c>
      <c r="T690" s="1">
        <v>44723</v>
      </c>
      <c r="U690">
        <v>0</v>
      </c>
      <c r="V690">
        <v>15</v>
      </c>
      <c r="Y690" t="s">
        <v>42</v>
      </c>
      <c r="Z690" t="s">
        <v>43</v>
      </c>
      <c r="AA690" t="s">
        <v>43</v>
      </c>
      <c r="AD690" t="s">
        <v>3143</v>
      </c>
    </row>
    <row r="691" spans="1:30" x14ac:dyDescent="0.4">
      <c r="A691" t="s">
        <v>27</v>
      </c>
      <c r="B691">
        <v>1752</v>
      </c>
      <c r="C691" t="s">
        <v>28</v>
      </c>
      <c r="D691" t="s">
        <v>47</v>
      </c>
      <c r="E691" t="s">
        <v>1868</v>
      </c>
      <c r="F691" t="s">
        <v>1869</v>
      </c>
      <c r="G691" t="s">
        <v>1870</v>
      </c>
      <c r="H691" t="s">
        <v>752</v>
      </c>
      <c r="I691" t="s">
        <v>370</v>
      </c>
      <c r="J691" t="s">
        <v>1871</v>
      </c>
      <c r="K691" t="s">
        <v>35</v>
      </c>
      <c r="L691" t="s">
        <v>1872</v>
      </c>
      <c r="M691" t="s">
        <v>1873</v>
      </c>
      <c r="N691" t="s">
        <v>1874</v>
      </c>
      <c r="P691" t="s">
        <v>1877</v>
      </c>
      <c r="Q691" t="s">
        <v>1878</v>
      </c>
      <c r="R691" t="s">
        <v>94</v>
      </c>
      <c r="S691" t="s">
        <v>82</v>
      </c>
      <c r="T691" s="1">
        <v>43270</v>
      </c>
      <c r="U691">
        <v>0</v>
      </c>
      <c r="V691">
        <v>0</v>
      </c>
      <c r="W691" t="s">
        <v>59</v>
      </c>
      <c r="Y691" t="s">
        <v>42</v>
      </c>
      <c r="Z691" t="s">
        <v>43</v>
      </c>
      <c r="AA691" t="s">
        <v>43</v>
      </c>
      <c r="AD691" t="s">
        <v>3143</v>
      </c>
    </row>
    <row r="692" spans="1:30" x14ac:dyDescent="0.4">
      <c r="A692" t="s">
        <v>27</v>
      </c>
      <c r="B692">
        <v>1752</v>
      </c>
      <c r="C692" t="s">
        <v>28</v>
      </c>
      <c r="D692" t="s">
        <v>47</v>
      </c>
      <c r="E692" t="s">
        <v>1868</v>
      </c>
      <c r="F692" t="s">
        <v>1869</v>
      </c>
      <c r="G692" t="s">
        <v>1870</v>
      </c>
      <c r="H692" t="s">
        <v>752</v>
      </c>
      <c r="I692" t="s">
        <v>370</v>
      </c>
      <c r="J692" t="s">
        <v>1871</v>
      </c>
      <c r="K692" t="s">
        <v>35</v>
      </c>
      <c r="L692" t="s">
        <v>1872</v>
      </c>
      <c r="M692" t="s">
        <v>1873</v>
      </c>
      <c r="N692" t="s">
        <v>1874</v>
      </c>
      <c r="P692" t="s">
        <v>1879</v>
      </c>
      <c r="Q692" t="s">
        <v>1880</v>
      </c>
      <c r="R692" t="s">
        <v>376</v>
      </c>
      <c r="S692" t="s">
        <v>40</v>
      </c>
      <c r="T692" s="1">
        <v>41683</v>
      </c>
      <c r="U692">
        <v>0</v>
      </c>
      <c r="V692">
        <v>0</v>
      </c>
      <c r="W692" t="s">
        <v>59</v>
      </c>
      <c r="Y692" t="s">
        <v>42</v>
      </c>
      <c r="Z692" t="s">
        <v>43</v>
      </c>
      <c r="AA692" t="s">
        <v>43</v>
      </c>
      <c r="AD692" t="s">
        <v>3143</v>
      </c>
    </row>
    <row r="693" spans="1:30" x14ac:dyDescent="0.4">
      <c r="A693" t="s">
        <v>27</v>
      </c>
      <c r="B693">
        <v>1752</v>
      </c>
      <c r="C693" t="s">
        <v>28</v>
      </c>
      <c r="D693" t="s">
        <v>47</v>
      </c>
      <c r="E693" t="s">
        <v>1868</v>
      </c>
      <c r="F693" t="s">
        <v>1869</v>
      </c>
      <c r="G693" t="s">
        <v>1870</v>
      </c>
      <c r="H693" t="s">
        <v>752</v>
      </c>
      <c r="I693" t="s">
        <v>370</v>
      </c>
      <c r="J693" t="s">
        <v>1871</v>
      </c>
      <c r="K693" t="s">
        <v>35</v>
      </c>
      <c r="L693" t="s">
        <v>1872</v>
      </c>
      <c r="M693" t="s">
        <v>1873</v>
      </c>
      <c r="N693" t="s">
        <v>1874</v>
      </c>
      <c r="P693" t="s">
        <v>1877</v>
      </c>
      <c r="Q693" t="s">
        <v>1878</v>
      </c>
      <c r="R693" t="s">
        <v>94</v>
      </c>
      <c r="S693" t="s">
        <v>82</v>
      </c>
      <c r="T693" s="1">
        <v>43270</v>
      </c>
      <c r="U693">
        <v>0</v>
      </c>
      <c r="V693">
        <v>0</v>
      </c>
      <c r="W693" t="s">
        <v>59</v>
      </c>
      <c r="Y693" t="s">
        <v>42</v>
      </c>
      <c r="Z693" t="s">
        <v>43</v>
      </c>
      <c r="AA693" t="s">
        <v>43</v>
      </c>
      <c r="AD693" t="s">
        <v>3143</v>
      </c>
    </row>
    <row r="694" spans="1:30" x14ac:dyDescent="0.4">
      <c r="A694" t="s">
        <v>27</v>
      </c>
      <c r="B694">
        <v>1752</v>
      </c>
      <c r="C694" t="s">
        <v>28</v>
      </c>
      <c r="D694" t="s">
        <v>47</v>
      </c>
      <c r="E694" t="s">
        <v>1868</v>
      </c>
      <c r="F694" t="s">
        <v>1869</v>
      </c>
      <c r="G694" t="s">
        <v>1870</v>
      </c>
      <c r="H694" t="s">
        <v>752</v>
      </c>
      <c r="I694" t="s">
        <v>370</v>
      </c>
      <c r="J694" t="s">
        <v>1871</v>
      </c>
      <c r="K694" t="s">
        <v>35</v>
      </c>
      <c r="L694" t="s">
        <v>1872</v>
      </c>
      <c r="M694" t="s">
        <v>1873</v>
      </c>
      <c r="N694" t="s">
        <v>1874</v>
      </c>
      <c r="P694" t="s">
        <v>1879</v>
      </c>
      <c r="Q694" t="s">
        <v>1880</v>
      </c>
      <c r="R694" t="s">
        <v>376</v>
      </c>
      <c r="S694" t="s">
        <v>40</v>
      </c>
      <c r="T694" s="1">
        <v>41683</v>
      </c>
      <c r="U694">
        <v>0</v>
      </c>
      <c r="V694">
        <v>0</v>
      </c>
      <c r="W694" t="s">
        <v>59</v>
      </c>
      <c r="Y694" t="s">
        <v>42</v>
      </c>
      <c r="Z694" t="s">
        <v>43</v>
      </c>
      <c r="AA694" t="s">
        <v>43</v>
      </c>
      <c r="AD694" t="s">
        <v>3143</v>
      </c>
    </row>
    <row r="695" spans="1:30" x14ac:dyDescent="0.4">
      <c r="A695" t="s">
        <v>27</v>
      </c>
      <c r="B695">
        <v>682</v>
      </c>
      <c r="C695" t="s">
        <v>68</v>
      </c>
      <c r="D695" t="s">
        <v>1881</v>
      </c>
      <c r="E695" t="s">
        <v>1882</v>
      </c>
      <c r="F695" t="s">
        <v>1883</v>
      </c>
      <c r="G695" t="s">
        <v>1884</v>
      </c>
      <c r="H695" t="s">
        <v>1885</v>
      </c>
      <c r="I695" t="s">
        <v>1886</v>
      </c>
      <c r="J695" t="s">
        <v>1887</v>
      </c>
      <c r="K695" t="s">
        <v>35</v>
      </c>
      <c r="L695" t="s">
        <v>1888</v>
      </c>
      <c r="M695" t="s">
        <v>1889</v>
      </c>
      <c r="N695" t="s">
        <v>3082</v>
      </c>
      <c r="P695" t="s">
        <v>3118</v>
      </c>
      <c r="Q695" t="s">
        <v>1891</v>
      </c>
      <c r="R695" t="s">
        <v>94</v>
      </c>
      <c r="S695" t="s">
        <v>40</v>
      </c>
      <c r="T695" s="1">
        <v>43337</v>
      </c>
      <c r="U695">
        <v>0</v>
      </c>
      <c r="V695">
        <v>20</v>
      </c>
      <c r="Y695" t="s">
        <v>42</v>
      </c>
      <c r="Z695" t="s">
        <v>43</v>
      </c>
      <c r="AA695" t="s">
        <v>43</v>
      </c>
      <c r="AD695" t="s">
        <v>3143</v>
      </c>
    </row>
    <row r="696" spans="1:30" x14ac:dyDescent="0.4">
      <c r="A696" t="s">
        <v>27</v>
      </c>
      <c r="B696">
        <v>1316</v>
      </c>
      <c r="C696" t="s">
        <v>257</v>
      </c>
      <c r="D696" t="s">
        <v>1893</v>
      </c>
      <c r="E696" t="s">
        <v>1882</v>
      </c>
      <c r="F696" t="s">
        <v>1883</v>
      </c>
      <c r="G696" t="s">
        <v>1884</v>
      </c>
      <c r="H696" t="s">
        <v>1885</v>
      </c>
      <c r="I696" t="s">
        <v>1886</v>
      </c>
      <c r="J696" t="s">
        <v>1887</v>
      </c>
      <c r="K696" t="s">
        <v>35</v>
      </c>
      <c r="L696" t="s">
        <v>1888</v>
      </c>
      <c r="M696" t="s">
        <v>1889</v>
      </c>
      <c r="N696" t="s">
        <v>1894</v>
      </c>
      <c r="P696" t="s">
        <v>1895</v>
      </c>
      <c r="Q696" t="s">
        <v>1896</v>
      </c>
      <c r="R696" t="s">
        <v>1892</v>
      </c>
      <c r="S696" t="s">
        <v>40</v>
      </c>
      <c r="T696" s="1">
        <v>41130</v>
      </c>
      <c r="U696">
        <v>0</v>
      </c>
      <c r="V696">
        <v>0</v>
      </c>
      <c r="W696" t="s">
        <v>59</v>
      </c>
      <c r="Y696" t="s">
        <v>42</v>
      </c>
      <c r="Z696" t="s">
        <v>43</v>
      </c>
      <c r="AA696" t="s">
        <v>43</v>
      </c>
      <c r="AD696" t="s">
        <v>3143</v>
      </c>
    </row>
    <row r="697" spans="1:30" x14ac:dyDescent="0.4">
      <c r="A697" t="s">
        <v>27</v>
      </c>
      <c r="B697">
        <v>4670</v>
      </c>
      <c r="C697" t="s">
        <v>68</v>
      </c>
      <c r="D697" t="s">
        <v>979</v>
      </c>
      <c r="E697" t="s">
        <v>1016</v>
      </c>
      <c r="F697" t="s">
        <v>1897</v>
      </c>
      <c r="G697" t="s">
        <v>1898</v>
      </c>
      <c r="H697" t="s">
        <v>50</v>
      </c>
      <c r="I697" t="s">
        <v>51</v>
      </c>
      <c r="J697" t="s">
        <v>1899</v>
      </c>
      <c r="K697" t="s">
        <v>35</v>
      </c>
      <c r="L697">
        <v>7962925771</v>
      </c>
      <c r="M697" t="s">
        <v>1900</v>
      </c>
      <c r="N697" t="s">
        <v>2987</v>
      </c>
      <c r="P697" t="s">
        <v>3119</v>
      </c>
      <c r="Q697" t="s">
        <v>1902</v>
      </c>
      <c r="R697" t="s">
        <v>1903</v>
      </c>
      <c r="S697" t="s">
        <v>82</v>
      </c>
      <c r="T697" s="1">
        <v>43007</v>
      </c>
      <c r="U697">
        <v>0</v>
      </c>
      <c r="V697">
        <v>2</v>
      </c>
      <c r="Y697" t="s">
        <v>42</v>
      </c>
      <c r="Z697" t="s">
        <v>43</v>
      </c>
      <c r="AA697" t="s">
        <v>43</v>
      </c>
      <c r="AD697" t="s">
        <v>3143</v>
      </c>
    </row>
    <row r="698" spans="1:30" x14ac:dyDescent="0.4">
      <c r="A698" t="s">
        <v>27</v>
      </c>
      <c r="B698">
        <v>4670</v>
      </c>
      <c r="C698" t="s">
        <v>68</v>
      </c>
      <c r="D698" t="s">
        <v>979</v>
      </c>
      <c r="E698" t="s">
        <v>1016</v>
      </c>
      <c r="F698" t="s">
        <v>1897</v>
      </c>
      <c r="G698" t="s">
        <v>1898</v>
      </c>
      <c r="H698" t="s">
        <v>50</v>
      </c>
      <c r="I698" t="s">
        <v>51</v>
      </c>
      <c r="J698" t="s">
        <v>1899</v>
      </c>
      <c r="K698" t="s">
        <v>35</v>
      </c>
      <c r="L698">
        <v>7962925771</v>
      </c>
      <c r="M698" t="s">
        <v>1900</v>
      </c>
      <c r="N698" t="s">
        <v>2987</v>
      </c>
      <c r="P698" t="s">
        <v>1904</v>
      </c>
      <c r="Q698" t="s">
        <v>1905</v>
      </c>
      <c r="R698" t="s">
        <v>1903</v>
      </c>
      <c r="S698" t="s">
        <v>82</v>
      </c>
      <c r="T698" s="1">
        <v>44440</v>
      </c>
      <c r="U698">
        <v>0</v>
      </c>
      <c r="V698">
        <v>2</v>
      </c>
      <c r="Y698" t="s">
        <v>42</v>
      </c>
      <c r="Z698" t="s">
        <v>43</v>
      </c>
      <c r="AA698" t="s">
        <v>43</v>
      </c>
      <c r="AD698" t="s">
        <v>3143</v>
      </c>
    </row>
    <row r="699" spans="1:30" x14ac:dyDescent="0.4">
      <c r="A699" t="s">
        <v>27</v>
      </c>
      <c r="B699">
        <v>4670</v>
      </c>
      <c r="C699" t="s">
        <v>68</v>
      </c>
      <c r="D699" t="s">
        <v>979</v>
      </c>
      <c r="E699" t="s">
        <v>1016</v>
      </c>
      <c r="F699" t="s">
        <v>1897</v>
      </c>
      <c r="G699" t="s">
        <v>1898</v>
      </c>
      <c r="H699" t="s">
        <v>50</v>
      </c>
      <c r="I699" t="s">
        <v>51</v>
      </c>
      <c r="J699" t="s">
        <v>1899</v>
      </c>
      <c r="K699" t="s">
        <v>35</v>
      </c>
      <c r="L699">
        <v>7962925771</v>
      </c>
      <c r="M699" t="s">
        <v>1900</v>
      </c>
      <c r="N699" t="s">
        <v>2987</v>
      </c>
      <c r="P699" t="s">
        <v>3119</v>
      </c>
      <c r="Q699" t="s">
        <v>1902</v>
      </c>
      <c r="R699" t="s">
        <v>1903</v>
      </c>
      <c r="S699" t="s">
        <v>82</v>
      </c>
      <c r="T699" s="1">
        <v>43007</v>
      </c>
      <c r="U699">
        <v>0</v>
      </c>
      <c r="V699">
        <v>8</v>
      </c>
      <c r="Y699" t="s">
        <v>42</v>
      </c>
      <c r="Z699" t="s">
        <v>43</v>
      </c>
      <c r="AA699" t="s">
        <v>43</v>
      </c>
      <c r="AD699" t="s">
        <v>3143</v>
      </c>
    </row>
    <row r="700" spans="1:30" x14ac:dyDescent="0.4">
      <c r="A700" t="s">
        <v>27</v>
      </c>
      <c r="B700">
        <v>4670</v>
      </c>
      <c r="C700" t="s">
        <v>68</v>
      </c>
      <c r="D700" t="s">
        <v>979</v>
      </c>
      <c r="E700" t="s">
        <v>1016</v>
      </c>
      <c r="F700" t="s">
        <v>1897</v>
      </c>
      <c r="G700" t="s">
        <v>1898</v>
      </c>
      <c r="H700" t="s">
        <v>50</v>
      </c>
      <c r="I700" t="s">
        <v>51</v>
      </c>
      <c r="J700" t="s">
        <v>1899</v>
      </c>
      <c r="K700" t="s">
        <v>35</v>
      </c>
      <c r="L700">
        <v>7962925771</v>
      </c>
      <c r="M700" t="s">
        <v>1900</v>
      </c>
      <c r="N700" t="s">
        <v>2987</v>
      </c>
      <c r="P700" t="s">
        <v>1904</v>
      </c>
      <c r="Q700" t="s">
        <v>1905</v>
      </c>
      <c r="R700" t="s">
        <v>1903</v>
      </c>
      <c r="S700" t="s">
        <v>82</v>
      </c>
      <c r="T700" s="1">
        <v>44440</v>
      </c>
      <c r="U700">
        <v>0</v>
      </c>
      <c r="V700">
        <v>8</v>
      </c>
      <c r="Y700" t="s">
        <v>42</v>
      </c>
      <c r="Z700" t="s">
        <v>43</v>
      </c>
      <c r="AA700" t="s">
        <v>43</v>
      </c>
      <c r="AD700" t="s">
        <v>3143</v>
      </c>
    </row>
    <row r="701" spans="1:30" x14ac:dyDescent="0.4">
      <c r="A701" t="s">
        <v>27</v>
      </c>
      <c r="B701">
        <v>4670</v>
      </c>
      <c r="C701" t="s">
        <v>68</v>
      </c>
      <c r="D701" t="s">
        <v>979</v>
      </c>
      <c r="E701" t="s">
        <v>1016</v>
      </c>
      <c r="F701" t="s">
        <v>1897</v>
      </c>
      <c r="G701" t="s">
        <v>1898</v>
      </c>
      <c r="H701" t="s">
        <v>50</v>
      </c>
      <c r="I701" t="s">
        <v>51</v>
      </c>
      <c r="J701" t="s">
        <v>1899</v>
      </c>
      <c r="K701" t="s">
        <v>35</v>
      </c>
      <c r="L701">
        <v>7962925771</v>
      </c>
      <c r="M701" t="s">
        <v>1900</v>
      </c>
      <c r="N701" t="s">
        <v>2987</v>
      </c>
      <c r="P701" t="s">
        <v>3119</v>
      </c>
      <c r="Q701" t="s">
        <v>1902</v>
      </c>
      <c r="R701" t="s">
        <v>1903</v>
      </c>
      <c r="S701" t="s">
        <v>82</v>
      </c>
      <c r="T701" s="1">
        <v>43007</v>
      </c>
      <c r="U701">
        <v>0</v>
      </c>
      <c r="V701">
        <v>10</v>
      </c>
      <c r="Y701" t="s">
        <v>42</v>
      </c>
      <c r="Z701" t="s">
        <v>43</v>
      </c>
      <c r="AA701" t="s">
        <v>43</v>
      </c>
      <c r="AD701" t="s">
        <v>3143</v>
      </c>
    </row>
    <row r="702" spans="1:30" x14ac:dyDescent="0.4">
      <c r="A702" t="s">
        <v>27</v>
      </c>
      <c r="B702">
        <v>4670</v>
      </c>
      <c r="C702" t="s">
        <v>68</v>
      </c>
      <c r="D702" t="s">
        <v>979</v>
      </c>
      <c r="E702" t="s">
        <v>1016</v>
      </c>
      <c r="F702" t="s">
        <v>1897</v>
      </c>
      <c r="G702" t="s">
        <v>1898</v>
      </c>
      <c r="H702" t="s">
        <v>50</v>
      </c>
      <c r="I702" t="s">
        <v>51</v>
      </c>
      <c r="J702" t="s">
        <v>1899</v>
      </c>
      <c r="K702" t="s">
        <v>35</v>
      </c>
      <c r="L702">
        <v>7962925771</v>
      </c>
      <c r="M702" t="s">
        <v>1900</v>
      </c>
      <c r="N702" t="s">
        <v>2987</v>
      </c>
      <c r="P702" t="s">
        <v>1904</v>
      </c>
      <c r="Q702" t="s">
        <v>1905</v>
      </c>
      <c r="R702" t="s">
        <v>1903</v>
      </c>
      <c r="S702" t="s">
        <v>82</v>
      </c>
      <c r="T702" s="1">
        <v>44440</v>
      </c>
      <c r="U702">
        <v>0</v>
      </c>
      <c r="V702">
        <v>10</v>
      </c>
      <c r="Y702" t="s">
        <v>42</v>
      </c>
      <c r="Z702" t="s">
        <v>43</v>
      </c>
      <c r="AA702" t="s">
        <v>43</v>
      </c>
      <c r="AD702" t="s">
        <v>3143</v>
      </c>
    </row>
    <row r="703" spans="1:30" x14ac:dyDescent="0.4">
      <c r="A703" t="s">
        <v>27</v>
      </c>
      <c r="B703">
        <v>5027</v>
      </c>
      <c r="C703" t="s">
        <v>68</v>
      </c>
      <c r="D703" t="s">
        <v>300</v>
      </c>
      <c r="E703" t="s">
        <v>1906</v>
      </c>
      <c r="F703" t="s">
        <v>1907</v>
      </c>
      <c r="H703" t="s">
        <v>458</v>
      </c>
      <c r="I703" t="s">
        <v>73</v>
      </c>
      <c r="J703" t="s">
        <v>1908</v>
      </c>
      <c r="K703" t="s">
        <v>35</v>
      </c>
      <c r="L703" t="s">
        <v>1909</v>
      </c>
      <c r="M703" t="s">
        <v>1910</v>
      </c>
      <c r="N703" t="s">
        <v>2988</v>
      </c>
      <c r="P703" t="s">
        <v>1911</v>
      </c>
      <c r="Q703" t="s">
        <v>1912</v>
      </c>
      <c r="R703" t="s">
        <v>58</v>
      </c>
      <c r="S703" t="s">
        <v>82</v>
      </c>
      <c r="T703" s="1">
        <v>43886</v>
      </c>
      <c r="U703">
        <v>0</v>
      </c>
      <c r="V703">
        <v>4</v>
      </c>
      <c r="W703" t="s">
        <v>65</v>
      </c>
      <c r="Y703" t="s">
        <v>42</v>
      </c>
      <c r="Z703" t="s">
        <v>43</v>
      </c>
      <c r="AA703" t="s">
        <v>43</v>
      </c>
      <c r="AD703" t="s">
        <v>3143</v>
      </c>
    </row>
    <row r="704" spans="1:30" x14ac:dyDescent="0.4">
      <c r="A704" t="s">
        <v>27</v>
      </c>
      <c r="B704">
        <v>5027</v>
      </c>
      <c r="C704" t="s">
        <v>68</v>
      </c>
      <c r="D704" t="s">
        <v>300</v>
      </c>
      <c r="E704" t="s">
        <v>1906</v>
      </c>
      <c r="F704" t="s">
        <v>1907</v>
      </c>
      <c r="H704" t="s">
        <v>458</v>
      </c>
      <c r="I704" t="s">
        <v>73</v>
      </c>
      <c r="J704" t="s">
        <v>1908</v>
      </c>
      <c r="K704" t="s">
        <v>35</v>
      </c>
      <c r="L704" t="s">
        <v>1909</v>
      </c>
      <c r="M704" t="s">
        <v>1910</v>
      </c>
      <c r="N704" t="s">
        <v>2988</v>
      </c>
      <c r="P704" t="s">
        <v>1911</v>
      </c>
      <c r="Q704" t="s">
        <v>1912</v>
      </c>
      <c r="R704" t="s">
        <v>58</v>
      </c>
      <c r="S704" t="s">
        <v>82</v>
      </c>
      <c r="T704" s="1">
        <v>43886</v>
      </c>
      <c r="U704">
        <v>0</v>
      </c>
      <c r="V704">
        <v>5</v>
      </c>
      <c r="W704" t="s">
        <v>66</v>
      </c>
      <c r="Y704" t="s">
        <v>42</v>
      </c>
      <c r="Z704" t="s">
        <v>43</v>
      </c>
      <c r="AA704" t="s">
        <v>43</v>
      </c>
      <c r="AD704" t="s">
        <v>3143</v>
      </c>
    </row>
    <row r="705" spans="1:30" x14ac:dyDescent="0.4">
      <c r="A705" t="s">
        <v>27</v>
      </c>
      <c r="B705">
        <v>3188</v>
      </c>
      <c r="C705" t="s">
        <v>257</v>
      </c>
      <c r="D705" t="s">
        <v>1913</v>
      </c>
      <c r="E705" t="s">
        <v>1914</v>
      </c>
      <c r="F705" t="s">
        <v>1915</v>
      </c>
      <c r="H705" t="s">
        <v>1916</v>
      </c>
      <c r="I705" t="s">
        <v>189</v>
      </c>
      <c r="J705" t="s">
        <v>1917</v>
      </c>
      <c r="K705" t="s">
        <v>35</v>
      </c>
      <c r="L705">
        <v>7525124905</v>
      </c>
      <c r="M705" t="s">
        <v>1918</v>
      </c>
      <c r="N705" t="s">
        <v>2989</v>
      </c>
      <c r="P705" t="s">
        <v>3053</v>
      </c>
      <c r="Q705" t="s">
        <v>1920</v>
      </c>
      <c r="R705" t="s">
        <v>58</v>
      </c>
      <c r="S705" t="s">
        <v>82</v>
      </c>
      <c r="T705" s="1">
        <v>45310</v>
      </c>
      <c r="U705">
        <v>0</v>
      </c>
      <c r="V705">
        <v>4</v>
      </c>
      <c r="W705" t="s">
        <v>65</v>
      </c>
      <c r="Y705" t="s">
        <v>42</v>
      </c>
      <c r="Z705" t="s">
        <v>43</v>
      </c>
      <c r="AA705" t="s">
        <v>43</v>
      </c>
      <c r="AD705" t="s">
        <v>3143</v>
      </c>
    </row>
    <row r="706" spans="1:30" x14ac:dyDescent="0.4">
      <c r="A706" t="s">
        <v>27</v>
      </c>
      <c r="B706">
        <v>3188</v>
      </c>
      <c r="C706" t="s">
        <v>257</v>
      </c>
      <c r="D706" t="s">
        <v>1913</v>
      </c>
      <c r="E706" t="s">
        <v>1914</v>
      </c>
      <c r="F706" t="s">
        <v>1915</v>
      </c>
      <c r="H706" t="s">
        <v>1916</v>
      </c>
      <c r="I706" t="s">
        <v>189</v>
      </c>
      <c r="J706" t="s">
        <v>1917</v>
      </c>
      <c r="K706" t="s">
        <v>35</v>
      </c>
      <c r="L706">
        <v>7525124905</v>
      </c>
      <c r="M706" t="s">
        <v>1918</v>
      </c>
      <c r="N706" t="s">
        <v>2989</v>
      </c>
      <c r="P706" t="s">
        <v>3053</v>
      </c>
      <c r="Q706" t="s">
        <v>1920</v>
      </c>
      <c r="R706" t="s">
        <v>58</v>
      </c>
      <c r="S706" t="s">
        <v>82</v>
      </c>
      <c r="T706" s="1">
        <v>45310</v>
      </c>
      <c r="U706">
        <v>0</v>
      </c>
      <c r="V706">
        <v>5</v>
      </c>
      <c r="W706" t="s">
        <v>66</v>
      </c>
      <c r="Y706" t="s">
        <v>42</v>
      </c>
      <c r="Z706" t="s">
        <v>43</v>
      </c>
      <c r="AA706" t="s">
        <v>43</v>
      </c>
      <c r="AD706" t="s">
        <v>3143</v>
      </c>
    </row>
    <row r="707" spans="1:30" x14ac:dyDescent="0.4">
      <c r="A707" t="s">
        <v>27</v>
      </c>
      <c r="B707">
        <v>3188</v>
      </c>
      <c r="C707" t="s">
        <v>257</v>
      </c>
      <c r="D707" t="s">
        <v>1913</v>
      </c>
      <c r="E707" t="s">
        <v>1914</v>
      </c>
      <c r="F707" t="s">
        <v>1915</v>
      </c>
      <c r="H707" t="s">
        <v>1916</v>
      </c>
      <c r="I707" t="s">
        <v>189</v>
      </c>
      <c r="J707" t="s">
        <v>1917</v>
      </c>
      <c r="K707" t="s">
        <v>35</v>
      </c>
      <c r="L707">
        <v>7525124905</v>
      </c>
      <c r="M707" t="s">
        <v>1918</v>
      </c>
      <c r="N707" t="s">
        <v>2989</v>
      </c>
      <c r="P707" t="s">
        <v>1921</v>
      </c>
      <c r="Q707" t="s">
        <v>1922</v>
      </c>
      <c r="R707" t="s">
        <v>58</v>
      </c>
      <c r="S707" t="s">
        <v>82</v>
      </c>
      <c r="T707" s="1">
        <v>43790</v>
      </c>
      <c r="U707">
        <v>0</v>
      </c>
      <c r="V707">
        <v>7</v>
      </c>
      <c r="Y707" t="s">
        <v>42</v>
      </c>
      <c r="Z707" t="s">
        <v>43</v>
      </c>
      <c r="AA707" t="s">
        <v>43</v>
      </c>
      <c r="AD707" t="s">
        <v>3143</v>
      </c>
    </row>
    <row r="708" spans="1:30" x14ac:dyDescent="0.4">
      <c r="A708" t="s">
        <v>27</v>
      </c>
      <c r="B708">
        <v>3188</v>
      </c>
      <c r="C708" t="s">
        <v>257</v>
      </c>
      <c r="D708" t="s">
        <v>1913</v>
      </c>
      <c r="E708" t="s">
        <v>1914</v>
      </c>
      <c r="F708" t="s">
        <v>1915</v>
      </c>
      <c r="H708" t="s">
        <v>1916</v>
      </c>
      <c r="I708" t="s">
        <v>189</v>
      </c>
      <c r="J708" t="s">
        <v>1917</v>
      </c>
      <c r="K708" t="s">
        <v>35</v>
      </c>
      <c r="L708">
        <v>7525124905</v>
      </c>
      <c r="M708" t="s">
        <v>1918</v>
      </c>
      <c r="N708" t="s">
        <v>2989</v>
      </c>
      <c r="P708" t="s">
        <v>1923</v>
      </c>
      <c r="Q708" t="s">
        <v>1924</v>
      </c>
      <c r="R708" t="s">
        <v>58</v>
      </c>
      <c r="S708" t="s">
        <v>82</v>
      </c>
      <c r="T708" s="1">
        <v>42557</v>
      </c>
      <c r="U708">
        <v>0</v>
      </c>
      <c r="V708">
        <v>7</v>
      </c>
      <c r="Y708" t="s">
        <v>42</v>
      </c>
      <c r="Z708" t="s">
        <v>43</v>
      </c>
      <c r="AA708" t="s">
        <v>43</v>
      </c>
      <c r="AD708" t="s">
        <v>3143</v>
      </c>
    </row>
    <row r="709" spans="1:30" x14ac:dyDescent="0.4">
      <c r="A709" t="s">
        <v>27</v>
      </c>
      <c r="B709">
        <v>3188</v>
      </c>
      <c r="C709" t="s">
        <v>257</v>
      </c>
      <c r="D709" t="s">
        <v>1913</v>
      </c>
      <c r="E709" t="s">
        <v>1914</v>
      </c>
      <c r="F709" t="s">
        <v>1915</v>
      </c>
      <c r="H709" t="s">
        <v>1916</v>
      </c>
      <c r="I709" t="s">
        <v>189</v>
      </c>
      <c r="J709" t="s">
        <v>1917</v>
      </c>
      <c r="K709" t="s">
        <v>35</v>
      </c>
      <c r="L709">
        <v>7525124905</v>
      </c>
      <c r="M709" t="s">
        <v>1918</v>
      </c>
      <c r="N709" t="s">
        <v>2989</v>
      </c>
      <c r="P709" t="s">
        <v>3053</v>
      </c>
      <c r="Q709" t="s">
        <v>1920</v>
      </c>
      <c r="R709" t="s">
        <v>58</v>
      </c>
      <c r="S709" t="s">
        <v>82</v>
      </c>
      <c r="T709" s="1">
        <v>45310</v>
      </c>
      <c r="U709">
        <v>0</v>
      </c>
      <c r="V709">
        <v>13</v>
      </c>
      <c r="Y709" t="s">
        <v>42</v>
      </c>
      <c r="Z709" t="s">
        <v>43</v>
      </c>
      <c r="AA709" t="s">
        <v>43</v>
      </c>
      <c r="AD709" t="s">
        <v>3143</v>
      </c>
    </row>
    <row r="710" spans="1:30" x14ac:dyDescent="0.4">
      <c r="A710" t="s">
        <v>27</v>
      </c>
      <c r="B710">
        <v>3188</v>
      </c>
      <c r="C710" t="s">
        <v>257</v>
      </c>
      <c r="D710" t="s">
        <v>1913</v>
      </c>
      <c r="E710" t="s">
        <v>1914</v>
      </c>
      <c r="F710" t="s">
        <v>1915</v>
      </c>
      <c r="H710" t="s">
        <v>1916</v>
      </c>
      <c r="I710" t="s">
        <v>189</v>
      </c>
      <c r="J710" t="s">
        <v>1917</v>
      </c>
      <c r="K710" t="s">
        <v>35</v>
      </c>
      <c r="L710">
        <v>7525124905</v>
      </c>
      <c r="M710" t="s">
        <v>1918</v>
      </c>
      <c r="N710" t="s">
        <v>2989</v>
      </c>
      <c r="P710" t="s">
        <v>3053</v>
      </c>
      <c r="Q710" t="s">
        <v>1920</v>
      </c>
      <c r="R710" t="s">
        <v>58</v>
      </c>
      <c r="S710" t="s">
        <v>82</v>
      </c>
      <c r="T710" s="1">
        <v>45310</v>
      </c>
      <c r="U710">
        <v>0</v>
      </c>
      <c r="V710">
        <v>15</v>
      </c>
      <c r="Y710" t="s">
        <v>42</v>
      </c>
      <c r="Z710" t="s">
        <v>43</v>
      </c>
      <c r="AA710" t="s">
        <v>43</v>
      </c>
      <c r="AD710" t="s">
        <v>3143</v>
      </c>
    </row>
    <row r="711" spans="1:30" x14ac:dyDescent="0.4">
      <c r="A711" t="s">
        <v>27</v>
      </c>
      <c r="B711">
        <v>3188</v>
      </c>
      <c r="C711" t="s">
        <v>257</v>
      </c>
      <c r="D711" t="s">
        <v>1913</v>
      </c>
      <c r="E711" t="s">
        <v>1914</v>
      </c>
      <c r="F711" t="s">
        <v>1915</v>
      </c>
      <c r="H711" t="s">
        <v>1916</v>
      </c>
      <c r="I711" t="s">
        <v>189</v>
      </c>
      <c r="J711" t="s">
        <v>1917</v>
      </c>
      <c r="K711" t="s">
        <v>35</v>
      </c>
      <c r="L711">
        <v>7525124905</v>
      </c>
      <c r="M711" t="s">
        <v>1918</v>
      </c>
      <c r="N711" t="s">
        <v>2989</v>
      </c>
      <c r="P711" t="s">
        <v>1921</v>
      </c>
      <c r="Q711" t="s">
        <v>1922</v>
      </c>
      <c r="R711" t="s">
        <v>58</v>
      </c>
      <c r="S711" t="s">
        <v>82</v>
      </c>
      <c r="T711" s="1">
        <v>43790</v>
      </c>
      <c r="U711">
        <v>0</v>
      </c>
      <c r="V711">
        <v>19</v>
      </c>
      <c r="Y711" t="s">
        <v>42</v>
      </c>
      <c r="Z711" t="s">
        <v>43</v>
      </c>
      <c r="AA711" t="s">
        <v>43</v>
      </c>
      <c r="AD711" t="s">
        <v>3143</v>
      </c>
    </row>
    <row r="712" spans="1:30" x14ac:dyDescent="0.4">
      <c r="A712" t="s">
        <v>27</v>
      </c>
      <c r="B712">
        <v>3188</v>
      </c>
      <c r="C712" t="s">
        <v>257</v>
      </c>
      <c r="D712" t="s">
        <v>1913</v>
      </c>
      <c r="E712" t="s">
        <v>1914</v>
      </c>
      <c r="F712" t="s">
        <v>1915</v>
      </c>
      <c r="H712" t="s">
        <v>1916</v>
      </c>
      <c r="I712" t="s">
        <v>189</v>
      </c>
      <c r="J712" t="s">
        <v>1917</v>
      </c>
      <c r="K712" t="s">
        <v>35</v>
      </c>
      <c r="L712">
        <v>7525124905</v>
      </c>
      <c r="M712" t="s">
        <v>1918</v>
      </c>
      <c r="N712" t="s">
        <v>2989</v>
      </c>
      <c r="P712" t="s">
        <v>1923</v>
      </c>
      <c r="Q712" t="s">
        <v>1924</v>
      </c>
      <c r="R712" t="s">
        <v>58</v>
      </c>
      <c r="S712" t="s">
        <v>82</v>
      </c>
      <c r="T712" s="1">
        <v>42557</v>
      </c>
      <c r="U712">
        <v>0</v>
      </c>
      <c r="V712">
        <v>21</v>
      </c>
      <c r="Y712" t="s">
        <v>42</v>
      </c>
      <c r="Z712" t="s">
        <v>43</v>
      </c>
      <c r="AA712" t="s">
        <v>43</v>
      </c>
      <c r="AD712" t="s">
        <v>3143</v>
      </c>
    </row>
    <row r="713" spans="1:30" x14ac:dyDescent="0.4">
      <c r="A713" t="s">
        <v>27</v>
      </c>
      <c r="B713">
        <v>4545</v>
      </c>
      <c r="C713" t="s">
        <v>257</v>
      </c>
      <c r="D713" t="s">
        <v>1096</v>
      </c>
      <c r="E713" t="s">
        <v>1925</v>
      </c>
      <c r="F713" t="s">
        <v>1926</v>
      </c>
      <c r="H713" t="s">
        <v>850</v>
      </c>
      <c r="I713" t="s">
        <v>330</v>
      </c>
      <c r="J713" t="s">
        <v>1927</v>
      </c>
      <c r="K713" t="s">
        <v>35</v>
      </c>
      <c r="L713">
        <v>2380255329</v>
      </c>
      <c r="M713" t="s">
        <v>1928</v>
      </c>
      <c r="N713" t="s">
        <v>1929</v>
      </c>
      <c r="P713" t="s">
        <v>1930</v>
      </c>
      <c r="Q713" t="s">
        <v>1931</v>
      </c>
      <c r="R713" t="s">
        <v>1111</v>
      </c>
      <c r="S713" t="s">
        <v>82</v>
      </c>
      <c r="T713" s="1">
        <v>45351</v>
      </c>
      <c r="U713">
        <v>0</v>
      </c>
      <c r="V713">
        <v>0</v>
      </c>
      <c r="W713" t="s">
        <v>59</v>
      </c>
      <c r="Y713" t="s">
        <v>42</v>
      </c>
      <c r="Z713" t="s">
        <v>43</v>
      </c>
      <c r="AA713" t="s">
        <v>43</v>
      </c>
      <c r="AB713" t="s">
        <v>1932</v>
      </c>
      <c r="AD713" t="s">
        <v>3143</v>
      </c>
    </row>
    <row r="714" spans="1:30" x14ac:dyDescent="0.4">
      <c r="A714" t="s">
        <v>27</v>
      </c>
      <c r="B714">
        <v>4545</v>
      </c>
      <c r="C714" t="s">
        <v>257</v>
      </c>
      <c r="D714" t="s">
        <v>1096</v>
      </c>
      <c r="E714" t="s">
        <v>1925</v>
      </c>
      <c r="F714" t="s">
        <v>1926</v>
      </c>
      <c r="H714" t="s">
        <v>850</v>
      </c>
      <c r="I714" t="s">
        <v>330</v>
      </c>
      <c r="J714" t="s">
        <v>1927</v>
      </c>
      <c r="K714" t="s">
        <v>35</v>
      </c>
      <c r="L714">
        <v>2380255329</v>
      </c>
      <c r="M714" t="s">
        <v>1928</v>
      </c>
      <c r="N714" t="s">
        <v>3066</v>
      </c>
      <c r="P714" t="s">
        <v>1933</v>
      </c>
      <c r="Q714" t="s">
        <v>1934</v>
      </c>
      <c r="R714" t="s">
        <v>94</v>
      </c>
      <c r="S714" t="s">
        <v>82</v>
      </c>
      <c r="T714" s="1">
        <v>42743</v>
      </c>
      <c r="U714">
        <v>0</v>
      </c>
      <c r="V714">
        <v>5</v>
      </c>
      <c r="W714" t="s">
        <v>66</v>
      </c>
      <c r="Y714" t="s">
        <v>42</v>
      </c>
      <c r="Z714" t="s">
        <v>43</v>
      </c>
      <c r="AA714" t="s">
        <v>43</v>
      </c>
      <c r="AB714" t="s">
        <v>1932</v>
      </c>
      <c r="AD714" t="s">
        <v>3143</v>
      </c>
    </row>
    <row r="715" spans="1:30" x14ac:dyDescent="0.4">
      <c r="A715" t="s">
        <v>27</v>
      </c>
      <c r="B715">
        <v>4545</v>
      </c>
      <c r="C715" t="s">
        <v>257</v>
      </c>
      <c r="D715" t="s">
        <v>1096</v>
      </c>
      <c r="E715" t="s">
        <v>1925</v>
      </c>
      <c r="F715" t="s">
        <v>1926</v>
      </c>
      <c r="H715" t="s">
        <v>850</v>
      </c>
      <c r="I715" t="s">
        <v>330</v>
      </c>
      <c r="J715" t="s">
        <v>1927</v>
      </c>
      <c r="K715" t="s">
        <v>35</v>
      </c>
      <c r="L715">
        <v>2380255329</v>
      </c>
      <c r="M715" t="s">
        <v>1928</v>
      </c>
      <c r="N715" t="s">
        <v>3066</v>
      </c>
      <c r="P715" t="s">
        <v>1933</v>
      </c>
      <c r="Q715" t="s">
        <v>1934</v>
      </c>
      <c r="R715" t="s">
        <v>94</v>
      </c>
      <c r="S715" t="s">
        <v>82</v>
      </c>
      <c r="T715" s="1">
        <v>42743</v>
      </c>
      <c r="U715">
        <v>0</v>
      </c>
      <c r="V715">
        <v>6</v>
      </c>
      <c r="W715" t="s">
        <v>83</v>
      </c>
      <c r="Y715" t="s">
        <v>42</v>
      </c>
      <c r="Z715" t="s">
        <v>43</v>
      </c>
      <c r="AA715" t="s">
        <v>43</v>
      </c>
      <c r="AB715" t="s">
        <v>1932</v>
      </c>
      <c r="AD715" t="s">
        <v>3143</v>
      </c>
    </row>
    <row r="716" spans="1:30" x14ac:dyDescent="0.4">
      <c r="A716" t="s">
        <v>27</v>
      </c>
      <c r="B716">
        <v>4545</v>
      </c>
      <c r="C716" t="s">
        <v>257</v>
      </c>
      <c r="D716" t="s">
        <v>1096</v>
      </c>
      <c r="E716" t="s">
        <v>1925</v>
      </c>
      <c r="F716" t="s">
        <v>1926</v>
      </c>
      <c r="H716" t="s">
        <v>850</v>
      </c>
      <c r="I716" t="s">
        <v>330</v>
      </c>
      <c r="J716" t="s">
        <v>1927</v>
      </c>
      <c r="K716" t="s">
        <v>35</v>
      </c>
      <c r="L716">
        <v>2380255329</v>
      </c>
      <c r="M716" t="s">
        <v>1928</v>
      </c>
      <c r="N716" t="s">
        <v>3066</v>
      </c>
      <c r="P716" t="s">
        <v>1933</v>
      </c>
      <c r="Q716" t="s">
        <v>1934</v>
      </c>
      <c r="R716" t="s">
        <v>94</v>
      </c>
      <c r="S716" t="s">
        <v>82</v>
      </c>
      <c r="T716" s="1">
        <v>42743</v>
      </c>
      <c r="U716">
        <v>0</v>
      </c>
      <c r="V716">
        <v>7</v>
      </c>
      <c r="Y716" t="s">
        <v>42</v>
      </c>
      <c r="Z716" t="s">
        <v>43</v>
      </c>
      <c r="AA716" t="s">
        <v>43</v>
      </c>
      <c r="AB716" t="s">
        <v>1932</v>
      </c>
      <c r="AD716" t="s">
        <v>3143</v>
      </c>
    </row>
    <row r="717" spans="1:30" x14ac:dyDescent="0.4">
      <c r="A717" t="s">
        <v>27</v>
      </c>
      <c r="B717">
        <v>4545</v>
      </c>
      <c r="C717" t="s">
        <v>257</v>
      </c>
      <c r="D717" t="s">
        <v>1096</v>
      </c>
      <c r="E717" t="s">
        <v>1925</v>
      </c>
      <c r="F717" t="s">
        <v>1926</v>
      </c>
      <c r="H717" t="s">
        <v>850</v>
      </c>
      <c r="I717" t="s">
        <v>330</v>
      </c>
      <c r="J717" t="s">
        <v>1927</v>
      </c>
      <c r="K717" t="s">
        <v>35</v>
      </c>
      <c r="L717">
        <v>2380255329</v>
      </c>
      <c r="M717" t="s">
        <v>1928</v>
      </c>
      <c r="N717" t="s">
        <v>1929</v>
      </c>
      <c r="P717" t="s">
        <v>1930</v>
      </c>
      <c r="Q717" t="s">
        <v>1931</v>
      </c>
      <c r="R717" t="s">
        <v>1111</v>
      </c>
      <c r="S717" t="s">
        <v>82</v>
      </c>
      <c r="T717" s="1">
        <v>45351</v>
      </c>
      <c r="U717">
        <v>0</v>
      </c>
      <c r="V717">
        <v>0</v>
      </c>
      <c r="W717" t="s">
        <v>59</v>
      </c>
      <c r="Y717" t="s">
        <v>42</v>
      </c>
      <c r="Z717" t="s">
        <v>43</v>
      </c>
      <c r="AA717" t="s">
        <v>43</v>
      </c>
      <c r="AB717" t="s">
        <v>1932</v>
      </c>
      <c r="AD717" t="s">
        <v>3143</v>
      </c>
    </row>
    <row r="718" spans="1:30" x14ac:dyDescent="0.4">
      <c r="A718" t="s">
        <v>27</v>
      </c>
      <c r="B718">
        <v>4545</v>
      </c>
      <c r="C718" t="s">
        <v>257</v>
      </c>
      <c r="D718" t="s">
        <v>1096</v>
      </c>
      <c r="E718" t="s">
        <v>1925</v>
      </c>
      <c r="F718" t="s">
        <v>1926</v>
      </c>
      <c r="H718" t="s">
        <v>850</v>
      </c>
      <c r="I718" t="s">
        <v>330</v>
      </c>
      <c r="J718" t="s">
        <v>1927</v>
      </c>
      <c r="K718" t="s">
        <v>35</v>
      </c>
      <c r="L718">
        <v>2380255329</v>
      </c>
      <c r="M718" t="s">
        <v>1928</v>
      </c>
      <c r="N718" t="s">
        <v>3066</v>
      </c>
      <c r="P718" t="s">
        <v>1933</v>
      </c>
      <c r="Q718" t="s">
        <v>1934</v>
      </c>
      <c r="R718" t="s">
        <v>94</v>
      </c>
      <c r="S718" t="s">
        <v>82</v>
      </c>
      <c r="T718" s="1">
        <v>42743</v>
      </c>
      <c r="U718">
        <v>0</v>
      </c>
      <c r="V718">
        <v>15</v>
      </c>
      <c r="Y718" t="s">
        <v>42</v>
      </c>
      <c r="Z718" t="s">
        <v>43</v>
      </c>
      <c r="AA718" t="s">
        <v>43</v>
      </c>
      <c r="AB718" t="s">
        <v>1932</v>
      </c>
      <c r="AD718" t="s">
        <v>3143</v>
      </c>
    </row>
    <row r="719" spans="1:30" x14ac:dyDescent="0.4">
      <c r="A719" t="s">
        <v>27</v>
      </c>
      <c r="B719">
        <v>4545</v>
      </c>
      <c r="C719" t="s">
        <v>257</v>
      </c>
      <c r="D719" t="s">
        <v>1096</v>
      </c>
      <c r="E719" t="s">
        <v>1925</v>
      </c>
      <c r="F719" t="s">
        <v>1926</v>
      </c>
      <c r="H719" t="s">
        <v>850</v>
      </c>
      <c r="I719" t="s">
        <v>330</v>
      </c>
      <c r="J719" t="s">
        <v>1927</v>
      </c>
      <c r="K719" t="s">
        <v>35</v>
      </c>
      <c r="L719">
        <v>2380255329</v>
      </c>
      <c r="M719" t="s">
        <v>1928</v>
      </c>
      <c r="N719" t="s">
        <v>3066</v>
      </c>
      <c r="P719" t="s">
        <v>1933</v>
      </c>
      <c r="Q719" t="s">
        <v>1934</v>
      </c>
      <c r="R719" t="s">
        <v>94</v>
      </c>
      <c r="S719" t="s">
        <v>82</v>
      </c>
      <c r="T719" s="1">
        <v>42743</v>
      </c>
      <c r="U719">
        <v>0</v>
      </c>
      <c r="V719">
        <v>19</v>
      </c>
      <c r="Y719" t="s">
        <v>42</v>
      </c>
      <c r="Z719" t="s">
        <v>43</v>
      </c>
      <c r="AA719" t="s">
        <v>43</v>
      </c>
      <c r="AB719" t="s">
        <v>1932</v>
      </c>
      <c r="AD719" t="s">
        <v>3143</v>
      </c>
    </row>
    <row r="720" spans="1:30" x14ac:dyDescent="0.4">
      <c r="A720" t="s">
        <v>27</v>
      </c>
      <c r="B720">
        <v>4544</v>
      </c>
      <c r="C720" t="s">
        <v>68</v>
      </c>
      <c r="D720" t="s">
        <v>836</v>
      </c>
      <c r="E720" t="s">
        <v>1935</v>
      </c>
      <c r="F720" t="s">
        <v>1926</v>
      </c>
      <c r="H720" t="s">
        <v>850</v>
      </c>
      <c r="I720" t="s">
        <v>330</v>
      </c>
      <c r="J720" t="s">
        <v>1927</v>
      </c>
      <c r="K720" t="s">
        <v>35</v>
      </c>
      <c r="L720">
        <v>2380255329</v>
      </c>
      <c r="M720" t="s">
        <v>1928</v>
      </c>
      <c r="N720" t="s">
        <v>1936</v>
      </c>
      <c r="P720" t="s">
        <v>1937</v>
      </c>
      <c r="Q720" t="s">
        <v>1938</v>
      </c>
      <c r="R720" t="s">
        <v>58</v>
      </c>
      <c r="S720" t="s">
        <v>82</v>
      </c>
      <c r="T720" s="1">
        <v>42201</v>
      </c>
      <c r="U720">
        <v>0</v>
      </c>
      <c r="V720">
        <v>0</v>
      </c>
      <c r="W720" t="s">
        <v>59</v>
      </c>
      <c r="Y720" t="s">
        <v>42</v>
      </c>
      <c r="Z720" t="s">
        <v>43</v>
      </c>
      <c r="AA720" t="s">
        <v>43</v>
      </c>
      <c r="AB720" t="s">
        <v>1939</v>
      </c>
      <c r="AD720" t="s">
        <v>3143</v>
      </c>
    </row>
    <row r="721" spans="1:30" x14ac:dyDescent="0.4">
      <c r="A721" t="s">
        <v>27</v>
      </c>
      <c r="B721">
        <v>4544</v>
      </c>
      <c r="C721" t="s">
        <v>68</v>
      </c>
      <c r="D721" t="s">
        <v>836</v>
      </c>
      <c r="E721" t="s">
        <v>1935</v>
      </c>
      <c r="F721" t="s">
        <v>1926</v>
      </c>
      <c r="H721" t="s">
        <v>850</v>
      </c>
      <c r="I721" t="s">
        <v>330</v>
      </c>
      <c r="J721" t="s">
        <v>1927</v>
      </c>
      <c r="K721" t="s">
        <v>35</v>
      </c>
      <c r="L721">
        <v>2380255329</v>
      </c>
      <c r="M721" t="s">
        <v>1928</v>
      </c>
      <c r="N721" t="s">
        <v>2991</v>
      </c>
      <c r="P721" t="s">
        <v>1940</v>
      </c>
      <c r="Q721" t="s">
        <v>1941</v>
      </c>
      <c r="R721" t="s">
        <v>169</v>
      </c>
      <c r="S721" t="s">
        <v>40</v>
      </c>
      <c r="T721" s="1">
        <v>43792</v>
      </c>
      <c r="U721">
        <v>0</v>
      </c>
      <c r="V721">
        <v>4</v>
      </c>
      <c r="W721" t="s">
        <v>65</v>
      </c>
      <c r="Y721" t="s">
        <v>42</v>
      </c>
      <c r="Z721" t="s">
        <v>43</v>
      </c>
      <c r="AA721" t="s">
        <v>43</v>
      </c>
      <c r="AB721" t="s">
        <v>1939</v>
      </c>
      <c r="AD721" t="s">
        <v>3143</v>
      </c>
    </row>
    <row r="722" spans="1:30" x14ac:dyDescent="0.4">
      <c r="A722" t="s">
        <v>27</v>
      </c>
      <c r="B722">
        <v>4544</v>
      </c>
      <c r="C722" t="s">
        <v>68</v>
      </c>
      <c r="D722" t="s">
        <v>836</v>
      </c>
      <c r="E722" t="s">
        <v>1935</v>
      </c>
      <c r="F722" t="s">
        <v>1926</v>
      </c>
      <c r="H722" t="s">
        <v>850</v>
      </c>
      <c r="I722" t="s">
        <v>330</v>
      </c>
      <c r="J722" t="s">
        <v>1927</v>
      </c>
      <c r="K722" t="s">
        <v>35</v>
      </c>
      <c r="L722">
        <v>2380255329</v>
      </c>
      <c r="M722" t="s">
        <v>1928</v>
      </c>
      <c r="N722" t="s">
        <v>2991</v>
      </c>
      <c r="P722" t="s">
        <v>1940</v>
      </c>
      <c r="Q722" t="s">
        <v>1941</v>
      </c>
      <c r="R722" t="s">
        <v>169</v>
      </c>
      <c r="S722" t="s">
        <v>40</v>
      </c>
      <c r="T722" s="1">
        <v>43792</v>
      </c>
      <c r="U722">
        <v>0</v>
      </c>
      <c r="V722">
        <v>5</v>
      </c>
      <c r="W722" t="s">
        <v>66</v>
      </c>
      <c r="Y722" t="s">
        <v>42</v>
      </c>
      <c r="Z722" t="s">
        <v>43</v>
      </c>
      <c r="AA722" t="s">
        <v>43</v>
      </c>
      <c r="AB722" t="s">
        <v>1939</v>
      </c>
      <c r="AD722" t="s">
        <v>3143</v>
      </c>
    </row>
    <row r="723" spans="1:30" x14ac:dyDescent="0.4">
      <c r="A723" t="s">
        <v>27</v>
      </c>
      <c r="B723">
        <v>4544</v>
      </c>
      <c r="C723" t="s">
        <v>68</v>
      </c>
      <c r="D723" t="s">
        <v>836</v>
      </c>
      <c r="E723" t="s">
        <v>1935</v>
      </c>
      <c r="F723" t="s">
        <v>1926</v>
      </c>
      <c r="H723" t="s">
        <v>850</v>
      </c>
      <c r="I723" t="s">
        <v>330</v>
      </c>
      <c r="J723" t="s">
        <v>1927</v>
      </c>
      <c r="K723" t="s">
        <v>35</v>
      </c>
      <c r="L723">
        <v>2380255329</v>
      </c>
      <c r="M723" t="s">
        <v>1928</v>
      </c>
      <c r="N723" t="s">
        <v>1936</v>
      </c>
      <c r="P723" t="s">
        <v>1937</v>
      </c>
      <c r="Q723" t="s">
        <v>1938</v>
      </c>
      <c r="R723" t="s">
        <v>58</v>
      </c>
      <c r="S723" t="s">
        <v>82</v>
      </c>
      <c r="T723" s="1">
        <v>42201</v>
      </c>
      <c r="U723">
        <v>0</v>
      </c>
      <c r="V723">
        <v>0</v>
      </c>
      <c r="W723" t="s">
        <v>59</v>
      </c>
      <c r="Y723" t="s">
        <v>42</v>
      </c>
      <c r="Z723" t="s">
        <v>43</v>
      </c>
      <c r="AA723" t="s">
        <v>43</v>
      </c>
      <c r="AB723" t="s">
        <v>1939</v>
      </c>
      <c r="AD723" t="s">
        <v>3143</v>
      </c>
    </row>
    <row r="724" spans="1:30" x14ac:dyDescent="0.4">
      <c r="A724" t="s">
        <v>27</v>
      </c>
      <c r="B724">
        <v>4544</v>
      </c>
      <c r="C724" t="s">
        <v>68</v>
      </c>
      <c r="D724" t="s">
        <v>836</v>
      </c>
      <c r="E724" t="s">
        <v>1935</v>
      </c>
      <c r="F724" t="s">
        <v>1926</v>
      </c>
      <c r="H724" t="s">
        <v>850</v>
      </c>
      <c r="I724" t="s">
        <v>330</v>
      </c>
      <c r="J724" t="s">
        <v>1927</v>
      </c>
      <c r="K724" t="s">
        <v>35</v>
      </c>
      <c r="L724">
        <v>2380255329</v>
      </c>
      <c r="M724" t="s">
        <v>1928</v>
      </c>
      <c r="N724" t="s">
        <v>2991</v>
      </c>
      <c r="P724" t="s">
        <v>1940</v>
      </c>
      <c r="Q724" t="s">
        <v>1941</v>
      </c>
      <c r="R724" t="s">
        <v>169</v>
      </c>
      <c r="S724" t="s">
        <v>40</v>
      </c>
      <c r="T724" s="1">
        <v>43792</v>
      </c>
      <c r="U724">
        <v>0</v>
      </c>
      <c r="V724">
        <v>12</v>
      </c>
      <c r="Y724" t="s">
        <v>42</v>
      </c>
      <c r="Z724" t="s">
        <v>43</v>
      </c>
      <c r="AA724" t="s">
        <v>43</v>
      </c>
      <c r="AB724" t="s">
        <v>1939</v>
      </c>
      <c r="AD724" t="s">
        <v>3143</v>
      </c>
    </row>
    <row r="725" spans="1:30" x14ac:dyDescent="0.4">
      <c r="A725" t="s">
        <v>27</v>
      </c>
      <c r="B725">
        <v>4544</v>
      </c>
      <c r="C725" t="s">
        <v>68</v>
      </c>
      <c r="D725" t="s">
        <v>836</v>
      </c>
      <c r="E725" t="s">
        <v>1935</v>
      </c>
      <c r="F725" t="s">
        <v>1926</v>
      </c>
      <c r="H725" t="s">
        <v>850</v>
      </c>
      <c r="I725" t="s">
        <v>330</v>
      </c>
      <c r="J725" t="s">
        <v>1927</v>
      </c>
      <c r="K725" t="s">
        <v>35</v>
      </c>
      <c r="L725">
        <v>2380255329</v>
      </c>
      <c r="M725" t="s">
        <v>1928</v>
      </c>
      <c r="N725" t="s">
        <v>2991</v>
      </c>
      <c r="P725" t="s">
        <v>1940</v>
      </c>
      <c r="Q725" t="s">
        <v>1941</v>
      </c>
      <c r="R725" t="s">
        <v>169</v>
      </c>
      <c r="S725" t="s">
        <v>40</v>
      </c>
      <c r="T725" s="1">
        <v>43792</v>
      </c>
      <c r="U725">
        <v>0</v>
      </c>
      <c r="V725">
        <v>14</v>
      </c>
      <c r="Y725" t="s">
        <v>42</v>
      </c>
      <c r="Z725" t="s">
        <v>43</v>
      </c>
      <c r="AA725" t="s">
        <v>43</v>
      </c>
      <c r="AB725" t="s">
        <v>1939</v>
      </c>
      <c r="AD725" t="s">
        <v>3143</v>
      </c>
    </row>
    <row r="726" spans="1:30" x14ac:dyDescent="0.4">
      <c r="A726" t="s">
        <v>27</v>
      </c>
      <c r="B726">
        <v>4498</v>
      </c>
      <c r="C726" t="s">
        <v>1039</v>
      </c>
      <c r="D726" t="s">
        <v>1942</v>
      </c>
      <c r="E726" t="s">
        <v>1935</v>
      </c>
      <c r="F726" t="s">
        <v>1943</v>
      </c>
      <c r="H726" t="s">
        <v>1944</v>
      </c>
      <c r="I726" t="s">
        <v>426</v>
      </c>
      <c r="J726" t="s">
        <v>1945</v>
      </c>
      <c r="K726" t="s">
        <v>35</v>
      </c>
      <c r="L726" t="s">
        <v>1946</v>
      </c>
      <c r="M726" t="s">
        <v>1947</v>
      </c>
      <c r="N726" t="s">
        <v>2992</v>
      </c>
      <c r="P726" t="s">
        <v>1948</v>
      </c>
      <c r="Q726" t="s">
        <v>1949</v>
      </c>
      <c r="R726" t="s">
        <v>58</v>
      </c>
      <c r="S726" t="s">
        <v>82</v>
      </c>
      <c r="T726" s="1">
        <v>43480</v>
      </c>
      <c r="U726">
        <v>0</v>
      </c>
      <c r="V726">
        <v>19</v>
      </c>
      <c r="Y726" t="s">
        <v>42</v>
      </c>
      <c r="Z726" t="s">
        <v>43</v>
      </c>
      <c r="AA726" t="s">
        <v>42</v>
      </c>
      <c r="AD726" t="s">
        <v>3143</v>
      </c>
    </row>
    <row r="727" spans="1:30" x14ac:dyDescent="0.4">
      <c r="A727" t="s">
        <v>27</v>
      </c>
      <c r="B727">
        <v>4498</v>
      </c>
      <c r="C727" t="s">
        <v>1039</v>
      </c>
      <c r="D727" t="s">
        <v>1942</v>
      </c>
      <c r="E727" t="s">
        <v>1935</v>
      </c>
      <c r="F727" t="s">
        <v>1943</v>
      </c>
      <c r="H727" t="s">
        <v>1944</v>
      </c>
      <c r="I727" t="s">
        <v>426</v>
      </c>
      <c r="J727" t="s">
        <v>1945</v>
      </c>
      <c r="K727" t="s">
        <v>35</v>
      </c>
      <c r="L727" t="s">
        <v>1946</v>
      </c>
      <c r="M727" t="s">
        <v>1947</v>
      </c>
      <c r="N727" t="s">
        <v>2992</v>
      </c>
      <c r="P727" t="s">
        <v>1950</v>
      </c>
      <c r="Q727" t="s">
        <v>1951</v>
      </c>
      <c r="R727" t="s">
        <v>58</v>
      </c>
      <c r="S727" t="s">
        <v>82</v>
      </c>
      <c r="T727" s="1">
        <v>42036</v>
      </c>
      <c r="U727">
        <v>0</v>
      </c>
      <c r="V727">
        <v>19</v>
      </c>
      <c r="Y727" t="s">
        <v>42</v>
      </c>
      <c r="Z727" t="s">
        <v>43</v>
      </c>
      <c r="AA727" t="s">
        <v>42</v>
      </c>
      <c r="AD727" t="s">
        <v>3143</v>
      </c>
    </row>
    <row r="728" spans="1:30" x14ac:dyDescent="0.4">
      <c r="A728" t="s">
        <v>27</v>
      </c>
      <c r="B728">
        <v>4498</v>
      </c>
      <c r="C728" t="s">
        <v>1039</v>
      </c>
      <c r="D728" t="s">
        <v>1942</v>
      </c>
      <c r="E728" t="s">
        <v>1935</v>
      </c>
      <c r="F728" t="s">
        <v>1943</v>
      </c>
      <c r="H728" t="s">
        <v>1944</v>
      </c>
      <c r="I728" t="s">
        <v>426</v>
      </c>
      <c r="J728" t="s">
        <v>1945</v>
      </c>
      <c r="K728" t="s">
        <v>35</v>
      </c>
      <c r="L728" t="s">
        <v>1946</v>
      </c>
      <c r="M728" t="s">
        <v>1947</v>
      </c>
      <c r="N728" t="s">
        <v>2992</v>
      </c>
      <c r="P728" t="s">
        <v>1948</v>
      </c>
      <c r="Q728" t="s">
        <v>1949</v>
      </c>
      <c r="R728" t="s">
        <v>58</v>
      </c>
      <c r="S728" t="s">
        <v>82</v>
      </c>
      <c r="T728" s="1">
        <v>43480</v>
      </c>
      <c r="U728">
        <v>0</v>
      </c>
      <c r="V728">
        <v>21</v>
      </c>
      <c r="Y728" t="s">
        <v>42</v>
      </c>
      <c r="Z728" t="s">
        <v>43</v>
      </c>
      <c r="AA728" t="s">
        <v>42</v>
      </c>
      <c r="AD728" t="s">
        <v>3143</v>
      </c>
    </row>
    <row r="729" spans="1:30" x14ac:dyDescent="0.4">
      <c r="A729" t="s">
        <v>27</v>
      </c>
      <c r="B729">
        <v>4498</v>
      </c>
      <c r="C729" t="s">
        <v>1039</v>
      </c>
      <c r="D729" t="s">
        <v>1942</v>
      </c>
      <c r="E729" t="s">
        <v>1935</v>
      </c>
      <c r="F729" t="s">
        <v>1943</v>
      </c>
      <c r="H729" t="s">
        <v>1944</v>
      </c>
      <c r="I729" t="s">
        <v>426</v>
      </c>
      <c r="J729" t="s">
        <v>1945</v>
      </c>
      <c r="K729" t="s">
        <v>35</v>
      </c>
      <c r="L729" t="s">
        <v>1946</v>
      </c>
      <c r="M729" t="s">
        <v>1947</v>
      </c>
      <c r="N729" t="s">
        <v>2992</v>
      </c>
      <c r="P729" t="s">
        <v>1950</v>
      </c>
      <c r="Q729" t="s">
        <v>1951</v>
      </c>
      <c r="R729" t="s">
        <v>58</v>
      </c>
      <c r="S729" t="s">
        <v>82</v>
      </c>
      <c r="T729" s="1">
        <v>42036</v>
      </c>
      <c r="U729">
        <v>0</v>
      </c>
      <c r="V729">
        <v>21</v>
      </c>
      <c r="Y729" t="s">
        <v>42</v>
      </c>
      <c r="Z729" t="s">
        <v>43</v>
      </c>
      <c r="AA729" t="s">
        <v>42</v>
      </c>
      <c r="AD729" t="s">
        <v>3143</v>
      </c>
    </row>
    <row r="730" spans="1:30" x14ac:dyDescent="0.4">
      <c r="A730" t="s">
        <v>27</v>
      </c>
      <c r="B730">
        <v>5023</v>
      </c>
      <c r="C730" t="s">
        <v>195</v>
      </c>
      <c r="D730" t="s">
        <v>238</v>
      </c>
      <c r="E730" t="s">
        <v>1952</v>
      </c>
      <c r="F730" t="s">
        <v>1953</v>
      </c>
      <c r="H730" t="s">
        <v>633</v>
      </c>
      <c r="I730" t="s">
        <v>1753</v>
      </c>
      <c r="J730" t="s">
        <v>1954</v>
      </c>
      <c r="K730" t="s">
        <v>35</v>
      </c>
      <c r="L730">
        <v>7871306533</v>
      </c>
      <c r="M730" t="s">
        <v>1955</v>
      </c>
      <c r="N730" t="s">
        <v>2993</v>
      </c>
      <c r="P730" t="s">
        <v>1956</v>
      </c>
      <c r="Q730" t="s">
        <v>1957</v>
      </c>
      <c r="R730" t="s">
        <v>94</v>
      </c>
      <c r="S730" t="s">
        <v>82</v>
      </c>
      <c r="T730" s="1">
        <v>42082</v>
      </c>
      <c r="U730">
        <v>0</v>
      </c>
      <c r="V730">
        <v>4</v>
      </c>
      <c r="W730" t="s">
        <v>65</v>
      </c>
      <c r="Y730" t="s">
        <v>42</v>
      </c>
      <c r="Z730" t="s">
        <v>43</v>
      </c>
      <c r="AA730" t="s">
        <v>43</v>
      </c>
      <c r="AD730" t="s">
        <v>3143</v>
      </c>
    </row>
    <row r="731" spans="1:30" x14ac:dyDescent="0.4">
      <c r="A731" t="s">
        <v>27</v>
      </c>
      <c r="B731">
        <v>5023</v>
      </c>
      <c r="C731" t="s">
        <v>195</v>
      </c>
      <c r="D731" t="s">
        <v>238</v>
      </c>
      <c r="E731" t="s">
        <v>1952</v>
      </c>
      <c r="F731" t="s">
        <v>1953</v>
      </c>
      <c r="H731" t="s">
        <v>633</v>
      </c>
      <c r="I731" t="s">
        <v>1753</v>
      </c>
      <c r="J731" t="s">
        <v>1954</v>
      </c>
      <c r="K731" t="s">
        <v>35</v>
      </c>
      <c r="L731">
        <v>7871306533</v>
      </c>
      <c r="M731" t="s">
        <v>1955</v>
      </c>
      <c r="N731" t="s">
        <v>2993</v>
      </c>
      <c r="P731" t="s">
        <v>1958</v>
      </c>
      <c r="Q731" t="s">
        <v>1959</v>
      </c>
      <c r="R731" t="s">
        <v>94</v>
      </c>
      <c r="S731" t="s">
        <v>40</v>
      </c>
      <c r="T731" s="1">
        <v>45030</v>
      </c>
      <c r="U731">
        <v>0</v>
      </c>
      <c r="V731">
        <v>4</v>
      </c>
      <c r="W731" t="s">
        <v>65</v>
      </c>
      <c r="Y731" t="s">
        <v>42</v>
      </c>
      <c r="Z731" t="s">
        <v>43</v>
      </c>
      <c r="AA731" t="s">
        <v>43</v>
      </c>
      <c r="AD731" t="s">
        <v>3143</v>
      </c>
    </row>
    <row r="732" spans="1:30" x14ac:dyDescent="0.4">
      <c r="A732" t="s">
        <v>27</v>
      </c>
      <c r="B732">
        <v>6111</v>
      </c>
      <c r="C732" t="s">
        <v>28</v>
      </c>
      <c r="D732" t="s">
        <v>524</v>
      </c>
      <c r="E732" t="s">
        <v>1960</v>
      </c>
      <c r="F732" t="s">
        <v>1961</v>
      </c>
      <c r="G732" t="s">
        <v>1962</v>
      </c>
      <c r="H732" t="s">
        <v>1962</v>
      </c>
      <c r="I732" t="s">
        <v>528</v>
      </c>
      <c r="J732" t="s">
        <v>1963</v>
      </c>
      <c r="K732" t="s">
        <v>35</v>
      </c>
      <c r="L732">
        <v>7502412357</v>
      </c>
      <c r="M732" t="s">
        <v>1964</v>
      </c>
      <c r="N732" t="s">
        <v>1965</v>
      </c>
      <c r="P732" t="s">
        <v>1966</v>
      </c>
      <c r="Q732" t="s">
        <v>1967</v>
      </c>
      <c r="R732" t="s">
        <v>3136</v>
      </c>
      <c r="S732" t="s">
        <v>40</v>
      </c>
      <c r="T732" s="1">
        <v>45050</v>
      </c>
      <c r="U732">
        <v>0</v>
      </c>
      <c r="V732">
        <v>11</v>
      </c>
      <c r="Y732" t="s">
        <v>42</v>
      </c>
      <c r="Z732" t="s">
        <v>43</v>
      </c>
      <c r="AA732" t="s">
        <v>43</v>
      </c>
      <c r="AD732" t="s">
        <v>3143</v>
      </c>
    </row>
    <row r="733" spans="1:30" x14ac:dyDescent="0.4">
      <c r="A733" t="s">
        <v>27</v>
      </c>
      <c r="B733">
        <v>6467</v>
      </c>
      <c r="C733" t="s">
        <v>257</v>
      </c>
      <c r="D733" t="s">
        <v>1968</v>
      </c>
      <c r="E733" t="s">
        <v>1960</v>
      </c>
      <c r="F733" t="s">
        <v>1961</v>
      </c>
      <c r="H733" t="s">
        <v>1962</v>
      </c>
      <c r="I733" t="s">
        <v>528</v>
      </c>
      <c r="J733" t="s">
        <v>1963</v>
      </c>
      <c r="K733" t="s">
        <v>35</v>
      </c>
      <c r="L733">
        <v>7412710041</v>
      </c>
      <c r="M733" t="s">
        <v>1969</v>
      </c>
      <c r="N733" t="s">
        <v>1970</v>
      </c>
      <c r="P733" t="s">
        <v>1971</v>
      </c>
      <c r="Q733" t="s">
        <v>1972</v>
      </c>
      <c r="R733" t="s">
        <v>376</v>
      </c>
      <c r="S733" t="s">
        <v>82</v>
      </c>
      <c r="T733" s="1">
        <v>43550</v>
      </c>
      <c r="U733">
        <v>0</v>
      </c>
      <c r="V733">
        <v>8</v>
      </c>
      <c r="Y733" t="s">
        <v>42</v>
      </c>
      <c r="Z733" t="s">
        <v>43</v>
      </c>
      <c r="AA733" t="s">
        <v>43</v>
      </c>
      <c r="AD733" t="s">
        <v>3143</v>
      </c>
    </row>
    <row r="734" spans="1:30" x14ac:dyDescent="0.4">
      <c r="A734" t="s">
        <v>27</v>
      </c>
      <c r="B734">
        <v>6467</v>
      </c>
      <c r="C734" t="s">
        <v>257</v>
      </c>
      <c r="D734" t="s">
        <v>1968</v>
      </c>
      <c r="E734" t="s">
        <v>1960</v>
      </c>
      <c r="F734" t="s">
        <v>1961</v>
      </c>
      <c r="H734" t="s">
        <v>1962</v>
      </c>
      <c r="I734" t="s">
        <v>528</v>
      </c>
      <c r="J734" t="s">
        <v>1963</v>
      </c>
      <c r="K734" t="s">
        <v>35</v>
      </c>
      <c r="L734">
        <v>7412710041</v>
      </c>
      <c r="M734" t="s">
        <v>1969</v>
      </c>
      <c r="N734" t="s">
        <v>1970</v>
      </c>
      <c r="P734" t="s">
        <v>1971</v>
      </c>
      <c r="Q734" t="s">
        <v>1972</v>
      </c>
      <c r="R734" t="s">
        <v>376</v>
      </c>
      <c r="S734" t="s">
        <v>82</v>
      </c>
      <c r="T734" s="1">
        <v>43550</v>
      </c>
      <c r="U734">
        <v>0</v>
      </c>
      <c r="V734">
        <v>10</v>
      </c>
      <c r="Y734" t="s">
        <v>42</v>
      </c>
      <c r="Z734" t="s">
        <v>43</v>
      </c>
      <c r="AA734" t="s">
        <v>43</v>
      </c>
      <c r="AD734" t="s">
        <v>3143</v>
      </c>
    </row>
    <row r="735" spans="1:30" x14ac:dyDescent="0.4">
      <c r="A735" t="s">
        <v>27</v>
      </c>
      <c r="B735">
        <v>5924</v>
      </c>
      <c r="C735" t="s">
        <v>68</v>
      </c>
      <c r="D735" t="s">
        <v>1341</v>
      </c>
      <c r="E735" t="s">
        <v>1973</v>
      </c>
      <c r="F735" t="s">
        <v>1974</v>
      </c>
      <c r="G735" t="s">
        <v>1975</v>
      </c>
      <c r="H735" t="s">
        <v>1004</v>
      </c>
      <c r="I735" t="s">
        <v>495</v>
      </c>
      <c r="J735" t="s">
        <v>1976</v>
      </c>
      <c r="K735" t="s">
        <v>35</v>
      </c>
      <c r="L735" t="s">
        <v>1977</v>
      </c>
      <c r="M735" t="s">
        <v>1978</v>
      </c>
      <c r="N735" t="s">
        <v>2994</v>
      </c>
      <c r="P735" t="s">
        <v>1979</v>
      </c>
      <c r="Q735" t="s">
        <v>1980</v>
      </c>
      <c r="R735" t="s">
        <v>58</v>
      </c>
      <c r="S735" t="s">
        <v>82</v>
      </c>
      <c r="T735" s="1">
        <v>44166</v>
      </c>
      <c r="U735">
        <v>0</v>
      </c>
      <c r="V735">
        <v>7</v>
      </c>
      <c r="Y735" t="s">
        <v>42</v>
      </c>
      <c r="Z735" t="s">
        <v>43</v>
      </c>
      <c r="AA735" t="s">
        <v>43</v>
      </c>
      <c r="AD735" t="s">
        <v>3143</v>
      </c>
    </row>
    <row r="736" spans="1:30" x14ac:dyDescent="0.4">
      <c r="A736" t="s">
        <v>27</v>
      </c>
      <c r="B736">
        <v>5924</v>
      </c>
      <c r="C736" t="s">
        <v>68</v>
      </c>
      <c r="D736" t="s">
        <v>1341</v>
      </c>
      <c r="E736" t="s">
        <v>1973</v>
      </c>
      <c r="F736" t="s">
        <v>1974</v>
      </c>
      <c r="G736" t="s">
        <v>1975</v>
      </c>
      <c r="H736" t="s">
        <v>1004</v>
      </c>
      <c r="I736" t="s">
        <v>495</v>
      </c>
      <c r="J736" t="s">
        <v>1976</v>
      </c>
      <c r="K736" t="s">
        <v>35</v>
      </c>
      <c r="L736" t="s">
        <v>1977</v>
      </c>
      <c r="M736" t="s">
        <v>1978</v>
      </c>
      <c r="N736" t="s">
        <v>2994</v>
      </c>
      <c r="P736" t="s">
        <v>1979</v>
      </c>
      <c r="Q736" t="s">
        <v>1980</v>
      </c>
      <c r="R736" t="s">
        <v>58</v>
      </c>
      <c r="S736" t="s">
        <v>82</v>
      </c>
      <c r="T736" s="1">
        <v>44166</v>
      </c>
      <c r="U736">
        <v>0</v>
      </c>
      <c r="V736">
        <v>19</v>
      </c>
      <c r="Y736" t="s">
        <v>42</v>
      </c>
      <c r="Z736" t="s">
        <v>43</v>
      </c>
      <c r="AA736" t="s">
        <v>43</v>
      </c>
      <c r="AD736" t="s">
        <v>3143</v>
      </c>
    </row>
    <row r="737" spans="1:30" x14ac:dyDescent="0.4">
      <c r="A737" t="s">
        <v>27</v>
      </c>
      <c r="B737">
        <v>5924</v>
      </c>
      <c r="C737" t="s">
        <v>68</v>
      </c>
      <c r="D737" t="s">
        <v>1341</v>
      </c>
      <c r="E737" t="s">
        <v>1973</v>
      </c>
      <c r="F737" t="s">
        <v>1974</v>
      </c>
      <c r="G737" t="s">
        <v>1975</v>
      </c>
      <c r="H737" t="s">
        <v>1004</v>
      </c>
      <c r="I737" t="s">
        <v>495</v>
      </c>
      <c r="J737" t="s">
        <v>1976</v>
      </c>
      <c r="K737" t="s">
        <v>35</v>
      </c>
      <c r="L737" t="s">
        <v>1977</v>
      </c>
      <c r="M737" t="s">
        <v>1978</v>
      </c>
      <c r="N737" t="s">
        <v>2994</v>
      </c>
      <c r="P737" t="s">
        <v>1979</v>
      </c>
      <c r="Q737" t="s">
        <v>1980</v>
      </c>
      <c r="R737" t="s">
        <v>58</v>
      </c>
      <c r="S737" t="s">
        <v>82</v>
      </c>
      <c r="T737" s="1">
        <v>44166</v>
      </c>
      <c r="U737">
        <v>0</v>
      </c>
      <c r="V737">
        <v>21</v>
      </c>
      <c r="Y737" t="s">
        <v>42</v>
      </c>
      <c r="Z737" t="s">
        <v>43</v>
      </c>
      <c r="AA737" t="s">
        <v>43</v>
      </c>
      <c r="AD737" t="s">
        <v>3143</v>
      </c>
    </row>
    <row r="738" spans="1:30" x14ac:dyDescent="0.4">
      <c r="A738" t="s">
        <v>27</v>
      </c>
      <c r="B738">
        <v>202</v>
      </c>
      <c r="C738" t="s">
        <v>195</v>
      </c>
      <c r="D738" t="s">
        <v>160</v>
      </c>
      <c r="E738" t="s">
        <v>1981</v>
      </c>
      <c r="F738" t="s">
        <v>1982</v>
      </c>
      <c r="H738" t="s">
        <v>175</v>
      </c>
      <c r="I738" t="s">
        <v>215</v>
      </c>
      <c r="J738" t="s">
        <v>1983</v>
      </c>
      <c r="K738" t="s">
        <v>35</v>
      </c>
      <c r="L738">
        <v>1494445004</v>
      </c>
      <c r="M738" t="s">
        <v>1984</v>
      </c>
      <c r="N738" t="s">
        <v>1985</v>
      </c>
      <c r="P738" t="s">
        <v>1986</v>
      </c>
      <c r="Q738" t="s">
        <v>1987</v>
      </c>
      <c r="R738" t="s">
        <v>376</v>
      </c>
      <c r="S738" t="s">
        <v>40</v>
      </c>
      <c r="T738" s="1">
        <v>43301</v>
      </c>
      <c r="U738">
        <v>0</v>
      </c>
      <c r="V738">
        <v>0</v>
      </c>
      <c r="W738" t="s">
        <v>59</v>
      </c>
      <c r="X738" t="s">
        <v>464</v>
      </c>
      <c r="Y738" t="s">
        <v>42</v>
      </c>
      <c r="Z738" t="s">
        <v>43</v>
      </c>
      <c r="AA738" t="s">
        <v>42</v>
      </c>
      <c r="AD738" t="s">
        <v>3143</v>
      </c>
    </row>
    <row r="739" spans="1:30" x14ac:dyDescent="0.4">
      <c r="A739" t="s">
        <v>27</v>
      </c>
      <c r="B739">
        <v>202</v>
      </c>
      <c r="C739" t="s">
        <v>195</v>
      </c>
      <c r="D739" t="s">
        <v>160</v>
      </c>
      <c r="E739" t="s">
        <v>1981</v>
      </c>
      <c r="F739" t="s">
        <v>1982</v>
      </c>
      <c r="H739" t="s">
        <v>175</v>
      </c>
      <c r="I739" t="s">
        <v>215</v>
      </c>
      <c r="J739" t="s">
        <v>1983</v>
      </c>
      <c r="K739" t="s">
        <v>35</v>
      </c>
      <c r="L739">
        <v>1494445004</v>
      </c>
      <c r="M739" t="s">
        <v>1984</v>
      </c>
      <c r="N739" t="s">
        <v>1985</v>
      </c>
      <c r="P739" t="s">
        <v>1986</v>
      </c>
      <c r="Q739" t="s">
        <v>1987</v>
      </c>
      <c r="R739" t="s">
        <v>376</v>
      </c>
      <c r="S739" t="s">
        <v>40</v>
      </c>
      <c r="T739" s="1">
        <v>43301</v>
      </c>
      <c r="U739">
        <v>0</v>
      </c>
      <c r="V739">
        <v>0</v>
      </c>
      <c r="W739" t="s">
        <v>59</v>
      </c>
      <c r="X739" t="s">
        <v>464</v>
      </c>
      <c r="Y739" t="s">
        <v>42</v>
      </c>
      <c r="Z739" t="s">
        <v>43</v>
      </c>
      <c r="AA739" t="s">
        <v>42</v>
      </c>
      <c r="AD739" t="s">
        <v>3143</v>
      </c>
    </row>
    <row r="740" spans="1:30" x14ac:dyDescent="0.4">
      <c r="A740" t="s">
        <v>27</v>
      </c>
      <c r="B740">
        <v>202</v>
      </c>
      <c r="C740" t="s">
        <v>195</v>
      </c>
      <c r="D740" t="s">
        <v>160</v>
      </c>
      <c r="E740" t="s">
        <v>1981</v>
      </c>
      <c r="F740" t="s">
        <v>1982</v>
      </c>
      <c r="H740" t="s">
        <v>175</v>
      </c>
      <c r="I740" t="s">
        <v>215</v>
      </c>
      <c r="J740" t="s">
        <v>1983</v>
      </c>
      <c r="K740" t="s">
        <v>35</v>
      </c>
      <c r="L740">
        <v>1494445004</v>
      </c>
      <c r="M740" t="s">
        <v>1984</v>
      </c>
      <c r="N740" t="s">
        <v>1985</v>
      </c>
      <c r="P740" t="s">
        <v>1988</v>
      </c>
      <c r="Q740" t="s">
        <v>1989</v>
      </c>
      <c r="R740" t="s">
        <v>58</v>
      </c>
      <c r="S740" t="s">
        <v>82</v>
      </c>
      <c r="T740" s="1">
        <v>41218</v>
      </c>
      <c r="U740">
        <v>0</v>
      </c>
      <c r="V740">
        <v>0</v>
      </c>
      <c r="W740" t="s">
        <v>59</v>
      </c>
      <c r="X740" t="s">
        <v>464</v>
      </c>
      <c r="Y740" t="s">
        <v>42</v>
      </c>
      <c r="Z740" t="s">
        <v>43</v>
      </c>
      <c r="AA740" t="s">
        <v>42</v>
      </c>
      <c r="AD740" t="s">
        <v>3143</v>
      </c>
    </row>
    <row r="741" spans="1:30" x14ac:dyDescent="0.4">
      <c r="A741" t="s">
        <v>27</v>
      </c>
      <c r="B741">
        <v>202</v>
      </c>
      <c r="C741" t="s">
        <v>195</v>
      </c>
      <c r="D741" t="s">
        <v>160</v>
      </c>
      <c r="E741" t="s">
        <v>1981</v>
      </c>
      <c r="F741" t="s">
        <v>1982</v>
      </c>
      <c r="H741" t="s">
        <v>175</v>
      </c>
      <c r="I741" t="s">
        <v>215</v>
      </c>
      <c r="J741" t="s">
        <v>1983</v>
      </c>
      <c r="K741" t="s">
        <v>35</v>
      </c>
      <c r="L741">
        <v>1494445004</v>
      </c>
      <c r="M741" t="s">
        <v>1984</v>
      </c>
      <c r="N741" t="s">
        <v>1985</v>
      </c>
      <c r="P741" t="s">
        <v>1988</v>
      </c>
      <c r="Q741" t="s">
        <v>1989</v>
      </c>
      <c r="R741" t="s">
        <v>58</v>
      </c>
      <c r="S741" t="s">
        <v>82</v>
      </c>
      <c r="T741" s="1">
        <v>41218</v>
      </c>
      <c r="U741">
        <v>0</v>
      </c>
      <c r="V741">
        <v>0</v>
      </c>
      <c r="W741" t="s">
        <v>59</v>
      </c>
      <c r="X741" t="s">
        <v>464</v>
      </c>
      <c r="Y741" t="s">
        <v>42</v>
      </c>
      <c r="Z741" t="s">
        <v>43</v>
      </c>
      <c r="AA741" t="s">
        <v>42</v>
      </c>
      <c r="AD741" t="s">
        <v>3143</v>
      </c>
    </row>
    <row r="742" spans="1:30" x14ac:dyDescent="0.4">
      <c r="A742" t="s">
        <v>27</v>
      </c>
      <c r="B742">
        <v>202</v>
      </c>
      <c r="C742" t="s">
        <v>195</v>
      </c>
      <c r="D742" t="s">
        <v>160</v>
      </c>
      <c r="E742" t="s">
        <v>1981</v>
      </c>
      <c r="F742" t="s">
        <v>1982</v>
      </c>
      <c r="H742" t="s">
        <v>175</v>
      </c>
      <c r="I742" t="s">
        <v>215</v>
      </c>
      <c r="J742" t="s">
        <v>1983</v>
      </c>
      <c r="K742" t="s">
        <v>35</v>
      </c>
      <c r="L742">
        <v>1494445004</v>
      </c>
      <c r="M742" t="s">
        <v>1984</v>
      </c>
      <c r="N742" t="s">
        <v>2873</v>
      </c>
      <c r="P742" t="s">
        <v>1990</v>
      </c>
      <c r="Q742" t="s">
        <v>1991</v>
      </c>
      <c r="R742" t="s">
        <v>94</v>
      </c>
      <c r="S742" t="s">
        <v>82</v>
      </c>
      <c r="T742" s="1">
        <v>44690</v>
      </c>
      <c r="U742">
        <v>0</v>
      </c>
      <c r="V742">
        <v>4</v>
      </c>
      <c r="W742" t="s">
        <v>65</v>
      </c>
      <c r="X742" t="s">
        <v>464</v>
      </c>
      <c r="Y742" t="s">
        <v>42</v>
      </c>
      <c r="Z742" t="s">
        <v>43</v>
      </c>
      <c r="AA742" t="s">
        <v>42</v>
      </c>
      <c r="AD742" t="s">
        <v>3143</v>
      </c>
    </row>
    <row r="743" spans="1:30" x14ac:dyDescent="0.4">
      <c r="A743" t="s">
        <v>27</v>
      </c>
      <c r="B743">
        <v>202</v>
      </c>
      <c r="C743" t="s">
        <v>195</v>
      </c>
      <c r="D743" t="s">
        <v>160</v>
      </c>
      <c r="E743" t="s">
        <v>1981</v>
      </c>
      <c r="F743" t="s">
        <v>1982</v>
      </c>
      <c r="H743" t="s">
        <v>175</v>
      </c>
      <c r="I743" t="s">
        <v>215</v>
      </c>
      <c r="J743" t="s">
        <v>1983</v>
      </c>
      <c r="K743" t="s">
        <v>35</v>
      </c>
      <c r="L743">
        <v>1494445004</v>
      </c>
      <c r="M743" t="s">
        <v>1984</v>
      </c>
      <c r="N743" t="s">
        <v>2873</v>
      </c>
      <c r="P743" t="s">
        <v>1990</v>
      </c>
      <c r="Q743" t="s">
        <v>1991</v>
      </c>
      <c r="R743" t="s">
        <v>94</v>
      </c>
      <c r="S743" t="s">
        <v>82</v>
      </c>
      <c r="T743" s="1">
        <v>44690</v>
      </c>
      <c r="U743">
        <v>0</v>
      </c>
      <c r="V743">
        <v>13</v>
      </c>
      <c r="X743" t="s">
        <v>464</v>
      </c>
      <c r="Y743" t="s">
        <v>42</v>
      </c>
      <c r="Z743" t="s">
        <v>43</v>
      </c>
      <c r="AA743" t="s">
        <v>42</v>
      </c>
      <c r="AD743" t="s">
        <v>3143</v>
      </c>
    </row>
    <row r="744" spans="1:30" x14ac:dyDescent="0.4">
      <c r="A744" t="s">
        <v>27</v>
      </c>
      <c r="B744">
        <v>202</v>
      </c>
      <c r="C744" t="s">
        <v>195</v>
      </c>
      <c r="D744" t="s">
        <v>160</v>
      </c>
      <c r="E744" t="s">
        <v>1981</v>
      </c>
      <c r="F744" t="s">
        <v>1982</v>
      </c>
      <c r="H744" t="s">
        <v>175</v>
      </c>
      <c r="I744" t="s">
        <v>215</v>
      </c>
      <c r="J744" t="s">
        <v>1983</v>
      </c>
      <c r="K744" t="s">
        <v>35</v>
      </c>
      <c r="L744">
        <v>1494445004</v>
      </c>
      <c r="M744" t="s">
        <v>1984</v>
      </c>
      <c r="N744" t="s">
        <v>2873</v>
      </c>
      <c r="P744" t="s">
        <v>1992</v>
      </c>
      <c r="Q744" t="s">
        <v>1993</v>
      </c>
      <c r="R744" t="s">
        <v>94</v>
      </c>
      <c r="S744" t="s">
        <v>82</v>
      </c>
      <c r="T744" s="1">
        <v>43116</v>
      </c>
      <c r="U744">
        <v>0</v>
      </c>
      <c r="V744">
        <v>6</v>
      </c>
      <c r="W744" t="s">
        <v>83</v>
      </c>
      <c r="X744" t="s">
        <v>464</v>
      </c>
      <c r="Y744" t="s">
        <v>42</v>
      </c>
      <c r="Z744" t="s">
        <v>43</v>
      </c>
      <c r="AA744" t="s">
        <v>42</v>
      </c>
      <c r="AD744" t="s">
        <v>3143</v>
      </c>
    </row>
    <row r="745" spans="1:30" x14ac:dyDescent="0.4">
      <c r="A745" t="s">
        <v>27</v>
      </c>
      <c r="B745">
        <v>202</v>
      </c>
      <c r="C745" t="s">
        <v>195</v>
      </c>
      <c r="D745" t="s">
        <v>160</v>
      </c>
      <c r="E745" t="s">
        <v>1981</v>
      </c>
      <c r="F745" t="s">
        <v>1982</v>
      </c>
      <c r="H745" t="s">
        <v>175</v>
      </c>
      <c r="I745" t="s">
        <v>215</v>
      </c>
      <c r="J745" t="s">
        <v>1983</v>
      </c>
      <c r="K745" t="s">
        <v>35</v>
      </c>
      <c r="L745">
        <v>1494445004</v>
      </c>
      <c r="M745" t="s">
        <v>1984</v>
      </c>
      <c r="N745" t="s">
        <v>2873</v>
      </c>
      <c r="P745" t="s">
        <v>1992</v>
      </c>
      <c r="Q745" t="s">
        <v>1993</v>
      </c>
      <c r="R745" t="s">
        <v>94</v>
      </c>
      <c r="S745" t="s">
        <v>82</v>
      </c>
      <c r="T745" s="1">
        <v>43116</v>
      </c>
      <c r="U745">
        <v>0</v>
      </c>
      <c r="V745">
        <v>17</v>
      </c>
      <c r="X745" t="s">
        <v>464</v>
      </c>
      <c r="Y745" t="s">
        <v>42</v>
      </c>
      <c r="Z745" t="s">
        <v>43</v>
      </c>
      <c r="AA745" t="s">
        <v>42</v>
      </c>
      <c r="AD745" t="s">
        <v>3143</v>
      </c>
    </row>
    <row r="746" spans="1:30" x14ac:dyDescent="0.4">
      <c r="A746" t="s">
        <v>27</v>
      </c>
      <c r="B746">
        <v>711</v>
      </c>
      <c r="C746" t="s">
        <v>68</v>
      </c>
      <c r="D746" t="s">
        <v>1994</v>
      </c>
      <c r="E746" t="s">
        <v>1995</v>
      </c>
      <c r="F746" t="s">
        <v>1996</v>
      </c>
      <c r="H746" t="s">
        <v>623</v>
      </c>
      <c r="I746" t="s">
        <v>33</v>
      </c>
      <c r="J746" t="s">
        <v>1997</v>
      </c>
      <c r="K746" t="s">
        <v>35</v>
      </c>
      <c r="L746">
        <v>7825777279</v>
      </c>
      <c r="M746" t="s">
        <v>1998</v>
      </c>
      <c r="N746" t="s">
        <v>1999</v>
      </c>
      <c r="P746" t="s">
        <v>2000</v>
      </c>
      <c r="Q746" t="s">
        <v>2001</v>
      </c>
      <c r="R746" t="s">
        <v>3063</v>
      </c>
      <c r="S746" t="s">
        <v>82</v>
      </c>
      <c r="T746" s="1">
        <v>44785</v>
      </c>
      <c r="U746">
        <v>0</v>
      </c>
      <c r="V746">
        <v>2</v>
      </c>
      <c r="Y746" t="s">
        <v>42</v>
      </c>
      <c r="Z746" t="s">
        <v>43</v>
      </c>
      <c r="AA746" t="s">
        <v>43</v>
      </c>
      <c r="AB746" t="s">
        <v>2002</v>
      </c>
      <c r="AD746" t="s">
        <v>3143</v>
      </c>
    </row>
    <row r="747" spans="1:30" x14ac:dyDescent="0.4">
      <c r="A747" t="s">
        <v>27</v>
      </c>
      <c r="B747">
        <v>711</v>
      </c>
      <c r="C747" t="s">
        <v>68</v>
      </c>
      <c r="D747" t="s">
        <v>1994</v>
      </c>
      <c r="E747" t="s">
        <v>1995</v>
      </c>
      <c r="F747" t="s">
        <v>1996</v>
      </c>
      <c r="H747" t="s">
        <v>623</v>
      </c>
      <c r="I747" t="s">
        <v>33</v>
      </c>
      <c r="J747" t="s">
        <v>1997</v>
      </c>
      <c r="K747" t="s">
        <v>35</v>
      </c>
      <c r="L747">
        <v>7825777279</v>
      </c>
      <c r="M747" t="s">
        <v>1998</v>
      </c>
      <c r="N747" t="s">
        <v>1999</v>
      </c>
      <c r="P747" t="s">
        <v>2003</v>
      </c>
      <c r="Q747" t="s">
        <v>2004</v>
      </c>
      <c r="R747" t="s">
        <v>2005</v>
      </c>
      <c r="S747" t="s">
        <v>82</v>
      </c>
      <c r="T747" s="1">
        <v>45711</v>
      </c>
      <c r="U747">
        <v>0</v>
      </c>
      <c r="V747">
        <v>0</v>
      </c>
      <c r="W747" t="s">
        <v>59</v>
      </c>
      <c r="Y747" t="s">
        <v>42</v>
      </c>
      <c r="Z747" t="s">
        <v>43</v>
      </c>
      <c r="AA747" t="s">
        <v>43</v>
      </c>
      <c r="AB747" t="s">
        <v>2002</v>
      </c>
      <c r="AD747" t="s">
        <v>3143</v>
      </c>
    </row>
    <row r="748" spans="1:30" x14ac:dyDescent="0.4">
      <c r="A748" t="s">
        <v>27</v>
      </c>
      <c r="B748">
        <v>711</v>
      </c>
      <c r="C748" t="s">
        <v>68</v>
      </c>
      <c r="D748" t="s">
        <v>1994</v>
      </c>
      <c r="E748" t="s">
        <v>1995</v>
      </c>
      <c r="F748" t="s">
        <v>1996</v>
      </c>
      <c r="H748" t="s">
        <v>623</v>
      </c>
      <c r="I748" t="s">
        <v>33</v>
      </c>
      <c r="J748" t="s">
        <v>1997</v>
      </c>
      <c r="K748" t="s">
        <v>35</v>
      </c>
      <c r="L748">
        <v>7825777279</v>
      </c>
      <c r="M748" t="s">
        <v>1998</v>
      </c>
      <c r="N748" t="s">
        <v>1999</v>
      </c>
      <c r="P748" t="s">
        <v>2000</v>
      </c>
      <c r="Q748" t="s">
        <v>2001</v>
      </c>
      <c r="R748" t="s">
        <v>3063</v>
      </c>
      <c r="S748" t="s">
        <v>82</v>
      </c>
      <c r="T748" s="1">
        <v>44785</v>
      </c>
      <c r="U748">
        <v>0</v>
      </c>
      <c r="V748">
        <v>3</v>
      </c>
      <c r="Y748" t="s">
        <v>42</v>
      </c>
      <c r="Z748" t="s">
        <v>43</v>
      </c>
      <c r="AA748" t="s">
        <v>43</v>
      </c>
      <c r="AB748" t="s">
        <v>2002</v>
      </c>
      <c r="AD748" t="s">
        <v>3143</v>
      </c>
    </row>
    <row r="749" spans="1:30" x14ac:dyDescent="0.4">
      <c r="A749" t="s">
        <v>27</v>
      </c>
      <c r="B749">
        <v>711</v>
      </c>
      <c r="C749" t="s">
        <v>68</v>
      </c>
      <c r="D749" t="s">
        <v>1994</v>
      </c>
      <c r="E749" t="s">
        <v>1995</v>
      </c>
      <c r="F749" t="s">
        <v>1996</v>
      </c>
      <c r="H749" t="s">
        <v>623</v>
      </c>
      <c r="I749" t="s">
        <v>33</v>
      </c>
      <c r="J749" t="s">
        <v>1997</v>
      </c>
      <c r="K749" t="s">
        <v>35</v>
      </c>
      <c r="L749">
        <v>7825777279</v>
      </c>
      <c r="M749" t="s">
        <v>1998</v>
      </c>
      <c r="N749" t="s">
        <v>1999</v>
      </c>
      <c r="P749" t="s">
        <v>2003</v>
      </c>
      <c r="Q749" t="s">
        <v>2004</v>
      </c>
      <c r="R749" t="s">
        <v>2005</v>
      </c>
      <c r="S749" t="s">
        <v>82</v>
      </c>
      <c r="T749" s="1">
        <v>45711</v>
      </c>
      <c r="U749">
        <v>0</v>
      </c>
      <c r="V749">
        <v>0</v>
      </c>
      <c r="W749" t="s">
        <v>59</v>
      </c>
      <c r="Y749" t="s">
        <v>42</v>
      </c>
      <c r="Z749" t="s">
        <v>43</v>
      </c>
      <c r="AA749" t="s">
        <v>43</v>
      </c>
      <c r="AB749" t="s">
        <v>2002</v>
      </c>
      <c r="AD749" t="s">
        <v>3143</v>
      </c>
    </row>
    <row r="750" spans="1:30" x14ac:dyDescent="0.4">
      <c r="A750" t="s">
        <v>27</v>
      </c>
      <c r="B750">
        <v>711</v>
      </c>
      <c r="C750" t="s">
        <v>68</v>
      </c>
      <c r="D750" t="s">
        <v>1994</v>
      </c>
      <c r="E750" t="s">
        <v>1995</v>
      </c>
      <c r="F750" t="s">
        <v>1996</v>
      </c>
      <c r="H750" t="s">
        <v>623</v>
      </c>
      <c r="I750" t="s">
        <v>33</v>
      </c>
      <c r="J750" t="s">
        <v>1997</v>
      </c>
      <c r="K750" t="s">
        <v>35</v>
      </c>
      <c r="L750">
        <v>7825777279</v>
      </c>
      <c r="M750" t="s">
        <v>1998</v>
      </c>
      <c r="N750" t="s">
        <v>1999</v>
      </c>
      <c r="P750" t="s">
        <v>2000</v>
      </c>
      <c r="Q750" t="s">
        <v>2001</v>
      </c>
      <c r="R750" t="s">
        <v>3063</v>
      </c>
      <c r="S750" t="s">
        <v>82</v>
      </c>
      <c r="T750" s="1">
        <v>44785</v>
      </c>
      <c r="U750">
        <v>0</v>
      </c>
      <c r="V750">
        <v>0</v>
      </c>
      <c r="W750" t="s">
        <v>59</v>
      </c>
      <c r="Y750" t="s">
        <v>42</v>
      </c>
      <c r="Z750" t="s">
        <v>43</v>
      </c>
      <c r="AA750" t="s">
        <v>43</v>
      </c>
      <c r="AB750" t="s">
        <v>2002</v>
      </c>
      <c r="AD750" t="s">
        <v>3143</v>
      </c>
    </row>
    <row r="751" spans="1:30" x14ac:dyDescent="0.4">
      <c r="A751" t="s">
        <v>27</v>
      </c>
      <c r="B751">
        <v>2375</v>
      </c>
      <c r="C751" t="s">
        <v>257</v>
      </c>
      <c r="D751" t="s">
        <v>2006</v>
      </c>
      <c r="E751" t="s">
        <v>2007</v>
      </c>
      <c r="F751" t="s">
        <v>2008</v>
      </c>
      <c r="H751" t="s">
        <v>2009</v>
      </c>
      <c r="I751" t="s">
        <v>2010</v>
      </c>
      <c r="J751" t="s">
        <v>2011</v>
      </c>
      <c r="K751" t="s">
        <v>35</v>
      </c>
      <c r="L751">
        <v>1932348810</v>
      </c>
      <c r="M751" t="s">
        <v>2012</v>
      </c>
      <c r="N751" t="s">
        <v>2013</v>
      </c>
      <c r="P751" t="s">
        <v>2014</v>
      </c>
      <c r="Q751" t="s">
        <v>2015</v>
      </c>
      <c r="R751" t="s">
        <v>169</v>
      </c>
      <c r="S751" t="s">
        <v>82</v>
      </c>
      <c r="T751" s="1">
        <v>44066</v>
      </c>
      <c r="U751">
        <v>0</v>
      </c>
      <c r="V751">
        <v>5</v>
      </c>
      <c r="W751" t="s">
        <v>66</v>
      </c>
      <c r="Y751" t="s">
        <v>42</v>
      </c>
      <c r="Z751" t="s">
        <v>43</v>
      </c>
      <c r="AA751" t="s">
        <v>43</v>
      </c>
      <c r="AD751" t="s">
        <v>3143</v>
      </c>
    </row>
    <row r="752" spans="1:30" x14ac:dyDescent="0.4">
      <c r="A752" t="s">
        <v>27</v>
      </c>
      <c r="B752">
        <v>2375</v>
      </c>
      <c r="C752" t="s">
        <v>257</v>
      </c>
      <c r="D752" t="s">
        <v>2006</v>
      </c>
      <c r="E752" t="s">
        <v>2007</v>
      </c>
      <c r="F752" t="s">
        <v>2008</v>
      </c>
      <c r="H752" t="s">
        <v>2009</v>
      </c>
      <c r="I752" t="s">
        <v>2010</v>
      </c>
      <c r="J752" t="s">
        <v>2011</v>
      </c>
      <c r="K752" t="s">
        <v>35</v>
      </c>
      <c r="L752">
        <v>1932348810</v>
      </c>
      <c r="M752" t="s">
        <v>2012</v>
      </c>
      <c r="N752" t="s">
        <v>2013</v>
      </c>
      <c r="P752" t="s">
        <v>2014</v>
      </c>
      <c r="Q752" t="s">
        <v>2015</v>
      </c>
      <c r="R752" t="s">
        <v>169</v>
      </c>
      <c r="S752" t="s">
        <v>82</v>
      </c>
      <c r="T752" s="1">
        <v>44066</v>
      </c>
      <c r="U752">
        <v>0</v>
      </c>
      <c r="V752">
        <v>6</v>
      </c>
      <c r="W752" t="s">
        <v>83</v>
      </c>
      <c r="Y752" t="s">
        <v>42</v>
      </c>
      <c r="Z752" t="s">
        <v>43</v>
      </c>
      <c r="AA752" t="s">
        <v>43</v>
      </c>
      <c r="AD752" t="s">
        <v>3143</v>
      </c>
    </row>
    <row r="753" spans="1:30" x14ac:dyDescent="0.4">
      <c r="A753" t="s">
        <v>27</v>
      </c>
      <c r="B753">
        <v>2375</v>
      </c>
      <c r="C753" t="s">
        <v>257</v>
      </c>
      <c r="D753" t="s">
        <v>2006</v>
      </c>
      <c r="E753" t="s">
        <v>2007</v>
      </c>
      <c r="F753" t="s">
        <v>2008</v>
      </c>
      <c r="H753" t="s">
        <v>2009</v>
      </c>
      <c r="I753" t="s">
        <v>2010</v>
      </c>
      <c r="J753" t="s">
        <v>2011</v>
      </c>
      <c r="K753" t="s">
        <v>35</v>
      </c>
      <c r="L753">
        <v>1932348810</v>
      </c>
      <c r="M753" t="s">
        <v>2012</v>
      </c>
      <c r="N753" t="s">
        <v>2013</v>
      </c>
      <c r="P753" t="s">
        <v>2014</v>
      </c>
      <c r="Q753" t="s">
        <v>2015</v>
      </c>
      <c r="R753" t="s">
        <v>169</v>
      </c>
      <c r="S753" t="s">
        <v>82</v>
      </c>
      <c r="T753" s="1">
        <v>44066</v>
      </c>
      <c r="U753">
        <v>0</v>
      </c>
      <c r="V753">
        <v>15</v>
      </c>
      <c r="Y753" t="s">
        <v>42</v>
      </c>
      <c r="Z753" t="s">
        <v>43</v>
      </c>
      <c r="AA753" t="s">
        <v>43</v>
      </c>
      <c r="AD753" t="s">
        <v>3143</v>
      </c>
    </row>
    <row r="754" spans="1:30" x14ac:dyDescent="0.4">
      <c r="A754" t="s">
        <v>27</v>
      </c>
      <c r="B754">
        <v>2375</v>
      </c>
      <c r="C754" t="s">
        <v>257</v>
      </c>
      <c r="D754" t="s">
        <v>2006</v>
      </c>
      <c r="E754" t="s">
        <v>2007</v>
      </c>
      <c r="F754" t="s">
        <v>2008</v>
      </c>
      <c r="H754" t="s">
        <v>2009</v>
      </c>
      <c r="I754" t="s">
        <v>2010</v>
      </c>
      <c r="J754" t="s">
        <v>2011</v>
      </c>
      <c r="K754" t="s">
        <v>35</v>
      </c>
      <c r="L754">
        <v>1932348810</v>
      </c>
      <c r="M754" t="s">
        <v>2012</v>
      </c>
      <c r="N754" t="s">
        <v>2013</v>
      </c>
      <c r="P754" t="s">
        <v>2014</v>
      </c>
      <c r="Q754" t="s">
        <v>2015</v>
      </c>
      <c r="R754" t="s">
        <v>169</v>
      </c>
      <c r="S754" t="s">
        <v>82</v>
      </c>
      <c r="T754" s="1">
        <v>44066</v>
      </c>
      <c r="U754">
        <v>0</v>
      </c>
      <c r="V754">
        <v>17</v>
      </c>
      <c r="Y754" t="s">
        <v>42</v>
      </c>
      <c r="Z754" t="s">
        <v>43</v>
      </c>
      <c r="AA754" t="s">
        <v>43</v>
      </c>
      <c r="AD754" t="s">
        <v>3143</v>
      </c>
    </row>
    <row r="755" spans="1:30" x14ac:dyDescent="0.4">
      <c r="A755" t="s">
        <v>27</v>
      </c>
      <c r="B755">
        <v>680</v>
      </c>
      <c r="C755" t="s">
        <v>28</v>
      </c>
      <c r="D755" t="s">
        <v>2016</v>
      </c>
      <c r="E755" t="s">
        <v>2017</v>
      </c>
      <c r="F755" t="s">
        <v>2018</v>
      </c>
      <c r="H755" t="s">
        <v>623</v>
      </c>
      <c r="I755" t="s">
        <v>33</v>
      </c>
      <c r="J755" t="s">
        <v>2019</v>
      </c>
      <c r="K755" t="s">
        <v>35</v>
      </c>
      <c r="L755" t="s">
        <v>2020</v>
      </c>
      <c r="M755" t="s">
        <v>2021</v>
      </c>
      <c r="N755" t="s">
        <v>2022</v>
      </c>
      <c r="P755" t="s">
        <v>2023</v>
      </c>
      <c r="Q755" t="s">
        <v>2024</v>
      </c>
      <c r="R755" t="s">
        <v>356</v>
      </c>
      <c r="S755" t="s">
        <v>82</v>
      </c>
      <c r="T755" s="1">
        <v>43492</v>
      </c>
      <c r="U755">
        <v>0</v>
      </c>
      <c r="V755">
        <v>0</v>
      </c>
      <c r="W755" t="s">
        <v>59</v>
      </c>
      <c r="Y755" t="s">
        <v>42</v>
      </c>
      <c r="Z755" t="s">
        <v>43</v>
      </c>
      <c r="AA755" t="s">
        <v>43</v>
      </c>
      <c r="AD755" t="s">
        <v>3143</v>
      </c>
    </row>
    <row r="756" spans="1:30" x14ac:dyDescent="0.4">
      <c r="A756" t="s">
        <v>27</v>
      </c>
      <c r="B756">
        <v>680</v>
      </c>
      <c r="C756" t="s">
        <v>28</v>
      </c>
      <c r="D756" t="s">
        <v>2016</v>
      </c>
      <c r="E756" t="s">
        <v>2017</v>
      </c>
      <c r="F756" t="s">
        <v>2018</v>
      </c>
      <c r="H756" t="s">
        <v>623</v>
      </c>
      <c r="I756" t="s">
        <v>33</v>
      </c>
      <c r="J756" t="s">
        <v>2019</v>
      </c>
      <c r="K756" t="s">
        <v>35</v>
      </c>
      <c r="L756" t="s">
        <v>2020</v>
      </c>
      <c r="M756" t="s">
        <v>2021</v>
      </c>
      <c r="N756" t="s">
        <v>2022</v>
      </c>
      <c r="P756" t="s">
        <v>2025</v>
      </c>
      <c r="Q756" t="s">
        <v>2026</v>
      </c>
      <c r="R756" t="s">
        <v>356</v>
      </c>
      <c r="S756" t="s">
        <v>40</v>
      </c>
      <c r="T756" s="1">
        <v>42210</v>
      </c>
      <c r="U756">
        <v>0</v>
      </c>
      <c r="V756">
        <v>0</v>
      </c>
      <c r="W756" t="s">
        <v>59</v>
      </c>
      <c r="Y756" t="s">
        <v>42</v>
      </c>
      <c r="Z756" t="s">
        <v>43</v>
      </c>
      <c r="AA756" t="s">
        <v>43</v>
      </c>
      <c r="AD756" t="s">
        <v>3143</v>
      </c>
    </row>
    <row r="757" spans="1:30" x14ac:dyDescent="0.4">
      <c r="A757" t="s">
        <v>27</v>
      </c>
      <c r="B757">
        <v>680</v>
      </c>
      <c r="C757" t="s">
        <v>28</v>
      </c>
      <c r="D757" t="s">
        <v>2016</v>
      </c>
      <c r="E757" t="s">
        <v>2017</v>
      </c>
      <c r="F757" t="s">
        <v>2018</v>
      </c>
      <c r="H757" t="s">
        <v>623</v>
      </c>
      <c r="I757" t="s">
        <v>33</v>
      </c>
      <c r="J757" t="s">
        <v>2019</v>
      </c>
      <c r="K757" t="s">
        <v>35</v>
      </c>
      <c r="L757" t="s">
        <v>2020</v>
      </c>
      <c r="M757" t="s">
        <v>2021</v>
      </c>
      <c r="N757" t="s">
        <v>2022</v>
      </c>
      <c r="P757" t="s">
        <v>2027</v>
      </c>
      <c r="Q757" t="s">
        <v>2028</v>
      </c>
      <c r="R757" t="s">
        <v>500</v>
      </c>
      <c r="S757" t="s">
        <v>82</v>
      </c>
      <c r="T757" s="1">
        <v>41418</v>
      </c>
      <c r="U757">
        <v>0</v>
      </c>
      <c r="V757">
        <v>0</v>
      </c>
      <c r="W757" t="s">
        <v>59</v>
      </c>
      <c r="Y757" t="s">
        <v>42</v>
      </c>
      <c r="Z757" t="s">
        <v>43</v>
      </c>
      <c r="AA757" t="s">
        <v>43</v>
      </c>
      <c r="AD757" t="s">
        <v>3143</v>
      </c>
    </row>
    <row r="758" spans="1:30" x14ac:dyDescent="0.4">
      <c r="A758" t="s">
        <v>27</v>
      </c>
      <c r="B758">
        <v>680</v>
      </c>
      <c r="C758" t="s">
        <v>28</v>
      </c>
      <c r="D758" t="s">
        <v>2016</v>
      </c>
      <c r="E758" t="s">
        <v>2017</v>
      </c>
      <c r="F758" t="s">
        <v>2018</v>
      </c>
      <c r="H758" t="s">
        <v>623</v>
      </c>
      <c r="I758" t="s">
        <v>33</v>
      </c>
      <c r="J758" t="s">
        <v>2019</v>
      </c>
      <c r="K758" t="s">
        <v>35</v>
      </c>
      <c r="L758" t="s">
        <v>2020</v>
      </c>
      <c r="M758" t="s">
        <v>2021</v>
      </c>
      <c r="N758" t="s">
        <v>2022</v>
      </c>
      <c r="P758" t="s">
        <v>2023</v>
      </c>
      <c r="Q758" t="s">
        <v>2024</v>
      </c>
      <c r="R758" t="s">
        <v>356</v>
      </c>
      <c r="S758" t="s">
        <v>82</v>
      </c>
      <c r="T758" s="1">
        <v>43492</v>
      </c>
      <c r="U758">
        <v>0</v>
      </c>
      <c r="V758">
        <v>0</v>
      </c>
      <c r="W758" t="s">
        <v>59</v>
      </c>
      <c r="Y758" t="s">
        <v>42</v>
      </c>
      <c r="Z758" t="s">
        <v>43</v>
      </c>
      <c r="AA758" t="s">
        <v>43</v>
      </c>
      <c r="AD758" t="s">
        <v>3143</v>
      </c>
    </row>
    <row r="759" spans="1:30" x14ac:dyDescent="0.4">
      <c r="A759" t="s">
        <v>27</v>
      </c>
      <c r="B759">
        <v>680</v>
      </c>
      <c r="C759" t="s">
        <v>28</v>
      </c>
      <c r="D759" t="s">
        <v>2016</v>
      </c>
      <c r="E759" t="s">
        <v>2017</v>
      </c>
      <c r="F759" t="s">
        <v>2018</v>
      </c>
      <c r="H759" t="s">
        <v>623</v>
      </c>
      <c r="I759" t="s">
        <v>33</v>
      </c>
      <c r="J759" t="s">
        <v>2019</v>
      </c>
      <c r="K759" t="s">
        <v>35</v>
      </c>
      <c r="L759" t="s">
        <v>2020</v>
      </c>
      <c r="M759" t="s">
        <v>2021</v>
      </c>
      <c r="N759" t="s">
        <v>2022</v>
      </c>
      <c r="P759" t="s">
        <v>2025</v>
      </c>
      <c r="Q759" t="s">
        <v>2026</v>
      </c>
      <c r="R759" t="s">
        <v>356</v>
      </c>
      <c r="S759" t="s">
        <v>40</v>
      </c>
      <c r="T759" s="1">
        <v>42210</v>
      </c>
      <c r="U759">
        <v>0</v>
      </c>
      <c r="V759">
        <v>0</v>
      </c>
      <c r="W759" t="s">
        <v>59</v>
      </c>
      <c r="Y759" t="s">
        <v>42</v>
      </c>
      <c r="Z759" t="s">
        <v>43</v>
      </c>
      <c r="AA759" t="s">
        <v>43</v>
      </c>
      <c r="AD759" t="s">
        <v>3143</v>
      </c>
    </row>
    <row r="760" spans="1:30" x14ac:dyDescent="0.4">
      <c r="A760" t="s">
        <v>27</v>
      </c>
      <c r="B760">
        <v>680</v>
      </c>
      <c r="C760" t="s">
        <v>28</v>
      </c>
      <c r="D760" t="s">
        <v>2016</v>
      </c>
      <c r="E760" t="s">
        <v>2017</v>
      </c>
      <c r="F760" t="s">
        <v>2018</v>
      </c>
      <c r="H760" t="s">
        <v>623</v>
      </c>
      <c r="I760" t="s">
        <v>33</v>
      </c>
      <c r="J760" t="s">
        <v>2019</v>
      </c>
      <c r="K760" t="s">
        <v>35</v>
      </c>
      <c r="L760" t="s">
        <v>2020</v>
      </c>
      <c r="M760" t="s">
        <v>2021</v>
      </c>
      <c r="N760" t="s">
        <v>2022</v>
      </c>
      <c r="P760" t="s">
        <v>2027</v>
      </c>
      <c r="Q760" t="s">
        <v>2028</v>
      </c>
      <c r="R760" t="s">
        <v>500</v>
      </c>
      <c r="S760" t="s">
        <v>82</v>
      </c>
      <c r="T760" s="1">
        <v>41418</v>
      </c>
      <c r="U760">
        <v>0</v>
      </c>
      <c r="V760">
        <v>0</v>
      </c>
      <c r="W760" t="s">
        <v>59</v>
      </c>
      <c r="Y760" t="s">
        <v>42</v>
      </c>
      <c r="Z760" t="s">
        <v>43</v>
      </c>
      <c r="AA760" t="s">
        <v>43</v>
      </c>
      <c r="AD760" t="s">
        <v>3143</v>
      </c>
    </row>
    <row r="761" spans="1:30" x14ac:dyDescent="0.4">
      <c r="A761" t="s">
        <v>27</v>
      </c>
      <c r="B761">
        <v>2518</v>
      </c>
      <c r="C761" t="s">
        <v>257</v>
      </c>
      <c r="D761" t="s">
        <v>2029</v>
      </c>
      <c r="E761" t="s">
        <v>2030</v>
      </c>
      <c r="F761" t="s">
        <v>2031</v>
      </c>
      <c r="H761" t="s">
        <v>2032</v>
      </c>
      <c r="I761" t="s">
        <v>2033</v>
      </c>
      <c r="J761" t="s">
        <v>2034</v>
      </c>
      <c r="K761" t="s">
        <v>35</v>
      </c>
      <c r="L761" t="s">
        <v>2035</v>
      </c>
      <c r="M761" t="s">
        <v>2036</v>
      </c>
      <c r="N761" t="s">
        <v>2997</v>
      </c>
      <c r="P761" t="s">
        <v>2037</v>
      </c>
      <c r="Q761" t="s">
        <v>2038</v>
      </c>
      <c r="R761" t="s">
        <v>284</v>
      </c>
      <c r="S761" t="s">
        <v>40</v>
      </c>
      <c r="T761" s="1">
        <v>43665</v>
      </c>
      <c r="U761">
        <v>0</v>
      </c>
      <c r="V761">
        <v>20</v>
      </c>
      <c r="Y761" t="s">
        <v>42</v>
      </c>
      <c r="Z761" t="s">
        <v>43</v>
      </c>
      <c r="AA761" t="s">
        <v>43</v>
      </c>
      <c r="AD761" t="s">
        <v>3143</v>
      </c>
    </row>
    <row r="762" spans="1:30" x14ac:dyDescent="0.4">
      <c r="A762" t="s">
        <v>27</v>
      </c>
      <c r="B762">
        <v>1795</v>
      </c>
      <c r="C762" t="s">
        <v>68</v>
      </c>
      <c r="D762" t="s">
        <v>896</v>
      </c>
      <c r="E762" t="s">
        <v>2039</v>
      </c>
      <c r="F762" t="s">
        <v>2040</v>
      </c>
      <c r="H762" t="s">
        <v>2041</v>
      </c>
      <c r="I762" t="s">
        <v>495</v>
      </c>
      <c r="J762" t="s">
        <v>2042</v>
      </c>
      <c r="K762" t="s">
        <v>35</v>
      </c>
      <c r="L762" t="s">
        <v>2043</v>
      </c>
      <c r="M762" t="s">
        <v>2044</v>
      </c>
      <c r="N762" t="s">
        <v>2045</v>
      </c>
      <c r="P762" t="s">
        <v>2046</v>
      </c>
      <c r="Q762" t="s">
        <v>2047</v>
      </c>
      <c r="R762" t="s">
        <v>169</v>
      </c>
      <c r="S762" t="s">
        <v>82</v>
      </c>
      <c r="T762" s="1">
        <v>42635</v>
      </c>
      <c r="U762">
        <v>0</v>
      </c>
      <c r="V762">
        <v>13</v>
      </c>
      <c r="Y762" t="s">
        <v>42</v>
      </c>
      <c r="Z762" t="s">
        <v>43</v>
      </c>
      <c r="AA762" t="s">
        <v>42</v>
      </c>
      <c r="AD762" t="s">
        <v>3143</v>
      </c>
    </row>
    <row r="763" spans="1:30" x14ac:dyDescent="0.4">
      <c r="A763" t="s">
        <v>27</v>
      </c>
      <c r="B763">
        <v>1795</v>
      </c>
      <c r="C763" t="s">
        <v>68</v>
      </c>
      <c r="D763" t="s">
        <v>896</v>
      </c>
      <c r="E763" t="s">
        <v>2039</v>
      </c>
      <c r="F763" t="s">
        <v>2040</v>
      </c>
      <c r="H763" t="s">
        <v>2041</v>
      </c>
      <c r="I763" t="s">
        <v>495</v>
      </c>
      <c r="J763" t="s">
        <v>2042</v>
      </c>
      <c r="K763" t="s">
        <v>35</v>
      </c>
      <c r="L763" t="s">
        <v>2043</v>
      </c>
      <c r="M763" t="s">
        <v>2044</v>
      </c>
      <c r="N763" t="s">
        <v>2045</v>
      </c>
      <c r="P763" t="s">
        <v>2046</v>
      </c>
      <c r="Q763" t="s">
        <v>2047</v>
      </c>
      <c r="R763" t="s">
        <v>169</v>
      </c>
      <c r="S763" t="s">
        <v>82</v>
      </c>
      <c r="T763" s="1">
        <v>42635</v>
      </c>
      <c r="U763">
        <v>0</v>
      </c>
      <c r="V763">
        <v>15</v>
      </c>
      <c r="Y763" t="s">
        <v>42</v>
      </c>
      <c r="Z763" t="s">
        <v>43</v>
      </c>
      <c r="AA763" t="s">
        <v>42</v>
      </c>
      <c r="AD763" t="s">
        <v>3143</v>
      </c>
    </row>
    <row r="764" spans="1:30" x14ac:dyDescent="0.4">
      <c r="A764" t="s">
        <v>27</v>
      </c>
      <c r="B764">
        <v>1795</v>
      </c>
      <c r="C764" t="s">
        <v>68</v>
      </c>
      <c r="D764" t="s">
        <v>896</v>
      </c>
      <c r="E764" t="s">
        <v>2039</v>
      </c>
      <c r="F764" t="s">
        <v>2040</v>
      </c>
      <c r="H764" t="s">
        <v>2041</v>
      </c>
      <c r="I764" t="s">
        <v>495</v>
      </c>
      <c r="J764" t="s">
        <v>2042</v>
      </c>
      <c r="K764" t="s">
        <v>35</v>
      </c>
      <c r="L764" t="s">
        <v>2043</v>
      </c>
      <c r="M764" t="s">
        <v>2044</v>
      </c>
      <c r="N764" t="s">
        <v>2045</v>
      </c>
      <c r="P764" t="s">
        <v>2048</v>
      </c>
      <c r="Q764" t="s">
        <v>2049</v>
      </c>
      <c r="R764" t="s">
        <v>169</v>
      </c>
      <c r="S764" t="s">
        <v>82</v>
      </c>
      <c r="T764" s="1">
        <v>40912</v>
      </c>
      <c r="U764">
        <v>0</v>
      </c>
      <c r="V764">
        <v>0</v>
      </c>
      <c r="W764" t="s">
        <v>59</v>
      </c>
      <c r="Y764" t="s">
        <v>42</v>
      </c>
      <c r="Z764" t="s">
        <v>43</v>
      </c>
      <c r="AA764" t="s">
        <v>42</v>
      </c>
      <c r="AD764" t="s">
        <v>3143</v>
      </c>
    </row>
    <row r="765" spans="1:30" x14ac:dyDescent="0.4">
      <c r="A765" t="s">
        <v>27</v>
      </c>
      <c r="B765">
        <v>1795</v>
      </c>
      <c r="C765" t="s">
        <v>68</v>
      </c>
      <c r="D765" t="s">
        <v>896</v>
      </c>
      <c r="E765" t="s">
        <v>2039</v>
      </c>
      <c r="F765" t="s">
        <v>2040</v>
      </c>
      <c r="H765" t="s">
        <v>2041</v>
      </c>
      <c r="I765" t="s">
        <v>495</v>
      </c>
      <c r="J765" t="s">
        <v>2042</v>
      </c>
      <c r="K765" t="s">
        <v>35</v>
      </c>
      <c r="L765" t="s">
        <v>2043</v>
      </c>
      <c r="M765" t="s">
        <v>2044</v>
      </c>
      <c r="N765" t="s">
        <v>2045</v>
      </c>
      <c r="P765" t="s">
        <v>2050</v>
      </c>
      <c r="Q765" t="s">
        <v>2051</v>
      </c>
      <c r="R765" t="s">
        <v>169</v>
      </c>
      <c r="S765" t="s">
        <v>82</v>
      </c>
      <c r="T765" s="1">
        <v>44737</v>
      </c>
      <c r="U765">
        <v>0</v>
      </c>
      <c r="V765">
        <v>0</v>
      </c>
      <c r="W765" t="s">
        <v>59</v>
      </c>
      <c r="Y765" t="s">
        <v>42</v>
      </c>
      <c r="Z765" t="s">
        <v>43</v>
      </c>
      <c r="AA765" t="s">
        <v>42</v>
      </c>
      <c r="AD765" t="s">
        <v>3143</v>
      </c>
    </row>
    <row r="766" spans="1:30" x14ac:dyDescent="0.4">
      <c r="A766" t="s">
        <v>27</v>
      </c>
      <c r="B766">
        <v>3907</v>
      </c>
      <c r="C766" t="s">
        <v>28</v>
      </c>
      <c r="D766" t="s">
        <v>2052</v>
      </c>
      <c r="E766" t="s">
        <v>2053</v>
      </c>
      <c r="F766" t="s">
        <v>2054</v>
      </c>
      <c r="H766" t="s">
        <v>623</v>
      </c>
      <c r="I766" t="s">
        <v>33</v>
      </c>
      <c r="J766" t="s">
        <v>2055</v>
      </c>
      <c r="K766" t="s">
        <v>35</v>
      </c>
      <c r="L766" t="s">
        <v>2056</v>
      </c>
      <c r="M766" t="s">
        <v>2057</v>
      </c>
      <c r="N766" t="s">
        <v>2058</v>
      </c>
      <c r="P766" t="s">
        <v>3056</v>
      </c>
      <c r="Q766" t="s">
        <v>2060</v>
      </c>
      <c r="R766" t="s">
        <v>2061</v>
      </c>
      <c r="S766" t="s">
        <v>40</v>
      </c>
      <c r="T766" s="1">
        <v>44463</v>
      </c>
      <c r="U766">
        <v>0</v>
      </c>
      <c r="V766">
        <v>4</v>
      </c>
      <c r="W766" t="s">
        <v>65</v>
      </c>
      <c r="Y766" t="s">
        <v>42</v>
      </c>
      <c r="Z766" t="s">
        <v>43</v>
      </c>
      <c r="AA766" t="s">
        <v>43</v>
      </c>
      <c r="AD766" t="s">
        <v>3143</v>
      </c>
    </row>
    <row r="767" spans="1:30" x14ac:dyDescent="0.4">
      <c r="A767" t="s">
        <v>27</v>
      </c>
      <c r="B767">
        <v>3907</v>
      </c>
      <c r="C767" t="s">
        <v>28</v>
      </c>
      <c r="D767" t="s">
        <v>2052</v>
      </c>
      <c r="E767" t="s">
        <v>2053</v>
      </c>
      <c r="F767" t="s">
        <v>2054</v>
      </c>
      <c r="H767" t="s">
        <v>623</v>
      </c>
      <c r="I767" t="s">
        <v>33</v>
      </c>
      <c r="J767" t="s">
        <v>2055</v>
      </c>
      <c r="K767" t="s">
        <v>35</v>
      </c>
      <c r="L767" t="s">
        <v>2056</v>
      </c>
      <c r="M767" t="s">
        <v>2057</v>
      </c>
      <c r="N767" t="s">
        <v>2058</v>
      </c>
      <c r="P767" t="s">
        <v>3056</v>
      </c>
      <c r="Q767" t="s">
        <v>2060</v>
      </c>
      <c r="R767" t="s">
        <v>2061</v>
      </c>
      <c r="S767" t="s">
        <v>40</v>
      </c>
      <c r="T767" s="1">
        <v>44463</v>
      </c>
      <c r="U767">
        <v>0</v>
      </c>
      <c r="V767">
        <v>5</v>
      </c>
      <c r="W767" t="s">
        <v>66</v>
      </c>
      <c r="Y767" t="s">
        <v>42</v>
      </c>
      <c r="Z767" t="s">
        <v>43</v>
      </c>
      <c r="AA767" t="s">
        <v>43</v>
      </c>
      <c r="AD767" t="s">
        <v>3143</v>
      </c>
    </row>
    <row r="768" spans="1:30" x14ac:dyDescent="0.4">
      <c r="A768" t="s">
        <v>27</v>
      </c>
      <c r="B768">
        <v>3907</v>
      </c>
      <c r="C768" t="s">
        <v>28</v>
      </c>
      <c r="D768" t="s">
        <v>2052</v>
      </c>
      <c r="E768" t="s">
        <v>2053</v>
      </c>
      <c r="F768" t="s">
        <v>2054</v>
      </c>
      <c r="H768" t="s">
        <v>623</v>
      </c>
      <c r="I768" t="s">
        <v>33</v>
      </c>
      <c r="J768" t="s">
        <v>2055</v>
      </c>
      <c r="K768" t="s">
        <v>35</v>
      </c>
      <c r="L768" t="s">
        <v>2056</v>
      </c>
      <c r="M768" t="s">
        <v>2057</v>
      </c>
      <c r="N768" t="s">
        <v>2058</v>
      </c>
      <c r="P768" t="s">
        <v>3056</v>
      </c>
      <c r="Q768" t="s">
        <v>2060</v>
      </c>
      <c r="R768" t="s">
        <v>2061</v>
      </c>
      <c r="S768" t="s">
        <v>40</v>
      </c>
      <c r="T768" s="1">
        <v>44463</v>
      </c>
      <c r="U768">
        <v>0</v>
      </c>
      <c r="V768">
        <v>12</v>
      </c>
      <c r="Y768" t="s">
        <v>42</v>
      </c>
      <c r="Z768" t="s">
        <v>43</v>
      </c>
      <c r="AA768" t="s">
        <v>43</v>
      </c>
      <c r="AD768" t="s">
        <v>3143</v>
      </c>
    </row>
    <row r="769" spans="1:30" x14ac:dyDescent="0.4">
      <c r="A769" t="s">
        <v>27</v>
      </c>
      <c r="B769">
        <v>3907</v>
      </c>
      <c r="C769" t="s">
        <v>28</v>
      </c>
      <c r="D769" t="s">
        <v>2052</v>
      </c>
      <c r="E769" t="s">
        <v>2053</v>
      </c>
      <c r="F769" t="s">
        <v>2054</v>
      </c>
      <c r="H769" t="s">
        <v>623</v>
      </c>
      <c r="I769" t="s">
        <v>33</v>
      </c>
      <c r="J769" t="s">
        <v>2055</v>
      </c>
      <c r="K769" t="s">
        <v>35</v>
      </c>
      <c r="L769" t="s">
        <v>2056</v>
      </c>
      <c r="M769" t="s">
        <v>2057</v>
      </c>
      <c r="N769" t="s">
        <v>2058</v>
      </c>
      <c r="P769" t="s">
        <v>3056</v>
      </c>
      <c r="Q769" t="s">
        <v>2060</v>
      </c>
      <c r="R769" t="s">
        <v>2061</v>
      </c>
      <c r="S769" t="s">
        <v>40</v>
      </c>
      <c r="T769" s="1">
        <v>44463</v>
      </c>
      <c r="U769">
        <v>0</v>
      </c>
      <c r="V769">
        <v>16</v>
      </c>
      <c r="Y769" t="s">
        <v>42</v>
      </c>
      <c r="Z769" t="s">
        <v>43</v>
      </c>
      <c r="AA769" t="s">
        <v>43</v>
      </c>
      <c r="AD769" t="s">
        <v>3143</v>
      </c>
    </row>
    <row r="770" spans="1:30" x14ac:dyDescent="0.4">
      <c r="A770" t="s">
        <v>27</v>
      </c>
      <c r="B770">
        <v>4432</v>
      </c>
      <c r="C770" t="s">
        <v>28</v>
      </c>
      <c r="D770" t="s">
        <v>535</v>
      </c>
      <c r="E770" t="s">
        <v>2062</v>
      </c>
      <c r="F770" t="s">
        <v>2063</v>
      </c>
      <c r="H770" t="s">
        <v>152</v>
      </c>
      <c r="I770" t="s">
        <v>73</v>
      </c>
      <c r="J770" t="s">
        <v>2064</v>
      </c>
      <c r="K770" t="s">
        <v>35</v>
      </c>
      <c r="L770">
        <v>7803365872</v>
      </c>
      <c r="M770" t="s">
        <v>2065</v>
      </c>
      <c r="N770" t="s">
        <v>2066</v>
      </c>
      <c r="P770" t="s">
        <v>2067</v>
      </c>
      <c r="Q770" t="s">
        <v>2068</v>
      </c>
      <c r="R770" t="s">
        <v>79</v>
      </c>
      <c r="S770" t="s">
        <v>40</v>
      </c>
      <c r="T770" s="1">
        <v>41171</v>
      </c>
      <c r="U770">
        <v>0</v>
      </c>
      <c r="V770">
        <v>0</v>
      </c>
      <c r="W770" t="s">
        <v>59</v>
      </c>
      <c r="X770" t="s">
        <v>135</v>
      </c>
      <c r="Y770" t="s">
        <v>42</v>
      </c>
      <c r="Z770" t="s">
        <v>43</v>
      </c>
      <c r="AA770" t="s">
        <v>42</v>
      </c>
      <c r="AD770" t="s">
        <v>3143</v>
      </c>
    </row>
    <row r="771" spans="1:30" x14ac:dyDescent="0.4">
      <c r="A771" t="s">
        <v>27</v>
      </c>
      <c r="B771">
        <v>4432</v>
      </c>
      <c r="C771" t="s">
        <v>28</v>
      </c>
      <c r="D771" t="s">
        <v>535</v>
      </c>
      <c r="E771" t="s">
        <v>2062</v>
      </c>
      <c r="F771" t="s">
        <v>2063</v>
      </c>
      <c r="H771" t="s">
        <v>152</v>
      </c>
      <c r="I771" t="s">
        <v>73</v>
      </c>
      <c r="J771" t="s">
        <v>2064</v>
      </c>
      <c r="K771" t="s">
        <v>35</v>
      </c>
      <c r="L771">
        <v>7803365872</v>
      </c>
      <c r="M771" t="s">
        <v>2065</v>
      </c>
      <c r="N771" t="s">
        <v>2066</v>
      </c>
      <c r="P771" t="s">
        <v>2067</v>
      </c>
      <c r="Q771" t="s">
        <v>2068</v>
      </c>
      <c r="R771" t="s">
        <v>79</v>
      </c>
      <c r="S771" t="s">
        <v>40</v>
      </c>
      <c r="T771" s="1">
        <v>41171</v>
      </c>
      <c r="U771">
        <v>0</v>
      </c>
      <c r="V771">
        <v>0</v>
      </c>
      <c r="W771" t="s">
        <v>59</v>
      </c>
      <c r="X771" t="s">
        <v>135</v>
      </c>
      <c r="Y771" t="s">
        <v>42</v>
      </c>
      <c r="Z771" t="s">
        <v>43</v>
      </c>
      <c r="AA771" t="s">
        <v>42</v>
      </c>
      <c r="AD771" t="s">
        <v>3143</v>
      </c>
    </row>
    <row r="772" spans="1:30" x14ac:dyDescent="0.4">
      <c r="A772" t="s">
        <v>27</v>
      </c>
      <c r="B772">
        <v>4432</v>
      </c>
      <c r="C772" t="s">
        <v>28</v>
      </c>
      <c r="D772" t="s">
        <v>535</v>
      </c>
      <c r="E772" t="s">
        <v>2062</v>
      </c>
      <c r="F772" t="s">
        <v>2063</v>
      </c>
      <c r="H772" t="s">
        <v>152</v>
      </c>
      <c r="I772" t="s">
        <v>73</v>
      </c>
      <c r="J772" t="s">
        <v>2064</v>
      </c>
      <c r="K772" t="s">
        <v>35</v>
      </c>
      <c r="L772">
        <v>7803365872</v>
      </c>
      <c r="M772" t="s">
        <v>2065</v>
      </c>
      <c r="N772" t="s">
        <v>2066</v>
      </c>
      <c r="P772" t="s">
        <v>2069</v>
      </c>
      <c r="Q772" t="s">
        <v>2070</v>
      </c>
      <c r="R772" t="s">
        <v>94</v>
      </c>
      <c r="S772" t="s">
        <v>40</v>
      </c>
      <c r="T772" s="1">
        <v>44671</v>
      </c>
      <c r="U772">
        <v>0</v>
      </c>
      <c r="V772">
        <v>5</v>
      </c>
      <c r="W772" t="s">
        <v>66</v>
      </c>
      <c r="X772" t="s">
        <v>135</v>
      </c>
      <c r="Y772" t="s">
        <v>42</v>
      </c>
      <c r="Z772" t="s">
        <v>43</v>
      </c>
      <c r="AA772" t="s">
        <v>42</v>
      </c>
      <c r="AD772" t="s">
        <v>3143</v>
      </c>
    </row>
    <row r="773" spans="1:30" x14ac:dyDescent="0.4">
      <c r="A773" t="s">
        <v>27</v>
      </c>
      <c r="B773">
        <v>4432</v>
      </c>
      <c r="C773" t="s">
        <v>28</v>
      </c>
      <c r="D773" t="s">
        <v>535</v>
      </c>
      <c r="E773" t="s">
        <v>2062</v>
      </c>
      <c r="F773" t="s">
        <v>2063</v>
      </c>
      <c r="H773" t="s">
        <v>152</v>
      </c>
      <c r="I773" t="s">
        <v>73</v>
      </c>
      <c r="J773" t="s">
        <v>2064</v>
      </c>
      <c r="K773" t="s">
        <v>35</v>
      </c>
      <c r="L773">
        <v>7803365872</v>
      </c>
      <c r="M773" t="s">
        <v>2065</v>
      </c>
      <c r="N773" t="s">
        <v>2066</v>
      </c>
      <c r="P773" t="s">
        <v>2069</v>
      </c>
      <c r="Q773" t="s">
        <v>2070</v>
      </c>
      <c r="R773" t="s">
        <v>94</v>
      </c>
      <c r="S773" t="s">
        <v>40</v>
      </c>
      <c r="T773" s="1">
        <v>44671</v>
      </c>
      <c r="U773">
        <v>0</v>
      </c>
      <c r="V773">
        <v>14</v>
      </c>
      <c r="X773" t="s">
        <v>135</v>
      </c>
      <c r="Y773" t="s">
        <v>42</v>
      </c>
      <c r="Z773" t="s">
        <v>43</v>
      </c>
      <c r="AA773" t="s">
        <v>42</v>
      </c>
      <c r="AD773" t="s">
        <v>3143</v>
      </c>
    </row>
    <row r="774" spans="1:30" x14ac:dyDescent="0.4">
      <c r="A774" t="s">
        <v>27</v>
      </c>
      <c r="B774">
        <v>4432</v>
      </c>
      <c r="C774" t="s">
        <v>28</v>
      </c>
      <c r="D774" t="s">
        <v>535</v>
      </c>
      <c r="E774" t="s">
        <v>2062</v>
      </c>
      <c r="F774" t="s">
        <v>2063</v>
      </c>
      <c r="H774" t="s">
        <v>152</v>
      </c>
      <c r="I774" t="s">
        <v>73</v>
      </c>
      <c r="J774" t="s">
        <v>2064</v>
      </c>
      <c r="K774" t="s">
        <v>35</v>
      </c>
      <c r="L774">
        <v>7803365872</v>
      </c>
      <c r="M774" t="s">
        <v>2065</v>
      </c>
      <c r="N774" t="s">
        <v>2066</v>
      </c>
      <c r="P774" t="s">
        <v>2069</v>
      </c>
      <c r="Q774" t="s">
        <v>2070</v>
      </c>
      <c r="R774" t="s">
        <v>94</v>
      </c>
      <c r="S774" t="s">
        <v>40</v>
      </c>
      <c r="T774" s="1">
        <v>44671</v>
      </c>
      <c r="U774">
        <v>0</v>
      </c>
      <c r="V774">
        <v>6</v>
      </c>
      <c r="W774" t="s">
        <v>83</v>
      </c>
      <c r="X774" t="s">
        <v>135</v>
      </c>
      <c r="Y774" t="s">
        <v>42</v>
      </c>
      <c r="Z774" t="s">
        <v>43</v>
      </c>
      <c r="AA774" t="s">
        <v>42</v>
      </c>
      <c r="AD774" t="s">
        <v>3143</v>
      </c>
    </row>
    <row r="775" spans="1:30" x14ac:dyDescent="0.4">
      <c r="A775" t="s">
        <v>27</v>
      </c>
      <c r="B775">
        <v>608</v>
      </c>
      <c r="C775" t="s">
        <v>68</v>
      </c>
      <c r="D775" t="s">
        <v>2071</v>
      </c>
      <c r="E775" t="s">
        <v>2072</v>
      </c>
      <c r="F775" t="s">
        <v>2073</v>
      </c>
      <c r="H775" t="s">
        <v>175</v>
      </c>
      <c r="I775" t="s">
        <v>215</v>
      </c>
      <c r="J775" t="s">
        <v>2074</v>
      </c>
      <c r="K775" t="s">
        <v>35</v>
      </c>
      <c r="L775" t="s">
        <v>2075</v>
      </c>
      <c r="M775" t="s">
        <v>2076</v>
      </c>
      <c r="N775" t="s">
        <v>2998</v>
      </c>
      <c r="P775" t="s">
        <v>2077</v>
      </c>
      <c r="Q775" t="s">
        <v>2078</v>
      </c>
      <c r="R775" t="s">
        <v>58</v>
      </c>
      <c r="S775" t="s">
        <v>40</v>
      </c>
      <c r="T775" s="1">
        <v>44743</v>
      </c>
      <c r="U775">
        <v>0</v>
      </c>
      <c r="V775">
        <v>4</v>
      </c>
      <c r="W775" t="s">
        <v>65</v>
      </c>
      <c r="Y775" t="s">
        <v>42</v>
      </c>
      <c r="Z775" t="s">
        <v>43</v>
      </c>
      <c r="AA775" t="s">
        <v>42</v>
      </c>
      <c r="AD775" t="s">
        <v>3143</v>
      </c>
    </row>
    <row r="776" spans="1:30" x14ac:dyDescent="0.4">
      <c r="A776" t="s">
        <v>27</v>
      </c>
      <c r="B776">
        <v>608</v>
      </c>
      <c r="C776" t="s">
        <v>68</v>
      </c>
      <c r="D776" t="s">
        <v>2071</v>
      </c>
      <c r="E776" t="s">
        <v>2072</v>
      </c>
      <c r="F776" t="s">
        <v>2073</v>
      </c>
      <c r="H776" t="s">
        <v>175</v>
      </c>
      <c r="I776" t="s">
        <v>215</v>
      </c>
      <c r="J776" t="s">
        <v>2074</v>
      </c>
      <c r="K776" t="s">
        <v>35</v>
      </c>
      <c r="L776" t="s">
        <v>2075</v>
      </c>
      <c r="M776" t="s">
        <v>2076</v>
      </c>
      <c r="N776" t="s">
        <v>2998</v>
      </c>
      <c r="P776" t="s">
        <v>2077</v>
      </c>
      <c r="Q776" t="s">
        <v>2078</v>
      </c>
      <c r="R776" t="s">
        <v>58</v>
      </c>
      <c r="S776" t="s">
        <v>40</v>
      </c>
      <c r="T776" s="1">
        <v>44743</v>
      </c>
      <c r="U776">
        <v>0</v>
      </c>
      <c r="V776">
        <v>5</v>
      </c>
      <c r="W776" t="s">
        <v>66</v>
      </c>
      <c r="Y776" t="s">
        <v>42</v>
      </c>
      <c r="Z776" t="s">
        <v>43</v>
      </c>
      <c r="AA776" t="s">
        <v>42</v>
      </c>
      <c r="AD776" t="s">
        <v>3143</v>
      </c>
    </row>
    <row r="777" spans="1:30" x14ac:dyDescent="0.4">
      <c r="A777" t="s">
        <v>27</v>
      </c>
      <c r="B777">
        <v>608</v>
      </c>
      <c r="C777" t="s">
        <v>68</v>
      </c>
      <c r="D777" t="s">
        <v>2071</v>
      </c>
      <c r="E777" t="s">
        <v>2072</v>
      </c>
      <c r="F777" t="s">
        <v>2073</v>
      </c>
      <c r="H777" t="s">
        <v>175</v>
      </c>
      <c r="I777" t="s">
        <v>215</v>
      </c>
      <c r="J777" t="s">
        <v>2074</v>
      </c>
      <c r="K777" t="s">
        <v>35</v>
      </c>
      <c r="L777" t="s">
        <v>2075</v>
      </c>
      <c r="M777" t="s">
        <v>2076</v>
      </c>
      <c r="N777" t="s">
        <v>2998</v>
      </c>
      <c r="P777" t="s">
        <v>2077</v>
      </c>
      <c r="Q777" t="s">
        <v>2078</v>
      </c>
      <c r="R777" t="s">
        <v>58</v>
      </c>
      <c r="S777" t="s">
        <v>40</v>
      </c>
      <c r="T777" s="1">
        <v>44743</v>
      </c>
      <c r="U777">
        <v>0</v>
      </c>
      <c r="V777">
        <v>12</v>
      </c>
      <c r="Y777" t="s">
        <v>42</v>
      </c>
      <c r="Z777" t="s">
        <v>43</v>
      </c>
      <c r="AA777" t="s">
        <v>42</v>
      </c>
      <c r="AD777" t="s">
        <v>3143</v>
      </c>
    </row>
    <row r="778" spans="1:30" x14ac:dyDescent="0.4">
      <c r="A778" t="s">
        <v>27</v>
      </c>
      <c r="B778">
        <v>608</v>
      </c>
      <c r="C778" t="s">
        <v>68</v>
      </c>
      <c r="D778" t="s">
        <v>2071</v>
      </c>
      <c r="E778" t="s">
        <v>2072</v>
      </c>
      <c r="F778" t="s">
        <v>2073</v>
      </c>
      <c r="H778" t="s">
        <v>175</v>
      </c>
      <c r="I778" t="s">
        <v>215</v>
      </c>
      <c r="J778" t="s">
        <v>2074</v>
      </c>
      <c r="K778" t="s">
        <v>35</v>
      </c>
      <c r="L778" t="s">
        <v>2075</v>
      </c>
      <c r="M778" t="s">
        <v>2076</v>
      </c>
      <c r="N778" t="s">
        <v>2998</v>
      </c>
      <c r="P778" t="s">
        <v>2077</v>
      </c>
      <c r="Q778" t="s">
        <v>2078</v>
      </c>
      <c r="R778" t="s">
        <v>58</v>
      </c>
      <c r="S778" t="s">
        <v>40</v>
      </c>
      <c r="T778" s="1">
        <v>44743</v>
      </c>
      <c r="U778">
        <v>0</v>
      </c>
      <c r="V778">
        <v>14</v>
      </c>
      <c r="Y778" t="s">
        <v>42</v>
      </c>
      <c r="Z778" t="s">
        <v>43</v>
      </c>
      <c r="AA778" t="s">
        <v>42</v>
      </c>
      <c r="AD778" t="s">
        <v>3143</v>
      </c>
    </row>
    <row r="779" spans="1:30" x14ac:dyDescent="0.4">
      <c r="A779" t="s">
        <v>27</v>
      </c>
      <c r="B779">
        <v>280</v>
      </c>
      <c r="C779" t="s">
        <v>68</v>
      </c>
      <c r="D779" t="s">
        <v>2079</v>
      </c>
      <c r="E779" t="s">
        <v>2080</v>
      </c>
      <c r="F779" t="s">
        <v>2081</v>
      </c>
      <c r="H779" t="s">
        <v>2082</v>
      </c>
      <c r="I779" t="s">
        <v>73</v>
      </c>
      <c r="J779" t="s">
        <v>2083</v>
      </c>
      <c r="K779" t="s">
        <v>35</v>
      </c>
      <c r="L779">
        <v>1293411945</v>
      </c>
      <c r="M779" t="s">
        <v>2084</v>
      </c>
      <c r="N779" t="s">
        <v>2999</v>
      </c>
      <c r="P779" t="s">
        <v>2085</v>
      </c>
      <c r="Q779" t="s">
        <v>2086</v>
      </c>
      <c r="R779" t="s">
        <v>58</v>
      </c>
      <c r="S779" t="s">
        <v>40</v>
      </c>
      <c r="T779" s="1">
        <v>41487</v>
      </c>
      <c r="U779">
        <v>0</v>
      </c>
      <c r="V779">
        <v>4</v>
      </c>
      <c r="W779" t="s">
        <v>65</v>
      </c>
      <c r="Y779" t="s">
        <v>42</v>
      </c>
      <c r="Z779" t="s">
        <v>43</v>
      </c>
      <c r="AA779" t="s">
        <v>43</v>
      </c>
      <c r="AD779" t="s">
        <v>3143</v>
      </c>
    </row>
    <row r="780" spans="1:30" x14ac:dyDescent="0.4">
      <c r="A780" t="s">
        <v>27</v>
      </c>
      <c r="B780">
        <v>280</v>
      </c>
      <c r="C780" t="s">
        <v>68</v>
      </c>
      <c r="D780" t="s">
        <v>2079</v>
      </c>
      <c r="E780" t="s">
        <v>2080</v>
      </c>
      <c r="F780" t="s">
        <v>2081</v>
      </c>
      <c r="H780" t="s">
        <v>2082</v>
      </c>
      <c r="I780" t="s">
        <v>73</v>
      </c>
      <c r="J780" t="s">
        <v>2083</v>
      </c>
      <c r="K780" t="s">
        <v>35</v>
      </c>
      <c r="L780">
        <v>1293411945</v>
      </c>
      <c r="M780" t="s">
        <v>2084</v>
      </c>
      <c r="N780" t="s">
        <v>2999</v>
      </c>
      <c r="P780" t="s">
        <v>2085</v>
      </c>
      <c r="Q780" t="s">
        <v>2086</v>
      </c>
      <c r="R780" t="s">
        <v>58</v>
      </c>
      <c r="S780" t="s">
        <v>40</v>
      </c>
      <c r="T780" s="1">
        <v>41487</v>
      </c>
      <c r="U780">
        <v>0</v>
      </c>
      <c r="V780">
        <v>5</v>
      </c>
      <c r="W780" t="s">
        <v>66</v>
      </c>
      <c r="Y780" t="s">
        <v>42</v>
      </c>
      <c r="Z780" t="s">
        <v>43</v>
      </c>
      <c r="AA780" t="s">
        <v>43</v>
      </c>
      <c r="AD780" t="s">
        <v>3143</v>
      </c>
    </row>
    <row r="781" spans="1:30" x14ac:dyDescent="0.4">
      <c r="A781" t="s">
        <v>27</v>
      </c>
      <c r="B781">
        <v>280</v>
      </c>
      <c r="C781" t="s">
        <v>68</v>
      </c>
      <c r="D781" t="s">
        <v>2079</v>
      </c>
      <c r="E781" t="s">
        <v>2080</v>
      </c>
      <c r="F781" t="s">
        <v>2081</v>
      </c>
      <c r="H781" t="s">
        <v>2082</v>
      </c>
      <c r="I781" t="s">
        <v>73</v>
      </c>
      <c r="J781" t="s">
        <v>2083</v>
      </c>
      <c r="K781" t="s">
        <v>35</v>
      </c>
      <c r="L781">
        <v>1293411945</v>
      </c>
      <c r="M781" t="s">
        <v>2084</v>
      </c>
      <c r="N781" t="s">
        <v>2999</v>
      </c>
      <c r="P781" t="s">
        <v>2085</v>
      </c>
      <c r="Q781" t="s">
        <v>2086</v>
      </c>
      <c r="R781" t="s">
        <v>58</v>
      </c>
      <c r="S781" t="s">
        <v>40</v>
      </c>
      <c r="T781" s="1">
        <v>41487</v>
      </c>
      <c r="U781">
        <v>0</v>
      </c>
      <c r="V781">
        <v>12</v>
      </c>
      <c r="Y781" t="s">
        <v>42</v>
      </c>
      <c r="Z781" t="s">
        <v>43</v>
      </c>
      <c r="AA781" t="s">
        <v>43</v>
      </c>
      <c r="AD781" t="s">
        <v>3143</v>
      </c>
    </row>
    <row r="782" spans="1:30" x14ac:dyDescent="0.4">
      <c r="A782" t="s">
        <v>27</v>
      </c>
      <c r="B782">
        <v>280</v>
      </c>
      <c r="C782" t="s">
        <v>68</v>
      </c>
      <c r="D782" t="s">
        <v>2079</v>
      </c>
      <c r="E782" t="s">
        <v>2080</v>
      </c>
      <c r="F782" t="s">
        <v>2081</v>
      </c>
      <c r="H782" t="s">
        <v>2082</v>
      </c>
      <c r="I782" t="s">
        <v>73</v>
      </c>
      <c r="J782" t="s">
        <v>2083</v>
      </c>
      <c r="K782" t="s">
        <v>35</v>
      </c>
      <c r="L782">
        <v>1293411945</v>
      </c>
      <c r="M782" t="s">
        <v>2084</v>
      </c>
      <c r="N782" t="s">
        <v>2999</v>
      </c>
      <c r="P782" t="s">
        <v>2085</v>
      </c>
      <c r="Q782" t="s">
        <v>2086</v>
      </c>
      <c r="R782" t="s">
        <v>58</v>
      </c>
      <c r="S782" t="s">
        <v>40</v>
      </c>
      <c r="T782" s="1">
        <v>41487</v>
      </c>
      <c r="U782">
        <v>0</v>
      </c>
      <c r="V782">
        <v>14</v>
      </c>
      <c r="Y782" t="s">
        <v>42</v>
      </c>
      <c r="Z782" t="s">
        <v>43</v>
      </c>
      <c r="AA782" t="s">
        <v>43</v>
      </c>
      <c r="AD782" t="s">
        <v>3143</v>
      </c>
    </row>
    <row r="783" spans="1:30" x14ac:dyDescent="0.4">
      <c r="A783" t="s">
        <v>27</v>
      </c>
      <c r="B783">
        <v>479</v>
      </c>
      <c r="C783" t="s">
        <v>68</v>
      </c>
      <c r="D783" t="s">
        <v>2087</v>
      </c>
      <c r="E783" t="s">
        <v>2088</v>
      </c>
      <c r="F783" t="s">
        <v>2089</v>
      </c>
      <c r="G783" t="s">
        <v>2090</v>
      </c>
      <c r="H783" t="s">
        <v>2091</v>
      </c>
      <c r="I783" t="s">
        <v>2010</v>
      </c>
      <c r="J783" t="s">
        <v>2092</v>
      </c>
      <c r="K783" t="s">
        <v>35</v>
      </c>
      <c r="L783">
        <v>7913896867</v>
      </c>
      <c r="M783" t="s">
        <v>2093</v>
      </c>
      <c r="N783" t="s">
        <v>2094</v>
      </c>
      <c r="P783" t="s">
        <v>2095</v>
      </c>
      <c r="Q783" t="s">
        <v>2096</v>
      </c>
      <c r="R783" t="s">
        <v>58</v>
      </c>
      <c r="S783" t="s">
        <v>40</v>
      </c>
      <c r="T783" s="1">
        <v>41926</v>
      </c>
      <c r="U783">
        <v>0</v>
      </c>
      <c r="V783">
        <v>0</v>
      </c>
      <c r="W783" t="s">
        <v>59</v>
      </c>
      <c r="Y783" t="s">
        <v>42</v>
      </c>
      <c r="Z783" t="s">
        <v>43</v>
      </c>
      <c r="AA783" t="s">
        <v>42</v>
      </c>
      <c r="AB783" t="s">
        <v>2097</v>
      </c>
      <c r="AD783" t="s">
        <v>3143</v>
      </c>
    </row>
    <row r="784" spans="1:30" x14ac:dyDescent="0.4">
      <c r="A784" t="s">
        <v>27</v>
      </c>
      <c r="B784">
        <v>479</v>
      </c>
      <c r="C784" t="s">
        <v>68</v>
      </c>
      <c r="D784" t="s">
        <v>2087</v>
      </c>
      <c r="E784" t="s">
        <v>2088</v>
      </c>
      <c r="F784" t="s">
        <v>2089</v>
      </c>
      <c r="G784" t="s">
        <v>2090</v>
      </c>
      <c r="H784" t="s">
        <v>2091</v>
      </c>
      <c r="I784" t="s">
        <v>2010</v>
      </c>
      <c r="J784" t="s">
        <v>2092</v>
      </c>
      <c r="K784" t="s">
        <v>35</v>
      </c>
      <c r="L784">
        <v>7913896867</v>
      </c>
      <c r="M784" t="s">
        <v>2093</v>
      </c>
      <c r="N784" t="s">
        <v>2094</v>
      </c>
      <c r="P784" t="s">
        <v>2098</v>
      </c>
      <c r="Q784" t="s">
        <v>2099</v>
      </c>
      <c r="R784" t="s">
        <v>58</v>
      </c>
      <c r="S784" t="s">
        <v>40</v>
      </c>
      <c r="T784" s="1">
        <v>45559</v>
      </c>
      <c r="U784">
        <v>0</v>
      </c>
      <c r="V784">
        <v>0</v>
      </c>
      <c r="W784" t="s">
        <v>59</v>
      </c>
      <c r="Y784" t="s">
        <v>42</v>
      </c>
      <c r="Z784" t="s">
        <v>43</v>
      </c>
      <c r="AA784" t="s">
        <v>42</v>
      </c>
      <c r="AB784" t="s">
        <v>2097</v>
      </c>
      <c r="AD784" t="s">
        <v>3143</v>
      </c>
    </row>
    <row r="785" spans="1:30" x14ac:dyDescent="0.4">
      <c r="A785" t="s">
        <v>27</v>
      </c>
      <c r="B785">
        <v>479</v>
      </c>
      <c r="C785" t="s">
        <v>68</v>
      </c>
      <c r="D785" t="s">
        <v>2087</v>
      </c>
      <c r="E785" t="s">
        <v>2088</v>
      </c>
      <c r="F785" t="s">
        <v>2089</v>
      </c>
      <c r="G785" t="s">
        <v>2090</v>
      </c>
      <c r="H785" t="s">
        <v>2091</v>
      </c>
      <c r="I785" t="s">
        <v>2010</v>
      </c>
      <c r="J785" t="s">
        <v>2092</v>
      </c>
      <c r="K785" t="s">
        <v>35</v>
      </c>
      <c r="L785">
        <v>7913896867</v>
      </c>
      <c r="M785" t="s">
        <v>2093</v>
      </c>
      <c r="N785" t="s">
        <v>2094</v>
      </c>
      <c r="P785" t="s">
        <v>2100</v>
      </c>
      <c r="Q785" t="s">
        <v>2101</v>
      </c>
      <c r="R785" t="s">
        <v>58</v>
      </c>
      <c r="S785" t="s">
        <v>82</v>
      </c>
      <c r="T785" s="1">
        <v>42690</v>
      </c>
      <c r="U785">
        <v>0</v>
      </c>
      <c r="V785">
        <v>0</v>
      </c>
      <c r="W785" t="s">
        <v>59</v>
      </c>
      <c r="Y785" t="s">
        <v>42</v>
      </c>
      <c r="Z785" t="s">
        <v>43</v>
      </c>
      <c r="AA785" t="s">
        <v>42</v>
      </c>
      <c r="AB785" t="s">
        <v>2097</v>
      </c>
      <c r="AD785" t="s">
        <v>3143</v>
      </c>
    </row>
    <row r="786" spans="1:30" x14ac:dyDescent="0.4">
      <c r="A786" t="s">
        <v>27</v>
      </c>
      <c r="B786">
        <v>479</v>
      </c>
      <c r="C786" t="s">
        <v>68</v>
      </c>
      <c r="D786" t="s">
        <v>2087</v>
      </c>
      <c r="E786" t="s">
        <v>2088</v>
      </c>
      <c r="F786" t="s">
        <v>2089</v>
      </c>
      <c r="G786" t="s">
        <v>2090</v>
      </c>
      <c r="H786" t="s">
        <v>2091</v>
      </c>
      <c r="I786" t="s">
        <v>2010</v>
      </c>
      <c r="J786" t="s">
        <v>2092</v>
      </c>
      <c r="K786" t="s">
        <v>35</v>
      </c>
      <c r="L786">
        <v>7913896867</v>
      </c>
      <c r="M786" t="s">
        <v>2093</v>
      </c>
      <c r="N786" t="s">
        <v>2094</v>
      </c>
      <c r="P786" t="s">
        <v>2102</v>
      </c>
      <c r="Q786" t="s">
        <v>2103</v>
      </c>
      <c r="R786" t="s">
        <v>58</v>
      </c>
      <c r="S786" t="s">
        <v>82</v>
      </c>
      <c r="T786" s="1">
        <v>43886</v>
      </c>
      <c r="U786">
        <v>0</v>
      </c>
      <c r="V786">
        <v>0</v>
      </c>
      <c r="W786" t="s">
        <v>59</v>
      </c>
      <c r="Y786" t="s">
        <v>42</v>
      </c>
      <c r="Z786" t="s">
        <v>43</v>
      </c>
      <c r="AA786" t="s">
        <v>42</v>
      </c>
      <c r="AB786" t="s">
        <v>2097</v>
      </c>
      <c r="AD786" t="s">
        <v>3143</v>
      </c>
    </row>
    <row r="787" spans="1:30" x14ac:dyDescent="0.4">
      <c r="A787" t="s">
        <v>27</v>
      </c>
      <c r="B787">
        <v>479</v>
      </c>
      <c r="C787" t="s">
        <v>68</v>
      </c>
      <c r="D787" t="s">
        <v>2087</v>
      </c>
      <c r="E787" t="s">
        <v>2088</v>
      </c>
      <c r="F787" t="s">
        <v>2089</v>
      </c>
      <c r="G787" t="s">
        <v>2090</v>
      </c>
      <c r="H787" t="s">
        <v>2091</v>
      </c>
      <c r="I787" t="s">
        <v>2010</v>
      </c>
      <c r="J787" t="s">
        <v>2092</v>
      </c>
      <c r="K787" t="s">
        <v>35</v>
      </c>
      <c r="L787">
        <v>7913896867</v>
      </c>
      <c r="M787" t="s">
        <v>2093</v>
      </c>
      <c r="N787" t="s">
        <v>2094</v>
      </c>
      <c r="P787" t="s">
        <v>2098</v>
      </c>
      <c r="Q787" t="s">
        <v>2099</v>
      </c>
      <c r="R787" t="s">
        <v>58</v>
      </c>
      <c r="S787" t="s">
        <v>40</v>
      </c>
      <c r="T787" s="1">
        <v>45559</v>
      </c>
      <c r="U787">
        <v>0</v>
      </c>
      <c r="V787">
        <v>0</v>
      </c>
      <c r="W787" t="s">
        <v>59</v>
      </c>
      <c r="Y787" t="s">
        <v>42</v>
      </c>
      <c r="Z787" t="s">
        <v>43</v>
      </c>
      <c r="AA787" t="s">
        <v>42</v>
      </c>
      <c r="AB787" t="s">
        <v>2097</v>
      </c>
      <c r="AD787" t="s">
        <v>3143</v>
      </c>
    </row>
    <row r="788" spans="1:30" x14ac:dyDescent="0.4">
      <c r="A788" t="s">
        <v>27</v>
      </c>
      <c r="B788">
        <v>479</v>
      </c>
      <c r="C788" t="s">
        <v>68</v>
      </c>
      <c r="D788" t="s">
        <v>2087</v>
      </c>
      <c r="E788" t="s">
        <v>2088</v>
      </c>
      <c r="F788" t="s">
        <v>2089</v>
      </c>
      <c r="G788" t="s">
        <v>2090</v>
      </c>
      <c r="H788" t="s">
        <v>2091</v>
      </c>
      <c r="I788" t="s">
        <v>2010</v>
      </c>
      <c r="J788" t="s">
        <v>2092</v>
      </c>
      <c r="K788" t="s">
        <v>35</v>
      </c>
      <c r="L788">
        <v>7913896867</v>
      </c>
      <c r="M788" t="s">
        <v>2093</v>
      </c>
      <c r="N788" t="s">
        <v>3069</v>
      </c>
      <c r="P788" t="s">
        <v>2100</v>
      </c>
      <c r="Q788" t="s">
        <v>2101</v>
      </c>
      <c r="R788" t="s">
        <v>58</v>
      </c>
      <c r="S788" t="s">
        <v>82</v>
      </c>
      <c r="T788" s="1">
        <v>42690</v>
      </c>
      <c r="U788">
        <v>0</v>
      </c>
      <c r="V788">
        <v>19</v>
      </c>
      <c r="Y788" t="s">
        <v>42</v>
      </c>
      <c r="Z788" t="s">
        <v>43</v>
      </c>
      <c r="AA788" t="s">
        <v>42</v>
      </c>
      <c r="AB788" t="s">
        <v>2097</v>
      </c>
      <c r="AD788" t="s">
        <v>3143</v>
      </c>
    </row>
    <row r="789" spans="1:30" x14ac:dyDescent="0.4">
      <c r="A789" t="s">
        <v>27</v>
      </c>
      <c r="B789">
        <v>479</v>
      </c>
      <c r="C789" t="s">
        <v>68</v>
      </c>
      <c r="D789" t="s">
        <v>2087</v>
      </c>
      <c r="E789" t="s">
        <v>2088</v>
      </c>
      <c r="F789" t="s">
        <v>2089</v>
      </c>
      <c r="G789" t="s">
        <v>2090</v>
      </c>
      <c r="H789" t="s">
        <v>2091</v>
      </c>
      <c r="I789" t="s">
        <v>2010</v>
      </c>
      <c r="J789" t="s">
        <v>2092</v>
      </c>
      <c r="K789" t="s">
        <v>35</v>
      </c>
      <c r="L789">
        <v>7913896867</v>
      </c>
      <c r="M789" t="s">
        <v>2093</v>
      </c>
      <c r="N789" t="s">
        <v>3069</v>
      </c>
      <c r="P789" t="s">
        <v>2102</v>
      </c>
      <c r="Q789" t="s">
        <v>2103</v>
      </c>
      <c r="R789" t="s">
        <v>58</v>
      </c>
      <c r="S789" t="s">
        <v>82</v>
      </c>
      <c r="T789" s="1">
        <v>43886</v>
      </c>
      <c r="U789">
        <v>0</v>
      </c>
      <c r="V789">
        <v>19</v>
      </c>
      <c r="Y789" t="s">
        <v>42</v>
      </c>
      <c r="Z789" t="s">
        <v>43</v>
      </c>
      <c r="AA789" t="s">
        <v>42</v>
      </c>
      <c r="AB789" t="s">
        <v>2097</v>
      </c>
      <c r="AD789" t="s">
        <v>3143</v>
      </c>
    </row>
    <row r="790" spans="1:30" x14ac:dyDescent="0.4">
      <c r="A790" t="s">
        <v>27</v>
      </c>
      <c r="B790">
        <v>479</v>
      </c>
      <c r="C790" t="s">
        <v>68</v>
      </c>
      <c r="D790" t="s">
        <v>2087</v>
      </c>
      <c r="E790" t="s">
        <v>2088</v>
      </c>
      <c r="F790" t="s">
        <v>2089</v>
      </c>
      <c r="G790" t="s">
        <v>2090</v>
      </c>
      <c r="H790" t="s">
        <v>2091</v>
      </c>
      <c r="I790" t="s">
        <v>2010</v>
      </c>
      <c r="J790" t="s">
        <v>2092</v>
      </c>
      <c r="K790" t="s">
        <v>35</v>
      </c>
      <c r="L790">
        <v>7913896867</v>
      </c>
      <c r="M790" t="s">
        <v>2093</v>
      </c>
      <c r="N790" t="s">
        <v>3069</v>
      </c>
      <c r="P790" t="s">
        <v>2095</v>
      </c>
      <c r="Q790" t="s">
        <v>2096</v>
      </c>
      <c r="R790" t="s">
        <v>58</v>
      </c>
      <c r="S790" t="s">
        <v>40</v>
      </c>
      <c r="T790" s="1">
        <v>41926</v>
      </c>
      <c r="U790">
        <v>0</v>
      </c>
      <c r="V790">
        <v>18</v>
      </c>
      <c r="Y790" t="s">
        <v>42</v>
      </c>
      <c r="Z790" t="s">
        <v>43</v>
      </c>
      <c r="AA790" t="s">
        <v>42</v>
      </c>
      <c r="AB790" t="s">
        <v>2097</v>
      </c>
      <c r="AD790" t="s">
        <v>3143</v>
      </c>
    </row>
    <row r="791" spans="1:30" x14ac:dyDescent="0.4">
      <c r="A791" t="s">
        <v>27</v>
      </c>
      <c r="B791">
        <v>479</v>
      </c>
      <c r="C791" t="s">
        <v>68</v>
      </c>
      <c r="D791" t="s">
        <v>2087</v>
      </c>
      <c r="E791" t="s">
        <v>2088</v>
      </c>
      <c r="F791" t="s">
        <v>2089</v>
      </c>
      <c r="G791" t="s">
        <v>2090</v>
      </c>
      <c r="H791" t="s">
        <v>2091</v>
      </c>
      <c r="I791" t="s">
        <v>2010</v>
      </c>
      <c r="J791" t="s">
        <v>2092</v>
      </c>
      <c r="K791" t="s">
        <v>35</v>
      </c>
      <c r="L791">
        <v>7913896867</v>
      </c>
      <c r="M791" t="s">
        <v>2093</v>
      </c>
      <c r="N791" t="s">
        <v>3069</v>
      </c>
      <c r="P791" t="s">
        <v>2100</v>
      </c>
      <c r="Q791" t="s">
        <v>2101</v>
      </c>
      <c r="R791" t="s">
        <v>58</v>
      </c>
      <c r="S791" t="s">
        <v>82</v>
      </c>
      <c r="T791" s="1">
        <v>42690</v>
      </c>
      <c r="U791">
        <v>0</v>
      </c>
      <c r="V791">
        <v>21</v>
      </c>
      <c r="Y791" t="s">
        <v>42</v>
      </c>
      <c r="Z791" t="s">
        <v>43</v>
      </c>
      <c r="AA791" t="s">
        <v>42</v>
      </c>
      <c r="AB791" t="s">
        <v>2097</v>
      </c>
      <c r="AD791" t="s">
        <v>3143</v>
      </c>
    </row>
    <row r="792" spans="1:30" x14ac:dyDescent="0.4">
      <c r="A792" t="s">
        <v>27</v>
      </c>
      <c r="B792">
        <v>479</v>
      </c>
      <c r="C792" t="s">
        <v>68</v>
      </c>
      <c r="D792" t="s">
        <v>2087</v>
      </c>
      <c r="E792" t="s">
        <v>2088</v>
      </c>
      <c r="F792" t="s">
        <v>2089</v>
      </c>
      <c r="G792" t="s">
        <v>2090</v>
      </c>
      <c r="H792" t="s">
        <v>2091</v>
      </c>
      <c r="I792" t="s">
        <v>2010</v>
      </c>
      <c r="J792" t="s">
        <v>2092</v>
      </c>
      <c r="K792" t="s">
        <v>35</v>
      </c>
      <c r="L792">
        <v>7913896867</v>
      </c>
      <c r="M792" t="s">
        <v>2093</v>
      </c>
      <c r="N792" t="s">
        <v>3069</v>
      </c>
      <c r="P792" t="s">
        <v>2102</v>
      </c>
      <c r="Q792" t="s">
        <v>2103</v>
      </c>
      <c r="R792" t="s">
        <v>58</v>
      </c>
      <c r="S792" t="s">
        <v>82</v>
      </c>
      <c r="T792" s="1">
        <v>43886</v>
      </c>
      <c r="U792">
        <v>0</v>
      </c>
      <c r="V792">
        <v>21</v>
      </c>
      <c r="Y792" t="s">
        <v>42</v>
      </c>
      <c r="Z792" t="s">
        <v>43</v>
      </c>
      <c r="AA792" t="s">
        <v>42</v>
      </c>
      <c r="AB792" t="s">
        <v>2097</v>
      </c>
      <c r="AD792" t="s">
        <v>3143</v>
      </c>
    </row>
    <row r="793" spans="1:30" x14ac:dyDescent="0.4">
      <c r="A793" t="s">
        <v>27</v>
      </c>
      <c r="B793">
        <v>3514</v>
      </c>
      <c r="C793" t="s">
        <v>28</v>
      </c>
      <c r="D793" t="s">
        <v>2104</v>
      </c>
      <c r="E793" t="s">
        <v>2105</v>
      </c>
      <c r="F793" t="s">
        <v>2106</v>
      </c>
      <c r="G793" t="s">
        <v>2107</v>
      </c>
      <c r="H793" t="s">
        <v>2091</v>
      </c>
      <c r="I793" t="s">
        <v>2010</v>
      </c>
      <c r="J793" t="s">
        <v>2108</v>
      </c>
      <c r="K793" t="s">
        <v>35</v>
      </c>
      <c r="L793">
        <v>1342834927</v>
      </c>
      <c r="M793" t="s">
        <v>2109</v>
      </c>
      <c r="N793" t="s">
        <v>3083</v>
      </c>
      <c r="P793" t="s">
        <v>2111</v>
      </c>
      <c r="Q793" t="s">
        <v>2112</v>
      </c>
      <c r="R793" t="s">
        <v>58</v>
      </c>
      <c r="S793" t="s">
        <v>40</v>
      </c>
      <c r="T793" s="1">
        <v>44867</v>
      </c>
      <c r="U793">
        <v>0</v>
      </c>
      <c r="V793">
        <v>12</v>
      </c>
      <c r="Y793" t="s">
        <v>42</v>
      </c>
      <c r="Z793" t="s">
        <v>43</v>
      </c>
      <c r="AA793" t="s">
        <v>43</v>
      </c>
      <c r="AD793" t="s">
        <v>3143</v>
      </c>
    </row>
    <row r="794" spans="1:30" x14ac:dyDescent="0.4">
      <c r="A794" t="s">
        <v>27</v>
      </c>
      <c r="B794">
        <v>3514</v>
      </c>
      <c r="C794" t="s">
        <v>28</v>
      </c>
      <c r="D794" t="s">
        <v>2104</v>
      </c>
      <c r="E794" t="s">
        <v>2105</v>
      </c>
      <c r="F794" t="s">
        <v>2106</v>
      </c>
      <c r="G794" t="s">
        <v>2107</v>
      </c>
      <c r="H794" t="s">
        <v>2091</v>
      </c>
      <c r="I794" t="s">
        <v>2010</v>
      </c>
      <c r="J794" t="s">
        <v>2108</v>
      </c>
      <c r="K794" t="s">
        <v>35</v>
      </c>
      <c r="L794">
        <v>1342834927</v>
      </c>
      <c r="M794" t="s">
        <v>2109</v>
      </c>
      <c r="N794" t="s">
        <v>3083</v>
      </c>
      <c r="P794" t="s">
        <v>2111</v>
      </c>
      <c r="Q794" t="s">
        <v>2112</v>
      </c>
      <c r="R794" t="s">
        <v>58</v>
      </c>
      <c r="S794" t="s">
        <v>40</v>
      </c>
      <c r="T794" s="1">
        <v>44867</v>
      </c>
      <c r="U794">
        <v>0</v>
      </c>
      <c r="V794">
        <v>14</v>
      </c>
      <c r="Y794" t="s">
        <v>42</v>
      </c>
      <c r="Z794" t="s">
        <v>43</v>
      </c>
      <c r="AA794" t="s">
        <v>43</v>
      </c>
      <c r="AD794" t="s">
        <v>3143</v>
      </c>
    </row>
    <row r="795" spans="1:30" x14ac:dyDescent="0.4">
      <c r="A795" t="s">
        <v>27</v>
      </c>
      <c r="B795">
        <v>3514</v>
      </c>
      <c r="C795" t="s">
        <v>28</v>
      </c>
      <c r="D795" t="s">
        <v>2104</v>
      </c>
      <c r="E795" t="s">
        <v>2105</v>
      </c>
      <c r="F795" t="s">
        <v>2106</v>
      </c>
      <c r="G795" t="s">
        <v>2107</v>
      </c>
      <c r="H795" t="s">
        <v>2091</v>
      </c>
      <c r="I795" t="s">
        <v>2010</v>
      </c>
      <c r="J795" t="s">
        <v>2108</v>
      </c>
      <c r="K795" t="s">
        <v>35</v>
      </c>
      <c r="L795">
        <v>1342834927</v>
      </c>
      <c r="M795" t="s">
        <v>2109</v>
      </c>
      <c r="N795" t="s">
        <v>2110</v>
      </c>
      <c r="P795" t="s">
        <v>2113</v>
      </c>
      <c r="Q795" t="s">
        <v>2114</v>
      </c>
      <c r="R795" t="s">
        <v>2115</v>
      </c>
      <c r="S795" t="s">
        <v>40</v>
      </c>
      <c r="T795" s="1">
        <v>44497</v>
      </c>
      <c r="U795">
        <v>0</v>
      </c>
      <c r="V795">
        <v>0</v>
      </c>
      <c r="W795" t="s">
        <v>59</v>
      </c>
      <c r="Y795" t="s">
        <v>42</v>
      </c>
      <c r="Z795" t="s">
        <v>43</v>
      </c>
      <c r="AA795" t="s">
        <v>43</v>
      </c>
      <c r="AD795" t="s">
        <v>3143</v>
      </c>
    </row>
    <row r="796" spans="1:30" x14ac:dyDescent="0.4">
      <c r="A796" t="s">
        <v>27</v>
      </c>
      <c r="B796">
        <v>3514</v>
      </c>
      <c r="C796" t="s">
        <v>28</v>
      </c>
      <c r="D796" t="s">
        <v>2104</v>
      </c>
      <c r="E796" t="s">
        <v>2105</v>
      </c>
      <c r="F796" t="s">
        <v>2106</v>
      </c>
      <c r="G796" t="s">
        <v>2107</v>
      </c>
      <c r="H796" t="s">
        <v>2091</v>
      </c>
      <c r="I796" t="s">
        <v>2010</v>
      </c>
      <c r="J796" t="s">
        <v>2108</v>
      </c>
      <c r="K796" t="s">
        <v>35</v>
      </c>
      <c r="L796">
        <v>1342834927</v>
      </c>
      <c r="M796" t="s">
        <v>2109</v>
      </c>
      <c r="N796" t="s">
        <v>2110</v>
      </c>
      <c r="P796" t="s">
        <v>2116</v>
      </c>
      <c r="Q796" t="s">
        <v>2117</v>
      </c>
      <c r="S796" t="s">
        <v>40</v>
      </c>
      <c r="T796" s="1">
        <v>42713</v>
      </c>
      <c r="U796">
        <v>0</v>
      </c>
      <c r="V796">
        <v>0</v>
      </c>
      <c r="W796" t="s">
        <v>59</v>
      </c>
      <c r="Y796" t="s">
        <v>42</v>
      </c>
      <c r="Z796" t="s">
        <v>43</v>
      </c>
      <c r="AA796" t="s">
        <v>43</v>
      </c>
      <c r="AD796" t="s">
        <v>3143</v>
      </c>
    </row>
    <row r="797" spans="1:30" x14ac:dyDescent="0.4">
      <c r="A797" t="s">
        <v>27</v>
      </c>
      <c r="B797">
        <v>6448</v>
      </c>
      <c r="C797" t="s">
        <v>68</v>
      </c>
      <c r="D797" t="s">
        <v>2118</v>
      </c>
      <c r="E797" t="s">
        <v>2119</v>
      </c>
      <c r="F797" t="s">
        <v>2120</v>
      </c>
      <c r="G797" t="s">
        <v>2121</v>
      </c>
      <c r="H797" t="s">
        <v>2122</v>
      </c>
      <c r="I797" t="s">
        <v>1492</v>
      </c>
      <c r="J797" t="s">
        <v>2123</v>
      </c>
      <c r="K797" t="s">
        <v>35</v>
      </c>
      <c r="L797">
        <v>7516549616</v>
      </c>
      <c r="M797" t="s">
        <v>2124</v>
      </c>
      <c r="N797" t="s">
        <v>3001</v>
      </c>
      <c r="P797" t="s">
        <v>2125</v>
      </c>
      <c r="Q797" t="s">
        <v>2126</v>
      </c>
      <c r="R797" t="s">
        <v>2127</v>
      </c>
      <c r="S797" t="s">
        <v>82</v>
      </c>
      <c r="T797" s="1">
        <v>43191</v>
      </c>
      <c r="U797">
        <v>0</v>
      </c>
      <c r="V797">
        <v>8</v>
      </c>
      <c r="Y797" t="s">
        <v>42</v>
      </c>
      <c r="Z797" t="s">
        <v>43</v>
      </c>
      <c r="AA797" t="s">
        <v>43</v>
      </c>
      <c r="AB797" t="s">
        <v>2128</v>
      </c>
      <c r="AD797" t="s">
        <v>3143</v>
      </c>
    </row>
    <row r="798" spans="1:30" x14ac:dyDescent="0.4">
      <c r="A798" t="s">
        <v>27</v>
      </c>
      <c r="B798">
        <v>6448</v>
      </c>
      <c r="C798" t="s">
        <v>68</v>
      </c>
      <c r="D798" t="s">
        <v>2118</v>
      </c>
      <c r="E798" t="s">
        <v>2119</v>
      </c>
      <c r="F798" t="s">
        <v>2120</v>
      </c>
      <c r="G798" t="s">
        <v>2121</v>
      </c>
      <c r="H798" t="s">
        <v>2122</v>
      </c>
      <c r="I798" t="s">
        <v>1492</v>
      </c>
      <c r="J798" t="s">
        <v>2123</v>
      </c>
      <c r="K798" t="s">
        <v>35</v>
      </c>
      <c r="L798">
        <v>7516549616</v>
      </c>
      <c r="M798" t="s">
        <v>2124</v>
      </c>
      <c r="N798" t="s">
        <v>3137</v>
      </c>
      <c r="P798" t="s">
        <v>2129</v>
      </c>
      <c r="Q798" t="s">
        <v>2130</v>
      </c>
      <c r="R798" t="s">
        <v>2127</v>
      </c>
      <c r="S798" t="s">
        <v>40</v>
      </c>
      <c r="T798" s="1">
        <v>43017</v>
      </c>
      <c r="U798">
        <v>0</v>
      </c>
      <c r="V798">
        <v>8</v>
      </c>
      <c r="Y798" t="s">
        <v>42</v>
      </c>
      <c r="Z798" t="s">
        <v>43</v>
      </c>
      <c r="AA798" t="s">
        <v>43</v>
      </c>
      <c r="AB798" t="s">
        <v>2128</v>
      </c>
      <c r="AD798" t="s">
        <v>3143</v>
      </c>
    </row>
    <row r="799" spans="1:30" x14ac:dyDescent="0.4">
      <c r="A799" t="s">
        <v>27</v>
      </c>
      <c r="B799">
        <v>6448</v>
      </c>
      <c r="C799" t="s">
        <v>68</v>
      </c>
      <c r="D799" t="s">
        <v>2118</v>
      </c>
      <c r="E799" t="s">
        <v>2119</v>
      </c>
      <c r="F799" t="s">
        <v>2120</v>
      </c>
      <c r="G799" t="s">
        <v>2121</v>
      </c>
      <c r="H799" t="s">
        <v>2122</v>
      </c>
      <c r="I799" t="s">
        <v>1492</v>
      </c>
      <c r="J799" t="s">
        <v>2123</v>
      </c>
      <c r="K799" t="s">
        <v>35</v>
      </c>
      <c r="L799">
        <v>7516549616</v>
      </c>
      <c r="M799" t="s">
        <v>2124</v>
      </c>
      <c r="N799" t="s">
        <v>3001</v>
      </c>
      <c r="P799" t="s">
        <v>2125</v>
      </c>
      <c r="Q799" t="s">
        <v>2126</v>
      </c>
      <c r="R799" t="s">
        <v>2127</v>
      </c>
      <c r="S799" t="s">
        <v>82</v>
      </c>
      <c r="T799" s="1">
        <v>43191</v>
      </c>
      <c r="U799">
        <v>0</v>
      </c>
      <c r="V799">
        <v>9</v>
      </c>
      <c r="Y799" t="s">
        <v>42</v>
      </c>
      <c r="Z799" t="s">
        <v>43</v>
      </c>
      <c r="AA799" t="s">
        <v>43</v>
      </c>
      <c r="AB799" t="s">
        <v>2128</v>
      </c>
      <c r="AD799" t="s">
        <v>3143</v>
      </c>
    </row>
    <row r="800" spans="1:30" x14ac:dyDescent="0.4">
      <c r="A800" t="s">
        <v>27</v>
      </c>
      <c r="B800">
        <v>6448</v>
      </c>
      <c r="C800" t="s">
        <v>68</v>
      </c>
      <c r="D800" t="s">
        <v>2118</v>
      </c>
      <c r="E800" t="s">
        <v>2119</v>
      </c>
      <c r="F800" t="s">
        <v>2120</v>
      </c>
      <c r="G800" t="s">
        <v>2121</v>
      </c>
      <c r="H800" t="s">
        <v>2122</v>
      </c>
      <c r="I800" t="s">
        <v>1492</v>
      </c>
      <c r="J800" t="s">
        <v>2123</v>
      </c>
      <c r="K800" t="s">
        <v>35</v>
      </c>
      <c r="L800">
        <v>7516549616</v>
      </c>
      <c r="M800" t="s">
        <v>2124</v>
      </c>
      <c r="N800" t="s">
        <v>3001</v>
      </c>
      <c r="P800" t="s">
        <v>2125</v>
      </c>
      <c r="Q800" t="s">
        <v>2126</v>
      </c>
      <c r="R800" t="s">
        <v>2127</v>
      </c>
      <c r="S800" t="s">
        <v>82</v>
      </c>
      <c r="T800" s="1">
        <v>43191</v>
      </c>
      <c r="U800">
        <v>0</v>
      </c>
      <c r="V800">
        <v>10</v>
      </c>
      <c r="Y800" t="s">
        <v>42</v>
      </c>
      <c r="Z800" t="s">
        <v>43</v>
      </c>
      <c r="AA800" t="s">
        <v>43</v>
      </c>
      <c r="AB800" t="s">
        <v>2128</v>
      </c>
      <c r="AD800" t="s">
        <v>3143</v>
      </c>
    </row>
    <row r="801" spans="1:30" x14ac:dyDescent="0.4">
      <c r="A801" t="s">
        <v>27</v>
      </c>
      <c r="B801">
        <v>6448</v>
      </c>
      <c r="C801" t="s">
        <v>68</v>
      </c>
      <c r="D801" t="s">
        <v>2118</v>
      </c>
      <c r="E801" t="s">
        <v>2119</v>
      </c>
      <c r="F801" t="s">
        <v>2120</v>
      </c>
      <c r="G801" t="s">
        <v>2121</v>
      </c>
      <c r="H801" t="s">
        <v>2122</v>
      </c>
      <c r="I801" t="s">
        <v>1492</v>
      </c>
      <c r="J801" t="s">
        <v>2123</v>
      </c>
      <c r="K801" t="s">
        <v>35</v>
      </c>
      <c r="L801">
        <v>7516549616</v>
      </c>
      <c r="M801" t="s">
        <v>2124</v>
      </c>
      <c r="N801" t="s">
        <v>3137</v>
      </c>
      <c r="P801" t="s">
        <v>2129</v>
      </c>
      <c r="Q801" t="s">
        <v>2130</v>
      </c>
      <c r="R801" t="s">
        <v>2127</v>
      </c>
      <c r="S801" t="s">
        <v>40</v>
      </c>
      <c r="T801" s="1">
        <v>43017</v>
      </c>
      <c r="U801">
        <v>0</v>
      </c>
      <c r="V801">
        <v>9</v>
      </c>
      <c r="Y801" t="s">
        <v>42</v>
      </c>
      <c r="Z801" t="s">
        <v>43</v>
      </c>
      <c r="AA801" t="s">
        <v>43</v>
      </c>
      <c r="AB801" t="s">
        <v>2128</v>
      </c>
      <c r="AD801" t="s">
        <v>3143</v>
      </c>
    </row>
    <row r="802" spans="1:30" x14ac:dyDescent="0.4">
      <c r="A802" t="s">
        <v>27</v>
      </c>
      <c r="B802">
        <v>6448</v>
      </c>
      <c r="C802" t="s">
        <v>68</v>
      </c>
      <c r="D802" t="s">
        <v>2118</v>
      </c>
      <c r="E802" t="s">
        <v>2119</v>
      </c>
      <c r="F802" t="s">
        <v>2120</v>
      </c>
      <c r="G802" t="s">
        <v>2121</v>
      </c>
      <c r="H802" t="s">
        <v>2122</v>
      </c>
      <c r="I802" t="s">
        <v>1492</v>
      </c>
      <c r="J802" t="s">
        <v>2123</v>
      </c>
      <c r="K802" t="s">
        <v>35</v>
      </c>
      <c r="L802">
        <v>7516549616</v>
      </c>
      <c r="M802" t="s">
        <v>2124</v>
      </c>
      <c r="N802" t="s">
        <v>3137</v>
      </c>
      <c r="P802" t="s">
        <v>2129</v>
      </c>
      <c r="Q802" t="s">
        <v>2130</v>
      </c>
      <c r="R802" t="s">
        <v>2127</v>
      </c>
      <c r="S802" t="s">
        <v>40</v>
      </c>
      <c r="T802" s="1">
        <v>43017</v>
      </c>
      <c r="U802">
        <v>0</v>
      </c>
      <c r="V802">
        <v>10</v>
      </c>
      <c r="Y802" t="s">
        <v>42</v>
      </c>
      <c r="Z802" t="s">
        <v>43</v>
      </c>
      <c r="AA802" t="s">
        <v>43</v>
      </c>
      <c r="AB802" t="s">
        <v>2128</v>
      </c>
      <c r="AD802" t="s">
        <v>3143</v>
      </c>
    </row>
    <row r="803" spans="1:30" x14ac:dyDescent="0.4">
      <c r="A803" t="s">
        <v>27</v>
      </c>
      <c r="B803">
        <v>2269</v>
      </c>
      <c r="C803" t="s">
        <v>68</v>
      </c>
      <c r="D803" t="s">
        <v>836</v>
      </c>
      <c r="E803" t="s">
        <v>2131</v>
      </c>
      <c r="F803" t="s">
        <v>2132</v>
      </c>
      <c r="G803" t="s">
        <v>2133</v>
      </c>
      <c r="H803" t="s">
        <v>2134</v>
      </c>
      <c r="I803" t="s">
        <v>495</v>
      </c>
      <c r="J803" t="s">
        <v>2135</v>
      </c>
      <c r="K803" t="s">
        <v>35</v>
      </c>
      <c r="L803">
        <v>1323870880</v>
      </c>
      <c r="M803" t="s">
        <v>2136</v>
      </c>
      <c r="N803" t="s">
        <v>3002</v>
      </c>
      <c r="P803" t="s">
        <v>3038</v>
      </c>
      <c r="Q803" t="s">
        <v>2138</v>
      </c>
      <c r="R803" t="s">
        <v>58</v>
      </c>
      <c r="S803" t="s">
        <v>40</v>
      </c>
      <c r="T803" s="1">
        <v>44592</v>
      </c>
      <c r="U803">
        <v>0</v>
      </c>
      <c r="V803">
        <v>3</v>
      </c>
      <c r="Y803" t="s">
        <v>42</v>
      </c>
      <c r="Z803" t="s">
        <v>43</v>
      </c>
      <c r="AA803" t="s">
        <v>43</v>
      </c>
      <c r="AB803" t="s">
        <v>2139</v>
      </c>
      <c r="AD803" t="s">
        <v>3143</v>
      </c>
    </row>
    <row r="804" spans="1:30" x14ac:dyDescent="0.4">
      <c r="A804" t="s">
        <v>27</v>
      </c>
      <c r="B804">
        <v>2269</v>
      </c>
      <c r="C804" t="s">
        <v>68</v>
      </c>
      <c r="D804" t="s">
        <v>836</v>
      </c>
      <c r="E804" t="s">
        <v>2131</v>
      </c>
      <c r="F804" t="s">
        <v>2132</v>
      </c>
      <c r="G804" t="s">
        <v>2133</v>
      </c>
      <c r="H804" t="s">
        <v>2134</v>
      </c>
      <c r="I804" t="s">
        <v>495</v>
      </c>
      <c r="J804" t="s">
        <v>2135</v>
      </c>
      <c r="K804" t="s">
        <v>35</v>
      </c>
      <c r="L804">
        <v>1323870880</v>
      </c>
      <c r="M804" t="s">
        <v>2136</v>
      </c>
      <c r="N804" t="s">
        <v>3002</v>
      </c>
      <c r="P804" t="s">
        <v>3038</v>
      </c>
      <c r="Q804" t="s">
        <v>2138</v>
      </c>
      <c r="R804" t="s">
        <v>58</v>
      </c>
      <c r="S804" t="s">
        <v>40</v>
      </c>
      <c r="T804" s="1">
        <v>44592</v>
      </c>
      <c r="U804">
        <v>0</v>
      </c>
      <c r="V804">
        <v>11</v>
      </c>
      <c r="Y804" t="s">
        <v>42</v>
      </c>
      <c r="Z804" t="s">
        <v>43</v>
      </c>
      <c r="AA804" t="s">
        <v>43</v>
      </c>
      <c r="AB804" t="s">
        <v>2139</v>
      </c>
      <c r="AD804" t="s">
        <v>3143</v>
      </c>
    </row>
    <row r="805" spans="1:30" x14ac:dyDescent="0.4">
      <c r="A805" t="s">
        <v>27</v>
      </c>
      <c r="B805">
        <v>271</v>
      </c>
      <c r="C805" t="s">
        <v>257</v>
      </c>
      <c r="D805" t="s">
        <v>2140</v>
      </c>
      <c r="E805" t="s">
        <v>2141</v>
      </c>
      <c r="F805" t="s">
        <v>2142</v>
      </c>
      <c r="G805" t="s">
        <v>2143</v>
      </c>
      <c r="H805" t="s">
        <v>2144</v>
      </c>
      <c r="I805" t="s">
        <v>33</v>
      </c>
      <c r="J805" t="s">
        <v>2145</v>
      </c>
      <c r="K805" t="s">
        <v>35</v>
      </c>
      <c r="L805" t="s">
        <v>2146</v>
      </c>
      <c r="M805" t="s">
        <v>2147</v>
      </c>
      <c r="N805" t="s">
        <v>3084</v>
      </c>
      <c r="P805" t="s">
        <v>2149</v>
      </c>
      <c r="Q805" t="s">
        <v>2150</v>
      </c>
      <c r="R805" t="s">
        <v>169</v>
      </c>
      <c r="S805" t="s">
        <v>82</v>
      </c>
      <c r="T805" s="1">
        <v>43966</v>
      </c>
      <c r="U805">
        <v>0</v>
      </c>
      <c r="V805">
        <v>5</v>
      </c>
      <c r="W805" t="s">
        <v>66</v>
      </c>
      <c r="Y805" t="s">
        <v>42</v>
      </c>
      <c r="Z805" t="s">
        <v>43</v>
      </c>
      <c r="AA805" t="s">
        <v>42</v>
      </c>
      <c r="AD805" t="s">
        <v>3143</v>
      </c>
    </row>
    <row r="806" spans="1:30" x14ac:dyDescent="0.4">
      <c r="A806" t="s">
        <v>27</v>
      </c>
      <c r="B806">
        <v>271</v>
      </c>
      <c r="C806" t="s">
        <v>257</v>
      </c>
      <c r="D806" t="s">
        <v>2140</v>
      </c>
      <c r="E806" t="s">
        <v>2141</v>
      </c>
      <c r="F806" t="s">
        <v>2142</v>
      </c>
      <c r="G806" t="s">
        <v>2143</v>
      </c>
      <c r="H806" t="s">
        <v>2144</v>
      </c>
      <c r="I806" t="s">
        <v>33</v>
      </c>
      <c r="J806" t="s">
        <v>2145</v>
      </c>
      <c r="K806" t="s">
        <v>35</v>
      </c>
      <c r="L806" t="s">
        <v>2146</v>
      </c>
      <c r="M806" t="s">
        <v>2147</v>
      </c>
      <c r="N806" t="s">
        <v>3084</v>
      </c>
      <c r="P806" t="s">
        <v>2149</v>
      </c>
      <c r="Q806" t="s">
        <v>2150</v>
      </c>
      <c r="R806" t="s">
        <v>169</v>
      </c>
      <c r="S806" t="s">
        <v>82</v>
      </c>
      <c r="T806" s="1">
        <v>43966</v>
      </c>
      <c r="U806">
        <v>0</v>
      </c>
      <c r="V806">
        <v>6</v>
      </c>
      <c r="W806" t="s">
        <v>83</v>
      </c>
      <c r="Y806" t="s">
        <v>42</v>
      </c>
      <c r="Z806" t="s">
        <v>43</v>
      </c>
      <c r="AA806" t="s">
        <v>42</v>
      </c>
      <c r="AD806" t="s">
        <v>3143</v>
      </c>
    </row>
    <row r="807" spans="1:30" x14ac:dyDescent="0.4">
      <c r="A807" t="s">
        <v>27</v>
      </c>
      <c r="B807">
        <v>271</v>
      </c>
      <c r="C807" t="s">
        <v>257</v>
      </c>
      <c r="D807" t="s">
        <v>2140</v>
      </c>
      <c r="E807" t="s">
        <v>2141</v>
      </c>
      <c r="F807" t="s">
        <v>2142</v>
      </c>
      <c r="G807" t="s">
        <v>2143</v>
      </c>
      <c r="H807" t="s">
        <v>2144</v>
      </c>
      <c r="I807" t="s">
        <v>33</v>
      </c>
      <c r="J807" t="s">
        <v>2145</v>
      </c>
      <c r="K807" t="s">
        <v>35</v>
      </c>
      <c r="L807" t="s">
        <v>2146</v>
      </c>
      <c r="M807" t="s">
        <v>2147</v>
      </c>
      <c r="N807" t="s">
        <v>3084</v>
      </c>
      <c r="P807" t="s">
        <v>2151</v>
      </c>
      <c r="Q807" t="s">
        <v>2152</v>
      </c>
      <c r="R807" t="s">
        <v>94</v>
      </c>
      <c r="S807" t="s">
        <v>40</v>
      </c>
      <c r="T807" s="1">
        <v>42963</v>
      </c>
      <c r="U807">
        <v>0</v>
      </c>
      <c r="V807">
        <v>7</v>
      </c>
      <c r="Y807" t="s">
        <v>42</v>
      </c>
      <c r="Z807" t="s">
        <v>43</v>
      </c>
      <c r="AA807" t="s">
        <v>42</v>
      </c>
      <c r="AD807" t="s">
        <v>3143</v>
      </c>
    </row>
    <row r="808" spans="1:30" x14ac:dyDescent="0.4">
      <c r="A808" t="s">
        <v>27</v>
      </c>
      <c r="B808">
        <v>271</v>
      </c>
      <c r="C808" t="s">
        <v>257</v>
      </c>
      <c r="D808" t="s">
        <v>2140</v>
      </c>
      <c r="E808" t="s">
        <v>2141</v>
      </c>
      <c r="F808" t="s">
        <v>2142</v>
      </c>
      <c r="G808" t="s">
        <v>2143</v>
      </c>
      <c r="H808" t="s">
        <v>2144</v>
      </c>
      <c r="I808" t="s">
        <v>33</v>
      </c>
      <c r="J808" t="s">
        <v>2145</v>
      </c>
      <c r="K808" t="s">
        <v>35</v>
      </c>
      <c r="L808" t="s">
        <v>2146</v>
      </c>
      <c r="M808" t="s">
        <v>2147</v>
      </c>
      <c r="N808" t="s">
        <v>2148</v>
      </c>
      <c r="P808" t="s">
        <v>2153</v>
      </c>
      <c r="Q808" t="s">
        <v>2154</v>
      </c>
      <c r="R808" t="s">
        <v>169</v>
      </c>
      <c r="S808" t="s">
        <v>82</v>
      </c>
      <c r="T808" s="1">
        <v>42263</v>
      </c>
      <c r="U808">
        <v>0</v>
      </c>
      <c r="V808">
        <v>0</v>
      </c>
      <c r="W808" t="s">
        <v>59</v>
      </c>
      <c r="Y808" t="s">
        <v>42</v>
      </c>
      <c r="Z808" t="s">
        <v>43</v>
      </c>
      <c r="AA808" t="s">
        <v>42</v>
      </c>
      <c r="AD808" t="s">
        <v>3143</v>
      </c>
    </row>
    <row r="809" spans="1:30" x14ac:dyDescent="0.4">
      <c r="A809" t="s">
        <v>27</v>
      </c>
      <c r="B809">
        <v>271</v>
      </c>
      <c r="C809" t="s">
        <v>257</v>
      </c>
      <c r="D809" t="s">
        <v>2140</v>
      </c>
      <c r="E809" t="s">
        <v>2141</v>
      </c>
      <c r="F809" t="s">
        <v>2142</v>
      </c>
      <c r="G809" t="s">
        <v>2143</v>
      </c>
      <c r="H809" t="s">
        <v>2144</v>
      </c>
      <c r="I809" t="s">
        <v>33</v>
      </c>
      <c r="J809" t="s">
        <v>2145</v>
      </c>
      <c r="K809" t="s">
        <v>35</v>
      </c>
      <c r="L809" t="s">
        <v>2146</v>
      </c>
      <c r="M809" t="s">
        <v>2147</v>
      </c>
      <c r="N809" t="s">
        <v>3084</v>
      </c>
      <c r="P809" t="s">
        <v>2155</v>
      </c>
      <c r="Q809" t="s">
        <v>2156</v>
      </c>
      <c r="R809" t="s">
        <v>169</v>
      </c>
      <c r="S809" t="s">
        <v>82</v>
      </c>
      <c r="T809" s="1">
        <v>41747</v>
      </c>
      <c r="U809">
        <v>0</v>
      </c>
      <c r="V809">
        <v>5</v>
      </c>
      <c r="W809" t="s">
        <v>66</v>
      </c>
      <c r="Y809" t="s">
        <v>42</v>
      </c>
      <c r="Z809" t="s">
        <v>43</v>
      </c>
      <c r="AA809" t="s">
        <v>42</v>
      </c>
      <c r="AD809" t="s">
        <v>3143</v>
      </c>
    </row>
    <row r="810" spans="1:30" x14ac:dyDescent="0.4">
      <c r="A810" t="s">
        <v>27</v>
      </c>
      <c r="B810">
        <v>271</v>
      </c>
      <c r="C810" t="s">
        <v>257</v>
      </c>
      <c r="D810" t="s">
        <v>2140</v>
      </c>
      <c r="E810" t="s">
        <v>2141</v>
      </c>
      <c r="F810" t="s">
        <v>2142</v>
      </c>
      <c r="G810" t="s">
        <v>2143</v>
      </c>
      <c r="H810" t="s">
        <v>2144</v>
      </c>
      <c r="I810" t="s">
        <v>33</v>
      </c>
      <c r="J810" t="s">
        <v>2145</v>
      </c>
      <c r="K810" t="s">
        <v>35</v>
      </c>
      <c r="L810" t="s">
        <v>2146</v>
      </c>
      <c r="M810" t="s">
        <v>2147</v>
      </c>
      <c r="N810" t="s">
        <v>3084</v>
      </c>
      <c r="P810" t="s">
        <v>2155</v>
      </c>
      <c r="Q810" t="s">
        <v>2156</v>
      </c>
      <c r="R810" t="s">
        <v>169</v>
      </c>
      <c r="S810" t="s">
        <v>82</v>
      </c>
      <c r="T810" s="1">
        <v>41747</v>
      </c>
      <c r="U810">
        <v>0</v>
      </c>
      <c r="V810">
        <v>6</v>
      </c>
      <c r="W810" t="s">
        <v>83</v>
      </c>
      <c r="Y810" t="s">
        <v>42</v>
      </c>
      <c r="Z810" t="s">
        <v>43</v>
      </c>
      <c r="AA810" t="s">
        <v>42</v>
      </c>
      <c r="AD810" t="s">
        <v>3143</v>
      </c>
    </row>
    <row r="811" spans="1:30" x14ac:dyDescent="0.4">
      <c r="A811" t="s">
        <v>27</v>
      </c>
      <c r="B811">
        <v>271</v>
      </c>
      <c r="C811" t="s">
        <v>257</v>
      </c>
      <c r="D811" t="s">
        <v>2140</v>
      </c>
      <c r="E811" t="s">
        <v>2141</v>
      </c>
      <c r="F811" t="s">
        <v>2142</v>
      </c>
      <c r="G811" t="s">
        <v>2143</v>
      </c>
      <c r="H811" t="s">
        <v>2144</v>
      </c>
      <c r="I811" t="s">
        <v>33</v>
      </c>
      <c r="J811" t="s">
        <v>2145</v>
      </c>
      <c r="K811" t="s">
        <v>35</v>
      </c>
      <c r="L811" t="s">
        <v>2146</v>
      </c>
      <c r="M811" t="s">
        <v>2147</v>
      </c>
      <c r="N811" t="s">
        <v>3084</v>
      </c>
      <c r="P811" t="s">
        <v>2149</v>
      </c>
      <c r="Q811" t="s">
        <v>2150</v>
      </c>
      <c r="R811" t="s">
        <v>169</v>
      </c>
      <c r="S811" t="s">
        <v>82</v>
      </c>
      <c r="T811" s="1">
        <v>43966</v>
      </c>
      <c r="U811">
        <v>0</v>
      </c>
      <c r="V811">
        <v>17</v>
      </c>
      <c r="Y811" t="s">
        <v>42</v>
      </c>
      <c r="Z811" t="s">
        <v>43</v>
      </c>
      <c r="AA811" t="s">
        <v>42</v>
      </c>
      <c r="AD811" t="s">
        <v>3143</v>
      </c>
    </row>
    <row r="812" spans="1:30" x14ac:dyDescent="0.4">
      <c r="A812" t="s">
        <v>27</v>
      </c>
      <c r="B812">
        <v>271</v>
      </c>
      <c r="C812" t="s">
        <v>257</v>
      </c>
      <c r="D812" t="s">
        <v>2140</v>
      </c>
      <c r="E812" t="s">
        <v>2141</v>
      </c>
      <c r="F812" t="s">
        <v>2142</v>
      </c>
      <c r="G812" t="s">
        <v>2143</v>
      </c>
      <c r="H812" t="s">
        <v>2144</v>
      </c>
      <c r="I812" t="s">
        <v>33</v>
      </c>
      <c r="J812" t="s">
        <v>2145</v>
      </c>
      <c r="K812" t="s">
        <v>35</v>
      </c>
      <c r="L812" t="s">
        <v>2146</v>
      </c>
      <c r="M812" t="s">
        <v>2147</v>
      </c>
      <c r="N812" t="s">
        <v>3084</v>
      </c>
      <c r="P812" t="s">
        <v>2149</v>
      </c>
      <c r="Q812" t="s">
        <v>2150</v>
      </c>
      <c r="R812" t="s">
        <v>169</v>
      </c>
      <c r="S812" t="s">
        <v>82</v>
      </c>
      <c r="T812" s="1">
        <v>43966</v>
      </c>
      <c r="U812">
        <v>0</v>
      </c>
      <c r="V812">
        <v>15</v>
      </c>
      <c r="Y812" t="s">
        <v>42</v>
      </c>
      <c r="Z812" t="s">
        <v>43</v>
      </c>
      <c r="AA812" t="s">
        <v>42</v>
      </c>
      <c r="AD812" t="s">
        <v>3143</v>
      </c>
    </row>
    <row r="813" spans="1:30" x14ac:dyDescent="0.4">
      <c r="A813" t="s">
        <v>27</v>
      </c>
      <c r="B813">
        <v>271</v>
      </c>
      <c r="C813" t="s">
        <v>257</v>
      </c>
      <c r="D813" t="s">
        <v>2140</v>
      </c>
      <c r="E813" t="s">
        <v>2141</v>
      </c>
      <c r="F813" t="s">
        <v>2142</v>
      </c>
      <c r="G813" t="s">
        <v>2143</v>
      </c>
      <c r="H813" t="s">
        <v>2144</v>
      </c>
      <c r="I813" t="s">
        <v>33</v>
      </c>
      <c r="J813" t="s">
        <v>2145</v>
      </c>
      <c r="K813" t="s">
        <v>35</v>
      </c>
      <c r="L813" t="s">
        <v>2146</v>
      </c>
      <c r="M813" t="s">
        <v>2147</v>
      </c>
      <c r="N813" t="s">
        <v>3084</v>
      </c>
      <c r="P813" t="s">
        <v>2155</v>
      </c>
      <c r="Q813" t="s">
        <v>2156</v>
      </c>
      <c r="R813" t="s">
        <v>169</v>
      </c>
      <c r="S813" t="s">
        <v>82</v>
      </c>
      <c r="T813" s="1">
        <v>41747</v>
      </c>
      <c r="U813">
        <v>0</v>
      </c>
      <c r="V813">
        <v>15</v>
      </c>
      <c r="Y813" t="s">
        <v>42</v>
      </c>
      <c r="Z813" t="s">
        <v>43</v>
      </c>
      <c r="AA813" t="s">
        <v>42</v>
      </c>
      <c r="AD813" t="s">
        <v>3143</v>
      </c>
    </row>
    <row r="814" spans="1:30" x14ac:dyDescent="0.4">
      <c r="A814" t="s">
        <v>27</v>
      </c>
      <c r="B814">
        <v>271</v>
      </c>
      <c r="C814" t="s">
        <v>257</v>
      </c>
      <c r="D814" t="s">
        <v>2140</v>
      </c>
      <c r="E814" t="s">
        <v>2141</v>
      </c>
      <c r="F814" t="s">
        <v>2142</v>
      </c>
      <c r="G814" t="s">
        <v>2143</v>
      </c>
      <c r="H814" t="s">
        <v>2144</v>
      </c>
      <c r="I814" t="s">
        <v>33</v>
      </c>
      <c r="J814" t="s">
        <v>2145</v>
      </c>
      <c r="K814" t="s">
        <v>35</v>
      </c>
      <c r="L814" t="s">
        <v>2146</v>
      </c>
      <c r="M814" t="s">
        <v>2147</v>
      </c>
      <c r="N814" t="s">
        <v>2148</v>
      </c>
      <c r="P814" t="s">
        <v>2153</v>
      </c>
      <c r="Q814" t="s">
        <v>2154</v>
      </c>
      <c r="R814" t="s">
        <v>169</v>
      </c>
      <c r="S814" t="s">
        <v>82</v>
      </c>
      <c r="T814" s="1">
        <v>42263</v>
      </c>
      <c r="U814">
        <v>0</v>
      </c>
      <c r="V814">
        <v>0</v>
      </c>
      <c r="W814" t="s">
        <v>59</v>
      </c>
      <c r="Y814" t="s">
        <v>42</v>
      </c>
      <c r="Z814" t="s">
        <v>43</v>
      </c>
      <c r="AA814" t="s">
        <v>42</v>
      </c>
      <c r="AD814" t="s">
        <v>3143</v>
      </c>
    </row>
    <row r="815" spans="1:30" x14ac:dyDescent="0.4">
      <c r="A815" t="s">
        <v>27</v>
      </c>
      <c r="B815">
        <v>271</v>
      </c>
      <c r="C815" t="s">
        <v>257</v>
      </c>
      <c r="D815" t="s">
        <v>2140</v>
      </c>
      <c r="E815" t="s">
        <v>2141</v>
      </c>
      <c r="F815" t="s">
        <v>2142</v>
      </c>
      <c r="G815" t="s">
        <v>2143</v>
      </c>
      <c r="H815" t="s">
        <v>2144</v>
      </c>
      <c r="I815" t="s">
        <v>33</v>
      </c>
      <c r="J815" t="s">
        <v>2145</v>
      </c>
      <c r="K815" t="s">
        <v>35</v>
      </c>
      <c r="L815" t="s">
        <v>2146</v>
      </c>
      <c r="M815" t="s">
        <v>2147</v>
      </c>
      <c r="N815" t="s">
        <v>2148</v>
      </c>
      <c r="P815" t="s">
        <v>2151</v>
      </c>
      <c r="Q815" t="s">
        <v>2152</v>
      </c>
      <c r="R815" t="s">
        <v>94</v>
      </c>
      <c r="S815" t="s">
        <v>40</v>
      </c>
      <c r="T815" s="1">
        <v>42963</v>
      </c>
      <c r="U815">
        <v>0</v>
      </c>
      <c r="V815">
        <v>0</v>
      </c>
      <c r="W815" t="s">
        <v>59</v>
      </c>
      <c r="Y815" t="s">
        <v>42</v>
      </c>
      <c r="Z815" t="s">
        <v>43</v>
      </c>
      <c r="AA815" t="s">
        <v>42</v>
      </c>
      <c r="AD815" t="s">
        <v>3143</v>
      </c>
    </row>
    <row r="816" spans="1:30" x14ac:dyDescent="0.4">
      <c r="A816" t="s">
        <v>27</v>
      </c>
      <c r="B816">
        <v>4744</v>
      </c>
      <c r="C816" t="s">
        <v>68</v>
      </c>
      <c r="D816" t="s">
        <v>2157</v>
      </c>
      <c r="E816" t="s">
        <v>2158</v>
      </c>
      <c r="F816" t="s">
        <v>2159</v>
      </c>
      <c r="H816" t="s">
        <v>2160</v>
      </c>
      <c r="I816" t="s">
        <v>73</v>
      </c>
      <c r="J816" t="s">
        <v>2161</v>
      </c>
      <c r="K816" t="s">
        <v>35</v>
      </c>
      <c r="L816">
        <v>2086570047</v>
      </c>
      <c r="M816" t="s">
        <v>2162</v>
      </c>
      <c r="N816" t="s">
        <v>3003</v>
      </c>
      <c r="P816" t="s">
        <v>2163</v>
      </c>
      <c r="Q816" t="s">
        <v>2164</v>
      </c>
      <c r="R816" t="s">
        <v>1759</v>
      </c>
      <c r="S816" t="s">
        <v>40</v>
      </c>
      <c r="T816" s="1">
        <v>45206</v>
      </c>
      <c r="U816">
        <v>0</v>
      </c>
      <c r="V816">
        <v>4</v>
      </c>
      <c r="W816" t="s">
        <v>65</v>
      </c>
      <c r="Y816" t="s">
        <v>42</v>
      </c>
      <c r="Z816" t="s">
        <v>43</v>
      </c>
      <c r="AA816" t="s">
        <v>43</v>
      </c>
      <c r="AD816" t="s">
        <v>3143</v>
      </c>
    </row>
    <row r="817" spans="1:30" x14ac:dyDescent="0.4">
      <c r="A817" t="s">
        <v>27</v>
      </c>
      <c r="B817">
        <v>4744</v>
      </c>
      <c r="C817" t="s">
        <v>68</v>
      </c>
      <c r="D817" t="s">
        <v>2157</v>
      </c>
      <c r="E817" t="s">
        <v>2158</v>
      </c>
      <c r="F817" t="s">
        <v>2159</v>
      </c>
      <c r="H817" t="s">
        <v>2160</v>
      </c>
      <c r="I817" t="s">
        <v>73</v>
      </c>
      <c r="J817" t="s">
        <v>2161</v>
      </c>
      <c r="K817" t="s">
        <v>35</v>
      </c>
      <c r="L817">
        <v>2086570047</v>
      </c>
      <c r="M817" t="s">
        <v>2162</v>
      </c>
      <c r="N817" t="s">
        <v>3003</v>
      </c>
      <c r="P817" t="s">
        <v>2165</v>
      </c>
      <c r="Q817" t="s">
        <v>2166</v>
      </c>
      <c r="R817" t="s">
        <v>1759</v>
      </c>
      <c r="S817" t="s">
        <v>40</v>
      </c>
      <c r="T817" s="1">
        <v>44719</v>
      </c>
      <c r="U817">
        <v>0</v>
      </c>
      <c r="V817">
        <v>4</v>
      </c>
      <c r="W817" t="s">
        <v>65</v>
      </c>
      <c r="Y817" t="s">
        <v>42</v>
      </c>
      <c r="Z817" t="s">
        <v>43</v>
      </c>
      <c r="AA817" t="s">
        <v>43</v>
      </c>
      <c r="AD817" t="s">
        <v>3143</v>
      </c>
    </row>
    <row r="818" spans="1:30" x14ac:dyDescent="0.4">
      <c r="A818" t="s">
        <v>27</v>
      </c>
      <c r="B818">
        <v>73</v>
      </c>
      <c r="C818" t="s">
        <v>68</v>
      </c>
      <c r="D818" t="s">
        <v>2167</v>
      </c>
      <c r="E818" t="s">
        <v>2168</v>
      </c>
      <c r="F818" t="s">
        <v>2169</v>
      </c>
      <c r="G818" t="s">
        <v>2170</v>
      </c>
      <c r="H818" t="s">
        <v>1164</v>
      </c>
      <c r="I818" t="s">
        <v>426</v>
      </c>
      <c r="J818" t="s">
        <v>2171</v>
      </c>
      <c r="K818" t="s">
        <v>35</v>
      </c>
      <c r="L818" t="s">
        <v>2172</v>
      </c>
      <c r="M818" t="s">
        <v>2173</v>
      </c>
      <c r="N818" t="s">
        <v>3004</v>
      </c>
      <c r="P818" t="s">
        <v>2175</v>
      </c>
      <c r="Q818" t="s">
        <v>2176</v>
      </c>
      <c r="R818" t="s">
        <v>58</v>
      </c>
      <c r="S818" t="s">
        <v>40</v>
      </c>
      <c r="T818" s="1">
        <v>42333</v>
      </c>
      <c r="U818">
        <v>0</v>
      </c>
      <c r="V818">
        <v>7</v>
      </c>
      <c r="Y818" t="s">
        <v>42</v>
      </c>
      <c r="Z818" t="s">
        <v>43</v>
      </c>
      <c r="AA818" t="s">
        <v>43</v>
      </c>
      <c r="AD818" t="s">
        <v>3143</v>
      </c>
    </row>
    <row r="819" spans="1:30" x14ac:dyDescent="0.4">
      <c r="A819" t="s">
        <v>27</v>
      </c>
      <c r="B819">
        <v>73</v>
      </c>
      <c r="C819" t="s">
        <v>68</v>
      </c>
      <c r="D819" t="s">
        <v>2167</v>
      </c>
      <c r="E819" t="s">
        <v>2168</v>
      </c>
      <c r="F819" t="s">
        <v>2169</v>
      </c>
      <c r="G819" t="s">
        <v>2170</v>
      </c>
      <c r="H819" t="s">
        <v>1164</v>
      </c>
      <c r="I819" t="s">
        <v>426</v>
      </c>
      <c r="J819" t="s">
        <v>2171</v>
      </c>
      <c r="K819" t="s">
        <v>35</v>
      </c>
      <c r="L819" t="s">
        <v>2172</v>
      </c>
      <c r="M819" t="s">
        <v>2173</v>
      </c>
      <c r="N819" t="s">
        <v>2174</v>
      </c>
      <c r="P819" t="s">
        <v>2177</v>
      </c>
      <c r="Q819" t="s">
        <v>2178</v>
      </c>
      <c r="R819" t="s">
        <v>413</v>
      </c>
      <c r="S819" t="s">
        <v>40</v>
      </c>
      <c r="T819" s="1">
        <v>45476</v>
      </c>
      <c r="U819">
        <v>0</v>
      </c>
      <c r="V819">
        <v>0</v>
      </c>
      <c r="W819" t="s">
        <v>59</v>
      </c>
      <c r="Y819" t="s">
        <v>42</v>
      </c>
      <c r="Z819" t="s">
        <v>43</v>
      </c>
      <c r="AA819" t="s">
        <v>43</v>
      </c>
      <c r="AD819" t="s">
        <v>3143</v>
      </c>
    </row>
    <row r="820" spans="1:30" x14ac:dyDescent="0.4">
      <c r="A820" t="s">
        <v>27</v>
      </c>
      <c r="B820">
        <v>73</v>
      </c>
      <c r="C820" t="s">
        <v>68</v>
      </c>
      <c r="D820" t="s">
        <v>2167</v>
      </c>
      <c r="E820" t="s">
        <v>2168</v>
      </c>
      <c r="F820" t="s">
        <v>2169</v>
      </c>
      <c r="G820" t="s">
        <v>2170</v>
      </c>
      <c r="H820" t="s">
        <v>1164</v>
      </c>
      <c r="I820" t="s">
        <v>426</v>
      </c>
      <c r="J820" t="s">
        <v>2171</v>
      </c>
      <c r="K820" t="s">
        <v>35</v>
      </c>
      <c r="L820" t="s">
        <v>2172</v>
      </c>
      <c r="M820" t="s">
        <v>2173</v>
      </c>
      <c r="N820" t="s">
        <v>2174</v>
      </c>
      <c r="P820" t="s">
        <v>2179</v>
      </c>
      <c r="Q820" t="s">
        <v>2180</v>
      </c>
      <c r="R820" t="s">
        <v>2181</v>
      </c>
      <c r="S820" t="s">
        <v>40</v>
      </c>
      <c r="T820" s="1">
        <v>42969</v>
      </c>
      <c r="U820">
        <v>0</v>
      </c>
      <c r="V820">
        <v>0</v>
      </c>
      <c r="W820" t="s">
        <v>59</v>
      </c>
      <c r="Y820" t="s">
        <v>42</v>
      </c>
      <c r="Z820" t="s">
        <v>43</v>
      </c>
      <c r="AA820" t="s">
        <v>43</v>
      </c>
      <c r="AD820" t="s">
        <v>3143</v>
      </c>
    </row>
    <row r="821" spans="1:30" x14ac:dyDescent="0.4">
      <c r="A821" t="s">
        <v>27</v>
      </c>
      <c r="B821">
        <v>73</v>
      </c>
      <c r="C821" t="s">
        <v>68</v>
      </c>
      <c r="D821" t="s">
        <v>2167</v>
      </c>
      <c r="E821" t="s">
        <v>2168</v>
      </c>
      <c r="F821" t="s">
        <v>2169</v>
      </c>
      <c r="G821" t="s">
        <v>2170</v>
      </c>
      <c r="H821" t="s">
        <v>1164</v>
      </c>
      <c r="I821" t="s">
        <v>426</v>
      </c>
      <c r="J821" t="s">
        <v>2171</v>
      </c>
      <c r="K821" t="s">
        <v>35</v>
      </c>
      <c r="L821" t="s">
        <v>2172</v>
      </c>
      <c r="M821" t="s">
        <v>2173</v>
      </c>
      <c r="N821" t="s">
        <v>3004</v>
      </c>
      <c r="P821" t="s">
        <v>2175</v>
      </c>
      <c r="Q821" t="s">
        <v>2176</v>
      </c>
      <c r="R821" t="s">
        <v>58</v>
      </c>
      <c r="S821" t="s">
        <v>40</v>
      </c>
      <c r="T821" s="1">
        <v>42333</v>
      </c>
      <c r="U821">
        <v>0</v>
      </c>
      <c r="V821">
        <v>18</v>
      </c>
      <c r="Y821" t="s">
        <v>42</v>
      </c>
      <c r="Z821" t="s">
        <v>43</v>
      </c>
      <c r="AA821" t="s">
        <v>43</v>
      </c>
      <c r="AD821" t="s">
        <v>3143</v>
      </c>
    </row>
    <row r="822" spans="1:30" x14ac:dyDescent="0.4">
      <c r="A822" t="s">
        <v>27</v>
      </c>
      <c r="B822">
        <v>73</v>
      </c>
      <c r="C822" t="s">
        <v>68</v>
      </c>
      <c r="D822" t="s">
        <v>2167</v>
      </c>
      <c r="E822" t="s">
        <v>2168</v>
      </c>
      <c r="F822" t="s">
        <v>2169</v>
      </c>
      <c r="G822" t="s">
        <v>2170</v>
      </c>
      <c r="H822" t="s">
        <v>1164</v>
      </c>
      <c r="I822" t="s">
        <v>426</v>
      </c>
      <c r="J822" t="s">
        <v>2171</v>
      </c>
      <c r="K822" t="s">
        <v>35</v>
      </c>
      <c r="L822" t="s">
        <v>2172</v>
      </c>
      <c r="M822" t="s">
        <v>2173</v>
      </c>
      <c r="N822" t="s">
        <v>2174</v>
      </c>
      <c r="P822" t="s">
        <v>2177</v>
      </c>
      <c r="Q822" t="s">
        <v>2178</v>
      </c>
      <c r="R822" t="s">
        <v>413</v>
      </c>
      <c r="S822" t="s">
        <v>40</v>
      </c>
      <c r="T822" s="1">
        <v>45476</v>
      </c>
      <c r="U822">
        <v>0</v>
      </c>
      <c r="V822">
        <v>0</v>
      </c>
      <c r="W822" t="s">
        <v>59</v>
      </c>
      <c r="Y822" t="s">
        <v>42</v>
      </c>
      <c r="Z822" t="s">
        <v>43</v>
      </c>
      <c r="AA822" t="s">
        <v>43</v>
      </c>
      <c r="AD822" t="s">
        <v>3143</v>
      </c>
    </row>
    <row r="823" spans="1:30" x14ac:dyDescent="0.4">
      <c r="A823" t="s">
        <v>27</v>
      </c>
      <c r="B823">
        <v>73</v>
      </c>
      <c r="C823" t="s">
        <v>68</v>
      </c>
      <c r="D823" t="s">
        <v>2167</v>
      </c>
      <c r="E823" t="s">
        <v>2168</v>
      </c>
      <c r="F823" t="s">
        <v>2169</v>
      </c>
      <c r="G823" t="s">
        <v>2170</v>
      </c>
      <c r="H823" t="s">
        <v>1164</v>
      </c>
      <c r="I823" t="s">
        <v>426</v>
      </c>
      <c r="J823" t="s">
        <v>2171</v>
      </c>
      <c r="K823" t="s">
        <v>35</v>
      </c>
      <c r="L823" t="s">
        <v>2172</v>
      </c>
      <c r="M823" t="s">
        <v>2173</v>
      </c>
      <c r="N823" t="s">
        <v>2174</v>
      </c>
      <c r="P823" t="s">
        <v>2179</v>
      </c>
      <c r="Q823" t="s">
        <v>2180</v>
      </c>
      <c r="R823" t="s">
        <v>2181</v>
      </c>
      <c r="S823" t="s">
        <v>40</v>
      </c>
      <c r="T823" s="1">
        <v>42969</v>
      </c>
      <c r="U823">
        <v>0</v>
      </c>
      <c r="V823">
        <v>0</v>
      </c>
      <c r="W823" t="s">
        <v>59</v>
      </c>
      <c r="Y823" t="s">
        <v>42</v>
      </c>
      <c r="Z823" t="s">
        <v>43</v>
      </c>
      <c r="AA823" t="s">
        <v>43</v>
      </c>
      <c r="AD823" t="s">
        <v>3143</v>
      </c>
    </row>
    <row r="824" spans="1:30" x14ac:dyDescent="0.4">
      <c r="A824" t="s">
        <v>27</v>
      </c>
      <c r="B824">
        <v>354</v>
      </c>
      <c r="C824" t="s">
        <v>68</v>
      </c>
      <c r="D824" t="s">
        <v>919</v>
      </c>
      <c r="E824" t="s">
        <v>2182</v>
      </c>
      <c r="F824" t="s">
        <v>2183</v>
      </c>
      <c r="G824" t="s">
        <v>2184</v>
      </c>
      <c r="H824" t="s">
        <v>50</v>
      </c>
      <c r="I824" t="s">
        <v>924</v>
      </c>
      <c r="J824" t="s">
        <v>2185</v>
      </c>
      <c r="K824" t="s">
        <v>35</v>
      </c>
      <c r="L824" t="s">
        <v>2186</v>
      </c>
      <c r="M824" t="s">
        <v>2187</v>
      </c>
      <c r="N824" t="s">
        <v>3041</v>
      </c>
      <c r="P824" t="s">
        <v>2189</v>
      </c>
      <c r="Q824" t="s">
        <v>2190</v>
      </c>
      <c r="R824" t="s">
        <v>58</v>
      </c>
      <c r="S824" t="s">
        <v>82</v>
      </c>
      <c r="T824" s="1">
        <v>44458</v>
      </c>
      <c r="U824">
        <v>0</v>
      </c>
      <c r="V824">
        <v>4</v>
      </c>
      <c r="W824" t="s">
        <v>65</v>
      </c>
      <c r="Y824" t="s">
        <v>42</v>
      </c>
      <c r="Z824" t="s">
        <v>43</v>
      </c>
      <c r="AA824" t="s">
        <v>43</v>
      </c>
      <c r="AD824" t="s">
        <v>3143</v>
      </c>
    </row>
    <row r="825" spans="1:30" x14ac:dyDescent="0.4">
      <c r="A825" t="s">
        <v>27</v>
      </c>
      <c r="B825">
        <v>354</v>
      </c>
      <c r="C825" t="s">
        <v>68</v>
      </c>
      <c r="D825" t="s">
        <v>919</v>
      </c>
      <c r="E825" t="s">
        <v>2182</v>
      </c>
      <c r="F825" t="s">
        <v>2183</v>
      </c>
      <c r="G825" t="s">
        <v>2184</v>
      </c>
      <c r="H825" t="s">
        <v>50</v>
      </c>
      <c r="I825" t="s">
        <v>924</v>
      </c>
      <c r="J825" t="s">
        <v>2185</v>
      </c>
      <c r="K825" t="s">
        <v>35</v>
      </c>
      <c r="L825" t="s">
        <v>2186</v>
      </c>
      <c r="M825" t="s">
        <v>2187</v>
      </c>
      <c r="N825" t="s">
        <v>2188</v>
      </c>
      <c r="P825" t="s">
        <v>2191</v>
      </c>
      <c r="Q825" t="s">
        <v>2192</v>
      </c>
      <c r="R825" t="s">
        <v>62</v>
      </c>
      <c r="S825" t="s">
        <v>82</v>
      </c>
      <c r="T825" s="1">
        <v>41063</v>
      </c>
      <c r="U825">
        <v>0</v>
      </c>
      <c r="V825">
        <v>0</v>
      </c>
      <c r="W825" t="s">
        <v>59</v>
      </c>
      <c r="Y825" t="s">
        <v>42</v>
      </c>
      <c r="Z825" t="s">
        <v>43</v>
      </c>
      <c r="AA825" t="s">
        <v>43</v>
      </c>
      <c r="AD825" t="s">
        <v>3143</v>
      </c>
    </row>
    <row r="826" spans="1:30" x14ac:dyDescent="0.4">
      <c r="A826" t="s">
        <v>27</v>
      </c>
      <c r="B826">
        <v>354</v>
      </c>
      <c r="C826" t="s">
        <v>68</v>
      </c>
      <c r="D826" t="s">
        <v>919</v>
      </c>
      <c r="E826" t="s">
        <v>2182</v>
      </c>
      <c r="F826" t="s">
        <v>2183</v>
      </c>
      <c r="G826" t="s">
        <v>2184</v>
      </c>
      <c r="H826" t="s">
        <v>50</v>
      </c>
      <c r="I826" t="s">
        <v>924</v>
      </c>
      <c r="J826" t="s">
        <v>2185</v>
      </c>
      <c r="K826" t="s">
        <v>35</v>
      </c>
      <c r="L826" t="s">
        <v>2186</v>
      </c>
      <c r="M826" t="s">
        <v>2187</v>
      </c>
      <c r="N826" t="s">
        <v>2188</v>
      </c>
      <c r="P826" t="s">
        <v>2193</v>
      </c>
      <c r="Q826" t="s">
        <v>2194</v>
      </c>
      <c r="R826" t="s">
        <v>356</v>
      </c>
      <c r="S826" t="s">
        <v>40</v>
      </c>
      <c r="T826" s="1">
        <v>41063</v>
      </c>
      <c r="U826">
        <v>0</v>
      </c>
      <c r="V826">
        <v>0</v>
      </c>
      <c r="W826" t="s">
        <v>59</v>
      </c>
      <c r="Y826" t="s">
        <v>42</v>
      </c>
      <c r="Z826" t="s">
        <v>43</v>
      </c>
      <c r="AA826" t="s">
        <v>43</v>
      </c>
      <c r="AD826" t="s">
        <v>3143</v>
      </c>
    </row>
    <row r="827" spans="1:30" x14ac:dyDescent="0.4">
      <c r="A827" t="s">
        <v>27</v>
      </c>
      <c r="B827">
        <v>354</v>
      </c>
      <c r="C827" t="s">
        <v>68</v>
      </c>
      <c r="D827" t="s">
        <v>919</v>
      </c>
      <c r="E827" t="s">
        <v>2182</v>
      </c>
      <c r="F827" t="s">
        <v>2183</v>
      </c>
      <c r="G827" t="s">
        <v>2184</v>
      </c>
      <c r="H827" t="s">
        <v>50</v>
      </c>
      <c r="I827" t="s">
        <v>924</v>
      </c>
      <c r="J827" t="s">
        <v>2185</v>
      </c>
      <c r="K827" t="s">
        <v>35</v>
      </c>
      <c r="L827" t="s">
        <v>2186</v>
      </c>
      <c r="M827" t="s">
        <v>2187</v>
      </c>
      <c r="N827" t="s">
        <v>3041</v>
      </c>
      <c r="P827" t="s">
        <v>2189</v>
      </c>
      <c r="Q827" t="s">
        <v>2190</v>
      </c>
      <c r="R827" t="s">
        <v>58</v>
      </c>
      <c r="S827" t="s">
        <v>82</v>
      </c>
      <c r="T827" s="1">
        <v>44458</v>
      </c>
      <c r="U827">
        <v>0</v>
      </c>
      <c r="V827">
        <v>13</v>
      </c>
      <c r="Y827" t="s">
        <v>42</v>
      </c>
      <c r="Z827" t="s">
        <v>43</v>
      </c>
      <c r="AA827" t="s">
        <v>43</v>
      </c>
      <c r="AD827" t="s">
        <v>3143</v>
      </c>
    </row>
    <row r="828" spans="1:30" x14ac:dyDescent="0.4">
      <c r="A828" t="s">
        <v>27</v>
      </c>
      <c r="B828">
        <v>354</v>
      </c>
      <c r="C828" t="s">
        <v>68</v>
      </c>
      <c r="D828" t="s">
        <v>919</v>
      </c>
      <c r="E828" t="s">
        <v>2182</v>
      </c>
      <c r="F828" t="s">
        <v>2183</v>
      </c>
      <c r="G828" t="s">
        <v>2184</v>
      </c>
      <c r="H828" t="s">
        <v>50</v>
      </c>
      <c r="I828" t="s">
        <v>924</v>
      </c>
      <c r="J828" t="s">
        <v>2185</v>
      </c>
      <c r="K828" t="s">
        <v>35</v>
      </c>
      <c r="L828" t="s">
        <v>2186</v>
      </c>
      <c r="M828" t="s">
        <v>2187</v>
      </c>
      <c r="N828" t="s">
        <v>2188</v>
      </c>
      <c r="P828" t="s">
        <v>2191</v>
      </c>
      <c r="Q828" t="s">
        <v>2192</v>
      </c>
      <c r="R828" t="s">
        <v>62</v>
      </c>
      <c r="S828" t="s">
        <v>82</v>
      </c>
      <c r="T828" s="1">
        <v>41063</v>
      </c>
      <c r="U828">
        <v>0</v>
      </c>
      <c r="V828">
        <v>0</v>
      </c>
      <c r="W828" t="s">
        <v>59</v>
      </c>
      <c r="Y828" t="s">
        <v>42</v>
      </c>
      <c r="Z828" t="s">
        <v>43</v>
      </c>
      <c r="AA828" t="s">
        <v>43</v>
      </c>
      <c r="AD828" t="s">
        <v>3143</v>
      </c>
    </row>
    <row r="829" spans="1:30" x14ac:dyDescent="0.4">
      <c r="A829" t="s">
        <v>27</v>
      </c>
      <c r="B829">
        <v>1298</v>
      </c>
      <c r="C829" t="s">
        <v>28</v>
      </c>
      <c r="D829" t="s">
        <v>2195</v>
      </c>
      <c r="E829" t="s">
        <v>2196</v>
      </c>
      <c r="F829" t="s">
        <v>2197</v>
      </c>
      <c r="G829" t="s">
        <v>2198</v>
      </c>
      <c r="H829" t="s">
        <v>1270</v>
      </c>
      <c r="I829" t="s">
        <v>51</v>
      </c>
      <c r="J829" t="s">
        <v>2199</v>
      </c>
      <c r="K829" t="s">
        <v>35</v>
      </c>
      <c r="L829">
        <v>441590682183</v>
      </c>
      <c r="M829" t="s">
        <v>2200</v>
      </c>
      <c r="N829" t="s">
        <v>3138</v>
      </c>
      <c r="P829" t="s">
        <v>2201</v>
      </c>
      <c r="Q829" t="s">
        <v>2202</v>
      </c>
      <c r="R829" t="s">
        <v>58</v>
      </c>
      <c r="S829" t="s">
        <v>82</v>
      </c>
      <c r="T829" s="1">
        <v>44880</v>
      </c>
      <c r="U829">
        <v>0</v>
      </c>
      <c r="V829">
        <v>8</v>
      </c>
      <c r="Y829" t="s">
        <v>42</v>
      </c>
      <c r="Z829" t="s">
        <v>43</v>
      </c>
      <c r="AA829" t="s">
        <v>42</v>
      </c>
      <c r="AB829" t="s">
        <v>2203</v>
      </c>
      <c r="AD829" t="s">
        <v>3143</v>
      </c>
    </row>
    <row r="830" spans="1:30" x14ac:dyDescent="0.4">
      <c r="A830" t="s">
        <v>27</v>
      </c>
      <c r="B830">
        <v>1298</v>
      </c>
      <c r="C830" t="s">
        <v>28</v>
      </c>
      <c r="D830" t="s">
        <v>2195</v>
      </c>
      <c r="E830" t="s">
        <v>2196</v>
      </c>
      <c r="F830" t="s">
        <v>2197</v>
      </c>
      <c r="G830" t="s">
        <v>2198</v>
      </c>
      <c r="H830" t="s">
        <v>1270</v>
      </c>
      <c r="I830" t="s">
        <v>51</v>
      </c>
      <c r="J830" t="s">
        <v>2199</v>
      </c>
      <c r="K830" t="s">
        <v>35</v>
      </c>
      <c r="L830">
        <v>441590682183</v>
      </c>
      <c r="M830" t="s">
        <v>2200</v>
      </c>
      <c r="N830" t="s">
        <v>65</v>
      </c>
      <c r="P830" t="s">
        <v>2204</v>
      </c>
      <c r="Q830" t="s">
        <v>2205</v>
      </c>
      <c r="R830" t="s">
        <v>58</v>
      </c>
      <c r="S830" t="s">
        <v>40</v>
      </c>
      <c r="T830" s="1">
        <v>43600</v>
      </c>
      <c r="U830">
        <v>0</v>
      </c>
      <c r="V830">
        <v>20</v>
      </c>
      <c r="Y830" t="s">
        <v>42</v>
      </c>
      <c r="Z830" t="s">
        <v>43</v>
      </c>
      <c r="AA830" t="s">
        <v>42</v>
      </c>
      <c r="AB830" t="s">
        <v>2203</v>
      </c>
      <c r="AD830" t="s">
        <v>3143</v>
      </c>
    </row>
    <row r="831" spans="1:30" x14ac:dyDescent="0.4">
      <c r="A831" t="s">
        <v>27</v>
      </c>
      <c r="B831">
        <v>1298</v>
      </c>
      <c r="C831" t="s">
        <v>28</v>
      </c>
      <c r="D831" t="s">
        <v>2195</v>
      </c>
      <c r="E831" t="s">
        <v>2196</v>
      </c>
      <c r="F831" t="s">
        <v>2197</v>
      </c>
      <c r="G831" t="s">
        <v>2198</v>
      </c>
      <c r="H831" t="s">
        <v>1270</v>
      </c>
      <c r="I831" t="s">
        <v>51</v>
      </c>
      <c r="J831" t="s">
        <v>2199</v>
      </c>
      <c r="K831" t="s">
        <v>35</v>
      </c>
      <c r="L831">
        <v>441590682183</v>
      </c>
      <c r="M831" t="s">
        <v>2200</v>
      </c>
      <c r="N831" t="s">
        <v>65</v>
      </c>
      <c r="P831" t="s">
        <v>2206</v>
      </c>
      <c r="Q831" t="s">
        <v>2207</v>
      </c>
      <c r="R831" t="s">
        <v>58</v>
      </c>
      <c r="S831" t="s">
        <v>40</v>
      </c>
      <c r="T831" s="1">
        <v>41927</v>
      </c>
      <c r="U831">
        <v>0</v>
      </c>
      <c r="V831">
        <v>20</v>
      </c>
      <c r="Y831" t="s">
        <v>42</v>
      </c>
      <c r="Z831" t="s">
        <v>43</v>
      </c>
      <c r="AA831" t="s">
        <v>42</v>
      </c>
      <c r="AB831" t="s">
        <v>2203</v>
      </c>
      <c r="AD831" t="s">
        <v>3143</v>
      </c>
    </row>
    <row r="832" spans="1:30" x14ac:dyDescent="0.4">
      <c r="A832" t="s">
        <v>27</v>
      </c>
      <c r="B832">
        <v>1298</v>
      </c>
      <c r="C832" t="s">
        <v>28</v>
      </c>
      <c r="D832" t="s">
        <v>2195</v>
      </c>
      <c r="E832" t="s">
        <v>2196</v>
      </c>
      <c r="F832" t="s">
        <v>2197</v>
      </c>
      <c r="G832" t="s">
        <v>2198</v>
      </c>
      <c r="H832" t="s">
        <v>1270</v>
      </c>
      <c r="I832" t="s">
        <v>51</v>
      </c>
      <c r="J832" t="s">
        <v>2199</v>
      </c>
      <c r="K832" t="s">
        <v>35</v>
      </c>
      <c r="L832">
        <v>441590682183</v>
      </c>
      <c r="M832" t="s">
        <v>2200</v>
      </c>
      <c r="N832" t="s">
        <v>65</v>
      </c>
      <c r="P832" t="s">
        <v>2204</v>
      </c>
      <c r="Q832" t="s">
        <v>2205</v>
      </c>
      <c r="R832" t="s">
        <v>58</v>
      </c>
      <c r="S832" t="s">
        <v>40</v>
      </c>
      <c r="T832" s="1">
        <v>43600</v>
      </c>
      <c r="U832">
        <v>0</v>
      </c>
      <c r="V832">
        <v>18</v>
      </c>
      <c r="Y832" t="s">
        <v>42</v>
      </c>
      <c r="Z832" t="s">
        <v>43</v>
      </c>
      <c r="AA832" t="s">
        <v>42</v>
      </c>
      <c r="AB832" t="s">
        <v>2203</v>
      </c>
      <c r="AD832" t="s">
        <v>3143</v>
      </c>
    </row>
    <row r="833" spans="1:30" x14ac:dyDescent="0.4">
      <c r="A833" t="s">
        <v>27</v>
      </c>
      <c r="B833">
        <v>1298</v>
      </c>
      <c r="C833" t="s">
        <v>28</v>
      </c>
      <c r="D833" t="s">
        <v>2195</v>
      </c>
      <c r="E833" t="s">
        <v>2196</v>
      </c>
      <c r="F833" t="s">
        <v>2197</v>
      </c>
      <c r="G833" t="s">
        <v>2198</v>
      </c>
      <c r="H833" t="s">
        <v>1270</v>
      </c>
      <c r="I833" t="s">
        <v>51</v>
      </c>
      <c r="J833" t="s">
        <v>2199</v>
      </c>
      <c r="K833" t="s">
        <v>35</v>
      </c>
      <c r="L833">
        <v>441590682183</v>
      </c>
      <c r="M833" t="s">
        <v>2200</v>
      </c>
      <c r="N833" t="s">
        <v>3138</v>
      </c>
      <c r="P833" t="s">
        <v>2201</v>
      </c>
      <c r="Q833" t="s">
        <v>2202</v>
      </c>
      <c r="R833" t="s">
        <v>58</v>
      </c>
      <c r="S833" t="s">
        <v>82</v>
      </c>
      <c r="T833" s="1">
        <v>44880</v>
      </c>
      <c r="U833">
        <v>0</v>
      </c>
      <c r="V833">
        <v>9</v>
      </c>
      <c r="Y833" t="s">
        <v>42</v>
      </c>
      <c r="Z833" t="s">
        <v>43</v>
      </c>
      <c r="AA833" t="s">
        <v>42</v>
      </c>
      <c r="AB833" t="s">
        <v>2203</v>
      </c>
      <c r="AD833" t="s">
        <v>3143</v>
      </c>
    </row>
    <row r="834" spans="1:30" x14ac:dyDescent="0.4">
      <c r="A834" t="s">
        <v>27</v>
      </c>
      <c r="B834">
        <v>1515</v>
      </c>
      <c r="C834" t="s">
        <v>195</v>
      </c>
      <c r="D834" t="s">
        <v>2208</v>
      </c>
      <c r="E834" t="s">
        <v>2209</v>
      </c>
      <c r="F834" t="s">
        <v>2210</v>
      </c>
      <c r="G834" t="s">
        <v>2211</v>
      </c>
      <c r="H834" t="s">
        <v>2212</v>
      </c>
      <c r="I834" t="s">
        <v>1914</v>
      </c>
      <c r="J834" t="s">
        <v>2213</v>
      </c>
      <c r="K834" t="s">
        <v>35</v>
      </c>
      <c r="L834">
        <v>7831883083</v>
      </c>
      <c r="M834" t="s">
        <v>2214</v>
      </c>
      <c r="N834" t="s">
        <v>3067</v>
      </c>
      <c r="P834" t="s">
        <v>2215</v>
      </c>
      <c r="Q834" t="s">
        <v>2216</v>
      </c>
      <c r="R834" t="s">
        <v>94</v>
      </c>
      <c r="S834" t="s">
        <v>40</v>
      </c>
      <c r="T834" s="1">
        <v>44058</v>
      </c>
      <c r="U834">
        <v>0</v>
      </c>
      <c r="V834">
        <v>20</v>
      </c>
      <c r="Y834" t="s">
        <v>42</v>
      </c>
      <c r="Z834" t="s">
        <v>43</v>
      </c>
      <c r="AA834" t="s">
        <v>43</v>
      </c>
      <c r="AB834" t="s">
        <v>2217</v>
      </c>
      <c r="AD834" t="s">
        <v>3143</v>
      </c>
    </row>
    <row r="835" spans="1:30" x14ac:dyDescent="0.4">
      <c r="A835" t="s">
        <v>27</v>
      </c>
      <c r="B835">
        <v>1515</v>
      </c>
      <c r="C835" t="s">
        <v>195</v>
      </c>
      <c r="D835" t="s">
        <v>2208</v>
      </c>
      <c r="E835" t="s">
        <v>2209</v>
      </c>
      <c r="F835" t="s">
        <v>2210</v>
      </c>
      <c r="G835" t="s">
        <v>2211</v>
      </c>
      <c r="H835" t="s">
        <v>2212</v>
      </c>
      <c r="I835" t="s">
        <v>1914</v>
      </c>
      <c r="J835" t="s">
        <v>2213</v>
      </c>
      <c r="K835" t="s">
        <v>35</v>
      </c>
      <c r="L835">
        <v>7831883083</v>
      </c>
      <c r="M835" t="s">
        <v>2214</v>
      </c>
      <c r="N835" t="s">
        <v>3067</v>
      </c>
      <c r="P835" t="s">
        <v>2215</v>
      </c>
      <c r="Q835" t="s">
        <v>2216</v>
      </c>
      <c r="R835" t="s">
        <v>94</v>
      </c>
      <c r="S835" t="s">
        <v>40</v>
      </c>
      <c r="T835" s="1">
        <v>44058</v>
      </c>
      <c r="U835">
        <v>0</v>
      </c>
      <c r="V835">
        <v>18</v>
      </c>
      <c r="Y835" t="s">
        <v>42</v>
      </c>
      <c r="Z835" t="s">
        <v>43</v>
      </c>
      <c r="AA835" t="s">
        <v>43</v>
      </c>
      <c r="AB835" t="s">
        <v>2217</v>
      </c>
      <c r="AD835" t="s">
        <v>3143</v>
      </c>
    </row>
    <row r="836" spans="1:30" x14ac:dyDescent="0.4">
      <c r="A836" t="s">
        <v>27</v>
      </c>
      <c r="B836">
        <v>1515</v>
      </c>
      <c r="C836" t="s">
        <v>195</v>
      </c>
      <c r="D836" t="s">
        <v>2208</v>
      </c>
      <c r="E836" t="s">
        <v>2209</v>
      </c>
      <c r="F836" t="s">
        <v>2210</v>
      </c>
      <c r="G836" t="s">
        <v>2211</v>
      </c>
      <c r="H836" t="s">
        <v>2212</v>
      </c>
      <c r="I836" t="s">
        <v>1914</v>
      </c>
      <c r="J836" t="s">
        <v>2213</v>
      </c>
      <c r="K836" t="s">
        <v>35</v>
      </c>
      <c r="L836">
        <v>7831883083</v>
      </c>
      <c r="M836" t="s">
        <v>2214</v>
      </c>
      <c r="N836" t="s">
        <v>3067</v>
      </c>
      <c r="P836" t="s">
        <v>2218</v>
      </c>
      <c r="Q836" t="s">
        <v>2219</v>
      </c>
      <c r="R836" t="s">
        <v>94</v>
      </c>
      <c r="S836" t="s">
        <v>40</v>
      </c>
      <c r="T836" s="1">
        <v>45179</v>
      </c>
      <c r="U836">
        <v>0</v>
      </c>
      <c r="V836">
        <v>16</v>
      </c>
      <c r="Y836" t="s">
        <v>42</v>
      </c>
      <c r="Z836" t="s">
        <v>43</v>
      </c>
      <c r="AA836" t="s">
        <v>43</v>
      </c>
      <c r="AB836" t="s">
        <v>2217</v>
      </c>
      <c r="AD836" t="s">
        <v>3143</v>
      </c>
    </row>
    <row r="837" spans="1:30" x14ac:dyDescent="0.4">
      <c r="A837" t="s">
        <v>27</v>
      </c>
      <c r="B837">
        <v>1515</v>
      </c>
      <c r="C837" t="s">
        <v>195</v>
      </c>
      <c r="D837" t="s">
        <v>2208</v>
      </c>
      <c r="E837" t="s">
        <v>2209</v>
      </c>
      <c r="F837" t="s">
        <v>2210</v>
      </c>
      <c r="G837" t="s">
        <v>2211</v>
      </c>
      <c r="H837" t="s">
        <v>2212</v>
      </c>
      <c r="I837" t="s">
        <v>1914</v>
      </c>
      <c r="J837" t="s">
        <v>2213</v>
      </c>
      <c r="K837" t="s">
        <v>35</v>
      </c>
      <c r="L837">
        <v>7831883083</v>
      </c>
      <c r="M837" t="s">
        <v>2214</v>
      </c>
      <c r="N837" t="s">
        <v>3067</v>
      </c>
      <c r="P837" t="s">
        <v>2218</v>
      </c>
      <c r="Q837" t="s">
        <v>2219</v>
      </c>
      <c r="R837" t="s">
        <v>94</v>
      </c>
      <c r="S837" t="s">
        <v>40</v>
      </c>
      <c r="T837" s="1">
        <v>45179</v>
      </c>
      <c r="U837">
        <v>0</v>
      </c>
      <c r="V837">
        <v>14</v>
      </c>
      <c r="Y837" t="s">
        <v>42</v>
      </c>
      <c r="Z837" t="s">
        <v>43</v>
      </c>
      <c r="AA837" t="s">
        <v>43</v>
      </c>
      <c r="AB837" t="s">
        <v>2217</v>
      </c>
      <c r="AD837" t="s">
        <v>3143</v>
      </c>
    </row>
    <row r="838" spans="1:30" x14ac:dyDescent="0.4">
      <c r="A838" t="s">
        <v>27</v>
      </c>
      <c r="B838">
        <v>2207</v>
      </c>
      <c r="C838" t="s">
        <v>68</v>
      </c>
      <c r="D838" t="s">
        <v>2220</v>
      </c>
      <c r="E838" t="s">
        <v>2221</v>
      </c>
      <c r="F838" t="s">
        <v>2222</v>
      </c>
      <c r="G838" t="s">
        <v>2223</v>
      </c>
      <c r="H838" t="s">
        <v>2224</v>
      </c>
      <c r="I838" t="s">
        <v>2225</v>
      </c>
      <c r="J838" t="s">
        <v>2226</v>
      </c>
      <c r="K838" t="s">
        <v>35</v>
      </c>
      <c r="L838" t="s">
        <v>2227</v>
      </c>
      <c r="M838" t="s">
        <v>2228</v>
      </c>
      <c r="N838" t="s">
        <v>3085</v>
      </c>
      <c r="P838" t="s">
        <v>3120</v>
      </c>
      <c r="Q838" t="s">
        <v>2231</v>
      </c>
      <c r="R838" t="s">
        <v>94</v>
      </c>
      <c r="S838" t="s">
        <v>40</v>
      </c>
      <c r="T838" s="1">
        <v>44809</v>
      </c>
      <c r="U838">
        <v>0</v>
      </c>
      <c r="V838">
        <v>14</v>
      </c>
      <c r="Y838" t="s">
        <v>42</v>
      </c>
      <c r="Z838" t="s">
        <v>43</v>
      </c>
      <c r="AA838" t="s">
        <v>42</v>
      </c>
      <c r="AD838" t="s">
        <v>3143</v>
      </c>
    </row>
    <row r="839" spans="1:30" x14ac:dyDescent="0.4">
      <c r="A839" t="s">
        <v>27</v>
      </c>
      <c r="B839">
        <v>2207</v>
      </c>
      <c r="C839" t="s">
        <v>68</v>
      </c>
      <c r="D839" t="s">
        <v>2220</v>
      </c>
      <c r="E839" t="s">
        <v>2221</v>
      </c>
      <c r="F839" t="s">
        <v>2222</v>
      </c>
      <c r="G839" t="s">
        <v>2223</v>
      </c>
      <c r="H839" t="s">
        <v>2224</v>
      </c>
      <c r="I839" t="s">
        <v>2225</v>
      </c>
      <c r="J839" t="s">
        <v>2226</v>
      </c>
      <c r="K839" t="s">
        <v>35</v>
      </c>
      <c r="L839" t="s">
        <v>2227</v>
      </c>
      <c r="M839" t="s">
        <v>2228</v>
      </c>
      <c r="N839" t="s">
        <v>3085</v>
      </c>
      <c r="P839" t="s">
        <v>3120</v>
      </c>
      <c r="Q839" t="s">
        <v>2231</v>
      </c>
      <c r="R839" t="s">
        <v>94</v>
      </c>
      <c r="S839" t="s">
        <v>40</v>
      </c>
      <c r="T839" s="1">
        <v>44809</v>
      </c>
      <c r="U839">
        <v>0</v>
      </c>
      <c r="V839">
        <v>16</v>
      </c>
      <c r="Y839" t="s">
        <v>42</v>
      </c>
      <c r="Z839" t="s">
        <v>43</v>
      </c>
      <c r="AA839" t="s">
        <v>42</v>
      </c>
      <c r="AD839" t="s">
        <v>3143</v>
      </c>
    </row>
    <row r="840" spans="1:30" x14ac:dyDescent="0.4">
      <c r="A840" t="s">
        <v>27</v>
      </c>
      <c r="B840">
        <v>2207</v>
      </c>
      <c r="C840" t="s">
        <v>68</v>
      </c>
      <c r="D840" t="s">
        <v>2220</v>
      </c>
      <c r="E840" t="s">
        <v>2221</v>
      </c>
      <c r="F840" t="s">
        <v>2222</v>
      </c>
      <c r="G840" t="s">
        <v>2223</v>
      </c>
      <c r="H840" t="s">
        <v>2224</v>
      </c>
      <c r="I840" t="s">
        <v>2225</v>
      </c>
      <c r="J840" t="s">
        <v>2226</v>
      </c>
      <c r="K840" t="s">
        <v>35</v>
      </c>
      <c r="L840" t="s">
        <v>2227</v>
      </c>
      <c r="M840" t="s">
        <v>2228</v>
      </c>
      <c r="N840" t="s">
        <v>3085</v>
      </c>
      <c r="P840" t="s">
        <v>3121</v>
      </c>
      <c r="Q840" t="s">
        <v>2233</v>
      </c>
      <c r="R840" t="s">
        <v>94</v>
      </c>
      <c r="S840" t="s">
        <v>82</v>
      </c>
      <c r="T840" s="1">
        <v>43917</v>
      </c>
      <c r="U840">
        <v>0</v>
      </c>
      <c r="V840">
        <v>19</v>
      </c>
      <c r="Y840" t="s">
        <v>42</v>
      </c>
      <c r="Z840" t="s">
        <v>43</v>
      </c>
      <c r="AA840" t="s">
        <v>42</v>
      </c>
      <c r="AD840" t="s">
        <v>3143</v>
      </c>
    </row>
    <row r="841" spans="1:30" x14ac:dyDescent="0.4">
      <c r="A841" t="s">
        <v>27</v>
      </c>
      <c r="B841">
        <v>2207</v>
      </c>
      <c r="C841" t="s">
        <v>68</v>
      </c>
      <c r="D841" t="s">
        <v>2220</v>
      </c>
      <c r="E841" t="s">
        <v>2221</v>
      </c>
      <c r="F841" t="s">
        <v>2222</v>
      </c>
      <c r="G841" t="s">
        <v>2223</v>
      </c>
      <c r="H841" t="s">
        <v>2224</v>
      </c>
      <c r="I841" t="s">
        <v>2225</v>
      </c>
      <c r="J841" t="s">
        <v>2226</v>
      </c>
      <c r="K841" t="s">
        <v>35</v>
      </c>
      <c r="L841" t="s">
        <v>2227</v>
      </c>
      <c r="M841" t="s">
        <v>2228</v>
      </c>
      <c r="N841" t="s">
        <v>3085</v>
      </c>
      <c r="P841" t="s">
        <v>3122</v>
      </c>
      <c r="Q841" t="s">
        <v>2235</v>
      </c>
      <c r="R841" t="s">
        <v>94</v>
      </c>
      <c r="S841" t="s">
        <v>82</v>
      </c>
      <c r="T841" s="1">
        <v>42743</v>
      </c>
      <c r="U841">
        <v>0</v>
      </c>
      <c r="V841">
        <v>21</v>
      </c>
      <c r="Y841" t="s">
        <v>42</v>
      </c>
      <c r="Z841" t="s">
        <v>43</v>
      </c>
      <c r="AA841" t="s">
        <v>42</v>
      </c>
      <c r="AD841" t="s">
        <v>3143</v>
      </c>
    </row>
    <row r="842" spans="1:30" x14ac:dyDescent="0.4">
      <c r="A842" t="s">
        <v>27</v>
      </c>
      <c r="B842">
        <v>5523</v>
      </c>
      <c r="C842" t="s">
        <v>68</v>
      </c>
      <c r="D842" t="s">
        <v>2236</v>
      </c>
      <c r="E842" t="s">
        <v>258</v>
      </c>
      <c r="F842" t="s">
        <v>2237</v>
      </c>
      <c r="G842" t="s">
        <v>2238</v>
      </c>
      <c r="H842" t="s">
        <v>2239</v>
      </c>
      <c r="I842" t="s">
        <v>73</v>
      </c>
      <c r="J842" t="s">
        <v>2240</v>
      </c>
      <c r="K842" t="s">
        <v>35</v>
      </c>
      <c r="L842">
        <v>7977580708</v>
      </c>
      <c r="M842" t="s">
        <v>2241</v>
      </c>
      <c r="N842" t="s">
        <v>2902</v>
      </c>
      <c r="P842" t="s">
        <v>2242</v>
      </c>
      <c r="Q842" t="s">
        <v>2243</v>
      </c>
      <c r="R842" t="s">
        <v>287</v>
      </c>
      <c r="S842" t="s">
        <v>40</v>
      </c>
      <c r="T842" s="1">
        <v>44348</v>
      </c>
      <c r="U842">
        <v>0</v>
      </c>
      <c r="V842">
        <v>1</v>
      </c>
      <c r="Y842" t="s">
        <v>42</v>
      </c>
      <c r="Z842" t="s">
        <v>43</v>
      </c>
      <c r="AA842" t="s">
        <v>43</v>
      </c>
      <c r="AD842" t="s">
        <v>3143</v>
      </c>
    </row>
    <row r="843" spans="1:30" x14ac:dyDescent="0.4">
      <c r="A843" t="s">
        <v>27</v>
      </c>
      <c r="B843">
        <v>5523</v>
      </c>
      <c r="C843" t="s">
        <v>68</v>
      </c>
      <c r="D843" t="s">
        <v>2236</v>
      </c>
      <c r="E843" t="s">
        <v>258</v>
      </c>
      <c r="F843" t="s">
        <v>2237</v>
      </c>
      <c r="G843" t="s">
        <v>2238</v>
      </c>
      <c r="H843" t="s">
        <v>2239</v>
      </c>
      <c r="I843" t="s">
        <v>73</v>
      </c>
      <c r="J843" t="s">
        <v>2240</v>
      </c>
      <c r="K843" t="s">
        <v>35</v>
      </c>
      <c r="L843">
        <v>7977580708</v>
      </c>
      <c r="M843" t="s">
        <v>2241</v>
      </c>
      <c r="N843" t="s">
        <v>2902</v>
      </c>
      <c r="P843" t="s">
        <v>2242</v>
      </c>
      <c r="Q843" t="s">
        <v>2243</v>
      </c>
      <c r="R843" t="s">
        <v>284</v>
      </c>
      <c r="S843" t="s">
        <v>40</v>
      </c>
      <c r="T843" s="1">
        <v>44348</v>
      </c>
      <c r="U843">
        <v>0</v>
      </c>
      <c r="V843">
        <v>2</v>
      </c>
      <c r="Y843" t="s">
        <v>42</v>
      </c>
      <c r="Z843" t="s">
        <v>43</v>
      </c>
      <c r="AA843" t="s">
        <v>43</v>
      </c>
      <c r="AD843" t="s">
        <v>3143</v>
      </c>
    </row>
    <row r="844" spans="1:30" x14ac:dyDescent="0.4">
      <c r="A844" t="s">
        <v>27</v>
      </c>
      <c r="B844">
        <v>5523</v>
      </c>
      <c r="C844" t="s">
        <v>68</v>
      </c>
      <c r="D844" t="s">
        <v>2236</v>
      </c>
      <c r="E844" t="s">
        <v>258</v>
      </c>
      <c r="F844" t="s">
        <v>2237</v>
      </c>
      <c r="G844" t="s">
        <v>2238</v>
      </c>
      <c r="H844" t="s">
        <v>2239</v>
      </c>
      <c r="I844" t="s">
        <v>73</v>
      </c>
      <c r="J844" t="s">
        <v>2240</v>
      </c>
      <c r="K844" t="s">
        <v>35</v>
      </c>
      <c r="L844">
        <v>7977580708</v>
      </c>
      <c r="M844" t="s">
        <v>2241</v>
      </c>
      <c r="N844" t="s">
        <v>2902</v>
      </c>
      <c r="P844" t="s">
        <v>2242</v>
      </c>
      <c r="Q844" t="s">
        <v>2243</v>
      </c>
      <c r="R844" t="s">
        <v>284</v>
      </c>
      <c r="S844" t="s">
        <v>40</v>
      </c>
      <c r="T844" s="1">
        <v>44348</v>
      </c>
      <c r="U844">
        <v>0</v>
      </c>
      <c r="V844">
        <v>9</v>
      </c>
      <c r="Y844" t="s">
        <v>42</v>
      </c>
      <c r="Z844" t="s">
        <v>43</v>
      </c>
      <c r="AA844" t="s">
        <v>43</v>
      </c>
      <c r="AD844" t="s">
        <v>3143</v>
      </c>
    </row>
    <row r="845" spans="1:30" x14ac:dyDescent="0.4">
      <c r="A845" t="s">
        <v>27</v>
      </c>
      <c r="B845">
        <v>5523</v>
      </c>
      <c r="C845" t="s">
        <v>68</v>
      </c>
      <c r="D845" t="s">
        <v>2236</v>
      </c>
      <c r="E845" t="s">
        <v>258</v>
      </c>
      <c r="F845" t="s">
        <v>2237</v>
      </c>
      <c r="G845" t="s">
        <v>2238</v>
      </c>
      <c r="H845" t="s">
        <v>2239</v>
      </c>
      <c r="I845" t="s">
        <v>73</v>
      </c>
      <c r="J845" t="s">
        <v>2240</v>
      </c>
      <c r="K845" t="s">
        <v>35</v>
      </c>
      <c r="L845">
        <v>7977580708</v>
      </c>
      <c r="M845" t="s">
        <v>2241</v>
      </c>
      <c r="N845" t="s">
        <v>2902</v>
      </c>
      <c r="P845" t="s">
        <v>2242</v>
      </c>
      <c r="Q845" t="s">
        <v>2243</v>
      </c>
      <c r="R845" t="s">
        <v>284</v>
      </c>
      <c r="S845" t="s">
        <v>40</v>
      </c>
      <c r="T845" s="1">
        <v>44348</v>
      </c>
      <c r="U845">
        <v>0</v>
      </c>
      <c r="V845">
        <v>10</v>
      </c>
      <c r="Y845" t="s">
        <v>42</v>
      </c>
      <c r="Z845" t="s">
        <v>43</v>
      </c>
      <c r="AA845" t="s">
        <v>43</v>
      </c>
      <c r="AD845" t="s">
        <v>3143</v>
      </c>
    </row>
    <row r="846" spans="1:30" x14ac:dyDescent="0.4">
      <c r="A846" t="s">
        <v>27</v>
      </c>
      <c r="B846">
        <v>3902</v>
      </c>
      <c r="C846" t="s">
        <v>68</v>
      </c>
      <c r="D846" t="s">
        <v>2244</v>
      </c>
      <c r="E846" t="s">
        <v>2245</v>
      </c>
      <c r="F846" t="s">
        <v>2246</v>
      </c>
      <c r="G846" t="s">
        <v>2247</v>
      </c>
      <c r="H846" t="s">
        <v>2248</v>
      </c>
      <c r="I846" t="s">
        <v>73</v>
      </c>
      <c r="J846" t="s">
        <v>2249</v>
      </c>
      <c r="K846" t="s">
        <v>35</v>
      </c>
      <c r="L846" t="s">
        <v>2250</v>
      </c>
      <c r="M846" t="s">
        <v>2251</v>
      </c>
      <c r="N846" t="s">
        <v>2252</v>
      </c>
      <c r="P846" t="s">
        <v>2253</v>
      </c>
      <c r="Q846" t="s">
        <v>2254</v>
      </c>
      <c r="R846" t="s">
        <v>960</v>
      </c>
      <c r="S846" t="s">
        <v>82</v>
      </c>
      <c r="T846" s="1">
        <v>42531</v>
      </c>
      <c r="U846">
        <v>0</v>
      </c>
      <c r="V846">
        <v>4</v>
      </c>
      <c r="W846" t="s">
        <v>65</v>
      </c>
      <c r="Y846" t="s">
        <v>42</v>
      </c>
      <c r="Z846" t="s">
        <v>43</v>
      </c>
      <c r="AA846" t="s">
        <v>43</v>
      </c>
      <c r="AD846" t="s">
        <v>3143</v>
      </c>
    </row>
    <row r="847" spans="1:30" x14ac:dyDescent="0.4">
      <c r="A847" t="s">
        <v>27</v>
      </c>
      <c r="B847">
        <v>3902</v>
      </c>
      <c r="C847" t="s">
        <v>68</v>
      </c>
      <c r="D847" t="s">
        <v>2244</v>
      </c>
      <c r="E847" t="s">
        <v>2245</v>
      </c>
      <c r="F847" t="s">
        <v>2246</v>
      </c>
      <c r="G847" t="s">
        <v>2247</v>
      </c>
      <c r="H847" t="s">
        <v>2248</v>
      </c>
      <c r="I847" t="s">
        <v>73</v>
      </c>
      <c r="J847" t="s">
        <v>2249</v>
      </c>
      <c r="K847" t="s">
        <v>35</v>
      </c>
      <c r="L847" t="s">
        <v>2250</v>
      </c>
      <c r="M847" t="s">
        <v>2251</v>
      </c>
      <c r="N847" t="s">
        <v>2252</v>
      </c>
      <c r="P847" t="s">
        <v>2253</v>
      </c>
      <c r="Q847" t="s">
        <v>2254</v>
      </c>
      <c r="R847" t="s">
        <v>960</v>
      </c>
      <c r="S847" t="s">
        <v>82</v>
      </c>
      <c r="T847" s="1">
        <v>42531</v>
      </c>
      <c r="U847">
        <v>0</v>
      </c>
      <c r="V847">
        <v>5</v>
      </c>
      <c r="W847" t="s">
        <v>66</v>
      </c>
      <c r="Y847" t="s">
        <v>42</v>
      </c>
      <c r="Z847" t="s">
        <v>43</v>
      </c>
      <c r="AA847" t="s">
        <v>43</v>
      </c>
      <c r="AD847" t="s">
        <v>3143</v>
      </c>
    </row>
    <row r="848" spans="1:30" x14ac:dyDescent="0.4">
      <c r="A848" t="s">
        <v>27</v>
      </c>
      <c r="B848">
        <v>3902</v>
      </c>
      <c r="C848" t="s">
        <v>68</v>
      </c>
      <c r="D848" t="s">
        <v>2244</v>
      </c>
      <c r="E848" t="s">
        <v>2245</v>
      </c>
      <c r="F848" t="s">
        <v>2246</v>
      </c>
      <c r="G848" t="s">
        <v>2247</v>
      </c>
      <c r="H848" t="s">
        <v>2248</v>
      </c>
      <c r="I848" t="s">
        <v>73</v>
      </c>
      <c r="J848" t="s">
        <v>2249</v>
      </c>
      <c r="K848" t="s">
        <v>35</v>
      </c>
      <c r="L848" t="s">
        <v>2250</v>
      </c>
      <c r="M848" t="s">
        <v>2251</v>
      </c>
      <c r="N848" t="s">
        <v>2252</v>
      </c>
      <c r="P848" t="s">
        <v>2255</v>
      </c>
      <c r="Q848" t="s">
        <v>2256</v>
      </c>
      <c r="R848" t="s">
        <v>960</v>
      </c>
      <c r="S848" t="s">
        <v>82</v>
      </c>
      <c r="T848" s="1">
        <v>43389</v>
      </c>
      <c r="U848">
        <v>0</v>
      </c>
      <c r="V848">
        <v>4</v>
      </c>
      <c r="W848" t="s">
        <v>65</v>
      </c>
      <c r="Y848" t="s">
        <v>42</v>
      </c>
      <c r="Z848" t="s">
        <v>43</v>
      </c>
      <c r="AA848" t="s">
        <v>43</v>
      </c>
      <c r="AD848" t="s">
        <v>3143</v>
      </c>
    </row>
    <row r="849" spans="1:30" x14ac:dyDescent="0.4">
      <c r="A849" t="s">
        <v>27</v>
      </c>
      <c r="B849">
        <v>1786</v>
      </c>
      <c r="C849" t="s">
        <v>68</v>
      </c>
      <c r="D849" t="s">
        <v>2257</v>
      </c>
      <c r="E849" t="s">
        <v>2258</v>
      </c>
      <c r="F849" t="s">
        <v>2259</v>
      </c>
      <c r="G849" t="s">
        <v>2260</v>
      </c>
      <c r="H849" t="s">
        <v>1732</v>
      </c>
      <c r="I849" t="s">
        <v>495</v>
      </c>
      <c r="J849" t="s">
        <v>2261</v>
      </c>
      <c r="K849" t="s">
        <v>35</v>
      </c>
      <c r="L849" t="s">
        <v>2262</v>
      </c>
      <c r="M849" t="s">
        <v>2263</v>
      </c>
      <c r="N849" t="s">
        <v>2264</v>
      </c>
      <c r="P849" t="s">
        <v>2265</v>
      </c>
      <c r="Q849" t="s">
        <v>2266</v>
      </c>
      <c r="R849" t="s">
        <v>58</v>
      </c>
      <c r="S849" t="s">
        <v>40</v>
      </c>
      <c r="T849" s="1">
        <v>45364</v>
      </c>
      <c r="U849">
        <v>0</v>
      </c>
      <c r="V849">
        <v>4</v>
      </c>
      <c r="W849" t="s">
        <v>65</v>
      </c>
      <c r="X849" t="s">
        <v>135</v>
      </c>
      <c r="Y849" t="s">
        <v>42</v>
      </c>
      <c r="Z849" t="s">
        <v>43</v>
      </c>
      <c r="AA849" t="s">
        <v>43</v>
      </c>
      <c r="AD849" t="s">
        <v>3143</v>
      </c>
    </row>
    <row r="850" spans="1:30" x14ac:dyDescent="0.4">
      <c r="A850" t="s">
        <v>27</v>
      </c>
      <c r="B850">
        <v>1786</v>
      </c>
      <c r="C850" t="s">
        <v>68</v>
      </c>
      <c r="D850" t="s">
        <v>2257</v>
      </c>
      <c r="E850" t="s">
        <v>2258</v>
      </c>
      <c r="F850" t="s">
        <v>2259</v>
      </c>
      <c r="G850" t="s">
        <v>2260</v>
      </c>
      <c r="H850" t="s">
        <v>1732</v>
      </c>
      <c r="I850" t="s">
        <v>495</v>
      </c>
      <c r="J850" t="s">
        <v>2261</v>
      </c>
      <c r="K850" t="s">
        <v>35</v>
      </c>
      <c r="L850" t="s">
        <v>2262</v>
      </c>
      <c r="M850" t="s">
        <v>2263</v>
      </c>
      <c r="N850" t="s">
        <v>2264</v>
      </c>
      <c r="P850" t="s">
        <v>2267</v>
      </c>
      <c r="Q850" t="s">
        <v>2268</v>
      </c>
      <c r="R850" t="s">
        <v>58</v>
      </c>
      <c r="S850" t="s">
        <v>82</v>
      </c>
      <c r="T850" s="1">
        <v>44592</v>
      </c>
      <c r="U850">
        <v>0</v>
      </c>
      <c r="V850">
        <v>5</v>
      </c>
      <c r="W850" t="s">
        <v>66</v>
      </c>
      <c r="X850" t="s">
        <v>135</v>
      </c>
      <c r="Y850" t="s">
        <v>42</v>
      </c>
      <c r="Z850" t="s">
        <v>43</v>
      </c>
      <c r="AA850" t="s">
        <v>43</v>
      </c>
      <c r="AD850" t="s">
        <v>3143</v>
      </c>
    </row>
    <row r="851" spans="1:30" x14ac:dyDescent="0.4">
      <c r="A851" t="s">
        <v>27</v>
      </c>
      <c r="B851">
        <v>1786</v>
      </c>
      <c r="C851" t="s">
        <v>68</v>
      </c>
      <c r="D851" t="s">
        <v>2257</v>
      </c>
      <c r="E851" t="s">
        <v>2258</v>
      </c>
      <c r="F851" t="s">
        <v>2259</v>
      </c>
      <c r="G851" t="s">
        <v>2260</v>
      </c>
      <c r="H851" t="s">
        <v>1732</v>
      </c>
      <c r="I851" t="s">
        <v>495</v>
      </c>
      <c r="J851" t="s">
        <v>2261</v>
      </c>
      <c r="K851" t="s">
        <v>35</v>
      </c>
      <c r="L851" t="s">
        <v>2262</v>
      </c>
      <c r="M851" t="s">
        <v>2263</v>
      </c>
      <c r="N851" t="s">
        <v>2264</v>
      </c>
      <c r="P851" t="s">
        <v>2265</v>
      </c>
      <c r="Q851" t="s">
        <v>2266</v>
      </c>
      <c r="R851" t="s">
        <v>58</v>
      </c>
      <c r="S851" t="s">
        <v>40</v>
      </c>
      <c r="T851" s="1">
        <v>45364</v>
      </c>
      <c r="U851">
        <v>0</v>
      </c>
      <c r="V851">
        <v>12</v>
      </c>
      <c r="X851" t="s">
        <v>135</v>
      </c>
      <c r="Y851" t="s">
        <v>42</v>
      </c>
      <c r="Z851" t="s">
        <v>43</v>
      </c>
      <c r="AA851" t="s">
        <v>43</v>
      </c>
      <c r="AD851" t="s">
        <v>3143</v>
      </c>
    </row>
    <row r="852" spans="1:30" x14ac:dyDescent="0.4">
      <c r="A852" t="s">
        <v>27</v>
      </c>
      <c r="B852">
        <v>1786</v>
      </c>
      <c r="C852" t="s">
        <v>68</v>
      </c>
      <c r="D852" t="s">
        <v>2257</v>
      </c>
      <c r="E852" t="s">
        <v>2258</v>
      </c>
      <c r="F852" t="s">
        <v>2259</v>
      </c>
      <c r="G852" t="s">
        <v>2260</v>
      </c>
      <c r="H852" t="s">
        <v>1732</v>
      </c>
      <c r="I852" t="s">
        <v>495</v>
      </c>
      <c r="J852" t="s">
        <v>2261</v>
      </c>
      <c r="K852" t="s">
        <v>35</v>
      </c>
      <c r="L852" t="s">
        <v>2262</v>
      </c>
      <c r="M852" t="s">
        <v>2263</v>
      </c>
      <c r="N852" t="s">
        <v>2264</v>
      </c>
      <c r="P852" t="s">
        <v>2267</v>
      </c>
      <c r="Q852" t="s">
        <v>2268</v>
      </c>
      <c r="R852" t="s">
        <v>58</v>
      </c>
      <c r="S852" t="s">
        <v>82</v>
      </c>
      <c r="T852" s="1">
        <v>44592</v>
      </c>
      <c r="U852">
        <v>0</v>
      </c>
      <c r="V852">
        <v>15</v>
      </c>
      <c r="X852" t="s">
        <v>135</v>
      </c>
      <c r="Y852" t="s">
        <v>42</v>
      </c>
      <c r="Z852" t="s">
        <v>43</v>
      </c>
      <c r="AA852" t="s">
        <v>43</v>
      </c>
      <c r="AD852" t="s">
        <v>3143</v>
      </c>
    </row>
    <row r="853" spans="1:30" x14ac:dyDescent="0.4">
      <c r="A853" t="s">
        <v>27</v>
      </c>
      <c r="B853">
        <v>5980</v>
      </c>
      <c r="C853" t="s">
        <v>68</v>
      </c>
      <c r="D853" t="s">
        <v>2016</v>
      </c>
      <c r="E853" t="s">
        <v>2269</v>
      </c>
      <c r="F853" t="s">
        <v>912</v>
      </c>
      <c r="G853" t="s">
        <v>2270</v>
      </c>
      <c r="H853" t="s">
        <v>2271</v>
      </c>
      <c r="I853" t="s">
        <v>2272</v>
      </c>
      <c r="J853" t="s">
        <v>2273</v>
      </c>
      <c r="K853" t="s">
        <v>35</v>
      </c>
      <c r="L853">
        <v>7718395561</v>
      </c>
      <c r="M853" t="s">
        <v>2274</v>
      </c>
      <c r="N853" t="s">
        <v>2275</v>
      </c>
      <c r="P853" t="s">
        <v>2276</v>
      </c>
      <c r="Q853" t="s">
        <v>2277</v>
      </c>
      <c r="R853" t="s">
        <v>474</v>
      </c>
      <c r="S853" t="s">
        <v>82</v>
      </c>
      <c r="T853" s="1">
        <v>42421</v>
      </c>
      <c r="U853">
        <v>0</v>
      </c>
      <c r="V853">
        <v>8</v>
      </c>
      <c r="Y853" t="s">
        <v>42</v>
      </c>
      <c r="Z853" t="s">
        <v>43</v>
      </c>
      <c r="AA853" t="s">
        <v>43</v>
      </c>
      <c r="AD853" t="s">
        <v>3143</v>
      </c>
    </row>
    <row r="854" spans="1:30" x14ac:dyDescent="0.4">
      <c r="A854" t="s">
        <v>27</v>
      </c>
      <c r="B854">
        <v>5980</v>
      </c>
      <c r="C854" t="s">
        <v>68</v>
      </c>
      <c r="D854" t="s">
        <v>2016</v>
      </c>
      <c r="E854" t="s">
        <v>2269</v>
      </c>
      <c r="F854" t="s">
        <v>912</v>
      </c>
      <c r="G854" t="s">
        <v>2270</v>
      </c>
      <c r="H854" t="s">
        <v>2271</v>
      </c>
      <c r="I854" t="s">
        <v>2272</v>
      </c>
      <c r="J854" t="s">
        <v>2273</v>
      </c>
      <c r="K854" t="s">
        <v>35</v>
      </c>
      <c r="L854">
        <v>7718395561</v>
      </c>
      <c r="M854" t="s">
        <v>2274</v>
      </c>
      <c r="N854" t="s">
        <v>2275</v>
      </c>
      <c r="P854" t="s">
        <v>2278</v>
      </c>
      <c r="Q854" t="s">
        <v>2279</v>
      </c>
      <c r="R854" t="s">
        <v>474</v>
      </c>
      <c r="S854" t="s">
        <v>82</v>
      </c>
      <c r="T854" s="1">
        <v>45380</v>
      </c>
      <c r="U854">
        <v>0</v>
      </c>
      <c r="V854">
        <v>8</v>
      </c>
      <c r="Y854" t="s">
        <v>42</v>
      </c>
      <c r="Z854" t="s">
        <v>43</v>
      </c>
      <c r="AA854" t="s">
        <v>43</v>
      </c>
      <c r="AD854" t="s">
        <v>3143</v>
      </c>
    </row>
    <row r="855" spans="1:30" x14ac:dyDescent="0.4">
      <c r="A855" t="s">
        <v>27</v>
      </c>
      <c r="B855">
        <v>490</v>
      </c>
      <c r="C855" t="s">
        <v>68</v>
      </c>
      <c r="D855" t="s">
        <v>2280</v>
      </c>
      <c r="E855" t="s">
        <v>2281</v>
      </c>
      <c r="F855" t="s">
        <v>2282</v>
      </c>
      <c r="H855" t="s">
        <v>1655</v>
      </c>
      <c r="I855" t="s">
        <v>1655</v>
      </c>
      <c r="J855" t="s">
        <v>2283</v>
      </c>
      <c r="K855" t="s">
        <v>35</v>
      </c>
      <c r="L855" t="s">
        <v>2284</v>
      </c>
      <c r="M855" t="s">
        <v>2285</v>
      </c>
      <c r="N855" t="s">
        <v>3006</v>
      </c>
      <c r="P855" t="s">
        <v>2286</v>
      </c>
      <c r="Q855" t="s">
        <v>2287</v>
      </c>
      <c r="R855" t="s">
        <v>232</v>
      </c>
      <c r="S855" t="s">
        <v>40</v>
      </c>
      <c r="T855" s="1">
        <v>45098</v>
      </c>
      <c r="U855">
        <v>0</v>
      </c>
      <c r="V855">
        <v>4</v>
      </c>
      <c r="W855" t="s">
        <v>65</v>
      </c>
      <c r="Y855" t="s">
        <v>42</v>
      </c>
      <c r="Z855" t="s">
        <v>43</v>
      </c>
      <c r="AA855" t="s">
        <v>43</v>
      </c>
      <c r="AD855" t="s">
        <v>3143</v>
      </c>
    </row>
    <row r="856" spans="1:30" x14ac:dyDescent="0.4">
      <c r="A856" t="s">
        <v>27</v>
      </c>
      <c r="B856">
        <v>490</v>
      </c>
      <c r="C856" t="s">
        <v>68</v>
      </c>
      <c r="D856" t="s">
        <v>2280</v>
      </c>
      <c r="E856" t="s">
        <v>2281</v>
      </c>
      <c r="F856" t="s">
        <v>2282</v>
      </c>
      <c r="H856" t="s">
        <v>1655</v>
      </c>
      <c r="I856" t="s">
        <v>1655</v>
      </c>
      <c r="J856" t="s">
        <v>2283</v>
      </c>
      <c r="K856" t="s">
        <v>35</v>
      </c>
      <c r="L856" t="s">
        <v>2284</v>
      </c>
      <c r="M856" t="s">
        <v>2285</v>
      </c>
      <c r="N856" t="s">
        <v>3006</v>
      </c>
      <c r="P856" t="s">
        <v>2286</v>
      </c>
      <c r="Q856" t="s">
        <v>2287</v>
      </c>
      <c r="R856" t="s">
        <v>232</v>
      </c>
      <c r="S856" t="s">
        <v>40</v>
      </c>
      <c r="T856" s="1">
        <v>45098</v>
      </c>
      <c r="U856">
        <v>0</v>
      </c>
      <c r="V856">
        <v>5</v>
      </c>
      <c r="W856" t="s">
        <v>66</v>
      </c>
      <c r="Y856" t="s">
        <v>42</v>
      </c>
      <c r="Z856" t="s">
        <v>43</v>
      </c>
      <c r="AA856" t="s">
        <v>43</v>
      </c>
      <c r="AD856" t="s">
        <v>3143</v>
      </c>
    </row>
    <row r="857" spans="1:30" x14ac:dyDescent="0.4">
      <c r="A857" t="s">
        <v>27</v>
      </c>
      <c r="B857">
        <v>490</v>
      </c>
      <c r="C857" t="s">
        <v>68</v>
      </c>
      <c r="D857" t="s">
        <v>2280</v>
      </c>
      <c r="E857" t="s">
        <v>2281</v>
      </c>
      <c r="F857" t="s">
        <v>2282</v>
      </c>
      <c r="H857" t="s">
        <v>1655</v>
      </c>
      <c r="I857" t="s">
        <v>1655</v>
      </c>
      <c r="J857" t="s">
        <v>2283</v>
      </c>
      <c r="K857" t="s">
        <v>35</v>
      </c>
      <c r="L857" t="s">
        <v>2284</v>
      </c>
      <c r="M857" t="s">
        <v>2285</v>
      </c>
      <c r="N857" t="s">
        <v>3006</v>
      </c>
      <c r="P857" t="s">
        <v>2288</v>
      </c>
      <c r="Q857" t="s">
        <v>2289</v>
      </c>
      <c r="R857" t="s">
        <v>94</v>
      </c>
      <c r="S857" t="s">
        <v>40</v>
      </c>
      <c r="T857" s="1">
        <v>42662</v>
      </c>
      <c r="U857">
        <v>0</v>
      </c>
      <c r="V857">
        <v>7</v>
      </c>
      <c r="Y857" t="s">
        <v>42</v>
      </c>
      <c r="Z857" t="s">
        <v>43</v>
      </c>
      <c r="AA857" t="s">
        <v>43</v>
      </c>
      <c r="AD857" t="s">
        <v>3143</v>
      </c>
    </row>
    <row r="858" spans="1:30" x14ac:dyDescent="0.4">
      <c r="A858" t="s">
        <v>27</v>
      </c>
      <c r="B858">
        <v>490</v>
      </c>
      <c r="C858" t="s">
        <v>68</v>
      </c>
      <c r="D858" t="s">
        <v>2280</v>
      </c>
      <c r="E858" t="s">
        <v>2281</v>
      </c>
      <c r="F858" t="s">
        <v>2282</v>
      </c>
      <c r="H858" t="s">
        <v>1655</v>
      </c>
      <c r="I858" t="s">
        <v>1655</v>
      </c>
      <c r="J858" t="s">
        <v>2283</v>
      </c>
      <c r="K858" t="s">
        <v>35</v>
      </c>
      <c r="L858" t="s">
        <v>2284</v>
      </c>
      <c r="M858" t="s">
        <v>2285</v>
      </c>
      <c r="N858" t="s">
        <v>3006</v>
      </c>
      <c r="P858" t="s">
        <v>2286</v>
      </c>
      <c r="Q858" t="s">
        <v>2287</v>
      </c>
      <c r="R858" t="s">
        <v>232</v>
      </c>
      <c r="S858" t="s">
        <v>40</v>
      </c>
      <c r="T858" s="1">
        <v>45098</v>
      </c>
      <c r="U858">
        <v>0</v>
      </c>
      <c r="V858">
        <v>12</v>
      </c>
      <c r="Y858" t="s">
        <v>42</v>
      </c>
      <c r="Z858" t="s">
        <v>43</v>
      </c>
      <c r="AA858" t="s">
        <v>43</v>
      </c>
      <c r="AD858" t="s">
        <v>3143</v>
      </c>
    </row>
    <row r="859" spans="1:30" x14ac:dyDescent="0.4">
      <c r="A859" t="s">
        <v>27</v>
      </c>
      <c r="B859">
        <v>490</v>
      </c>
      <c r="C859" t="s">
        <v>68</v>
      </c>
      <c r="D859" t="s">
        <v>2280</v>
      </c>
      <c r="E859" t="s">
        <v>2281</v>
      </c>
      <c r="F859" t="s">
        <v>2282</v>
      </c>
      <c r="H859" t="s">
        <v>1655</v>
      </c>
      <c r="I859" t="s">
        <v>1655</v>
      </c>
      <c r="J859" t="s">
        <v>2283</v>
      </c>
      <c r="K859" t="s">
        <v>35</v>
      </c>
      <c r="L859" t="s">
        <v>2284</v>
      </c>
      <c r="M859" t="s">
        <v>2285</v>
      </c>
      <c r="N859" t="s">
        <v>3006</v>
      </c>
      <c r="P859" t="s">
        <v>2286</v>
      </c>
      <c r="Q859" t="s">
        <v>2287</v>
      </c>
      <c r="R859" t="s">
        <v>232</v>
      </c>
      <c r="S859" t="s">
        <v>40</v>
      </c>
      <c r="T859" s="1">
        <v>45098</v>
      </c>
      <c r="U859">
        <v>0</v>
      </c>
      <c r="V859">
        <v>14</v>
      </c>
      <c r="Y859" t="s">
        <v>42</v>
      </c>
      <c r="Z859" t="s">
        <v>43</v>
      </c>
      <c r="AA859" t="s">
        <v>43</v>
      </c>
      <c r="AD859" t="s">
        <v>3143</v>
      </c>
    </row>
    <row r="860" spans="1:30" x14ac:dyDescent="0.4">
      <c r="A860" t="s">
        <v>27</v>
      </c>
      <c r="B860">
        <v>490</v>
      </c>
      <c r="C860" t="s">
        <v>68</v>
      </c>
      <c r="D860" t="s">
        <v>2280</v>
      </c>
      <c r="E860" t="s">
        <v>2281</v>
      </c>
      <c r="F860" t="s">
        <v>2282</v>
      </c>
      <c r="H860" t="s">
        <v>1655</v>
      </c>
      <c r="I860" t="s">
        <v>1655</v>
      </c>
      <c r="J860" t="s">
        <v>2283</v>
      </c>
      <c r="K860" t="s">
        <v>35</v>
      </c>
      <c r="L860" t="s">
        <v>2284</v>
      </c>
      <c r="M860" t="s">
        <v>2285</v>
      </c>
      <c r="N860" t="s">
        <v>3006</v>
      </c>
      <c r="P860" t="s">
        <v>2288</v>
      </c>
      <c r="Q860" t="s">
        <v>2289</v>
      </c>
      <c r="R860" t="s">
        <v>94</v>
      </c>
      <c r="S860" t="s">
        <v>40</v>
      </c>
      <c r="T860" s="1">
        <v>42662</v>
      </c>
      <c r="U860">
        <v>0</v>
      </c>
      <c r="V860">
        <v>18</v>
      </c>
      <c r="Y860" t="s">
        <v>42</v>
      </c>
      <c r="Z860" t="s">
        <v>43</v>
      </c>
      <c r="AA860" t="s">
        <v>43</v>
      </c>
      <c r="AD860" t="s">
        <v>3143</v>
      </c>
    </row>
    <row r="861" spans="1:30" x14ac:dyDescent="0.4">
      <c r="A861" t="s">
        <v>27</v>
      </c>
      <c r="B861">
        <v>1683</v>
      </c>
      <c r="C861" t="s">
        <v>68</v>
      </c>
      <c r="D861" t="s">
        <v>2290</v>
      </c>
      <c r="E861" t="s">
        <v>2291</v>
      </c>
      <c r="F861" t="s">
        <v>2292</v>
      </c>
      <c r="G861" t="s">
        <v>2293</v>
      </c>
      <c r="H861" t="s">
        <v>239</v>
      </c>
      <c r="I861" t="s">
        <v>2294</v>
      </c>
      <c r="J861" t="s">
        <v>2295</v>
      </c>
      <c r="K861" t="s">
        <v>35</v>
      </c>
      <c r="L861">
        <v>7710113711</v>
      </c>
      <c r="M861" t="s">
        <v>2296</v>
      </c>
      <c r="N861" t="s">
        <v>3007</v>
      </c>
      <c r="P861" t="s">
        <v>2297</v>
      </c>
      <c r="Q861" t="s">
        <v>2298</v>
      </c>
      <c r="R861" t="s">
        <v>1296</v>
      </c>
      <c r="S861" t="s">
        <v>40</v>
      </c>
      <c r="T861" s="1">
        <v>45428</v>
      </c>
      <c r="U861">
        <v>0</v>
      </c>
      <c r="V861">
        <v>12</v>
      </c>
      <c r="Y861" t="s">
        <v>42</v>
      </c>
      <c r="Z861" t="s">
        <v>43</v>
      </c>
      <c r="AA861" t="s">
        <v>43</v>
      </c>
      <c r="AD861" t="s">
        <v>3143</v>
      </c>
    </row>
    <row r="862" spans="1:30" x14ac:dyDescent="0.4">
      <c r="A862" t="s">
        <v>27</v>
      </c>
      <c r="B862">
        <v>1683</v>
      </c>
      <c r="C862" t="s">
        <v>68</v>
      </c>
      <c r="D862" t="s">
        <v>2290</v>
      </c>
      <c r="E862" t="s">
        <v>2291</v>
      </c>
      <c r="F862" t="s">
        <v>2292</v>
      </c>
      <c r="G862" t="s">
        <v>2293</v>
      </c>
      <c r="H862" t="s">
        <v>239</v>
      </c>
      <c r="I862" t="s">
        <v>2294</v>
      </c>
      <c r="J862" t="s">
        <v>2295</v>
      </c>
      <c r="K862" t="s">
        <v>35</v>
      </c>
      <c r="L862">
        <v>7710113711</v>
      </c>
      <c r="M862" t="s">
        <v>2296</v>
      </c>
      <c r="N862" t="s">
        <v>3007</v>
      </c>
      <c r="P862" t="s">
        <v>2299</v>
      </c>
      <c r="Q862" t="s">
        <v>2300</v>
      </c>
      <c r="R862" t="s">
        <v>1296</v>
      </c>
      <c r="S862" t="s">
        <v>40</v>
      </c>
      <c r="T862" s="1">
        <v>43579</v>
      </c>
      <c r="U862">
        <v>0</v>
      </c>
      <c r="V862">
        <v>14</v>
      </c>
      <c r="Y862" t="s">
        <v>42</v>
      </c>
      <c r="Z862" t="s">
        <v>43</v>
      </c>
      <c r="AA862" t="s">
        <v>43</v>
      </c>
      <c r="AD862" t="s">
        <v>3143</v>
      </c>
    </row>
    <row r="863" spans="1:30" x14ac:dyDescent="0.4">
      <c r="A863" t="s">
        <v>27</v>
      </c>
      <c r="B863">
        <v>1683</v>
      </c>
      <c r="C863" t="s">
        <v>68</v>
      </c>
      <c r="D863" t="s">
        <v>2290</v>
      </c>
      <c r="E863" t="s">
        <v>2291</v>
      </c>
      <c r="F863" t="s">
        <v>2292</v>
      </c>
      <c r="G863" t="s">
        <v>2293</v>
      </c>
      <c r="H863" t="s">
        <v>239</v>
      </c>
      <c r="I863" t="s">
        <v>2294</v>
      </c>
      <c r="J863" t="s">
        <v>2295</v>
      </c>
      <c r="K863" t="s">
        <v>35</v>
      </c>
      <c r="L863">
        <v>7710113711</v>
      </c>
      <c r="M863" t="s">
        <v>2296</v>
      </c>
      <c r="N863" t="s">
        <v>3007</v>
      </c>
      <c r="P863" t="s">
        <v>2299</v>
      </c>
      <c r="Q863" t="s">
        <v>2300</v>
      </c>
      <c r="R863" t="s">
        <v>1296</v>
      </c>
      <c r="S863" t="s">
        <v>40</v>
      </c>
      <c r="T863" s="1">
        <v>43579</v>
      </c>
      <c r="U863">
        <v>0</v>
      </c>
      <c r="V863">
        <v>16</v>
      </c>
      <c r="Y863" t="s">
        <v>42</v>
      </c>
      <c r="Z863" t="s">
        <v>43</v>
      </c>
      <c r="AA863" t="s">
        <v>43</v>
      </c>
      <c r="AD863" t="s">
        <v>3143</v>
      </c>
    </row>
    <row r="864" spans="1:30" x14ac:dyDescent="0.4">
      <c r="A864" t="s">
        <v>27</v>
      </c>
      <c r="B864">
        <v>673</v>
      </c>
      <c r="C864" t="s">
        <v>195</v>
      </c>
      <c r="D864" t="s">
        <v>2301</v>
      </c>
      <c r="E864" t="s">
        <v>2302</v>
      </c>
      <c r="F864" t="s">
        <v>2303</v>
      </c>
      <c r="G864" t="s">
        <v>2304</v>
      </c>
      <c r="H864" t="s">
        <v>2305</v>
      </c>
      <c r="I864" t="s">
        <v>73</v>
      </c>
      <c r="J864" t="s">
        <v>2306</v>
      </c>
      <c r="K864" t="s">
        <v>35</v>
      </c>
      <c r="L864">
        <v>1883347721</v>
      </c>
      <c r="M864" t="s">
        <v>2307</v>
      </c>
      <c r="N864" t="s">
        <v>2308</v>
      </c>
      <c r="P864" t="s">
        <v>2309</v>
      </c>
      <c r="Q864" t="s">
        <v>2310</v>
      </c>
      <c r="R864" t="s">
        <v>58</v>
      </c>
      <c r="S864" t="s">
        <v>82</v>
      </c>
      <c r="T864" s="1">
        <v>44358</v>
      </c>
      <c r="U864">
        <v>0</v>
      </c>
      <c r="V864">
        <v>4</v>
      </c>
      <c r="W864" t="s">
        <v>65</v>
      </c>
      <c r="X864" t="s">
        <v>135</v>
      </c>
      <c r="Y864" t="s">
        <v>42</v>
      </c>
      <c r="Z864" t="s">
        <v>43</v>
      </c>
      <c r="AA864" t="s">
        <v>43</v>
      </c>
      <c r="AB864" t="s">
        <v>2311</v>
      </c>
      <c r="AD864" t="s">
        <v>3143</v>
      </c>
    </row>
    <row r="865" spans="1:30" x14ac:dyDescent="0.4">
      <c r="A865" t="s">
        <v>27</v>
      </c>
      <c r="B865">
        <v>673</v>
      </c>
      <c r="C865" t="s">
        <v>195</v>
      </c>
      <c r="D865" t="s">
        <v>2301</v>
      </c>
      <c r="E865" t="s">
        <v>2302</v>
      </c>
      <c r="F865" t="s">
        <v>2303</v>
      </c>
      <c r="G865" t="s">
        <v>2304</v>
      </c>
      <c r="H865" t="s">
        <v>2305</v>
      </c>
      <c r="I865" t="s">
        <v>73</v>
      </c>
      <c r="J865" t="s">
        <v>2306</v>
      </c>
      <c r="K865" t="s">
        <v>35</v>
      </c>
      <c r="L865">
        <v>1883347721</v>
      </c>
      <c r="M865" t="s">
        <v>2307</v>
      </c>
      <c r="N865" t="s">
        <v>2308</v>
      </c>
      <c r="P865" t="s">
        <v>2309</v>
      </c>
      <c r="Q865" t="s">
        <v>2310</v>
      </c>
      <c r="R865" t="s">
        <v>58</v>
      </c>
      <c r="S865" t="s">
        <v>82</v>
      </c>
      <c r="T865" s="1">
        <v>44358</v>
      </c>
      <c r="U865">
        <v>0</v>
      </c>
      <c r="V865">
        <v>5</v>
      </c>
      <c r="W865" t="s">
        <v>66</v>
      </c>
      <c r="X865" t="s">
        <v>135</v>
      </c>
      <c r="Y865" t="s">
        <v>42</v>
      </c>
      <c r="Z865" t="s">
        <v>43</v>
      </c>
      <c r="AA865" t="s">
        <v>43</v>
      </c>
      <c r="AB865" t="s">
        <v>2311</v>
      </c>
      <c r="AD865" t="s">
        <v>3143</v>
      </c>
    </row>
    <row r="866" spans="1:30" x14ac:dyDescent="0.4">
      <c r="A866" t="s">
        <v>27</v>
      </c>
      <c r="B866">
        <v>673</v>
      </c>
      <c r="C866" t="s">
        <v>195</v>
      </c>
      <c r="D866" t="s">
        <v>2301</v>
      </c>
      <c r="E866" t="s">
        <v>2302</v>
      </c>
      <c r="F866" t="s">
        <v>2303</v>
      </c>
      <c r="G866" t="s">
        <v>2304</v>
      </c>
      <c r="H866" t="s">
        <v>2305</v>
      </c>
      <c r="I866" t="s">
        <v>73</v>
      </c>
      <c r="J866" t="s">
        <v>2306</v>
      </c>
      <c r="K866" t="s">
        <v>35</v>
      </c>
      <c r="L866">
        <v>1883347721</v>
      </c>
      <c r="M866" t="s">
        <v>2307</v>
      </c>
      <c r="N866" t="s">
        <v>2308</v>
      </c>
      <c r="P866" t="s">
        <v>2312</v>
      </c>
      <c r="Q866" t="s">
        <v>2313</v>
      </c>
      <c r="R866" t="s">
        <v>58</v>
      </c>
      <c r="S866" t="s">
        <v>40</v>
      </c>
      <c r="T866" s="1">
        <v>42747</v>
      </c>
      <c r="U866">
        <v>0</v>
      </c>
      <c r="V866">
        <v>5</v>
      </c>
      <c r="W866" t="s">
        <v>66</v>
      </c>
      <c r="X866" t="s">
        <v>135</v>
      </c>
      <c r="Y866" t="s">
        <v>42</v>
      </c>
      <c r="Z866" t="s">
        <v>43</v>
      </c>
      <c r="AA866" t="s">
        <v>43</v>
      </c>
      <c r="AB866" t="s">
        <v>2311</v>
      </c>
      <c r="AD866" t="s">
        <v>3143</v>
      </c>
    </row>
    <row r="867" spans="1:30" x14ac:dyDescent="0.4">
      <c r="A867" t="s">
        <v>27</v>
      </c>
      <c r="B867">
        <v>673</v>
      </c>
      <c r="C867" t="s">
        <v>195</v>
      </c>
      <c r="D867" t="s">
        <v>2301</v>
      </c>
      <c r="E867" t="s">
        <v>2302</v>
      </c>
      <c r="F867" t="s">
        <v>2303</v>
      </c>
      <c r="G867" t="s">
        <v>2304</v>
      </c>
      <c r="H867" t="s">
        <v>2305</v>
      </c>
      <c r="I867" t="s">
        <v>73</v>
      </c>
      <c r="J867" t="s">
        <v>2306</v>
      </c>
      <c r="K867" t="s">
        <v>35</v>
      </c>
      <c r="L867">
        <v>1883347721</v>
      </c>
      <c r="M867" t="s">
        <v>2307</v>
      </c>
      <c r="N867" t="s">
        <v>2308</v>
      </c>
      <c r="P867" t="s">
        <v>2312</v>
      </c>
      <c r="Q867" t="s">
        <v>2313</v>
      </c>
      <c r="R867" t="s">
        <v>58</v>
      </c>
      <c r="S867" t="s">
        <v>40</v>
      </c>
      <c r="T867" s="1">
        <v>42747</v>
      </c>
      <c r="U867">
        <v>0</v>
      </c>
      <c r="V867">
        <v>6</v>
      </c>
      <c r="W867" t="s">
        <v>83</v>
      </c>
      <c r="X867" t="s">
        <v>135</v>
      </c>
      <c r="Y867" t="s">
        <v>42</v>
      </c>
      <c r="Z867" t="s">
        <v>43</v>
      </c>
      <c r="AA867" t="s">
        <v>43</v>
      </c>
      <c r="AB867" t="s">
        <v>2311</v>
      </c>
      <c r="AD867" t="s">
        <v>3143</v>
      </c>
    </row>
    <row r="868" spans="1:30" x14ac:dyDescent="0.4">
      <c r="A868" t="s">
        <v>27</v>
      </c>
      <c r="B868">
        <v>673</v>
      </c>
      <c r="C868" t="s">
        <v>195</v>
      </c>
      <c r="D868" t="s">
        <v>2301</v>
      </c>
      <c r="E868" t="s">
        <v>2302</v>
      </c>
      <c r="F868" t="s">
        <v>2303</v>
      </c>
      <c r="G868" t="s">
        <v>2304</v>
      </c>
      <c r="H868" t="s">
        <v>2305</v>
      </c>
      <c r="I868" t="s">
        <v>73</v>
      </c>
      <c r="J868" t="s">
        <v>2306</v>
      </c>
      <c r="K868" t="s">
        <v>35</v>
      </c>
      <c r="L868">
        <v>1883347721</v>
      </c>
      <c r="M868" t="s">
        <v>2307</v>
      </c>
      <c r="N868" t="s">
        <v>2308</v>
      </c>
      <c r="P868" t="s">
        <v>2314</v>
      </c>
      <c r="Q868" t="s">
        <v>2315</v>
      </c>
      <c r="R868" t="s">
        <v>58</v>
      </c>
      <c r="S868" t="s">
        <v>82</v>
      </c>
      <c r="T868" s="1">
        <v>45604</v>
      </c>
      <c r="U868">
        <v>0</v>
      </c>
      <c r="V868">
        <v>0</v>
      </c>
      <c r="W868" t="s">
        <v>59</v>
      </c>
      <c r="X868" t="s">
        <v>135</v>
      </c>
      <c r="Y868" t="s">
        <v>42</v>
      </c>
      <c r="Z868" t="s">
        <v>43</v>
      </c>
      <c r="AA868" t="s">
        <v>43</v>
      </c>
      <c r="AB868" t="s">
        <v>2311</v>
      </c>
      <c r="AD868" t="s">
        <v>3143</v>
      </c>
    </row>
    <row r="869" spans="1:30" x14ac:dyDescent="0.4">
      <c r="A869" t="s">
        <v>27</v>
      </c>
      <c r="B869">
        <v>673</v>
      </c>
      <c r="C869" t="s">
        <v>195</v>
      </c>
      <c r="D869" t="s">
        <v>2301</v>
      </c>
      <c r="E869" t="s">
        <v>2302</v>
      </c>
      <c r="F869" t="s">
        <v>2303</v>
      </c>
      <c r="G869" t="s">
        <v>2304</v>
      </c>
      <c r="H869" t="s">
        <v>2305</v>
      </c>
      <c r="I869" t="s">
        <v>73</v>
      </c>
      <c r="J869" t="s">
        <v>2306</v>
      </c>
      <c r="K869" t="s">
        <v>35</v>
      </c>
      <c r="L869">
        <v>1883347721</v>
      </c>
      <c r="M869" t="s">
        <v>2307</v>
      </c>
      <c r="N869" t="s">
        <v>2308</v>
      </c>
      <c r="P869" t="s">
        <v>2316</v>
      </c>
      <c r="Q869" t="s">
        <v>2317</v>
      </c>
      <c r="R869" t="s">
        <v>58</v>
      </c>
      <c r="S869" t="s">
        <v>40</v>
      </c>
      <c r="T869" s="1">
        <v>41320</v>
      </c>
      <c r="U869">
        <v>0</v>
      </c>
      <c r="V869">
        <v>0</v>
      </c>
      <c r="W869" t="s">
        <v>59</v>
      </c>
      <c r="X869" t="s">
        <v>135</v>
      </c>
      <c r="Y869" t="s">
        <v>42</v>
      </c>
      <c r="Z869" t="s">
        <v>43</v>
      </c>
      <c r="AA869" t="s">
        <v>43</v>
      </c>
      <c r="AB869" t="s">
        <v>2311</v>
      </c>
      <c r="AD869" t="s">
        <v>3143</v>
      </c>
    </row>
    <row r="870" spans="1:30" x14ac:dyDescent="0.4">
      <c r="A870" t="s">
        <v>27</v>
      </c>
      <c r="B870">
        <v>673</v>
      </c>
      <c r="C870" t="s">
        <v>195</v>
      </c>
      <c r="D870" t="s">
        <v>2301</v>
      </c>
      <c r="E870" t="s">
        <v>2302</v>
      </c>
      <c r="F870" t="s">
        <v>2303</v>
      </c>
      <c r="G870" t="s">
        <v>2304</v>
      </c>
      <c r="H870" t="s">
        <v>2305</v>
      </c>
      <c r="I870" t="s">
        <v>73</v>
      </c>
      <c r="J870" t="s">
        <v>2306</v>
      </c>
      <c r="K870" t="s">
        <v>35</v>
      </c>
      <c r="L870">
        <v>1883347721</v>
      </c>
      <c r="M870" t="s">
        <v>2307</v>
      </c>
      <c r="N870" t="s">
        <v>2308</v>
      </c>
      <c r="P870" t="s">
        <v>2309</v>
      </c>
      <c r="Q870" t="s">
        <v>2310</v>
      </c>
      <c r="R870" t="s">
        <v>58</v>
      </c>
      <c r="S870" t="s">
        <v>82</v>
      </c>
      <c r="T870" s="1">
        <v>44358</v>
      </c>
      <c r="U870">
        <v>0</v>
      </c>
      <c r="V870">
        <v>13</v>
      </c>
      <c r="X870" t="s">
        <v>135</v>
      </c>
      <c r="Y870" t="s">
        <v>42</v>
      </c>
      <c r="Z870" t="s">
        <v>43</v>
      </c>
      <c r="AA870" t="s">
        <v>43</v>
      </c>
      <c r="AB870" t="s">
        <v>2311</v>
      </c>
      <c r="AD870" t="s">
        <v>3143</v>
      </c>
    </row>
    <row r="871" spans="1:30" x14ac:dyDescent="0.4">
      <c r="A871" t="s">
        <v>27</v>
      </c>
      <c r="B871">
        <v>673</v>
      </c>
      <c r="C871" t="s">
        <v>195</v>
      </c>
      <c r="D871" t="s">
        <v>2301</v>
      </c>
      <c r="E871" t="s">
        <v>2302</v>
      </c>
      <c r="F871" t="s">
        <v>2303</v>
      </c>
      <c r="G871" t="s">
        <v>2304</v>
      </c>
      <c r="H871" t="s">
        <v>2305</v>
      </c>
      <c r="I871" t="s">
        <v>73</v>
      </c>
      <c r="J871" t="s">
        <v>2306</v>
      </c>
      <c r="K871" t="s">
        <v>35</v>
      </c>
      <c r="L871">
        <v>1883347721</v>
      </c>
      <c r="M871" t="s">
        <v>2307</v>
      </c>
      <c r="N871" t="s">
        <v>2308</v>
      </c>
      <c r="P871" t="s">
        <v>2312</v>
      </c>
      <c r="Q871" t="s">
        <v>2313</v>
      </c>
      <c r="R871" t="s">
        <v>58</v>
      </c>
      <c r="S871" t="s">
        <v>40</v>
      </c>
      <c r="T871" s="1">
        <v>42747</v>
      </c>
      <c r="U871">
        <v>0</v>
      </c>
      <c r="V871">
        <v>14</v>
      </c>
      <c r="X871" t="s">
        <v>135</v>
      </c>
      <c r="Y871" t="s">
        <v>42</v>
      </c>
      <c r="Z871" t="s">
        <v>43</v>
      </c>
      <c r="AA871" t="s">
        <v>43</v>
      </c>
      <c r="AB871" t="s">
        <v>2311</v>
      </c>
      <c r="AD871" t="s">
        <v>3143</v>
      </c>
    </row>
    <row r="872" spans="1:30" x14ac:dyDescent="0.4">
      <c r="A872" t="s">
        <v>27</v>
      </c>
      <c r="B872">
        <v>673</v>
      </c>
      <c r="C872" t="s">
        <v>195</v>
      </c>
      <c r="D872" t="s">
        <v>2301</v>
      </c>
      <c r="E872" t="s">
        <v>2302</v>
      </c>
      <c r="F872" t="s">
        <v>2303</v>
      </c>
      <c r="G872" t="s">
        <v>2304</v>
      </c>
      <c r="H872" t="s">
        <v>2305</v>
      </c>
      <c r="I872" t="s">
        <v>73</v>
      </c>
      <c r="J872" t="s">
        <v>2306</v>
      </c>
      <c r="K872" t="s">
        <v>35</v>
      </c>
      <c r="L872">
        <v>1883347721</v>
      </c>
      <c r="M872" t="s">
        <v>2307</v>
      </c>
      <c r="N872" t="s">
        <v>2308</v>
      </c>
      <c r="P872" t="s">
        <v>2312</v>
      </c>
      <c r="Q872" t="s">
        <v>2313</v>
      </c>
      <c r="R872" t="s">
        <v>58</v>
      </c>
      <c r="S872" t="s">
        <v>40</v>
      </c>
      <c r="T872" s="1">
        <v>42747</v>
      </c>
      <c r="U872">
        <v>0</v>
      </c>
      <c r="V872">
        <v>16</v>
      </c>
      <c r="X872" t="s">
        <v>135</v>
      </c>
      <c r="Y872" t="s">
        <v>42</v>
      </c>
      <c r="Z872" t="s">
        <v>43</v>
      </c>
      <c r="AA872" t="s">
        <v>43</v>
      </c>
      <c r="AB872" t="s">
        <v>2311</v>
      </c>
      <c r="AD872" t="s">
        <v>3143</v>
      </c>
    </row>
    <row r="873" spans="1:30" x14ac:dyDescent="0.4">
      <c r="A873" t="s">
        <v>27</v>
      </c>
      <c r="B873">
        <v>673</v>
      </c>
      <c r="C873" t="s">
        <v>195</v>
      </c>
      <c r="D873" t="s">
        <v>2301</v>
      </c>
      <c r="E873" t="s">
        <v>2302</v>
      </c>
      <c r="F873" t="s">
        <v>2303</v>
      </c>
      <c r="G873" t="s">
        <v>2304</v>
      </c>
      <c r="H873" t="s">
        <v>2305</v>
      </c>
      <c r="I873" t="s">
        <v>73</v>
      </c>
      <c r="J873" t="s">
        <v>2306</v>
      </c>
      <c r="K873" t="s">
        <v>35</v>
      </c>
      <c r="L873">
        <v>1883347721</v>
      </c>
      <c r="M873" t="s">
        <v>2307</v>
      </c>
      <c r="N873" t="s">
        <v>2308</v>
      </c>
      <c r="P873" t="s">
        <v>2316</v>
      </c>
      <c r="Q873" t="s">
        <v>2317</v>
      </c>
      <c r="R873" t="s">
        <v>58</v>
      </c>
      <c r="S873" t="s">
        <v>40</v>
      </c>
      <c r="T873" s="1">
        <v>41320</v>
      </c>
      <c r="U873">
        <v>0</v>
      </c>
      <c r="V873">
        <v>0</v>
      </c>
      <c r="W873" t="s">
        <v>59</v>
      </c>
      <c r="X873" t="s">
        <v>135</v>
      </c>
      <c r="Y873" t="s">
        <v>42</v>
      </c>
      <c r="Z873" t="s">
        <v>43</v>
      </c>
      <c r="AA873" t="s">
        <v>43</v>
      </c>
      <c r="AB873" t="s">
        <v>2311</v>
      </c>
      <c r="AD873" t="s">
        <v>3143</v>
      </c>
    </row>
    <row r="874" spans="1:30" x14ac:dyDescent="0.4">
      <c r="A874" t="s">
        <v>27</v>
      </c>
      <c r="B874">
        <v>673</v>
      </c>
      <c r="C874" t="s">
        <v>195</v>
      </c>
      <c r="D874" t="s">
        <v>2301</v>
      </c>
      <c r="E874" t="s">
        <v>2302</v>
      </c>
      <c r="F874" t="s">
        <v>2303</v>
      </c>
      <c r="G874" t="s">
        <v>2304</v>
      </c>
      <c r="H874" t="s">
        <v>2305</v>
      </c>
      <c r="I874" t="s">
        <v>73</v>
      </c>
      <c r="J874" t="s">
        <v>2306</v>
      </c>
      <c r="K874" t="s">
        <v>35</v>
      </c>
      <c r="L874">
        <v>1883347721</v>
      </c>
      <c r="M874" t="s">
        <v>2307</v>
      </c>
      <c r="N874" t="s">
        <v>2308</v>
      </c>
      <c r="P874" t="s">
        <v>2314</v>
      </c>
      <c r="Q874" t="s">
        <v>2315</v>
      </c>
      <c r="R874" t="s">
        <v>58</v>
      </c>
      <c r="S874" t="s">
        <v>82</v>
      </c>
      <c r="T874" s="1">
        <v>45604</v>
      </c>
      <c r="U874">
        <v>0</v>
      </c>
      <c r="V874">
        <v>0</v>
      </c>
      <c r="W874" t="s">
        <v>59</v>
      </c>
      <c r="X874" t="s">
        <v>135</v>
      </c>
      <c r="Y874" t="s">
        <v>42</v>
      </c>
      <c r="Z874" t="s">
        <v>43</v>
      </c>
      <c r="AA874" t="s">
        <v>43</v>
      </c>
      <c r="AB874" t="s">
        <v>2311</v>
      </c>
      <c r="AD874" t="s">
        <v>3143</v>
      </c>
    </row>
    <row r="875" spans="1:30" x14ac:dyDescent="0.4">
      <c r="A875" t="s">
        <v>27</v>
      </c>
      <c r="B875">
        <v>3520</v>
      </c>
      <c r="C875" t="s">
        <v>68</v>
      </c>
      <c r="D875" t="s">
        <v>611</v>
      </c>
      <c r="E875" t="s">
        <v>2318</v>
      </c>
      <c r="F875" t="s">
        <v>2319</v>
      </c>
      <c r="H875" t="s">
        <v>2320</v>
      </c>
      <c r="I875" t="s">
        <v>215</v>
      </c>
      <c r="J875" t="s">
        <v>2321</v>
      </c>
      <c r="K875" t="s">
        <v>35</v>
      </c>
      <c r="L875">
        <v>7715099616</v>
      </c>
      <c r="M875" t="s">
        <v>2322</v>
      </c>
      <c r="N875" t="s">
        <v>2323</v>
      </c>
      <c r="P875" t="s">
        <v>2324</v>
      </c>
      <c r="Q875" t="s">
        <v>2325</v>
      </c>
      <c r="R875" t="s">
        <v>58</v>
      </c>
      <c r="S875" t="s">
        <v>82</v>
      </c>
      <c r="T875" s="1">
        <v>44767</v>
      </c>
      <c r="U875">
        <v>0</v>
      </c>
      <c r="V875">
        <v>4</v>
      </c>
      <c r="W875" t="s">
        <v>65</v>
      </c>
      <c r="Y875" t="s">
        <v>42</v>
      </c>
      <c r="Z875" t="s">
        <v>43</v>
      </c>
      <c r="AA875" t="s">
        <v>43</v>
      </c>
      <c r="AD875" t="s">
        <v>3143</v>
      </c>
    </row>
    <row r="876" spans="1:30" x14ac:dyDescent="0.4">
      <c r="A876" t="s">
        <v>27</v>
      </c>
      <c r="B876">
        <v>3520</v>
      </c>
      <c r="C876" t="s">
        <v>68</v>
      </c>
      <c r="D876" t="s">
        <v>611</v>
      </c>
      <c r="E876" t="s">
        <v>2318</v>
      </c>
      <c r="F876" t="s">
        <v>2319</v>
      </c>
      <c r="H876" t="s">
        <v>2320</v>
      </c>
      <c r="I876" t="s">
        <v>215</v>
      </c>
      <c r="J876" t="s">
        <v>2321</v>
      </c>
      <c r="K876" t="s">
        <v>35</v>
      </c>
      <c r="L876">
        <v>7715099616</v>
      </c>
      <c r="M876" t="s">
        <v>2322</v>
      </c>
      <c r="N876" t="s">
        <v>2323</v>
      </c>
      <c r="P876" t="s">
        <v>2324</v>
      </c>
      <c r="Q876" t="s">
        <v>2325</v>
      </c>
      <c r="R876" t="s">
        <v>58</v>
      </c>
      <c r="S876" t="s">
        <v>82</v>
      </c>
      <c r="T876" s="1">
        <v>44767</v>
      </c>
      <c r="U876">
        <v>0</v>
      </c>
      <c r="V876">
        <v>5</v>
      </c>
      <c r="W876" t="s">
        <v>66</v>
      </c>
      <c r="Y876" t="s">
        <v>42</v>
      </c>
      <c r="Z876" t="s">
        <v>43</v>
      </c>
      <c r="AA876" t="s">
        <v>43</v>
      </c>
      <c r="AD876" t="s">
        <v>3143</v>
      </c>
    </row>
    <row r="877" spans="1:30" x14ac:dyDescent="0.4">
      <c r="A877" t="s">
        <v>27</v>
      </c>
      <c r="B877">
        <v>3520</v>
      </c>
      <c r="C877" t="s">
        <v>68</v>
      </c>
      <c r="D877" t="s">
        <v>611</v>
      </c>
      <c r="E877" t="s">
        <v>2318</v>
      </c>
      <c r="F877" t="s">
        <v>2319</v>
      </c>
      <c r="H877" t="s">
        <v>2320</v>
      </c>
      <c r="I877" t="s">
        <v>215</v>
      </c>
      <c r="J877" t="s">
        <v>2321</v>
      </c>
      <c r="K877" t="s">
        <v>35</v>
      </c>
      <c r="L877">
        <v>7715099616</v>
      </c>
      <c r="M877" t="s">
        <v>2322</v>
      </c>
      <c r="N877" t="s">
        <v>2323</v>
      </c>
      <c r="P877" t="s">
        <v>3123</v>
      </c>
      <c r="Q877" t="s">
        <v>2327</v>
      </c>
      <c r="R877" t="s">
        <v>58</v>
      </c>
      <c r="S877" t="s">
        <v>82</v>
      </c>
      <c r="T877" s="1">
        <v>42768</v>
      </c>
      <c r="U877">
        <v>0</v>
      </c>
      <c r="V877">
        <v>5</v>
      </c>
      <c r="W877" t="s">
        <v>66</v>
      </c>
      <c r="Y877" t="s">
        <v>42</v>
      </c>
      <c r="Z877" t="s">
        <v>43</v>
      </c>
      <c r="AA877" t="s">
        <v>43</v>
      </c>
      <c r="AD877" t="s">
        <v>3143</v>
      </c>
    </row>
    <row r="878" spans="1:30" x14ac:dyDescent="0.4">
      <c r="A878" t="s">
        <v>27</v>
      </c>
      <c r="B878">
        <v>3520</v>
      </c>
      <c r="C878" t="s">
        <v>68</v>
      </c>
      <c r="D878" t="s">
        <v>611</v>
      </c>
      <c r="E878" t="s">
        <v>2318</v>
      </c>
      <c r="F878" t="s">
        <v>2319</v>
      </c>
      <c r="H878" t="s">
        <v>2320</v>
      </c>
      <c r="I878" t="s">
        <v>215</v>
      </c>
      <c r="J878" t="s">
        <v>2321</v>
      </c>
      <c r="K878" t="s">
        <v>35</v>
      </c>
      <c r="L878">
        <v>7715099616</v>
      </c>
      <c r="M878" t="s">
        <v>2322</v>
      </c>
      <c r="N878" t="s">
        <v>2323</v>
      </c>
      <c r="P878" t="s">
        <v>3123</v>
      </c>
      <c r="Q878" t="s">
        <v>2327</v>
      </c>
      <c r="R878" t="s">
        <v>58</v>
      </c>
      <c r="S878" t="s">
        <v>82</v>
      </c>
      <c r="T878" s="1">
        <v>42768</v>
      </c>
      <c r="U878">
        <v>0</v>
      </c>
      <c r="V878">
        <v>6</v>
      </c>
      <c r="W878" t="s">
        <v>83</v>
      </c>
      <c r="Y878" t="s">
        <v>42</v>
      </c>
      <c r="Z878" t="s">
        <v>43</v>
      </c>
      <c r="AA878" t="s">
        <v>43</v>
      </c>
      <c r="AD878" t="s">
        <v>3143</v>
      </c>
    </row>
    <row r="879" spans="1:30" x14ac:dyDescent="0.4">
      <c r="A879" t="s">
        <v>27</v>
      </c>
      <c r="B879">
        <v>3520</v>
      </c>
      <c r="C879" t="s">
        <v>68</v>
      </c>
      <c r="D879" t="s">
        <v>611</v>
      </c>
      <c r="E879" t="s">
        <v>2318</v>
      </c>
      <c r="F879" t="s">
        <v>2319</v>
      </c>
      <c r="H879" t="s">
        <v>2320</v>
      </c>
      <c r="I879" t="s">
        <v>215</v>
      </c>
      <c r="J879" t="s">
        <v>2321</v>
      </c>
      <c r="K879" t="s">
        <v>35</v>
      </c>
      <c r="L879">
        <v>7715099616</v>
      </c>
      <c r="M879" t="s">
        <v>2322</v>
      </c>
      <c r="N879" t="s">
        <v>2323</v>
      </c>
      <c r="P879" t="s">
        <v>2324</v>
      </c>
      <c r="Q879" t="s">
        <v>2325</v>
      </c>
      <c r="R879" t="s">
        <v>58</v>
      </c>
      <c r="S879" t="s">
        <v>82</v>
      </c>
      <c r="T879" s="1">
        <v>44767</v>
      </c>
      <c r="U879">
        <v>0</v>
      </c>
      <c r="V879">
        <v>13</v>
      </c>
      <c r="Y879" t="s">
        <v>42</v>
      </c>
      <c r="Z879" t="s">
        <v>43</v>
      </c>
      <c r="AA879" t="s">
        <v>43</v>
      </c>
      <c r="AD879" t="s">
        <v>3143</v>
      </c>
    </row>
    <row r="880" spans="1:30" x14ac:dyDescent="0.4">
      <c r="A880" t="s">
        <v>27</v>
      </c>
      <c r="B880">
        <v>3520</v>
      </c>
      <c r="C880" t="s">
        <v>68</v>
      </c>
      <c r="D880" t="s">
        <v>611</v>
      </c>
      <c r="E880" t="s">
        <v>2318</v>
      </c>
      <c r="F880" t="s">
        <v>2319</v>
      </c>
      <c r="H880" t="s">
        <v>2320</v>
      </c>
      <c r="I880" t="s">
        <v>215</v>
      </c>
      <c r="J880" t="s">
        <v>2321</v>
      </c>
      <c r="K880" t="s">
        <v>35</v>
      </c>
      <c r="L880">
        <v>7715099616</v>
      </c>
      <c r="M880" t="s">
        <v>2322</v>
      </c>
      <c r="N880" t="s">
        <v>2323</v>
      </c>
      <c r="P880" t="s">
        <v>2324</v>
      </c>
      <c r="Q880" t="s">
        <v>2325</v>
      </c>
      <c r="R880" t="s">
        <v>58</v>
      </c>
      <c r="S880" t="s">
        <v>82</v>
      </c>
      <c r="T880" s="1">
        <v>44767</v>
      </c>
      <c r="U880">
        <v>0</v>
      </c>
      <c r="V880">
        <v>15</v>
      </c>
      <c r="Y880" t="s">
        <v>42</v>
      </c>
      <c r="Z880" t="s">
        <v>43</v>
      </c>
      <c r="AA880" t="s">
        <v>43</v>
      </c>
      <c r="AD880" t="s">
        <v>3143</v>
      </c>
    </row>
    <row r="881" spans="1:30" x14ac:dyDescent="0.4">
      <c r="A881" t="s">
        <v>27</v>
      </c>
      <c r="B881">
        <v>3520</v>
      </c>
      <c r="C881" t="s">
        <v>68</v>
      </c>
      <c r="D881" t="s">
        <v>611</v>
      </c>
      <c r="E881" t="s">
        <v>2318</v>
      </c>
      <c r="F881" t="s">
        <v>2319</v>
      </c>
      <c r="H881" t="s">
        <v>2320</v>
      </c>
      <c r="I881" t="s">
        <v>215</v>
      </c>
      <c r="J881" t="s">
        <v>2321</v>
      </c>
      <c r="K881" t="s">
        <v>35</v>
      </c>
      <c r="L881">
        <v>7715099616</v>
      </c>
      <c r="M881" t="s">
        <v>2322</v>
      </c>
      <c r="N881" t="s">
        <v>2323</v>
      </c>
      <c r="P881" t="s">
        <v>3123</v>
      </c>
      <c r="Q881" t="s">
        <v>2327</v>
      </c>
      <c r="R881" t="s">
        <v>58</v>
      </c>
      <c r="S881" t="s">
        <v>82</v>
      </c>
      <c r="T881" s="1">
        <v>42768</v>
      </c>
      <c r="U881">
        <v>0</v>
      </c>
      <c r="V881">
        <v>15</v>
      </c>
      <c r="Y881" t="s">
        <v>42</v>
      </c>
      <c r="Z881" t="s">
        <v>43</v>
      </c>
      <c r="AA881" t="s">
        <v>43</v>
      </c>
      <c r="AD881" t="s">
        <v>3143</v>
      </c>
    </row>
    <row r="882" spans="1:30" x14ac:dyDescent="0.4">
      <c r="A882" t="s">
        <v>27</v>
      </c>
      <c r="B882">
        <v>3520</v>
      </c>
      <c r="C882" t="s">
        <v>68</v>
      </c>
      <c r="D882" t="s">
        <v>611</v>
      </c>
      <c r="E882" t="s">
        <v>2318</v>
      </c>
      <c r="F882" t="s">
        <v>2319</v>
      </c>
      <c r="H882" t="s">
        <v>2320</v>
      </c>
      <c r="I882" t="s">
        <v>215</v>
      </c>
      <c r="J882" t="s">
        <v>2321</v>
      </c>
      <c r="K882" t="s">
        <v>35</v>
      </c>
      <c r="L882">
        <v>7715099616</v>
      </c>
      <c r="M882" t="s">
        <v>2322</v>
      </c>
      <c r="N882" t="s">
        <v>2323</v>
      </c>
      <c r="P882" t="s">
        <v>3123</v>
      </c>
      <c r="Q882" t="s">
        <v>2327</v>
      </c>
      <c r="R882" t="s">
        <v>58</v>
      </c>
      <c r="S882" t="s">
        <v>82</v>
      </c>
      <c r="T882" s="1">
        <v>42768</v>
      </c>
      <c r="U882">
        <v>0</v>
      </c>
      <c r="V882">
        <v>17</v>
      </c>
      <c r="Y882" t="s">
        <v>42</v>
      </c>
      <c r="Z882" t="s">
        <v>43</v>
      </c>
      <c r="AA882" t="s">
        <v>43</v>
      </c>
      <c r="AD882" t="s">
        <v>3143</v>
      </c>
    </row>
    <row r="883" spans="1:30" x14ac:dyDescent="0.4">
      <c r="A883" t="s">
        <v>27</v>
      </c>
      <c r="B883">
        <v>1973</v>
      </c>
      <c r="C883" t="s">
        <v>68</v>
      </c>
      <c r="D883" t="s">
        <v>2328</v>
      </c>
      <c r="E883" t="s">
        <v>2329</v>
      </c>
      <c r="F883" t="s">
        <v>1298</v>
      </c>
      <c r="H883" t="s">
        <v>1299</v>
      </c>
      <c r="I883" t="s">
        <v>33</v>
      </c>
      <c r="J883" t="s">
        <v>1300</v>
      </c>
      <c r="K883" t="s">
        <v>35</v>
      </c>
      <c r="L883">
        <v>7947515511</v>
      </c>
      <c r="M883" t="s">
        <v>2330</v>
      </c>
      <c r="N883" t="s">
        <v>2331</v>
      </c>
      <c r="P883" t="s">
        <v>2332</v>
      </c>
      <c r="Q883" t="s">
        <v>41</v>
      </c>
      <c r="R883" t="s">
        <v>1314</v>
      </c>
      <c r="S883" t="s">
        <v>82</v>
      </c>
      <c r="T883" s="1">
        <v>45537</v>
      </c>
      <c r="U883">
        <v>0</v>
      </c>
      <c r="V883">
        <v>0</v>
      </c>
      <c r="W883" t="s">
        <v>59</v>
      </c>
      <c r="Y883" t="s">
        <v>42</v>
      </c>
      <c r="Z883" t="s">
        <v>43</v>
      </c>
      <c r="AA883" t="s">
        <v>43</v>
      </c>
      <c r="AD883" t="s">
        <v>3143</v>
      </c>
    </row>
    <row r="884" spans="1:30" x14ac:dyDescent="0.4">
      <c r="A884" t="s">
        <v>27</v>
      </c>
      <c r="B884">
        <v>2964</v>
      </c>
      <c r="C884" t="s">
        <v>68</v>
      </c>
      <c r="D884" t="s">
        <v>1024</v>
      </c>
      <c r="E884" t="s">
        <v>2333</v>
      </c>
      <c r="F884" t="s">
        <v>2334</v>
      </c>
      <c r="H884" t="s">
        <v>2335</v>
      </c>
      <c r="I884" t="s">
        <v>73</v>
      </c>
      <c r="J884" t="s">
        <v>2336</v>
      </c>
      <c r="K884" t="s">
        <v>35</v>
      </c>
      <c r="L884">
        <v>1372842871</v>
      </c>
      <c r="M884" t="s">
        <v>2337</v>
      </c>
      <c r="N884" t="s">
        <v>2338</v>
      </c>
      <c r="P884" t="s">
        <v>3054</v>
      </c>
      <c r="Q884" t="s">
        <v>2340</v>
      </c>
      <c r="R884" t="s">
        <v>58</v>
      </c>
      <c r="S884" t="s">
        <v>40</v>
      </c>
      <c r="T884" s="1">
        <v>42333</v>
      </c>
      <c r="U884">
        <v>0</v>
      </c>
      <c r="V884">
        <v>4</v>
      </c>
      <c r="W884" t="s">
        <v>65</v>
      </c>
      <c r="Y884" t="s">
        <v>42</v>
      </c>
      <c r="Z884" t="s">
        <v>43</v>
      </c>
      <c r="AA884" t="s">
        <v>42</v>
      </c>
      <c r="AD884" t="s">
        <v>3143</v>
      </c>
    </row>
    <row r="885" spans="1:30" x14ac:dyDescent="0.4">
      <c r="A885" t="s">
        <v>27</v>
      </c>
      <c r="B885">
        <v>2964</v>
      </c>
      <c r="C885" t="s">
        <v>68</v>
      </c>
      <c r="D885" t="s">
        <v>1024</v>
      </c>
      <c r="E885" t="s">
        <v>2333</v>
      </c>
      <c r="F885" t="s">
        <v>2334</v>
      </c>
      <c r="H885" t="s">
        <v>2335</v>
      </c>
      <c r="I885" t="s">
        <v>73</v>
      </c>
      <c r="J885" t="s">
        <v>2336</v>
      </c>
      <c r="K885" t="s">
        <v>35</v>
      </c>
      <c r="L885">
        <v>1372842871</v>
      </c>
      <c r="M885" t="s">
        <v>2337</v>
      </c>
      <c r="N885" t="s">
        <v>2338</v>
      </c>
      <c r="P885" t="s">
        <v>3054</v>
      </c>
      <c r="Q885" t="s">
        <v>2340</v>
      </c>
      <c r="R885" t="s">
        <v>58</v>
      </c>
      <c r="S885" t="s">
        <v>40</v>
      </c>
      <c r="T885" s="1">
        <v>42333</v>
      </c>
      <c r="U885">
        <v>0</v>
      </c>
      <c r="V885">
        <v>12</v>
      </c>
      <c r="Y885" t="s">
        <v>42</v>
      </c>
      <c r="Z885" t="s">
        <v>43</v>
      </c>
      <c r="AA885" t="s">
        <v>42</v>
      </c>
      <c r="AD885" t="s">
        <v>3143</v>
      </c>
    </row>
    <row r="886" spans="1:30" x14ac:dyDescent="0.4">
      <c r="A886" t="s">
        <v>27</v>
      </c>
      <c r="B886">
        <v>2964</v>
      </c>
      <c r="C886" t="s">
        <v>68</v>
      </c>
      <c r="D886" t="s">
        <v>1024</v>
      </c>
      <c r="E886" t="s">
        <v>2333</v>
      </c>
      <c r="F886" t="s">
        <v>2334</v>
      </c>
      <c r="H886" t="s">
        <v>2335</v>
      </c>
      <c r="I886" t="s">
        <v>73</v>
      </c>
      <c r="J886" t="s">
        <v>2336</v>
      </c>
      <c r="K886" t="s">
        <v>35</v>
      </c>
      <c r="L886">
        <v>1372842871</v>
      </c>
      <c r="M886" t="s">
        <v>2337</v>
      </c>
      <c r="N886" t="s">
        <v>3125</v>
      </c>
      <c r="P886" t="s">
        <v>3124</v>
      </c>
      <c r="Q886" t="s">
        <v>2342</v>
      </c>
      <c r="R886" t="s">
        <v>58</v>
      </c>
      <c r="S886" t="s">
        <v>40</v>
      </c>
      <c r="T886" s="1">
        <v>44107</v>
      </c>
      <c r="U886">
        <v>0</v>
      </c>
      <c r="V886">
        <v>5</v>
      </c>
      <c r="W886" t="s">
        <v>66</v>
      </c>
      <c r="Y886" t="s">
        <v>42</v>
      </c>
      <c r="Z886" t="s">
        <v>43</v>
      </c>
      <c r="AA886" t="s">
        <v>42</v>
      </c>
      <c r="AD886" t="s">
        <v>3143</v>
      </c>
    </row>
    <row r="887" spans="1:30" x14ac:dyDescent="0.4">
      <c r="A887" t="s">
        <v>27</v>
      </c>
      <c r="B887">
        <v>2964</v>
      </c>
      <c r="C887" t="s">
        <v>68</v>
      </c>
      <c r="D887" t="s">
        <v>1024</v>
      </c>
      <c r="E887" t="s">
        <v>2333</v>
      </c>
      <c r="F887" t="s">
        <v>2334</v>
      </c>
      <c r="H887" t="s">
        <v>2335</v>
      </c>
      <c r="I887" t="s">
        <v>73</v>
      </c>
      <c r="J887" t="s">
        <v>2336</v>
      </c>
      <c r="K887" t="s">
        <v>35</v>
      </c>
      <c r="L887">
        <v>1372842871</v>
      </c>
      <c r="M887" t="s">
        <v>2337</v>
      </c>
      <c r="N887" t="s">
        <v>3125</v>
      </c>
      <c r="P887" t="s">
        <v>3124</v>
      </c>
      <c r="Q887" t="s">
        <v>2342</v>
      </c>
      <c r="R887" t="s">
        <v>58</v>
      </c>
      <c r="S887" t="s">
        <v>40</v>
      </c>
      <c r="T887" s="1">
        <v>44107</v>
      </c>
      <c r="U887">
        <v>0</v>
      </c>
      <c r="V887">
        <v>14</v>
      </c>
      <c r="Y887" t="s">
        <v>42</v>
      </c>
      <c r="Z887" t="s">
        <v>43</v>
      </c>
      <c r="AA887" t="s">
        <v>42</v>
      </c>
      <c r="AD887" t="s">
        <v>3143</v>
      </c>
    </row>
    <row r="888" spans="1:30" x14ac:dyDescent="0.4">
      <c r="A888" t="s">
        <v>27</v>
      </c>
      <c r="B888">
        <v>2964</v>
      </c>
      <c r="C888" t="s">
        <v>68</v>
      </c>
      <c r="D888" t="s">
        <v>1024</v>
      </c>
      <c r="E888" t="s">
        <v>2333</v>
      </c>
      <c r="F888" t="s">
        <v>2334</v>
      </c>
      <c r="H888" t="s">
        <v>2335</v>
      </c>
      <c r="I888" t="s">
        <v>73</v>
      </c>
      <c r="J888" t="s">
        <v>2336</v>
      </c>
      <c r="K888" t="s">
        <v>35</v>
      </c>
      <c r="L888">
        <v>1372842871</v>
      </c>
      <c r="M888" t="s">
        <v>2337</v>
      </c>
      <c r="N888" t="s">
        <v>2338</v>
      </c>
      <c r="P888" t="s">
        <v>3054</v>
      </c>
      <c r="Q888" t="s">
        <v>2340</v>
      </c>
      <c r="R888" t="s">
        <v>58</v>
      </c>
      <c r="S888" t="s">
        <v>40</v>
      </c>
      <c r="T888" s="1">
        <v>42333</v>
      </c>
      <c r="U888">
        <v>0</v>
      </c>
      <c r="V888">
        <v>16</v>
      </c>
      <c r="Y888" t="s">
        <v>42</v>
      </c>
      <c r="Z888" t="s">
        <v>43</v>
      </c>
      <c r="AA888" t="s">
        <v>42</v>
      </c>
      <c r="AD888" t="s">
        <v>3143</v>
      </c>
    </row>
    <row r="889" spans="1:30" x14ac:dyDescent="0.4">
      <c r="A889" t="s">
        <v>27</v>
      </c>
      <c r="B889">
        <v>3222</v>
      </c>
      <c r="C889" t="s">
        <v>28</v>
      </c>
      <c r="D889" t="s">
        <v>2343</v>
      </c>
      <c r="E889" t="s">
        <v>2333</v>
      </c>
      <c r="F889" t="s">
        <v>2344</v>
      </c>
      <c r="H889" t="s">
        <v>982</v>
      </c>
      <c r="I889" t="s">
        <v>73</v>
      </c>
      <c r="J889" t="s">
        <v>2345</v>
      </c>
      <c r="K889" t="s">
        <v>35</v>
      </c>
      <c r="L889" t="s">
        <v>2346</v>
      </c>
      <c r="M889" t="s">
        <v>2347</v>
      </c>
      <c r="N889" t="s">
        <v>2348</v>
      </c>
      <c r="P889" t="s">
        <v>2349</v>
      </c>
      <c r="Q889" t="s">
        <v>2350</v>
      </c>
      <c r="R889" t="s">
        <v>58</v>
      </c>
      <c r="S889" t="s">
        <v>82</v>
      </c>
      <c r="T889" s="1">
        <v>45285</v>
      </c>
      <c r="U889">
        <v>0</v>
      </c>
      <c r="V889">
        <v>4</v>
      </c>
      <c r="W889" t="s">
        <v>65</v>
      </c>
      <c r="Y889" t="s">
        <v>42</v>
      </c>
      <c r="Z889" t="s">
        <v>43</v>
      </c>
      <c r="AA889" t="s">
        <v>43</v>
      </c>
      <c r="AD889" t="s">
        <v>3143</v>
      </c>
    </row>
    <row r="890" spans="1:30" x14ac:dyDescent="0.4">
      <c r="A890" t="s">
        <v>27</v>
      </c>
      <c r="B890">
        <v>3222</v>
      </c>
      <c r="C890" t="s">
        <v>28</v>
      </c>
      <c r="D890" t="s">
        <v>2343</v>
      </c>
      <c r="E890" t="s">
        <v>2333</v>
      </c>
      <c r="F890" t="s">
        <v>2344</v>
      </c>
      <c r="H890" t="s">
        <v>982</v>
      </c>
      <c r="I890" t="s">
        <v>73</v>
      </c>
      <c r="J890" t="s">
        <v>2345</v>
      </c>
      <c r="K890" t="s">
        <v>35</v>
      </c>
      <c r="L890" t="s">
        <v>2346</v>
      </c>
      <c r="M890" t="s">
        <v>2347</v>
      </c>
      <c r="N890" t="s">
        <v>2348</v>
      </c>
      <c r="P890" t="s">
        <v>2349</v>
      </c>
      <c r="Q890" t="s">
        <v>2350</v>
      </c>
      <c r="R890" t="s">
        <v>58</v>
      </c>
      <c r="S890" t="s">
        <v>82</v>
      </c>
      <c r="T890" s="1">
        <v>45285</v>
      </c>
      <c r="U890">
        <v>0</v>
      </c>
      <c r="V890">
        <v>5</v>
      </c>
      <c r="W890" t="s">
        <v>66</v>
      </c>
      <c r="Y890" t="s">
        <v>42</v>
      </c>
      <c r="Z890" t="s">
        <v>43</v>
      </c>
      <c r="AA890" t="s">
        <v>43</v>
      </c>
      <c r="AD890" t="s">
        <v>3143</v>
      </c>
    </row>
    <row r="891" spans="1:30" x14ac:dyDescent="0.4">
      <c r="A891" t="s">
        <v>27</v>
      </c>
      <c r="B891">
        <v>3222</v>
      </c>
      <c r="C891" t="s">
        <v>28</v>
      </c>
      <c r="D891" t="s">
        <v>2343</v>
      </c>
      <c r="E891" t="s">
        <v>2333</v>
      </c>
      <c r="F891" t="s">
        <v>2344</v>
      </c>
      <c r="H891" t="s">
        <v>982</v>
      </c>
      <c r="I891" t="s">
        <v>73</v>
      </c>
      <c r="J891" t="s">
        <v>2345</v>
      </c>
      <c r="K891" t="s">
        <v>35</v>
      </c>
      <c r="L891" t="s">
        <v>2346</v>
      </c>
      <c r="M891" t="s">
        <v>2347</v>
      </c>
      <c r="N891" t="s">
        <v>2348</v>
      </c>
      <c r="P891" t="s">
        <v>2351</v>
      </c>
      <c r="Q891" t="s">
        <v>2352</v>
      </c>
      <c r="R891" t="s">
        <v>58</v>
      </c>
      <c r="S891" t="s">
        <v>82</v>
      </c>
      <c r="T891" s="1">
        <v>42864</v>
      </c>
      <c r="U891">
        <v>0</v>
      </c>
      <c r="V891">
        <v>7</v>
      </c>
      <c r="Y891" t="s">
        <v>42</v>
      </c>
      <c r="Z891" t="s">
        <v>43</v>
      </c>
      <c r="AA891" t="s">
        <v>43</v>
      </c>
      <c r="AD891" t="s">
        <v>3143</v>
      </c>
    </row>
    <row r="892" spans="1:30" x14ac:dyDescent="0.4">
      <c r="A892" t="s">
        <v>27</v>
      </c>
      <c r="B892">
        <v>3222</v>
      </c>
      <c r="C892" t="s">
        <v>28</v>
      </c>
      <c r="D892" t="s">
        <v>2343</v>
      </c>
      <c r="E892" t="s">
        <v>2333</v>
      </c>
      <c r="F892" t="s">
        <v>2344</v>
      </c>
      <c r="H892" t="s">
        <v>982</v>
      </c>
      <c r="I892" t="s">
        <v>73</v>
      </c>
      <c r="J892" t="s">
        <v>2345</v>
      </c>
      <c r="K892" t="s">
        <v>35</v>
      </c>
      <c r="L892" t="s">
        <v>2346</v>
      </c>
      <c r="M892" t="s">
        <v>2347</v>
      </c>
      <c r="N892" t="s">
        <v>2348</v>
      </c>
      <c r="P892" t="s">
        <v>2349</v>
      </c>
      <c r="Q892" t="s">
        <v>2350</v>
      </c>
      <c r="R892" t="s">
        <v>58</v>
      </c>
      <c r="S892" t="s">
        <v>82</v>
      </c>
      <c r="T892" s="1">
        <v>45285</v>
      </c>
      <c r="U892">
        <v>0</v>
      </c>
      <c r="V892">
        <v>0</v>
      </c>
      <c r="W892" t="s">
        <v>59</v>
      </c>
      <c r="Y892" t="s">
        <v>42</v>
      </c>
      <c r="Z892" t="s">
        <v>43</v>
      </c>
      <c r="AA892" t="s">
        <v>43</v>
      </c>
      <c r="AD892" t="s">
        <v>3143</v>
      </c>
    </row>
    <row r="893" spans="1:30" x14ac:dyDescent="0.4">
      <c r="A893" t="s">
        <v>27</v>
      </c>
      <c r="B893">
        <v>3222</v>
      </c>
      <c r="C893" t="s">
        <v>28</v>
      </c>
      <c r="D893" t="s">
        <v>2343</v>
      </c>
      <c r="E893" t="s">
        <v>2333</v>
      </c>
      <c r="F893" t="s">
        <v>2344</v>
      </c>
      <c r="H893" t="s">
        <v>982</v>
      </c>
      <c r="I893" t="s">
        <v>73</v>
      </c>
      <c r="J893" t="s">
        <v>2345</v>
      </c>
      <c r="K893" t="s">
        <v>35</v>
      </c>
      <c r="L893" t="s">
        <v>2346</v>
      </c>
      <c r="M893" t="s">
        <v>2347</v>
      </c>
      <c r="N893" t="s">
        <v>2348</v>
      </c>
      <c r="P893" t="s">
        <v>2351</v>
      </c>
      <c r="Q893" t="s">
        <v>2352</v>
      </c>
      <c r="R893" t="s">
        <v>58</v>
      </c>
      <c r="S893" t="s">
        <v>82</v>
      </c>
      <c r="T893" s="1">
        <v>42864</v>
      </c>
      <c r="U893">
        <v>0</v>
      </c>
      <c r="V893">
        <v>0</v>
      </c>
      <c r="W893" t="s">
        <v>59</v>
      </c>
      <c r="Y893" t="s">
        <v>42</v>
      </c>
      <c r="Z893" t="s">
        <v>43</v>
      </c>
      <c r="AA893" t="s">
        <v>43</v>
      </c>
      <c r="AD893" t="s">
        <v>3143</v>
      </c>
    </row>
    <row r="894" spans="1:30" x14ac:dyDescent="0.4">
      <c r="A894" t="s">
        <v>27</v>
      </c>
      <c r="B894">
        <v>5940</v>
      </c>
      <c r="C894" t="s">
        <v>68</v>
      </c>
      <c r="D894" t="s">
        <v>2353</v>
      </c>
      <c r="E894" t="s">
        <v>2354</v>
      </c>
      <c r="F894" t="s">
        <v>2355</v>
      </c>
      <c r="H894" t="s">
        <v>2356</v>
      </c>
      <c r="I894" t="s">
        <v>495</v>
      </c>
      <c r="J894" t="s">
        <v>2357</v>
      </c>
      <c r="K894" t="s">
        <v>35</v>
      </c>
      <c r="L894" t="s">
        <v>2358</v>
      </c>
      <c r="M894" t="s">
        <v>2359</v>
      </c>
      <c r="N894" t="s">
        <v>2874</v>
      </c>
      <c r="P894" t="s">
        <v>2360</v>
      </c>
      <c r="Q894" t="s">
        <v>2361</v>
      </c>
      <c r="R894" t="s">
        <v>58</v>
      </c>
      <c r="S894" t="s">
        <v>82</v>
      </c>
      <c r="T894" s="1">
        <v>44166</v>
      </c>
      <c r="U894">
        <v>0</v>
      </c>
      <c r="V894">
        <v>6</v>
      </c>
      <c r="W894" t="s">
        <v>83</v>
      </c>
      <c r="X894" t="s">
        <v>135</v>
      </c>
      <c r="Y894" t="s">
        <v>42</v>
      </c>
      <c r="Z894" t="s">
        <v>43</v>
      </c>
      <c r="AA894" t="s">
        <v>43</v>
      </c>
      <c r="AD894" t="s">
        <v>3143</v>
      </c>
    </row>
    <row r="895" spans="1:30" x14ac:dyDescent="0.4">
      <c r="A895" t="s">
        <v>27</v>
      </c>
      <c r="B895">
        <v>5940</v>
      </c>
      <c r="C895" t="s">
        <v>68</v>
      </c>
      <c r="D895" t="s">
        <v>2353</v>
      </c>
      <c r="E895" t="s">
        <v>2354</v>
      </c>
      <c r="F895" t="s">
        <v>2355</v>
      </c>
      <c r="H895" t="s">
        <v>2356</v>
      </c>
      <c r="I895" t="s">
        <v>495</v>
      </c>
      <c r="J895" t="s">
        <v>2357</v>
      </c>
      <c r="K895" t="s">
        <v>35</v>
      </c>
      <c r="L895" t="s">
        <v>2358</v>
      </c>
      <c r="M895" t="s">
        <v>2359</v>
      </c>
      <c r="N895" t="s">
        <v>2874</v>
      </c>
      <c r="P895" t="s">
        <v>2360</v>
      </c>
      <c r="Q895" t="s">
        <v>2361</v>
      </c>
      <c r="R895" t="s">
        <v>58</v>
      </c>
      <c r="S895" t="s">
        <v>82</v>
      </c>
      <c r="T895" s="1">
        <v>44166</v>
      </c>
      <c r="U895">
        <v>0</v>
      </c>
      <c r="V895">
        <v>17</v>
      </c>
      <c r="X895" t="s">
        <v>135</v>
      </c>
      <c r="Y895" t="s">
        <v>42</v>
      </c>
      <c r="Z895" t="s">
        <v>43</v>
      </c>
      <c r="AA895" t="s">
        <v>43</v>
      </c>
      <c r="AD895" t="s">
        <v>3143</v>
      </c>
    </row>
    <row r="896" spans="1:30" x14ac:dyDescent="0.4">
      <c r="A896" t="s">
        <v>27</v>
      </c>
      <c r="B896">
        <v>378</v>
      </c>
      <c r="C896" t="s">
        <v>68</v>
      </c>
      <c r="D896" t="s">
        <v>2362</v>
      </c>
      <c r="E896" t="s">
        <v>2363</v>
      </c>
      <c r="F896" t="s">
        <v>2364</v>
      </c>
      <c r="H896" t="s">
        <v>2365</v>
      </c>
      <c r="I896" t="s">
        <v>73</v>
      </c>
      <c r="J896" t="s">
        <v>2366</v>
      </c>
      <c r="K896" t="s">
        <v>35</v>
      </c>
      <c r="L896">
        <v>2086882938</v>
      </c>
      <c r="M896" t="s">
        <v>2367</v>
      </c>
      <c r="N896" t="s">
        <v>2368</v>
      </c>
      <c r="P896" t="s">
        <v>2369</v>
      </c>
      <c r="Q896" t="s">
        <v>2370</v>
      </c>
      <c r="R896" t="s">
        <v>232</v>
      </c>
      <c r="S896" t="s">
        <v>40</v>
      </c>
      <c r="T896" s="1">
        <v>43381</v>
      </c>
      <c r="U896">
        <v>0</v>
      </c>
      <c r="V896">
        <v>5</v>
      </c>
      <c r="W896" t="s">
        <v>66</v>
      </c>
      <c r="Y896" t="s">
        <v>42</v>
      </c>
      <c r="Z896" t="s">
        <v>43</v>
      </c>
      <c r="AA896" t="s">
        <v>43</v>
      </c>
      <c r="AB896" t="s">
        <v>2371</v>
      </c>
      <c r="AD896" t="s">
        <v>3143</v>
      </c>
    </row>
    <row r="897" spans="1:30" x14ac:dyDescent="0.4">
      <c r="A897" t="s">
        <v>27</v>
      </c>
      <c r="B897">
        <v>378</v>
      </c>
      <c r="C897" t="s">
        <v>68</v>
      </c>
      <c r="D897" t="s">
        <v>2362</v>
      </c>
      <c r="E897" t="s">
        <v>2363</v>
      </c>
      <c r="F897" t="s">
        <v>2364</v>
      </c>
      <c r="H897" t="s">
        <v>2365</v>
      </c>
      <c r="I897" t="s">
        <v>73</v>
      </c>
      <c r="J897" t="s">
        <v>2366</v>
      </c>
      <c r="K897" t="s">
        <v>35</v>
      </c>
      <c r="L897">
        <v>2086882938</v>
      </c>
      <c r="M897" t="s">
        <v>2367</v>
      </c>
      <c r="N897" t="s">
        <v>2368</v>
      </c>
      <c r="P897" t="s">
        <v>2372</v>
      </c>
      <c r="Q897" t="s">
        <v>2373</v>
      </c>
      <c r="R897" t="s">
        <v>232</v>
      </c>
      <c r="S897" t="s">
        <v>40</v>
      </c>
      <c r="T897" s="1">
        <v>45543</v>
      </c>
      <c r="U897">
        <v>0</v>
      </c>
      <c r="V897">
        <v>0</v>
      </c>
      <c r="W897" t="s">
        <v>59</v>
      </c>
      <c r="Y897" t="s">
        <v>42</v>
      </c>
      <c r="Z897" t="s">
        <v>43</v>
      </c>
      <c r="AA897" t="s">
        <v>43</v>
      </c>
      <c r="AB897" t="s">
        <v>2371</v>
      </c>
      <c r="AD897" t="s">
        <v>3143</v>
      </c>
    </row>
    <row r="898" spans="1:30" x14ac:dyDescent="0.4">
      <c r="A898" t="s">
        <v>27</v>
      </c>
      <c r="B898">
        <v>378</v>
      </c>
      <c r="C898" t="s">
        <v>68</v>
      </c>
      <c r="D898" t="s">
        <v>2362</v>
      </c>
      <c r="E898" t="s">
        <v>2363</v>
      </c>
      <c r="F898" t="s">
        <v>2364</v>
      </c>
      <c r="H898" t="s">
        <v>2365</v>
      </c>
      <c r="I898" t="s">
        <v>73</v>
      </c>
      <c r="J898" t="s">
        <v>2366</v>
      </c>
      <c r="K898" t="s">
        <v>35</v>
      </c>
      <c r="L898">
        <v>2086882938</v>
      </c>
      <c r="M898" t="s">
        <v>2367</v>
      </c>
      <c r="N898" t="s">
        <v>2368</v>
      </c>
      <c r="P898" t="s">
        <v>2374</v>
      </c>
      <c r="Q898" t="s">
        <v>2375</v>
      </c>
      <c r="R898" t="s">
        <v>94</v>
      </c>
      <c r="S898" t="s">
        <v>40</v>
      </c>
      <c r="T898" s="1">
        <v>41370</v>
      </c>
      <c r="U898">
        <v>0</v>
      </c>
      <c r="V898">
        <v>0</v>
      </c>
      <c r="W898" t="s">
        <v>59</v>
      </c>
      <c r="Y898" t="s">
        <v>42</v>
      </c>
      <c r="Z898" t="s">
        <v>43</v>
      </c>
      <c r="AA898" t="s">
        <v>43</v>
      </c>
      <c r="AB898" t="s">
        <v>2371</v>
      </c>
      <c r="AD898" t="s">
        <v>3143</v>
      </c>
    </row>
    <row r="899" spans="1:30" x14ac:dyDescent="0.4">
      <c r="A899" t="s">
        <v>27</v>
      </c>
      <c r="B899">
        <v>378</v>
      </c>
      <c r="C899" t="s">
        <v>68</v>
      </c>
      <c r="D899" t="s">
        <v>2362</v>
      </c>
      <c r="E899" t="s">
        <v>2363</v>
      </c>
      <c r="F899" t="s">
        <v>2364</v>
      </c>
      <c r="H899" t="s">
        <v>2365</v>
      </c>
      <c r="I899" t="s">
        <v>73</v>
      </c>
      <c r="J899" t="s">
        <v>2366</v>
      </c>
      <c r="K899" t="s">
        <v>35</v>
      </c>
      <c r="L899">
        <v>2086882938</v>
      </c>
      <c r="M899" t="s">
        <v>2367</v>
      </c>
      <c r="N899" t="s">
        <v>2368</v>
      </c>
      <c r="P899" t="s">
        <v>2376</v>
      </c>
      <c r="Q899" t="s">
        <v>2377</v>
      </c>
      <c r="R899" t="s">
        <v>58</v>
      </c>
      <c r="S899" t="s">
        <v>40</v>
      </c>
      <c r="T899" s="1">
        <v>42664</v>
      </c>
      <c r="U899">
        <v>0</v>
      </c>
      <c r="V899">
        <v>0</v>
      </c>
      <c r="W899" t="s">
        <v>59</v>
      </c>
      <c r="Y899" t="s">
        <v>42</v>
      </c>
      <c r="Z899" t="s">
        <v>43</v>
      </c>
      <c r="AA899" t="s">
        <v>43</v>
      </c>
      <c r="AB899" t="s">
        <v>2371</v>
      </c>
      <c r="AD899" t="s">
        <v>3143</v>
      </c>
    </row>
    <row r="900" spans="1:30" x14ac:dyDescent="0.4">
      <c r="A900" t="s">
        <v>27</v>
      </c>
      <c r="B900">
        <v>378</v>
      </c>
      <c r="C900" t="s">
        <v>68</v>
      </c>
      <c r="D900" t="s">
        <v>2362</v>
      </c>
      <c r="E900" t="s">
        <v>2363</v>
      </c>
      <c r="F900" t="s">
        <v>2364</v>
      </c>
      <c r="H900" t="s">
        <v>2365</v>
      </c>
      <c r="I900" t="s">
        <v>73</v>
      </c>
      <c r="J900" t="s">
        <v>2366</v>
      </c>
      <c r="K900" t="s">
        <v>35</v>
      </c>
      <c r="L900">
        <v>2086882938</v>
      </c>
      <c r="M900" t="s">
        <v>2367</v>
      </c>
      <c r="N900" t="s">
        <v>2368</v>
      </c>
      <c r="P900" t="s">
        <v>2369</v>
      </c>
      <c r="Q900" t="s">
        <v>2370</v>
      </c>
      <c r="R900" t="s">
        <v>232</v>
      </c>
      <c r="S900" t="s">
        <v>40</v>
      </c>
      <c r="T900" s="1">
        <v>43381</v>
      </c>
      <c r="U900">
        <v>0</v>
      </c>
      <c r="V900">
        <v>14</v>
      </c>
      <c r="Y900" t="s">
        <v>42</v>
      </c>
      <c r="Z900" t="s">
        <v>43</v>
      </c>
      <c r="AA900" t="s">
        <v>43</v>
      </c>
      <c r="AB900" t="s">
        <v>2371</v>
      </c>
      <c r="AD900" t="s">
        <v>3143</v>
      </c>
    </row>
    <row r="901" spans="1:30" x14ac:dyDescent="0.4">
      <c r="A901" t="s">
        <v>27</v>
      </c>
      <c r="B901">
        <v>378</v>
      </c>
      <c r="C901" t="s">
        <v>68</v>
      </c>
      <c r="D901" t="s">
        <v>2362</v>
      </c>
      <c r="E901" t="s">
        <v>2363</v>
      </c>
      <c r="F901" t="s">
        <v>2364</v>
      </c>
      <c r="H901" t="s">
        <v>2365</v>
      </c>
      <c r="I901" t="s">
        <v>73</v>
      </c>
      <c r="J901" t="s">
        <v>2366</v>
      </c>
      <c r="K901" t="s">
        <v>35</v>
      </c>
      <c r="L901">
        <v>2086882938</v>
      </c>
      <c r="M901" t="s">
        <v>2367</v>
      </c>
      <c r="N901" t="s">
        <v>2368</v>
      </c>
      <c r="P901" t="s">
        <v>2369</v>
      </c>
      <c r="Q901" t="s">
        <v>2370</v>
      </c>
      <c r="R901" t="s">
        <v>232</v>
      </c>
      <c r="S901" t="s">
        <v>40</v>
      </c>
      <c r="T901" s="1">
        <v>43381</v>
      </c>
      <c r="U901">
        <v>0</v>
      </c>
      <c r="V901">
        <v>16</v>
      </c>
      <c r="Y901" t="s">
        <v>42</v>
      </c>
      <c r="Z901" t="s">
        <v>43</v>
      </c>
      <c r="AA901" t="s">
        <v>43</v>
      </c>
      <c r="AB901" t="s">
        <v>2371</v>
      </c>
      <c r="AD901" t="s">
        <v>3143</v>
      </c>
    </row>
    <row r="902" spans="1:30" x14ac:dyDescent="0.4">
      <c r="A902" t="s">
        <v>27</v>
      </c>
      <c r="B902">
        <v>378</v>
      </c>
      <c r="C902" t="s">
        <v>68</v>
      </c>
      <c r="D902" t="s">
        <v>2362</v>
      </c>
      <c r="E902" t="s">
        <v>2363</v>
      </c>
      <c r="F902" t="s">
        <v>2364</v>
      </c>
      <c r="H902" t="s">
        <v>2365</v>
      </c>
      <c r="I902" t="s">
        <v>73</v>
      </c>
      <c r="J902" t="s">
        <v>2366</v>
      </c>
      <c r="K902" t="s">
        <v>35</v>
      </c>
      <c r="L902">
        <v>2086882938</v>
      </c>
      <c r="M902" t="s">
        <v>2367</v>
      </c>
      <c r="N902" t="s">
        <v>2368</v>
      </c>
      <c r="P902" t="s">
        <v>2376</v>
      </c>
      <c r="Q902" t="s">
        <v>2377</v>
      </c>
      <c r="R902" t="s">
        <v>58</v>
      </c>
      <c r="S902" t="s">
        <v>40</v>
      </c>
      <c r="T902" s="1">
        <v>42664</v>
      </c>
      <c r="U902">
        <v>0</v>
      </c>
      <c r="V902">
        <v>18</v>
      </c>
      <c r="Y902" t="s">
        <v>42</v>
      </c>
      <c r="Z902" t="s">
        <v>43</v>
      </c>
      <c r="AA902" t="s">
        <v>43</v>
      </c>
      <c r="AB902" t="s">
        <v>2371</v>
      </c>
      <c r="AD902" t="s">
        <v>3143</v>
      </c>
    </row>
    <row r="903" spans="1:30" x14ac:dyDescent="0.4">
      <c r="A903" t="s">
        <v>27</v>
      </c>
      <c r="B903">
        <v>378</v>
      </c>
      <c r="C903" t="s">
        <v>68</v>
      </c>
      <c r="D903" t="s">
        <v>2362</v>
      </c>
      <c r="E903" t="s">
        <v>2363</v>
      </c>
      <c r="F903" t="s">
        <v>2364</v>
      </c>
      <c r="H903" t="s">
        <v>2365</v>
      </c>
      <c r="I903" t="s">
        <v>73</v>
      </c>
      <c r="J903" t="s">
        <v>2366</v>
      </c>
      <c r="K903" t="s">
        <v>35</v>
      </c>
      <c r="L903">
        <v>2086882938</v>
      </c>
      <c r="M903" t="s">
        <v>2367</v>
      </c>
      <c r="N903" t="s">
        <v>2368</v>
      </c>
      <c r="P903" t="s">
        <v>2372</v>
      </c>
      <c r="Q903" t="s">
        <v>2373</v>
      </c>
      <c r="R903" t="s">
        <v>232</v>
      </c>
      <c r="S903" t="s">
        <v>40</v>
      </c>
      <c r="T903" s="1">
        <v>45543</v>
      </c>
      <c r="U903">
        <v>0</v>
      </c>
      <c r="V903">
        <v>0</v>
      </c>
      <c r="W903" t="s">
        <v>59</v>
      </c>
      <c r="Y903" t="s">
        <v>42</v>
      </c>
      <c r="Z903" t="s">
        <v>43</v>
      </c>
      <c r="AA903" t="s">
        <v>43</v>
      </c>
      <c r="AB903" t="s">
        <v>2371</v>
      </c>
      <c r="AD903" t="s">
        <v>3143</v>
      </c>
    </row>
    <row r="904" spans="1:30" x14ac:dyDescent="0.4">
      <c r="A904" t="s">
        <v>27</v>
      </c>
      <c r="B904">
        <v>378</v>
      </c>
      <c r="C904" t="s">
        <v>68</v>
      </c>
      <c r="D904" t="s">
        <v>2362</v>
      </c>
      <c r="E904" t="s">
        <v>2363</v>
      </c>
      <c r="F904" t="s">
        <v>2364</v>
      </c>
      <c r="H904" t="s">
        <v>2365</v>
      </c>
      <c r="I904" t="s">
        <v>73</v>
      </c>
      <c r="J904" t="s">
        <v>2366</v>
      </c>
      <c r="K904" t="s">
        <v>35</v>
      </c>
      <c r="L904">
        <v>2086882938</v>
      </c>
      <c r="M904" t="s">
        <v>2367</v>
      </c>
      <c r="N904" t="s">
        <v>2368</v>
      </c>
      <c r="P904" t="s">
        <v>2374</v>
      </c>
      <c r="Q904" t="s">
        <v>2375</v>
      </c>
      <c r="R904" t="s">
        <v>94</v>
      </c>
      <c r="S904" t="s">
        <v>40</v>
      </c>
      <c r="T904" s="1">
        <v>41370</v>
      </c>
      <c r="U904">
        <v>0</v>
      </c>
      <c r="V904">
        <v>0</v>
      </c>
      <c r="W904" t="s">
        <v>59</v>
      </c>
      <c r="Y904" t="s">
        <v>42</v>
      </c>
      <c r="Z904" t="s">
        <v>43</v>
      </c>
      <c r="AA904" t="s">
        <v>43</v>
      </c>
      <c r="AB904" t="s">
        <v>2371</v>
      </c>
      <c r="AD904" t="s">
        <v>3143</v>
      </c>
    </row>
    <row r="905" spans="1:30" x14ac:dyDescent="0.4">
      <c r="A905" t="s">
        <v>27</v>
      </c>
      <c r="B905">
        <v>656</v>
      </c>
      <c r="C905" t="s">
        <v>68</v>
      </c>
      <c r="D905" t="s">
        <v>594</v>
      </c>
      <c r="E905" t="s">
        <v>2378</v>
      </c>
      <c r="F905" t="s">
        <v>2379</v>
      </c>
      <c r="G905" t="s">
        <v>2380</v>
      </c>
      <c r="H905" t="s">
        <v>2381</v>
      </c>
      <c r="I905" t="s">
        <v>176</v>
      </c>
      <c r="J905" t="s">
        <v>2382</v>
      </c>
      <c r="K905" t="s">
        <v>35</v>
      </c>
      <c r="L905" t="s">
        <v>2383</v>
      </c>
      <c r="M905" t="s">
        <v>2384</v>
      </c>
      <c r="N905" t="s">
        <v>2385</v>
      </c>
      <c r="P905" t="s">
        <v>2386</v>
      </c>
      <c r="Q905" t="s">
        <v>2387</v>
      </c>
      <c r="R905" t="s">
        <v>58</v>
      </c>
      <c r="S905" t="s">
        <v>40</v>
      </c>
      <c r="T905" s="1">
        <v>44869</v>
      </c>
      <c r="U905">
        <v>0</v>
      </c>
      <c r="V905">
        <v>16</v>
      </c>
      <c r="Y905" t="s">
        <v>42</v>
      </c>
      <c r="Z905" t="s">
        <v>43</v>
      </c>
      <c r="AA905" t="s">
        <v>43</v>
      </c>
      <c r="AD905" t="s">
        <v>3143</v>
      </c>
    </row>
    <row r="906" spans="1:30" x14ac:dyDescent="0.4">
      <c r="A906" t="s">
        <v>27</v>
      </c>
      <c r="B906">
        <v>656</v>
      </c>
      <c r="C906" t="s">
        <v>68</v>
      </c>
      <c r="D906" t="s">
        <v>594</v>
      </c>
      <c r="E906" t="s">
        <v>2378</v>
      </c>
      <c r="F906" t="s">
        <v>2379</v>
      </c>
      <c r="G906" t="s">
        <v>2380</v>
      </c>
      <c r="H906" t="s">
        <v>2381</v>
      </c>
      <c r="I906" t="s">
        <v>176</v>
      </c>
      <c r="J906" t="s">
        <v>2382</v>
      </c>
      <c r="K906" t="s">
        <v>35</v>
      </c>
      <c r="L906" t="s">
        <v>2383</v>
      </c>
      <c r="M906" t="s">
        <v>2384</v>
      </c>
      <c r="N906" t="s">
        <v>2385</v>
      </c>
      <c r="P906" t="s">
        <v>2388</v>
      </c>
      <c r="Q906" t="s">
        <v>2389</v>
      </c>
      <c r="R906" t="s">
        <v>376</v>
      </c>
      <c r="S906" t="s">
        <v>40</v>
      </c>
      <c r="T906" s="1">
        <v>43686</v>
      </c>
      <c r="U906">
        <v>0</v>
      </c>
      <c r="V906">
        <v>12</v>
      </c>
      <c r="Y906" t="s">
        <v>42</v>
      </c>
      <c r="Z906" t="s">
        <v>43</v>
      </c>
      <c r="AA906" t="s">
        <v>43</v>
      </c>
      <c r="AD906" t="s">
        <v>3143</v>
      </c>
    </row>
    <row r="907" spans="1:30" x14ac:dyDescent="0.4">
      <c r="A907" t="s">
        <v>27</v>
      </c>
      <c r="B907">
        <v>656</v>
      </c>
      <c r="C907" t="s">
        <v>68</v>
      </c>
      <c r="D907" t="s">
        <v>594</v>
      </c>
      <c r="E907" t="s">
        <v>2378</v>
      </c>
      <c r="F907" t="s">
        <v>2379</v>
      </c>
      <c r="G907" t="s">
        <v>2380</v>
      </c>
      <c r="H907" t="s">
        <v>2381</v>
      </c>
      <c r="I907" t="s">
        <v>176</v>
      </c>
      <c r="J907" t="s">
        <v>2382</v>
      </c>
      <c r="K907" t="s">
        <v>35</v>
      </c>
      <c r="L907" t="s">
        <v>2383</v>
      </c>
      <c r="M907" t="s">
        <v>2384</v>
      </c>
      <c r="N907" t="s">
        <v>2385</v>
      </c>
      <c r="P907" t="s">
        <v>2386</v>
      </c>
      <c r="Q907" t="s">
        <v>2387</v>
      </c>
      <c r="R907" t="s">
        <v>58</v>
      </c>
      <c r="S907" t="s">
        <v>40</v>
      </c>
      <c r="T907" s="1">
        <v>44869</v>
      </c>
      <c r="U907">
        <v>0</v>
      </c>
      <c r="V907">
        <v>14</v>
      </c>
      <c r="Y907" t="s">
        <v>42</v>
      </c>
      <c r="Z907" t="s">
        <v>43</v>
      </c>
      <c r="AA907" t="s">
        <v>43</v>
      </c>
      <c r="AD907" t="s">
        <v>3143</v>
      </c>
    </row>
    <row r="908" spans="1:30" x14ac:dyDescent="0.4">
      <c r="A908" t="s">
        <v>27</v>
      </c>
      <c r="B908">
        <v>2699</v>
      </c>
      <c r="C908" t="s">
        <v>68</v>
      </c>
      <c r="D908" t="s">
        <v>2390</v>
      </c>
      <c r="E908" t="s">
        <v>2391</v>
      </c>
      <c r="F908" t="s">
        <v>2392</v>
      </c>
      <c r="H908" t="s">
        <v>50</v>
      </c>
      <c r="I908" t="s">
        <v>51</v>
      </c>
      <c r="J908" t="s">
        <v>2393</v>
      </c>
      <c r="K908" t="s">
        <v>35</v>
      </c>
      <c r="L908" t="s">
        <v>2394</v>
      </c>
      <c r="M908" t="s">
        <v>2395</v>
      </c>
      <c r="N908" t="s">
        <v>2396</v>
      </c>
      <c r="P908" t="s">
        <v>2397</v>
      </c>
      <c r="Q908" t="s">
        <v>2398</v>
      </c>
      <c r="R908" t="s">
        <v>284</v>
      </c>
      <c r="S908" t="s">
        <v>82</v>
      </c>
      <c r="T908" s="1">
        <v>44665</v>
      </c>
      <c r="U908">
        <v>0</v>
      </c>
      <c r="V908">
        <v>9</v>
      </c>
      <c r="Y908" t="s">
        <v>42</v>
      </c>
      <c r="Z908" t="s">
        <v>43</v>
      </c>
      <c r="AA908" t="s">
        <v>43</v>
      </c>
      <c r="AB908" t="s">
        <v>2399</v>
      </c>
      <c r="AD908" t="s">
        <v>3143</v>
      </c>
    </row>
    <row r="909" spans="1:30" x14ac:dyDescent="0.4">
      <c r="A909" t="s">
        <v>27</v>
      </c>
      <c r="B909">
        <v>2699</v>
      </c>
      <c r="C909" t="s">
        <v>68</v>
      </c>
      <c r="D909" t="s">
        <v>2390</v>
      </c>
      <c r="E909" t="s">
        <v>2391</v>
      </c>
      <c r="F909" t="s">
        <v>2392</v>
      </c>
      <c r="H909" t="s">
        <v>50</v>
      </c>
      <c r="I909" t="s">
        <v>51</v>
      </c>
      <c r="J909" t="s">
        <v>2393</v>
      </c>
      <c r="K909" t="s">
        <v>35</v>
      </c>
      <c r="L909" t="s">
        <v>2394</v>
      </c>
      <c r="M909" t="s">
        <v>2395</v>
      </c>
      <c r="N909" t="s">
        <v>2396</v>
      </c>
      <c r="P909" t="s">
        <v>2397</v>
      </c>
      <c r="Q909" t="s">
        <v>2398</v>
      </c>
      <c r="R909" t="s">
        <v>284</v>
      </c>
      <c r="S909" t="s">
        <v>82</v>
      </c>
      <c r="T909" s="1">
        <v>44665</v>
      </c>
      <c r="U909">
        <v>0</v>
      </c>
      <c r="V909">
        <v>10</v>
      </c>
      <c r="Y909" t="s">
        <v>42</v>
      </c>
      <c r="Z909" t="s">
        <v>43</v>
      </c>
      <c r="AA909" t="s">
        <v>43</v>
      </c>
      <c r="AB909" t="s">
        <v>2399</v>
      </c>
      <c r="AD909" t="s">
        <v>3143</v>
      </c>
    </row>
    <row r="910" spans="1:30" x14ac:dyDescent="0.4">
      <c r="A910" t="s">
        <v>27</v>
      </c>
      <c r="B910">
        <v>643</v>
      </c>
      <c r="C910" t="s">
        <v>68</v>
      </c>
      <c r="D910" t="s">
        <v>2400</v>
      </c>
      <c r="E910" t="s">
        <v>2401</v>
      </c>
      <c r="F910" t="s">
        <v>2402</v>
      </c>
      <c r="H910" t="s">
        <v>2403</v>
      </c>
      <c r="I910" t="s">
        <v>1696</v>
      </c>
      <c r="J910" t="s">
        <v>2404</v>
      </c>
      <c r="K910" t="s">
        <v>35</v>
      </c>
      <c r="L910">
        <v>7891477539</v>
      </c>
      <c r="M910" t="s">
        <v>2405</v>
      </c>
      <c r="N910" t="s">
        <v>2406</v>
      </c>
      <c r="P910" t="s">
        <v>2407</v>
      </c>
      <c r="Q910" t="s">
        <v>2408</v>
      </c>
      <c r="R910" t="s">
        <v>58</v>
      </c>
      <c r="S910" t="s">
        <v>40</v>
      </c>
      <c r="T910" s="1">
        <v>42506</v>
      </c>
      <c r="U910">
        <v>0</v>
      </c>
      <c r="V910">
        <v>0</v>
      </c>
      <c r="W910" t="s">
        <v>59</v>
      </c>
      <c r="X910" t="s">
        <v>135</v>
      </c>
      <c r="Y910" t="s">
        <v>42</v>
      </c>
      <c r="Z910" t="s">
        <v>43</v>
      </c>
      <c r="AA910" t="s">
        <v>42</v>
      </c>
      <c r="AD910" t="s">
        <v>3143</v>
      </c>
    </row>
    <row r="911" spans="1:30" x14ac:dyDescent="0.4">
      <c r="A911" t="s">
        <v>27</v>
      </c>
      <c r="B911">
        <v>643</v>
      </c>
      <c r="C911" t="s">
        <v>68</v>
      </c>
      <c r="D911" t="s">
        <v>2400</v>
      </c>
      <c r="E911" t="s">
        <v>2401</v>
      </c>
      <c r="F911" t="s">
        <v>2402</v>
      </c>
      <c r="H911" t="s">
        <v>2403</v>
      </c>
      <c r="I911" t="s">
        <v>1696</v>
      </c>
      <c r="J911" t="s">
        <v>2404</v>
      </c>
      <c r="K911" t="s">
        <v>35</v>
      </c>
      <c r="L911">
        <v>7891477539</v>
      </c>
      <c r="M911" t="s">
        <v>2405</v>
      </c>
      <c r="N911" t="s">
        <v>2406</v>
      </c>
      <c r="P911" t="s">
        <v>2407</v>
      </c>
      <c r="Q911" t="s">
        <v>2408</v>
      </c>
      <c r="R911" t="s">
        <v>58</v>
      </c>
      <c r="S911" t="s">
        <v>40</v>
      </c>
      <c r="T911" s="1">
        <v>42506</v>
      </c>
      <c r="U911">
        <v>0</v>
      </c>
      <c r="V911">
        <v>0</v>
      </c>
      <c r="W911" t="s">
        <v>59</v>
      </c>
      <c r="X911" t="s">
        <v>135</v>
      </c>
      <c r="Y911" t="s">
        <v>42</v>
      </c>
      <c r="Z911" t="s">
        <v>43</v>
      </c>
      <c r="AA911" t="s">
        <v>42</v>
      </c>
      <c r="AD911" t="s">
        <v>3143</v>
      </c>
    </row>
    <row r="912" spans="1:30" x14ac:dyDescent="0.4">
      <c r="A912" t="s">
        <v>27</v>
      </c>
      <c r="B912">
        <v>643</v>
      </c>
      <c r="C912" t="s">
        <v>68</v>
      </c>
      <c r="D912" t="s">
        <v>2400</v>
      </c>
      <c r="E912" t="s">
        <v>2401</v>
      </c>
      <c r="F912" t="s">
        <v>2402</v>
      </c>
      <c r="H912" t="s">
        <v>2403</v>
      </c>
      <c r="I912" t="s">
        <v>1696</v>
      </c>
      <c r="J912" t="s">
        <v>2404</v>
      </c>
      <c r="K912" t="s">
        <v>35</v>
      </c>
      <c r="L912">
        <v>7891477539</v>
      </c>
      <c r="M912" t="s">
        <v>2405</v>
      </c>
      <c r="N912" t="s">
        <v>2406</v>
      </c>
      <c r="P912" t="s">
        <v>2409</v>
      </c>
      <c r="Q912" t="s">
        <v>2410</v>
      </c>
      <c r="R912" t="s">
        <v>94</v>
      </c>
      <c r="S912" t="s">
        <v>40</v>
      </c>
      <c r="T912" s="1">
        <v>44254</v>
      </c>
      <c r="U912">
        <v>0</v>
      </c>
      <c r="V912">
        <v>7</v>
      </c>
      <c r="X912" t="s">
        <v>135</v>
      </c>
      <c r="Y912" t="s">
        <v>42</v>
      </c>
      <c r="Z912" t="s">
        <v>43</v>
      </c>
      <c r="AA912" t="s">
        <v>42</v>
      </c>
      <c r="AD912" t="s">
        <v>3143</v>
      </c>
    </row>
    <row r="913" spans="1:30" x14ac:dyDescent="0.4">
      <c r="A913" t="s">
        <v>27</v>
      </c>
      <c r="B913">
        <v>643</v>
      </c>
      <c r="C913" t="s">
        <v>68</v>
      </c>
      <c r="D913" t="s">
        <v>2400</v>
      </c>
      <c r="E913" t="s">
        <v>2401</v>
      </c>
      <c r="F913" t="s">
        <v>2402</v>
      </c>
      <c r="H913" t="s">
        <v>2403</v>
      </c>
      <c r="I913" t="s">
        <v>1696</v>
      </c>
      <c r="J913" t="s">
        <v>2404</v>
      </c>
      <c r="K913" t="s">
        <v>35</v>
      </c>
      <c r="L913">
        <v>7891477539</v>
      </c>
      <c r="M913" t="s">
        <v>2405</v>
      </c>
      <c r="N913" t="s">
        <v>2406</v>
      </c>
      <c r="P913" t="s">
        <v>2409</v>
      </c>
      <c r="Q913" t="s">
        <v>2410</v>
      </c>
      <c r="R913" t="s">
        <v>94</v>
      </c>
      <c r="S913" t="s">
        <v>40</v>
      </c>
      <c r="T913" s="1">
        <v>44254</v>
      </c>
      <c r="U913">
        <v>0</v>
      </c>
      <c r="V913">
        <v>20</v>
      </c>
      <c r="X913" t="s">
        <v>135</v>
      </c>
      <c r="Y913" t="s">
        <v>42</v>
      </c>
      <c r="Z913" t="s">
        <v>43</v>
      </c>
      <c r="AA913" t="s">
        <v>42</v>
      </c>
      <c r="AD913" t="s">
        <v>3143</v>
      </c>
    </row>
    <row r="914" spans="1:30" x14ac:dyDescent="0.4">
      <c r="A914" t="s">
        <v>27</v>
      </c>
      <c r="B914">
        <v>1556</v>
      </c>
      <c r="C914" t="s">
        <v>68</v>
      </c>
      <c r="D914" t="s">
        <v>2411</v>
      </c>
      <c r="E914" t="s">
        <v>2412</v>
      </c>
      <c r="F914" t="s">
        <v>2413</v>
      </c>
      <c r="H914" t="s">
        <v>1127</v>
      </c>
      <c r="I914" t="s">
        <v>495</v>
      </c>
      <c r="J914" t="s">
        <v>2414</v>
      </c>
      <c r="K914" t="s">
        <v>35</v>
      </c>
      <c r="L914">
        <v>1273415114</v>
      </c>
      <c r="M914" t="s">
        <v>2415</v>
      </c>
      <c r="N914" t="s">
        <v>3008</v>
      </c>
      <c r="P914" t="s">
        <v>2416</v>
      </c>
      <c r="Q914" t="s">
        <v>2417</v>
      </c>
      <c r="R914" t="s">
        <v>94</v>
      </c>
      <c r="S914" t="s">
        <v>40</v>
      </c>
      <c r="T914" s="1">
        <v>45179</v>
      </c>
      <c r="U914">
        <v>0</v>
      </c>
      <c r="V914">
        <v>4</v>
      </c>
      <c r="W914" t="s">
        <v>65</v>
      </c>
      <c r="Y914" t="s">
        <v>42</v>
      </c>
      <c r="Z914" t="s">
        <v>43</v>
      </c>
      <c r="AA914" t="s">
        <v>43</v>
      </c>
      <c r="AD914" t="s">
        <v>3143</v>
      </c>
    </row>
    <row r="915" spans="1:30" x14ac:dyDescent="0.4">
      <c r="A915" t="s">
        <v>27</v>
      </c>
      <c r="B915">
        <v>1556</v>
      </c>
      <c r="C915" t="s">
        <v>68</v>
      </c>
      <c r="D915" t="s">
        <v>2411</v>
      </c>
      <c r="E915" t="s">
        <v>2412</v>
      </c>
      <c r="F915" t="s">
        <v>2413</v>
      </c>
      <c r="H915" t="s">
        <v>1127</v>
      </c>
      <c r="I915" t="s">
        <v>495</v>
      </c>
      <c r="J915" t="s">
        <v>2414</v>
      </c>
      <c r="K915" t="s">
        <v>35</v>
      </c>
      <c r="L915">
        <v>1273415114</v>
      </c>
      <c r="M915" t="s">
        <v>2415</v>
      </c>
      <c r="N915" t="s">
        <v>3008</v>
      </c>
      <c r="P915" t="s">
        <v>2416</v>
      </c>
      <c r="Q915" t="s">
        <v>2417</v>
      </c>
      <c r="R915" t="s">
        <v>94</v>
      </c>
      <c r="S915" t="s">
        <v>40</v>
      </c>
      <c r="T915" s="1">
        <v>45179</v>
      </c>
      <c r="U915">
        <v>0</v>
      </c>
      <c r="V915">
        <v>12</v>
      </c>
      <c r="Y915" t="s">
        <v>42</v>
      </c>
      <c r="Z915" t="s">
        <v>43</v>
      </c>
      <c r="AA915" t="s">
        <v>43</v>
      </c>
      <c r="AD915" t="s">
        <v>3143</v>
      </c>
    </row>
    <row r="916" spans="1:30" x14ac:dyDescent="0.4">
      <c r="A916" t="s">
        <v>27</v>
      </c>
      <c r="B916">
        <v>1556</v>
      </c>
      <c r="C916" t="s">
        <v>68</v>
      </c>
      <c r="D916" t="s">
        <v>2411</v>
      </c>
      <c r="E916" t="s">
        <v>2412</v>
      </c>
      <c r="F916" t="s">
        <v>2413</v>
      </c>
      <c r="H916" t="s">
        <v>1127</v>
      </c>
      <c r="I916" t="s">
        <v>495</v>
      </c>
      <c r="J916" t="s">
        <v>2414</v>
      </c>
      <c r="K916" t="s">
        <v>35</v>
      </c>
      <c r="L916">
        <v>1273415114</v>
      </c>
      <c r="M916" t="s">
        <v>2415</v>
      </c>
      <c r="N916" t="s">
        <v>3008</v>
      </c>
      <c r="P916" t="s">
        <v>2416</v>
      </c>
      <c r="Q916" t="s">
        <v>2417</v>
      </c>
      <c r="R916" t="s">
        <v>94</v>
      </c>
      <c r="S916" t="s">
        <v>40</v>
      </c>
      <c r="T916" s="1">
        <v>45179</v>
      </c>
      <c r="U916">
        <v>0</v>
      </c>
      <c r="V916">
        <v>5</v>
      </c>
      <c r="W916" t="s">
        <v>66</v>
      </c>
      <c r="Y916" t="s">
        <v>42</v>
      </c>
      <c r="Z916" t="s">
        <v>43</v>
      </c>
      <c r="AA916" t="s">
        <v>43</v>
      </c>
      <c r="AD916" t="s">
        <v>3143</v>
      </c>
    </row>
    <row r="917" spans="1:30" x14ac:dyDescent="0.4">
      <c r="A917" t="s">
        <v>27</v>
      </c>
      <c r="B917">
        <v>1556</v>
      </c>
      <c r="C917" t="s">
        <v>68</v>
      </c>
      <c r="D917" t="s">
        <v>2411</v>
      </c>
      <c r="E917" t="s">
        <v>2412</v>
      </c>
      <c r="F917" t="s">
        <v>2413</v>
      </c>
      <c r="H917" t="s">
        <v>1127</v>
      </c>
      <c r="I917" t="s">
        <v>495</v>
      </c>
      <c r="J917" t="s">
        <v>2414</v>
      </c>
      <c r="K917" t="s">
        <v>35</v>
      </c>
      <c r="L917">
        <v>1273415114</v>
      </c>
      <c r="M917" t="s">
        <v>2415</v>
      </c>
      <c r="N917" t="s">
        <v>3008</v>
      </c>
      <c r="P917" t="s">
        <v>2416</v>
      </c>
      <c r="Q917" t="s">
        <v>2417</v>
      </c>
      <c r="R917" t="s">
        <v>94</v>
      </c>
      <c r="S917" t="s">
        <v>40</v>
      </c>
      <c r="T917" s="1">
        <v>45179</v>
      </c>
      <c r="U917">
        <v>0</v>
      </c>
      <c r="V917">
        <v>14</v>
      </c>
      <c r="Y917" t="s">
        <v>42</v>
      </c>
      <c r="Z917" t="s">
        <v>43</v>
      </c>
      <c r="AA917" t="s">
        <v>43</v>
      </c>
      <c r="AD917" t="s">
        <v>3143</v>
      </c>
    </row>
    <row r="918" spans="1:30" x14ac:dyDescent="0.4">
      <c r="A918" t="s">
        <v>27</v>
      </c>
      <c r="B918">
        <v>1010</v>
      </c>
      <c r="C918" t="s">
        <v>68</v>
      </c>
      <c r="D918" t="s">
        <v>594</v>
      </c>
      <c r="E918" t="s">
        <v>2418</v>
      </c>
      <c r="F918" t="s">
        <v>2419</v>
      </c>
      <c r="G918" t="s">
        <v>2419</v>
      </c>
      <c r="H918" t="s">
        <v>2420</v>
      </c>
      <c r="I918" t="s">
        <v>426</v>
      </c>
      <c r="J918" t="s">
        <v>2421</v>
      </c>
      <c r="K918" t="s">
        <v>35</v>
      </c>
      <c r="L918" t="s">
        <v>2422</v>
      </c>
      <c r="M918" t="s">
        <v>2423</v>
      </c>
      <c r="N918" t="s">
        <v>2424</v>
      </c>
      <c r="P918" t="s">
        <v>2425</v>
      </c>
      <c r="Q918" t="s">
        <v>2426</v>
      </c>
      <c r="R918" t="s">
        <v>2427</v>
      </c>
      <c r="S918" t="s">
        <v>40</v>
      </c>
      <c r="T918" s="1">
        <v>45459</v>
      </c>
      <c r="U918">
        <v>0</v>
      </c>
      <c r="V918">
        <v>0</v>
      </c>
      <c r="W918" t="s">
        <v>59</v>
      </c>
      <c r="X918" t="s">
        <v>464</v>
      </c>
      <c r="Y918" t="s">
        <v>42</v>
      </c>
      <c r="Z918" t="s">
        <v>43</v>
      </c>
      <c r="AA918" t="s">
        <v>43</v>
      </c>
      <c r="AD918" t="s">
        <v>3143</v>
      </c>
    </row>
    <row r="919" spans="1:30" x14ac:dyDescent="0.4">
      <c r="A919" t="s">
        <v>27</v>
      </c>
      <c r="B919">
        <v>1010</v>
      </c>
      <c r="C919" t="s">
        <v>68</v>
      </c>
      <c r="D919" t="s">
        <v>594</v>
      </c>
      <c r="E919" t="s">
        <v>2418</v>
      </c>
      <c r="F919" t="s">
        <v>2419</v>
      </c>
      <c r="G919" t="s">
        <v>2419</v>
      </c>
      <c r="H919" t="s">
        <v>2420</v>
      </c>
      <c r="I919" t="s">
        <v>426</v>
      </c>
      <c r="J919" t="s">
        <v>2421</v>
      </c>
      <c r="K919" t="s">
        <v>35</v>
      </c>
      <c r="L919" t="s">
        <v>2422</v>
      </c>
      <c r="M919" t="s">
        <v>2423</v>
      </c>
      <c r="N919" t="s">
        <v>2424</v>
      </c>
      <c r="P919" t="s">
        <v>2425</v>
      </c>
      <c r="Q919" t="s">
        <v>2426</v>
      </c>
      <c r="R919" t="s">
        <v>2427</v>
      </c>
      <c r="S919" t="s">
        <v>40</v>
      </c>
      <c r="T919" s="1">
        <v>45459</v>
      </c>
      <c r="U919">
        <v>0</v>
      </c>
      <c r="V919">
        <v>0</v>
      </c>
      <c r="W919" t="s">
        <v>59</v>
      </c>
      <c r="X919" t="s">
        <v>464</v>
      </c>
      <c r="Y919" t="s">
        <v>42</v>
      </c>
      <c r="Z919" t="s">
        <v>43</v>
      </c>
      <c r="AA919" t="s">
        <v>43</v>
      </c>
      <c r="AD919" t="s">
        <v>3143</v>
      </c>
    </row>
    <row r="920" spans="1:30" x14ac:dyDescent="0.4">
      <c r="A920" t="s">
        <v>27</v>
      </c>
      <c r="B920">
        <v>1010</v>
      </c>
      <c r="C920" t="s">
        <v>68</v>
      </c>
      <c r="D920" t="s">
        <v>594</v>
      </c>
      <c r="E920" t="s">
        <v>2418</v>
      </c>
      <c r="F920" t="s">
        <v>2419</v>
      </c>
      <c r="G920" t="s">
        <v>2419</v>
      </c>
      <c r="H920" t="s">
        <v>2420</v>
      </c>
      <c r="I920" t="s">
        <v>426</v>
      </c>
      <c r="J920" t="s">
        <v>2421</v>
      </c>
      <c r="K920" t="s">
        <v>35</v>
      </c>
      <c r="L920" t="s">
        <v>2422</v>
      </c>
      <c r="M920" t="s">
        <v>2423</v>
      </c>
      <c r="N920" t="s">
        <v>2875</v>
      </c>
      <c r="P920" t="s">
        <v>2428</v>
      </c>
      <c r="Q920" t="s">
        <v>2429</v>
      </c>
      <c r="R920" t="s">
        <v>58</v>
      </c>
      <c r="S920" t="s">
        <v>40</v>
      </c>
      <c r="T920" s="1">
        <v>43111</v>
      </c>
      <c r="U920">
        <v>0</v>
      </c>
      <c r="V920">
        <v>4</v>
      </c>
      <c r="W920" t="s">
        <v>65</v>
      </c>
      <c r="X920" t="s">
        <v>464</v>
      </c>
      <c r="Y920" t="s">
        <v>42</v>
      </c>
      <c r="Z920" t="s">
        <v>43</v>
      </c>
      <c r="AA920" t="s">
        <v>43</v>
      </c>
      <c r="AD920" t="s">
        <v>3143</v>
      </c>
    </row>
    <row r="921" spans="1:30" x14ac:dyDescent="0.4">
      <c r="A921" t="s">
        <v>27</v>
      </c>
      <c r="B921">
        <v>1010</v>
      </c>
      <c r="C921" t="s">
        <v>68</v>
      </c>
      <c r="D921" t="s">
        <v>594</v>
      </c>
      <c r="E921" t="s">
        <v>2418</v>
      </c>
      <c r="F921" t="s">
        <v>2419</v>
      </c>
      <c r="G921" t="s">
        <v>2419</v>
      </c>
      <c r="H921" t="s">
        <v>2420</v>
      </c>
      <c r="I921" t="s">
        <v>426</v>
      </c>
      <c r="J921" t="s">
        <v>2421</v>
      </c>
      <c r="K921" t="s">
        <v>35</v>
      </c>
      <c r="L921" t="s">
        <v>2422</v>
      </c>
      <c r="M921" t="s">
        <v>2423</v>
      </c>
      <c r="N921" t="s">
        <v>2875</v>
      </c>
      <c r="P921" t="s">
        <v>2428</v>
      </c>
      <c r="Q921" t="s">
        <v>2429</v>
      </c>
      <c r="R921" t="s">
        <v>58</v>
      </c>
      <c r="S921" t="s">
        <v>40</v>
      </c>
      <c r="T921" s="1">
        <v>43111</v>
      </c>
      <c r="U921">
        <v>0</v>
      </c>
      <c r="V921">
        <v>5</v>
      </c>
      <c r="W921" t="s">
        <v>66</v>
      </c>
      <c r="X921" t="s">
        <v>464</v>
      </c>
      <c r="Y921" t="s">
        <v>42</v>
      </c>
      <c r="Z921" t="s">
        <v>43</v>
      </c>
      <c r="AA921" t="s">
        <v>43</v>
      </c>
      <c r="AD921" t="s">
        <v>3143</v>
      </c>
    </row>
    <row r="922" spans="1:30" x14ac:dyDescent="0.4">
      <c r="A922" t="s">
        <v>27</v>
      </c>
      <c r="B922">
        <v>1010</v>
      </c>
      <c r="C922" t="s">
        <v>68</v>
      </c>
      <c r="D922" t="s">
        <v>594</v>
      </c>
      <c r="E922" t="s">
        <v>2418</v>
      </c>
      <c r="F922" t="s">
        <v>2419</v>
      </c>
      <c r="G922" t="s">
        <v>2419</v>
      </c>
      <c r="H922" t="s">
        <v>2420</v>
      </c>
      <c r="I922" t="s">
        <v>426</v>
      </c>
      <c r="J922" t="s">
        <v>2421</v>
      </c>
      <c r="K922" t="s">
        <v>35</v>
      </c>
      <c r="L922" t="s">
        <v>2422</v>
      </c>
      <c r="M922" t="s">
        <v>2423</v>
      </c>
      <c r="N922" t="s">
        <v>2875</v>
      </c>
      <c r="P922" t="s">
        <v>2428</v>
      </c>
      <c r="Q922" t="s">
        <v>2429</v>
      </c>
      <c r="R922" t="s">
        <v>58</v>
      </c>
      <c r="S922" t="s">
        <v>40</v>
      </c>
      <c r="T922" s="1">
        <v>43111</v>
      </c>
      <c r="U922">
        <v>0</v>
      </c>
      <c r="V922">
        <v>12</v>
      </c>
      <c r="X922" t="s">
        <v>464</v>
      </c>
      <c r="Y922" t="s">
        <v>42</v>
      </c>
      <c r="Z922" t="s">
        <v>43</v>
      </c>
      <c r="AA922" t="s">
        <v>43</v>
      </c>
      <c r="AD922" t="s">
        <v>3143</v>
      </c>
    </row>
    <row r="923" spans="1:30" x14ac:dyDescent="0.4">
      <c r="A923" t="s">
        <v>27</v>
      </c>
      <c r="B923">
        <v>1010</v>
      </c>
      <c r="C923" t="s">
        <v>68</v>
      </c>
      <c r="D923" t="s">
        <v>594</v>
      </c>
      <c r="E923" t="s">
        <v>2418</v>
      </c>
      <c r="F923" t="s">
        <v>2419</v>
      </c>
      <c r="G923" t="s">
        <v>2419</v>
      </c>
      <c r="H923" t="s">
        <v>2420</v>
      </c>
      <c r="I923" t="s">
        <v>426</v>
      </c>
      <c r="J923" t="s">
        <v>2421</v>
      </c>
      <c r="K923" t="s">
        <v>35</v>
      </c>
      <c r="L923" t="s">
        <v>2422</v>
      </c>
      <c r="M923" t="s">
        <v>2423</v>
      </c>
      <c r="N923" t="s">
        <v>2875</v>
      </c>
      <c r="P923" t="s">
        <v>2428</v>
      </c>
      <c r="Q923" t="s">
        <v>2429</v>
      </c>
      <c r="R923" t="s">
        <v>58</v>
      </c>
      <c r="S923" t="s">
        <v>40</v>
      </c>
      <c r="T923" s="1">
        <v>43111</v>
      </c>
      <c r="U923">
        <v>0</v>
      </c>
      <c r="V923">
        <v>14</v>
      </c>
      <c r="X923" t="s">
        <v>464</v>
      </c>
      <c r="Y923" t="s">
        <v>42</v>
      </c>
      <c r="Z923" t="s">
        <v>43</v>
      </c>
      <c r="AA923" t="s">
        <v>43</v>
      </c>
      <c r="AD923" t="s">
        <v>3143</v>
      </c>
    </row>
    <row r="924" spans="1:30" x14ac:dyDescent="0.4">
      <c r="A924" t="s">
        <v>27</v>
      </c>
      <c r="B924">
        <v>5667</v>
      </c>
      <c r="C924" t="s">
        <v>68</v>
      </c>
      <c r="D924" t="s">
        <v>2430</v>
      </c>
      <c r="E924" t="s">
        <v>2431</v>
      </c>
      <c r="F924" t="s">
        <v>2432</v>
      </c>
      <c r="G924" t="s">
        <v>2433</v>
      </c>
      <c r="H924" t="s">
        <v>2434</v>
      </c>
      <c r="I924" t="s">
        <v>51</v>
      </c>
      <c r="J924" t="s">
        <v>2435</v>
      </c>
      <c r="K924" t="s">
        <v>35</v>
      </c>
      <c r="L924" t="s">
        <v>2436</v>
      </c>
      <c r="M924" t="s">
        <v>2437</v>
      </c>
      <c r="N924" t="s">
        <v>3009</v>
      </c>
      <c r="P924" t="s">
        <v>2438</v>
      </c>
      <c r="Q924" t="s">
        <v>2439</v>
      </c>
      <c r="R924" t="s">
        <v>284</v>
      </c>
      <c r="S924" t="s">
        <v>82</v>
      </c>
      <c r="T924" s="1">
        <v>45160</v>
      </c>
      <c r="U924">
        <v>0</v>
      </c>
      <c r="V924">
        <v>11</v>
      </c>
      <c r="Y924" t="s">
        <v>42</v>
      </c>
      <c r="Z924" t="s">
        <v>43</v>
      </c>
      <c r="AA924" t="s">
        <v>43</v>
      </c>
      <c r="AD924" t="s">
        <v>3143</v>
      </c>
    </row>
    <row r="925" spans="1:30" x14ac:dyDescent="0.4">
      <c r="A925" t="s">
        <v>27</v>
      </c>
      <c r="B925">
        <v>5667</v>
      </c>
      <c r="C925" t="s">
        <v>68</v>
      </c>
      <c r="D925" t="s">
        <v>2430</v>
      </c>
      <c r="E925" t="s">
        <v>2431</v>
      </c>
      <c r="F925" t="s">
        <v>2432</v>
      </c>
      <c r="G925" t="s">
        <v>2433</v>
      </c>
      <c r="H925" t="s">
        <v>2434</v>
      </c>
      <c r="I925" t="s">
        <v>51</v>
      </c>
      <c r="J925" t="s">
        <v>2435</v>
      </c>
      <c r="K925" t="s">
        <v>35</v>
      </c>
      <c r="L925" t="s">
        <v>2436</v>
      </c>
      <c r="M925" t="s">
        <v>2437</v>
      </c>
      <c r="N925" t="s">
        <v>3009</v>
      </c>
      <c r="P925" t="s">
        <v>2438</v>
      </c>
      <c r="Q925" t="s">
        <v>2439</v>
      </c>
      <c r="R925" t="s">
        <v>284</v>
      </c>
      <c r="S925" t="s">
        <v>82</v>
      </c>
      <c r="T925" s="1">
        <v>45160</v>
      </c>
      <c r="U925">
        <v>0</v>
      </c>
      <c r="V925">
        <v>13</v>
      </c>
      <c r="Y925" t="s">
        <v>42</v>
      </c>
      <c r="Z925" t="s">
        <v>43</v>
      </c>
      <c r="AA925" t="s">
        <v>43</v>
      </c>
      <c r="AD925" t="s">
        <v>3143</v>
      </c>
    </row>
    <row r="926" spans="1:30" x14ac:dyDescent="0.4">
      <c r="A926" t="s">
        <v>27</v>
      </c>
      <c r="B926">
        <v>5464</v>
      </c>
      <c r="C926" t="s">
        <v>28</v>
      </c>
      <c r="D926" t="s">
        <v>2440</v>
      </c>
      <c r="E926" t="s">
        <v>2441</v>
      </c>
      <c r="F926">
        <v>14</v>
      </c>
      <c r="G926" t="s">
        <v>2442</v>
      </c>
      <c r="H926" t="s">
        <v>2443</v>
      </c>
      <c r="I926" t="s">
        <v>426</v>
      </c>
      <c r="J926" t="s">
        <v>2444</v>
      </c>
      <c r="K926" t="s">
        <v>35</v>
      </c>
      <c r="L926">
        <v>7581693165</v>
      </c>
      <c r="M926" t="s">
        <v>2445</v>
      </c>
      <c r="N926" t="s">
        <v>2446</v>
      </c>
      <c r="P926" t="s">
        <v>2447</v>
      </c>
      <c r="Q926" t="s">
        <v>2448</v>
      </c>
      <c r="R926" t="s">
        <v>2449</v>
      </c>
      <c r="S926" t="s">
        <v>40</v>
      </c>
      <c r="T926" s="1">
        <v>45243</v>
      </c>
      <c r="U926">
        <v>0</v>
      </c>
      <c r="V926">
        <v>0</v>
      </c>
      <c r="W926" t="s">
        <v>59</v>
      </c>
      <c r="X926" t="s">
        <v>135</v>
      </c>
      <c r="Y926" t="s">
        <v>42</v>
      </c>
      <c r="Z926" t="s">
        <v>43</v>
      </c>
      <c r="AA926" t="s">
        <v>42</v>
      </c>
      <c r="AD926" t="s">
        <v>3143</v>
      </c>
    </row>
    <row r="927" spans="1:30" x14ac:dyDescent="0.4">
      <c r="A927" t="s">
        <v>27</v>
      </c>
      <c r="B927">
        <v>5464</v>
      </c>
      <c r="C927" t="s">
        <v>28</v>
      </c>
      <c r="D927" t="s">
        <v>2440</v>
      </c>
      <c r="E927" t="s">
        <v>2441</v>
      </c>
      <c r="F927">
        <v>14</v>
      </c>
      <c r="G927" t="s">
        <v>2442</v>
      </c>
      <c r="H927" t="s">
        <v>2443</v>
      </c>
      <c r="I927" t="s">
        <v>426</v>
      </c>
      <c r="J927" t="s">
        <v>2444</v>
      </c>
      <c r="K927" t="s">
        <v>35</v>
      </c>
      <c r="L927">
        <v>7581693165</v>
      </c>
      <c r="M927" t="s">
        <v>2445</v>
      </c>
      <c r="N927" t="s">
        <v>2446</v>
      </c>
      <c r="P927" t="s">
        <v>2447</v>
      </c>
      <c r="Q927" t="s">
        <v>2448</v>
      </c>
      <c r="R927" t="s">
        <v>2449</v>
      </c>
      <c r="S927" t="s">
        <v>40</v>
      </c>
      <c r="T927" s="1">
        <v>45243</v>
      </c>
      <c r="U927">
        <v>0</v>
      </c>
      <c r="V927">
        <v>0</v>
      </c>
      <c r="W927" t="s">
        <v>59</v>
      </c>
      <c r="X927" t="s">
        <v>135</v>
      </c>
      <c r="Y927" t="s">
        <v>42</v>
      </c>
      <c r="Z927" t="s">
        <v>43</v>
      </c>
      <c r="AA927" t="s">
        <v>42</v>
      </c>
      <c r="AD927" t="s">
        <v>3143</v>
      </c>
    </row>
    <row r="928" spans="1:30" x14ac:dyDescent="0.4">
      <c r="A928" t="s">
        <v>27</v>
      </c>
      <c r="B928">
        <v>5464</v>
      </c>
      <c r="C928" t="s">
        <v>28</v>
      </c>
      <c r="D928" t="s">
        <v>2440</v>
      </c>
      <c r="E928" t="s">
        <v>2441</v>
      </c>
      <c r="F928">
        <v>14</v>
      </c>
      <c r="G928" t="s">
        <v>2442</v>
      </c>
      <c r="H928" t="s">
        <v>2443</v>
      </c>
      <c r="I928" t="s">
        <v>426</v>
      </c>
      <c r="J928" t="s">
        <v>2444</v>
      </c>
      <c r="K928" t="s">
        <v>35</v>
      </c>
      <c r="L928">
        <v>7581693165</v>
      </c>
      <c r="M928" t="s">
        <v>2445</v>
      </c>
      <c r="N928" t="s">
        <v>2876</v>
      </c>
      <c r="P928" t="s">
        <v>3126</v>
      </c>
      <c r="Q928" t="s">
        <v>2451</v>
      </c>
      <c r="R928" t="s">
        <v>474</v>
      </c>
      <c r="S928" t="s">
        <v>82</v>
      </c>
      <c r="T928" s="1">
        <v>44527</v>
      </c>
      <c r="U928">
        <v>0</v>
      </c>
      <c r="V928">
        <v>4</v>
      </c>
      <c r="W928" t="s">
        <v>65</v>
      </c>
      <c r="X928" t="s">
        <v>135</v>
      </c>
      <c r="Y928" t="s">
        <v>42</v>
      </c>
      <c r="Z928" t="s">
        <v>43</v>
      </c>
      <c r="AA928" t="s">
        <v>42</v>
      </c>
      <c r="AD928" t="s">
        <v>3143</v>
      </c>
    </row>
    <row r="929" spans="1:30" x14ac:dyDescent="0.4">
      <c r="A929" t="s">
        <v>27</v>
      </c>
      <c r="B929">
        <v>5464</v>
      </c>
      <c r="C929" t="s">
        <v>28</v>
      </c>
      <c r="D929" t="s">
        <v>2440</v>
      </c>
      <c r="E929" t="s">
        <v>2441</v>
      </c>
      <c r="F929">
        <v>14</v>
      </c>
      <c r="G929" t="s">
        <v>2442</v>
      </c>
      <c r="H929" t="s">
        <v>2443</v>
      </c>
      <c r="I929" t="s">
        <v>426</v>
      </c>
      <c r="J929" t="s">
        <v>2444</v>
      </c>
      <c r="K929" t="s">
        <v>35</v>
      </c>
      <c r="L929">
        <v>7581693165</v>
      </c>
      <c r="M929" t="s">
        <v>2445</v>
      </c>
      <c r="N929" t="s">
        <v>2876</v>
      </c>
      <c r="P929" t="s">
        <v>3126</v>
      </c>
      <c r="Q929" t="s">
        <v>2451</v>
      </c>
      <c r="R929" t="s">
        <v>474</v>
      </c>
      <c r="S929" t="s">
        <v>82</v>
      </c>
      <c r="T929" s="1">
        <v>44527</v>
      </c>
      <c r="U929">
        <v>0</v>
      </c>
      <c r="V929">
        <v>13</v>
      </c>
      <c r="X929" t="s">
        <v>135</v>
      </c>
      <c r="Y929" t="s">
        <v>42</v>
      </c>
      <c r="Z929" t="s">
        <v>43</v>
      </c>
      <c r="AA929" t="s">
        <v>42</v>
      </c>
      <c r="AD929" t="s">
        <v>3143</v>
      </c>
    </row>
    <row r="930" spans="1:30" x14ac:dyDescent="0.4">
      <c r="A930" t="s">
        <v>27</v>
      </c>
      <c r="B930">
        <v>36</v>
      </c>
      <c r="C930" t="s">
        <v>257</v>
      </c>
      <c r="D930" t="s">
        <v>2452</v>
      </c>
      <c r="E930" t="s">
        <v>2453</v>
      </c>
      <c r="F930" t="s">
        <v>2454</v>
      </c>
      <c r="H930" t="s">
        <v>2455</v>
      </c>
      <c r="I930" t="s">
        <v>2456</v>
      </c>
      <c r="J930" t="s">
        <v>2457</v>
      </c>
      <c r="K930" t="s">
        <v>35</v>
      </c>
      <c r="L930">
        <v>7887536371</v>
      </c>
      <c r="M930" t="s">
        <v>2458</v>
      </c>
      <c r="N930" t="s">
        <v>3010</v>
      </c>
      <c r="P930" t="s">
        <v>2459</v>
      </c>
      <c r="Q930" t="s">
        <v>2460</v>
      </c>
      <c r="R930" t="s">
        <v>284</v>
      </c>
      <c r="S930" t="s">
        <v>82</v>
      </c>
      <c r="T930" s="1">
        <v>44560</v>
      </c>
      <c r="U930">
        <v>0</v>
      </c>
      <c r="V930">
        <v>6</v>
      </c>
      <c r="W930" t="s">
        <v>83</v>
      </c>
      <c r="Y930" t="s">
        <v>42</v>
      </c>
      <c r="Z930" t="s">
        <v>43</v>
      </c>
      <c r="AA930" t="s">
        <v>42</v>
      </c>
      <c r="AD930" t="s">
        <v>3143</v>
      </c>
    </row>
    <row r="931" spans="1:30" x14ac:dyDescent="0.4">
      <c r="A931" t="s">
        <v>27</v>
      </c>
      <c r="B931">
        <v>36</v>
      </c>
      <c r="C931" t="s">
        <v>257</v>
      </c>
      <c r="D931" t="s">
        <v>2452</v>
      </c>
      <c r="E931" t="s">
        <v>2453</v>
      </c>
      <c r="F931" t="s">
        <v>2454</v>
      </c>
      <c r="H931" t="s">
        <v>2455</v>
      </c>
      <c r="I931" t="s">
        <v>2456</v>
      </c>
      <c r="J931" t="s">
        <v>2457</v>
      </c>
      <c r="K931" t="s">
        <v>35</v>
      </c>
      <c r="L931">
        <v>7887536371</v>
      </c>
      <c r="M931" t="s">
        <v>2458</v>
      </c>
      <c r="N931" t="s">
        <v>3010</v>
      </c>
      <c r="P931" t="s">
        <v>2459</v>
      </c>
      <c r="Q931" t="s">
        <v>2460</v>
      </c>
      <c r="R931" t="s">
        <v>284</v>
      </c>
      <c r="S931" t="s">
        <v>82</v>
      </c>
      <c r="T931" s="1">
        <v>44560</v>
      </c>
      <c r="U931">
        <v>0</v>
      </c>
      <c r="V931">
        <v>5</v>
      </c>
      <c r="W931" t="s">
        <v>66</v>
      </c>
      <c r="Y931" t="s">
        <v>42</v>
      </c>
      <c r="Z931" t="s">
        <v>43</v>
      </c>
      <c r="AA931" t="s">
        <v>42</v>
      </c>
      <c r="AD931" t="s">
        <v>3143</v>
      </c>
    </row>
    <row r="932" spans="1:30" x14ac:dyDescent="0.4">
      <c r="A932" t="s">
        <v>27</v>
      </c>
      <c r="B932">
        <v>36</v>
      </c>
      <c r="C932" t="s">
        <v>257</v>
      </c>
      <c r="D932" t="s">
        <v>2452</v>
      </c>
      <c r="E932" t="s">
        <v>2453</v>
      </c>
      <c r="F932" t="s">
        <v>2454</v>
      </c>
      <c r="H932" t="s">
        <v>2455</v>
      </c>
      <c r="I932" t="s">
        <v>2456</v>
      </c>
      <c r="J932" t="s">
        <v>2457</v>
      </c>
      <c r="K932" t="s">
        <v>35</v>
      </c>
      <c r="L932">
        <v>7887536371</v>
      </c>
      <c r="M932" t="s">
        <v>2458</v>
      </c>
      <c r="N932" t="s">
        <v>3010</v>
      </c>
      <c r="P932" t="s">
        <v>2459</v>
      </c>
      <c r="Q932" t="s">
        <v>2460</v>
      </c>
      <c r="R932" t="s">
        <v>284</v>
      </c>
      <c r="S932" t="s">
        <v>82</v>
      </c>
      <c r="T932" s="1">
        <v>44560</v>
      </c>
      <c r="U932">
        <v>0</v>
      </c>
      <c r="V932">
        <v>19</v>
      </c>
      <c r="Y932" t="s">
        <v>42</v>
      </c>
      <c r="Z932" t="s">
        <v>43</v>
      </c>
      <c r="AA932" t="s">
        <v>42</v>
      </c>
      <c r="AD932" t="s">
        <v>3143</v>
      </c>
    </row>
    <row r="933" spans="1:30" x14ac:dyDescent="0.4">
      <c r="A933" t="s">
        <v>27</v>
      </c>
      <c r="B933">
        <v>36</v>
      </c>
      <c r="C933" t="s">
        <v>257</v>
      </c>
      <c r="D933" t="s">
        <v>2452</v>
      </c>
      <c r="E933" t="s">
        <v>2453</v>
      </c>
      <c r="F933" t="s">
        <v>2454</v>
      </c>
      <c r="H933" t="s">
        <v>2455</v>
      </c>
      <c r="I933" t="s">
        <v>2456</v>
      </c>
      <c r="J933" t="s">
        <v>2457</v>
      </c>
      <c r="K933" t="s">
        <v>35</v>
      </c>
      <c r="L933">
        <v>7887536371</v>
      </c>
      <c r="M933" t="s">
        <v>2458</v>
      </c>
      <c r="N933" t="s">
        <v>3010</v>
      </c>
      <c r="P933" t="s">
        <v>2459</v>
      </c>
      <c r="Q933" t="s">
        <v>2460</v>
      </c>
      <c r="R933" t="s">
        <v>284</v>
      </c>
      <c r="S933" t="s">
        <v>82</v>
      </c>
      <c r="T933" s="1">
        <v>44560</v>
      </c>
      <c r="U933">
        <v>0</v>
      </c>
      <c r="V933">
        <v>15</v>
      </c>
      <c r="Y933" t="s">
        <v>42</v>
      </c>
      <c r="Z933" t="s">
        <v>43</v>
      </c>
      <c r="AA933" t="s">
        <v>42</v>
      </c>
      <c r="AD933" t="s">
        <v>3143</v>
      </c>
    </row>
    <row r="934" spans="1:30" x14ac:dyDescent="0.4">
      <c r="A934" t="s">
        <v>27</v>
      </c>
      <c r="B934">
        <v>871</v>
      </c>
      <c r="C934" t="s">
        <v>28</v>
      </c>
      <c r="D934" t="s">
        <v>2461</v>
      </c>
      <c r="E934" t="s">
        <v>2462</v>
      </c>
      <c r="F934" t="s">
        <v>2463</v>
      </c>
      <c r="H934" t="s">
        <v>2464</v>
      </c>
      <c r="I934" t="s">
        <v>330</v>
      </c>
      <c r="J934" t="s">
        <v>2465</v>
      </c>
      <c r="K934" t="s">
        <v>35</v>
      </c>
      <c r="L934" t="s">
        <v>2466</v>
      </c>
      <c r="M934" t="s">
        <v>2467</v>
      </c>
      <c r="N934" t="s">
        <v>2877</v>
      </c>
      <c r="P934" t="s">
        <v>2468</v>
      </c>
      <c r="Q934" t="s">
        <v>2469</v>
      </c>
      <c r="R934" t="s">
        <v>58</v>
      </c>
      <c r="S934" t="s">
        <v>40</v>
      </c>
      <c r="T934" s="1">
        <v>43441</v>
      </c>
      <c r="U934">
        <v>0</v>
      </c>
      <c r="V934">
        <v>4</v>
      </c>
      <c r="W934" t="s">
        <v>65</v>
      </c>
      <c r="X934" t="s">
        <v>135</v>
      </c>
      <c r="Y934" t="s">
        <v>42</v>
      </c>
      <c r="Z934" t="s">
        <v>43</v>
      </c>
      <c r="AA934" t="s">
        <v>43</v>
      </c>
      <c r="AD934" t="s">
        <v>3143</v>
      </c>
    </row>
    <row r="935" spans="1:30" x14ac:dyDescent="0.4">
      <c r="A935" t="s">
        <v>27</v>
      </c>
      <c r="B935">
        <v>871</v>
      </c>
      <c r="C935" t="s">
        <v>28</v>
      </c>
      <c r="D935" t="s">
        <v>2461</v>
      </c>
      <c r="E935" t="s">
        <v>2462</v>
      </c>
      <c r="F935" t="s">
        <v>2463</v>
      </c>
      <c r="H935" t="s">
        <v>2464</v>
      </c>
      <c r="I935" t="s">
        <v>330</v>
      </c>
      <c r="J935" t="s">
        <v>2465</v>
      </c>
      <c r="K935" t="s">
        <v>35</v>
      </c>
      <c r="L935" t="s">
        <v>2466</v>
      </c>
      <c r="M935" t="s">
        <v>2467</v>
      </c>
      <c r="N935" t="s">
        <v>2877</v>
      </c>
      <c r="P935" t="s">
        <v>2468</v>
      </c>
      <c r="Q935" t="s">
        <v>2469</v>
      </c>
      <c r="R935" t="s">
        <v>58</v>
      </c>
      <c r="S935" t="s">
        <v>40</v>
      </c>
      <c r="T935" s="1">
        <v>43441</v>
      </c>
      <c r="U935">
        <v>0</v>
      </c>
      <c r="V935">
        <v>5</v>
      </c>
      <c r="W935" t="s">
        <v>66</v>
      </c>
      <c r="X935" t="s">
        <v>135</v>
      </c>
      <c r="Y935" t="s">
        <v>42</v>
      </c>
      <c r="Z935" t="s">
        <v>43</v>
      </c>
      <c r="AA935" t="s">
        <v>43</v>
      </c>
      <c r="AD935" t="s">
        <v>3143</v>
      </c>
    </row>
    <row r="936" spans="1:30" x14ac:dyDescent="0.4">
      <c r="A936" t="s">
        <v>27</v>
      </c>
      <c r="B936">
        <v>871</v>
      </c>
      <c r="C936" t="s">
        <v>28</v>
      </c>
      <c r="D936" t="s">
        <v>2461</v>
      </c>
      <c r="E936" t="s">
        <v>2462</v>
      </c>
      <c r="F936" t="s">
        <v>2463</v>
      </c>
      <c r="H936" t="s">
        <v>2464</v>
      </c>
      <c r="I936" t="s">
        <v>330</v>
      </c>
      <c r="J936" t="s">
        <v>2465</v>
      </c>
      <c r="K936" t="s">
        <v>35</v>
      </c>
      <c r="L936" t="s">
        <v>2466</v>
      </c>
      <c r="M936" t="s">
        <v>2467</v>
      </c>
      <c r="N936" t="s">
        <v>2877</v>
      </c>
      <c r="P936" t="s">
        <v>2468</v>
      </c>
      <c r="Q936" t="s">
        <v>2469</v>
      </c>
      <c r="R936" t="s">
        <v>58</v>
      </c>
      <c r="S936" t="s">
        <v>40</v>
      </c>
      <c r="T936" s="1">
        <v>43441</v>
      </c>
      <c r="U936">
        <v>0</v>
      </c>
      <c r="V936">
        <v>12</v>
      </c>
      <c r="X936" t="s">
        <v>135</v>
      </c>
      <c r="Y936" t="s">
        <v>42</v>
      </c>
      <c r="Z936" t="s">
        <v>43</v>
      </c>
      <c r="AA936" t="s">
        <v>43</v>
      </c>
      <c r="AD936" t="s">
        <v>3143</v>
      </c>
    </row>
    <row r="937" spans="1:30" x14ac:dyDescent="0.4">
      <c r="A937" t="s">
        <v>27</v>
      </c>
      <c r="B937">
        <v>871</v>
      </c>
      <c r="C937" t="s">
        <v>28</v>
      </c>
      <c r="D937" t="s">
        <v>2461</v>
      </c>
      <c r="E937" t="s">
        <v>2462</v>
      </c>
      <c r="F937" t="s">
        <v>2463</v>
      </c>
      <c r="H937" t="s">
        <v>2464</v>
      </c>
      <c r="I937" t="s">
        <v>330</v>
      </c>
      <c r="J937" t="s">
        <v>2465</v>
      </c>
      <c r="K937" t="s">
        <v>35</v>
      </c>
      <c r="L937" t="s">
        <v>2466</v>
      </c>
      <c r="M937" t="s">
        <v>2467</v>
      </c>
      <c r="N937" t="s">
        <v>2877</v>
      </c>
      <c r="P937" t="s">
        <v>2468</v>
      </c>
      <c r="Q937" t="s">
        <v>2469</v>
      </c>
      <c r="R937" t="s">
        <v>58</v>
      </c>
      <c r="S937" t="s">
        <v>40</v>
      </c>
      <c r="T937" s="1">
        <v>43441</v>
      </c>
      <c r="U937">
        <v>0</v>
      </c>
      <c r="V937">
        <v>16</v>
      </c>
      <c r="X937" t="s">
        <v>135</v>
      </c>
      <c r="Y937" t="s">
        <v>42</v>
      </c>
      <c r="Z937" t="s">
        <v>43</v>
      </c>
      <c r="AA937" t="s">
        <v>43</v>
      </c>
      <c r="AD937" t="s">
        <v>3143</v>
      </c>
    </row>
    <row r="938" spans="1:30" x14ac:dyDescent="0.4">
      <c r="A938" t="s">
        <v>27</v>
      </c>
      <c r="B938">
        <v>932</v>
      </c>
      <c r="C938" t="s">
        <v>68</v>
      </c>
      <c r="D938" t="s">
        <v>2470</v>
      </c>
      <c r="E938" t="s">
        <v>2471</v>
      </c>
      <c r="F938" t="s">
        <v>2472</v>
      </c>
      <c r="G938" t="s">
        <v>2473</v>
      </c>
      <c r="H938" t="s">
        <v>2474</v>
      </c>
      <c r="I938" t="s">
        <v>1696</v>
      </c>
      <c r="J938" t="s">
        <v>2475</v>
      </c>
      <c r="K938" t="s">
        <v>35</v>
      </c>
      <c r="L938">
        <v>1525719311</v>
      </c>
      <c r="M938" t="s">
        <v>2476</v>
      </c>
      <c r="N938" t="s">
        <v>2878</v>
      </c>
      <c r="P938" t="s">
        <v>2477</v>
      </c>
      <c r="Q938" t="s">
        <v>2478</v>
      </c>
      <c r="R938" t="s">
        <v>94</v>
      </c>
      <c r="S938" t="s">
        <v>40</v>
      </c>
      <c r="T938" s="1">
        <v>45179</v>
      </c>
      <c r="U938">
        <v>0</v>
      </c>
      <c r="V938">
        <v>7</v>
      </c>
      <c r="X938" t="s">
        <v>135</v>
      </c>
      <c r="Y938" t="s">
        <v>42</v>
      </c>
      <c r="Z938" t="s">
        <v>43</v>
      </c>
      <c r="AA938" t="s">
        <v>43</v>
      </c>
      <c r="AD938" t="s">
        <v>3143</v>
      </c>
    </row>
    <row r="939" spans="1:30" x14ac:dyDescent="0.4">
      <c r="A939" t="s">
        <v>27</v>
      </c>
      <c r="B939">
        <v>932</v>
      </c>
      <c r="C939" t="s">
        <v>68</v>
      </c>
      <c r="D939" t="s">
        <v>2470</v>
      </c>
      <c r="E939" t="s">
        <v>2471</v>
      </c>
      <c r="F939" t="s">
        <v>2472</v>
      </c>
      <c r="G939" t="s">
        <v>2473</v>
      </c>
      <c r="H939" t="s">
        <v>2474</v>
      </c>
      <c r="I939" t="s">
        <v>1696</v>
      </c>
      <c r="J939" t="s">
        <v>2475</v>
      </c>
      <c r="K939" t="s">
        <v>35</v>
      </c>
      <c r="L939">
        <v>1525719311</v>
      </c>
      <c r="M939" t="s">
        <v>2476</v>
      </c>
      <c r="N939" t="s">
        <v>2878</v>
      </c>
      <c r="P939" t="s">
        <v>3127</v>
      </c>
      <c r="Q939" t="s">
        <v>2480</v>
      </c>
      <c r="R939" t="s">
        <v>58</v>
      </c>
      <c r="S939" t="s">
        <v>40</v>
      </c>
      <c r="T939" s="1">
        <v>42664</v>
      </c>
      <c r="U939">
        <v>0</v>
      </c>
      <c r="V939">
        <v>7</v>
      </c>
      <c r="X939" t="s">
        <v>135</v>
      </c>
      <c r="Y939" t="s">
        <v>42</v>
      </c>
      <c r="Z939" t="s">
        <v>43</v>
      </c>
      <c r="AA939" t="s">
        <v>43</v>
      </c>
      <c r="AD939" t="s">
        <v>3143</v>
      </c>
    </row>
    <row r="940" spans="1:30" x14ac:dyDescent="0.4">
      <c r="A940" t="s">
        <v>27</v>
      </c>
      <c r="B940">
        <v>932</v>
      </c>
      <c r="C940" t="s">
        <v>68</v>
      </c>
      <c r="D940" t="s">
        <v>2470</v>
      </c>
      <c r="E940" t="s">
        <v>2471</v>
      </c>
      <c r="F940" t="s">
        <v>2472</v>
      </c>
      <c r="G940" t="s">
        <v>2473</v>
      </c>
      <c r="H940" t="s">
        <v>2474</v>
      </c>
      <c r="I940" t="s">
        <v>1696</v>
      </c>
      <c r="J940" t="s">
        <v>2475</v>
      </c>
      <c r="K940" t="s">
        <v>35</v>
      </c>
      <c r="L940">
        <v>1525719311</v>
      </c>
      <c r="M940" t="s">
        <v>2476</v>
      </c>
      <c r="N940" t="s">
        <v>2878</v>
      </c>
      <c r="P940" t="s">
        <v>3128</v>
      </c>
      <c r="Q940" t="s">
        <v>2478</v>
      </c>
      <c r="R940" t="s">
        <v>94</v>
      </c>
      <c r="S940" t="s">
        <v>40</v>
      </c>
      <c r="T940" s="1">
        <v>45179</v>
      </c>
      <c r="U940">
        <v>0</v>
      </c>
      <c r="V940">
        <v>18</v>
      </c>
      <c r="X940" t="s">
        <v>135</v>
      </c>
      <c r="Y940" t="s">
        <v>42</v>
      </c>
      <c r="Z940" t="s">
        <v>43</v>
      </c>
      <c r="AA940" t="s">
        <v>43</v>
      </c>
      <c r="AD940" t="s">
        <v>3143</v>
      </c>
    </row>
    <row r="941" spans="1:30" x14ac:dyDescent="0.4">
      <c r="A941" t="s">
        <v>27</v>
      </c>
      <c r="B941">
        <v>932</v>
      </c>
      <c r="C941" t="s">
        <v>68</v>
      </c>
      <c r="D941" t="s">
        <v>2470</v>
      </c>
      <c r="E941" t="s">
        <v>2471</v>
      </c>
      <c r="F941" t="s">
        <v>2472</v>
      </c>
      <c r="G941" t="s">
        <v>2473</v>
      </c>
      <c r="H941" t="s">
        <v>2474</v>
      </c>
      <c r="I941" t="s">
        <v>1696</v>
      </c>
      <c r="J941" t="s">
        <v>2475</v>
      </c>
      <c r="K941" t="s">
        <v>35</v>
      </c>
      <c r="L941">
        <v>1525719311</v>
      </c>
      <c r="M941" t="s">
        <v>2476</v>
      </c>
      <c r="N941" t="s">
        <v>2878</v>
      </c>
      <c r="P941" t="s">
        <v>3127</v>
      </c>
      <c r="Q941" t="s">
        <v>2480</v>
      </c>
      <c r="R941" t="s">
        <v>58</v>
      </c>
      <c r="S941" t="s">
        <v>40</v>
      </c>
      <c r="T941" s="1">
        <v>42664</v>
      </c>
      <c r="U941">
        <v>0</v>
      </c>
      <c r="V941">
        <v>20</v>
      </c>
      <c r="X941" t="s">
        <v>135</v>
      </c>
      <c r="Y941" t="s">
        <v>42</v>
      </c>
      <c r="Z941" t="s">
        <v>43</v>
      </c>
      <c r="AA941" t="s">
        <v>43</v>
      </c>
      <c r="AD941" t="s">
        <v>3143</v>
      </c>
    </row>
    <row r="942" spans="1:30" x14ac:dyDescent="0.4">
      <c r="A942" t="s">
        <v>27</v>
      </c>
      <c r="B942">
        <v>725</v>
      </c>
      <c r="C942" t="s">
        <v>68</v>
      </c>
      <c r="D942" t="s">
        <v>345</v>
      </c>
      <c r="E942" t="s">
        <v>2481</v>
      </c>
      <c r="F942" t="s">
        <v>2482</v>
      </c>
      <c r="G942" t="s">
        <v>2483</v>
      </c>
      <c r="H942" t="s">
        <v>2484</v>
      </c>
      <c r="I942" t="s">
        <v>51</v>
      </c>
      <c r="J942" t="s">
        <v>2485</v>
      </c>
      <c r="K942" t="s">
        <v>35</v>
      </c>
      <c r="L942" t="s">
        <v>2486</v>
      </c>
      <c r="M942" t="s">
        <v>2487</v>
      </c>
      <c r="N942" t="s">
        <v>3011</v>
      </c>
      <c r="P942" t="s">
        <v>2488</v>
      </c>
      <c r="Q942" t="s">
        <v>2489</v>
      </c>
      <c r="R942" t="s">
        <v>284</v>
      </c>
      <c r="S942" t="s">
        <v>40</v>
      </c>
      <c r="T942" s="1">
        <v>44248</v>
      </c>
      <c r="U942">
        <v>0</v>
      </c>
      <c r="V942">
        <v>4</v>
      </c>
      <c r="W942" t="s">
        <v>65</v>
      </c>
      <c r="Y942" t="s">
        <v>42</v>
      </c>
      <c r="Z942" t="s">
        <v>43</v>
      </c>
      <c r="AA942" t="s">
        <v>43</v>
      </c>
      <c r="AD942" t="s">
        <v>3143</v>
      </c>
    </row>
    <row r="943" spans="1:30" x14ac:dyDescent="0.4">
      <c r="A943" t="s">
        <v>27</v>
      </c>
      <c r="B943">
        <v>725</v>
      </c>
      <c r="C943" t="s">
        <v>68</v>
      </c>
      <c r="D943" t="s">
        <v>345</v>
      </c>
      <c r="E943" t="s">
        <v>2481</v>
      </c>
      <c r="F943" t="s">
        <v>2482</v>
      </c>
      <c r="G943" t="s">
        <v>2483</v>
      </c>
      <c r="H943" t="s">
        <v>2484</v>
      </c>
      <c r="I943" t="s">
        <v>51</v>
      </c>
      <c r="J943" t="s">
        <v>2485</v>
      </c>
      <c r="K943" t="s">
        <v>35</v>
      </c>
      <c r="L943" t="s">
        <v>2486</v>
      </c>
      <c r="M943" t="s">
        <v>2487</v>
      </c>
      <c r="N943" t="s">
        <v>3011</v>
      </c>
      <c r="P943" t="s">
        <v>2488</v>
      </c>
      <c r="Q943" t="s">
        <v>2489</v>
      </c>
      <c r="R943" t="s">
        <v>284</v>
      </c>
      <c r="S943" t="s">
        <v>40</v>
      </c>
      <c r="T943" s="1">
        <v>44248</v>
      </c>
      <c r="U943">
        <v>0</v>
      </c>
      <c r="V943">
        <v>5</v>
      </c>
      <c r="W943" t="s">
        <v>66</v>
      </c>
      <c r="Y943" t="s">
        <v>42</v>
      </c>
      <c r="Z943" t="s">
        <v>43</v>
      </c>
      <c r="AA943" t="s">
        <v>43</v>
      </c>
      <c r="AD943" t="s">
        <v>3143</v>
      </c>
    </row>
    <row r="944" spans="1:30" x14ac:dyDescent="0.4">
      <c r="A944" t="s">
        <v>27</v>
      </c>
      <c r="B944">
        <v>725</v>
      </c>
      <c r="C944" t="s">
        <v>68</v>
      </c>
      <c r="D944" t="s">
        <v>345</v>
      </c>
      <c r="E944" t="s">
        <v>2481</v>
      </c>
      <c r="F944" t="s">
        <v>2482</v>
      </c>
      <c r="G944" t="s">
        <v>2483</v>
      </c>
      <c r="H944" t="s">
        <v>2484</v>
      </c>
      <c r="I944" t="s">
        <v>51</v>
      </c>
      <c r="J944" t="s">
        <v>2485</v>
      </c>
      <c r="K944" t="s">
        <v>35</v>
      </c>
      <c r="L944" t="s">
        <v>2486</v>
      </c>
      <c r="M944" t="s">
        <v>2487</v>
      </c>
      <c r="N944" t="s">
        <v>3011</v>
      </c>
      <c r="P944" t="s">
        <v>2490</v>
      </c>
      <c r="Q944" t="s">
        <v>2491</v>
      </c>
      <c r="R944" t="s">
        <v>284</v>
      </c>
      <c r="S944" t="s">
        <v>40</v>
      </c>
      <c r="T944" s="1">
        <v>45229</v>
      </c>
      <c r="U944">
        <v>0</v>
      </c>
      <c r="V944">
        <v>4</v>
      </c>
      <c r="W944" t="s">
        <v>65</v>
      </c>
      <c r="Y944" t="s">
        <v>42</v>
      </c>
      <c r="Z944" t="s">
        <v>43</v>
      </c>
      <c r="AA944" t="s">
        <v>43</v>
      </c>
      <c r="AD944" t="s">
        <v>3143</v>
      </c>
    </row>
    <row r="945" spans="1:30" x14ac:dyDescent="0.4">
      <c r="A945" t="s">
        <v>27</v>
      </c>
      <c r="B945">
        <v>725</v>
      </c>
      <c r="C945" t="s">
        <v>68</v>
      </c>
      <c r="D945" t="s">
        <v>345</v>
      </c>
      <c r="E945" t="s">
        <v>2481</v>
      </c>
      <c r="F945" t="s">
        <v>2482</v>
      </c>
      <c r="G945" t="s">
        <v>2483</v>
      </c>
      <c r="H945" t="s">
        <v>2484</v>
      </c>
      <c r="I945" t="s">
        <v>51</v>
      </c>
      <c r="J945" t="s">
        <v>2485</v>
      </c>
      <c r="K945" t="s">
        <v>35</v>
      </c>
      <c r="L945" t="s">
        <v>2486</v>
      </c>
      <c r="M945" t="s">
        <v>2487</v>
      </c>
      <c r="N945" t="s">
        <v>3011</v>
      </c>
      <c r="P945" t="s">
        <v>2488</v>
      </c>
      <c r="Q945" t="s">
        <v>2489</v>
      </c>
      <c r="R945" t="s">
        <v>284</v>
      </c>
      <c r="S945" t="s">
        <v>40</v>
      </c>
      <c r="T945" s="1">
        <v>44248</v>
      </c>
      <c r="U945">
        <v>0</v>
      </c>
      <c r="V945">
        <v>12</v>
      </c>
      <c r="Y945" t="s">
        <v>42</v>
      </c>
      <c r="Z945" t="s">
        <v>43</v>
      </c>
      <c r="AA945" t="s">
        <v>43</v>
      </c>
      <c r="AD945" t="s">
        <v>3143</v>
      </c>
    </row>
    <row r="946" spans="1:30" x14ac:dyDescent="0.4">
      <c r="A946" t="s">
        <v>27</v>
      </c>
      <c r="B946">
        <v>725</v>
      </c>
      <c r="C946" t="s">
        <v>68</v>
      </c>
      <c r="D946" t="s">
        <v>345</v>
      </c>
      <c r="E946" t="s">
        <v>2481</v>
      </c>
      <c r="F946" t="s">
        <v>2482</v>
      </c>
      <c r="G946" t="s">
        <v>2483</v>
      </c>
      <c r="H946" t="s">
        <v>2484</v>
      </c>
      <c r="I946" t="s">
        <v>51</v>
      </c>
      <c r="J946" t="s">
        <v>2485</v>
      </c>
      <c r="K946" t="s">
        <v>35</v>
      </c>
      <c r="L946" t="s">
        <v>2486</v>
      </c>
      <c r="M946" t="s">
        <v>2487</v>
      </c>
      <c r="N946" t="s">
        <v>3011</v>
      </c>
      <c r="P946" t="s">
        <v>2490</v>
      </c>
      <c r="Q946" t="s">
        <v>2491</v>
      </c>
      <c r="R946" t="s">
        <v>284</v>
      </c>
      <c r="S946" t="s">
        <v>40</v>
      </c>
      <c r="T946" s="1">
        <v>45229</v>
      </c>
      <c r="U946">
        <v>0</v>
      </c>
      <c r="V946">
        <v>12</v>
      </c>
      <c r="Y946" t="s">
        <v>42</v>
      </c>
      <c r="Z946" t="s">
        <v>43</v>
      </c>
      <c r="AA946" t="s">
        <v>43</v>
      </c>
      <c r="AD946" t="s">
        <v>3143</v>
      </c>
    </row>
    <row r="947" spans="1:30" x14ac:dyDescent="0.4">
      <c r="A947" t="s">
        <v>27</v>
      </c>
      <c r="B947">
        <v>725</v>
      </c>
      <c r="C947" t="s">
        <v>68</v>
      </c>
      <c r="D947" t="s">
        <v>345</v>
      </c>
      <c r="E947" t="s">
        <v>2481</v>
      </c>
      <c r="F947" t="s">
        <v>2482</v>
      </c>
      <c r="G947" t="s">
        <v>2483</v>
      </c>
      <c r="H947" t="s">
        <v>2484</v>
      </c>
      <c r="I947" t="s">
        <v>51</v>
      </c>
      <c r="J947" t="s">
        <v>2485</v>
      </c>
      <c r="K947" t="s">
        <v>35</v>
      </c>
      <c r="L947" t="s">
        <v>2486</v>
      </c>
      <c r="M947" t="s">
        <v>2487</v>
      </c>
      <c r="N947" t="s">
        <v>3011</v>
      </c>
      <c r="P947" t="s">
        <v>2488</v>
      </c>
      <c r="Q947" t="s">
        <v>2489</v>
      </c>
      <c r="R947" t="s">
        <v>284</v>
      </c>
      <c r="S947" t="s">
        <v>40</v>
      </c>
      <c r="T947" s="1">
        <v>44248</v>
      </c>
      <c r="U947">
        <v>0</v>
      </c>
      <c r="V947">
        <v>14</v>
      </c>
      <c r="Y947" t="s">
        <v>42</v>
      </c>
      <c r="Z947" t="s">
        <v>43</v>
      </c>
      <c r="AA947" t="s">
        <v>43</v>
      </c>
      <c r="AD947" t="s">
        <v>3143</v>
      </c>
    </row>
    <row r="948" spans="1:30" x14ac:dyDescent="0.4">
      <c r="A948" t="s">
        <v>27</v>
      </c>
      <c r="B948">
        <v>2431</v>
      </c>
      <c r="C948" t="s">
        <v>68</v>
      </c>
      <c r="D948" t="s">
        <v>2492</v>
      </c>
      <c r="E948" t="s">
        <v>2481</v>
      </c>
      <c r="F948" t="s">
        <v>2493</v>
      </c>
      <c r="G948" t="s">
        <v>2494</v>
      </c>
      <c r="H948" t="s">
        <v>886</v>
      </c>
      <c r="I948" t="s">
        <v>51</v>
      </c>
      <c r="J948" t="s">
        <v>2495</v>
      </c>
      <c r="K948" t="s">
        <v>35</v>
      </c>
      <c r="L948" t="s">
        <v>2496</v>
      </c>
      <c r="M948" t="s">
        <v>2497</v>
      </c>
      <c r="N948" t="s">
        <v>2498</v>
      </c>
      <c r="P948" t="s">
        <v>2499</v>
      </c>
      <c r="Q948" t="s">
        <v>2500</v>
      </c>
      <c r="R948" t="s">
        <v>2501</v>
      </c>
      <c r="S948" t="s">
        <v>40</v>
      </c>
      <c r="T948" s="1">
        <v>43624</v>
      </c>
      <c r="U948">
        <v>0</v>
      </c>
      <c r="V948">
        <v>0</v>
      </c>
      <c r="W948" t="s">
        <v>59</v>
      </c>
      <c r="X948" t="s">
        <v>135</v>
      </c>
      <c r="Y948" t="s">
        <v>42</v>
      </c>
      <c r="Z948" t="s">
        <v>43</v>
      </c>
      <c r="AA948" t="s">
        <v>42</v>
      </c>
      <c r="AB948" t="s">
        <v>2502</v>
      </c>
      <c r="AD948" t="s">
        <v>3143</v>
      </c>
    </row>
    <row r="949" spans="1:30" x14ac:dyDescent="0.4">
      <c r="A949" t="s">
        <v>27</v>
      </c>
      <c r="B949">
        <v>2431</v>
      </c>
      <c r="C949" t="s">
        <v>68</v>
      </c>
      <c r="D949" t="s">
        <v>2492</v>
      </c>
      <c r="E949" t="s">
        <v>2481</v>
      </c>
      <c r="F949" t="s">
        <v>2493</v>
      </c>
      <c r="G949" t="s">
        <v>2494</v>
      </c>
      <c r="H949" t="s">
        <v>886</v>
      </c>
      <c r="I949" t="s">
        <v>51</v>
      </c>
      <c r="J949" t="s">
        <v>2495</v>
      </c>
      <c r="K949" t="s">
        <v>35</v>
      </c>
      <c r="L949" t="s">
        <v>2496</v>
      </c>
      <c r="M949" t="s">
        <v>2497</v>
      </c>
      <c r="N949" t="s">
        <v>2498</v>
      </c>
      <c r="P949" t="s">
        <v>2503</v>
      </c>
      <c r="Q949" t="s">
        <v>2504</v>
      </c>
      <c r="R949" t="s">
        <v>474</v>
      </c>
      <c r="S949" t="s">
        <v>40</v>
      </c>
      <c r="T949" s="1">
        <v>40955</v>
      </c>
      <c r="U949">
        <v>0</v>
      </c>
      <c r="V949">
        <v>0</v>
      </c>
      <c r="W949" t="s">
        <v>59</v>
      </c>
      <c r="X949" t="s">
        <v>135</v>
      </c>
      <c r="Y949" t="s">
        <v>42</v>
      </c>
      <c r="Z949" t="s">
        <v>43</v>
      </c>
      <c r="AA949" t="s">
        <v>42</v>
      </c>
      <c r="AB949" t="s">
        <v>2502</v>
      </c>
      <c r="AD949" t="s">
        <v>3143</v>
      </c>
    </row>
    <row r="950" spans="1:30" x14ac:dyDescent="0.4">
      <c r="A950" t="s">
        <v>27</v>
      </c>
      <c r="B950">
        <v>2431</v>
      </c>
      <c r="C950" t="s">
        <v>68</v>
      </c>
      <c r="D950" t="s">
        <v>2492</v>
      </c>
      <c r="E950" t="s">
        <v>2481</v>
      </c>
      <c r="F950" t="s">
        <v>2493</v>
      </c>
      <c r="G950" t="s">
        <v>2494</v>
      </c>
      <c r="H950" t="s">
        <v>886</v>
      </c>
      <c r="I950" t="s">
        <v>51</v>
      </c>
      <c r="J950" t="s">
        <v>2495</v>
      </c>
      <c r="K950" t="s">
        <v>35</v>
      </c>
      <c r="L950" t="s">
        <v>2496</v>
      </c>
      <c r="M950" t="s">
        <v>2497</v>
      </c>
      <c r="N950" t="s">
        <v>2498</v>
      </c>
      <c r="P950" t="s">
        <v>2505</v>
      </c>
      <c r="Q950" t="s">
        <v>2506</v>
      </c>
      <c r="R950" t="s">
        <v>474</v>
      </c>
      <c r="S950" t="s">
        <v>40</v>
      </c>
      <c r="T950" s="1">
        <v>45505</v>
      </c>
      <c r="U950">
        <v>0</v>
      </c>
      <c r="V950">
        <v>4</v>
      </c>
      <c r="W950" t="s">
        <v>65</v>
      </c>
      <c r="X950" t="s">
        <v>135</v>
      </c>
      <c r="Y950" t="s">
        <v>42</v>
      </c>
      <c r="Z950" t="s">
        <v>43</v>
      </c>
      <c r="AA950" t="s">
        <v>42</v>
      </c>
      <c r="AB950" t="s">
        <v>2502</v>
      </c>
      <c r="AD950" t="s">
        <v>3143</v>
      </c>
    </row>
    <row r="951" spans="1:30" x14ac:dyDescent="0.4">
      <c r="A951" t="s">
        <v>27</v>
      </c>
      <c r="B951">
        <v>2431</v>
      </c>
      <c r="C951" t="s">
        <v>68</v>
      </c>
      <c r="D951" t="s">
        <v>2492</v>
      </c>
      <c r="E951" t="s">
        <v>2481</v>
      </c>
      <c r="F951" t="s">
        <v>2493</v>
      </c>
      <c r="G951" t="s">
        <v>2494</v>
      </c>
      <c r="H951" t="s">
        <v>886</v>
      </c>
      <c r="I951" t="s">
        <v>51</v>
      </c>
      <c r="J951" t="s">
        <v>2495</v>
      </c>
      <c r="K951" t="s">
        <v>35</v>
      </c>
      <c r="L951" t="s">
        <v>2496</v>
      </c>
      <c r="M951" t="s">
        <v>2497</v>
      </c>
      <c r="N951" t="s">
        <v>2498</v>
      </c>
      <c r="P951" t="s">
        <v>2499</v>
      </c>
      <c r="Q951" t="s">
        <v>2500</v>
      </c>
      <c r="R951" t="s">
        <v>2501</v>
      </c>
      <c r="S951" t="s">
        <v>40</v>
      </c>
      <c r="T951" s="1">
        <v>43624</v>
      </c>
      <c r="U951">
        <v>0</v>
      </c>
      <c r="V951">
        <v>0</v>
      </c>
      <c r="W951" t="s">
        <v>59</v>
      </c>
      <c r="X951" t="s">
        <v>135</v>
      </c>
      <c r="Y951" t="s">
        <v>42</v>
      </c>
      <c r="Z951" t="s">
        <v>43</v>
      </c>
      <c r="AA951" t="s">
        <v>42</v>
      </c>
      <c r="AB951" t="s">
        <v>2502</v>
      </c>
      <c r="AD951" t="s">
        <v>3143</v>
      </c>
    </row>
    <row r="952" spans="1:30" x14ac:dyDescent="0.4">
      <c r="A952" t="s">
        <v>27</v>
      </c>
      <c r="B952">
        <v>2431</v>
      </c>
      <c r="C952" t="s">
        <v>68</v>
      </c>
      <c r="D952" t="s">
        <v>2492</v>
      </c>
      <c r="E952" t="s">
        <v>2481</v>
      </c>
      <c r="F952" t="s">
        <v>2493</v>
      </c>
      <c r="G952" t="s">
        <v>2494</v>
      </c>
      <c r="H952" t="s">
        <v>886</v>
      </c>
      <c r="I952" t="s">
        <v>51</v>
      </c>
      <c r="J952" t="s">
        <v>2495</v>
      </c>
      <c r="K952" t="s">
        <v>35</v>
      </c>
      <c r="L952" t="s">
        <v>2496</v>
      </c>
      <c r="M952" t="s">
        <v>2497</v>
      </c>
      <c r="N952" t="s">
        <v>2498</v>
      </c>
      <c r="P952" t="s">
        <v>2505</v>
      </c>
      <c r="Q952" t="s">
        <v>2506</v>
      </c>
      <c r="R952" t="s">
        <v>474</v>
      </c>
      <c r="S952" t="s">
        <v>40</v>
      </c>
      <c r="T952" s="1">
        <v>45505</v>
      </c>
      <c r="U952">
        <v>0</v>
      </c>
      <c r="V952">
        <v>0</v>
      </c>
      <c r="W952" t="s">
        <v>59</v>
      </c>
      <c r="X952" t="s">
        <v>135</v>
      </c>
      <c r="Y952" t="s">
        <v>42</v>
      </c>
      <c r="Z952" t="s">
        <v>43</v>
      </c>
      <c r="AA952" t="s">
        <v>42</v>
      </c>
      <c r="AB952" t="s">
        <v>2502</v>
      </c>
      <c r="AD952" t="s">
        <v>3143</v>
      </c>
    </row>
    <row r="953" spans="1:30" x14ac:dyDescent="0.4">
      <c r="A953" t="s">
        <v>27</v>
      </c>
      <c r="B953">
        <v>2431</v>
      </c>
      <c r="C953" t="s">
        <v>68</v>
      </c>
      <c r="D953" t="s">
        <v>2492</v>
      </c>
      <c r="E953" t="s">
        <v>2481</v>
      </c>
      <c r="F953" t="s">
        <v>2493</v>
      </c>
      <c r="G953" t="s">
        <v>2494</v>
      </c>
      <c r="H953" t="s">
        <v>886</v>
      </c>
      <c r="I953" t="s">
        <v>51</v>
      </c>
      <c r="J953" t="s">
        <v>2495</v>
      </c>
      <c r="K953" t="s">
        <v>35</v>
      </c>
      <c r="L953" t="s">
        <v>2496</v>
      </c>
      <c r="M953" t="s">
        <v>2497</v>
      </c>
      <c r="N953" t="s">
        <v>2498</v>
      </c>
      <c r="P953" t="s">
        <v>2503</v>
      </c>
      <c r="Q953" t="s">
        <v>2504</v>
      </c>
      <c r="R953" t="s">
        <v>474</v>
      </c>
      <c r="S953" t="s">
        <v>40</v>
      </c>
      <c r="T953" s="1">
        <v>40955</v>
      </c>
      <c r="U953">
        <v>0</v>
      </c>
      <c r="V953">
        <v>0</v>
      </c>
      <c r="W953" t="s">
        <v>59</v>
      </c>
      <c r="X953" t="s">
        <v>135</v>
      </c>
      <c r="Y953" t="s">
        <v>42</v>
      </c>
      <c r="Z953" t="s">
        <v>43</v>
      </c>
      <c r="AA953" t="s">
        <v>42</v>
      </c>
      <c r="AB953" t="s">
        <v>2502</v>
      </c>
      <c r="AD953" t="s">
        <v>3143</v>
      </c>
    </row>
    <row r="954" spans="1:30" x14ac:dyDescent="0.4">
      <c r="A954" t="s">
        <v>27</v>
      </c>
      <c r="B954">
        <v>2066</v>
      </c>
      <c r="C954" t="s">
        <v>68</v>
      </c>
      <c r="D954" t="s">
        <v>2507</v>
      </c>
      <c r="E954" t="s">
        <v>2508</v>
      </c>
      <c r="F954" t="s">
        <v>2509</v>
      </c>
      <c r="G954" t="s">
        <v>2510</v>
      </c>
      <c r="H954" t="s">
        <v>2511</v>
      </c>
      <c r="I954" t="s">
        <v>370</v>
      </c>
      <c r="J954" t="s">
        <v>2512</v>
      </c>
      <c r="K954" t="s">
        <v>35</v>
      </c>
      <c r="L954">
        <v>7778652136</v>
      </c>
      <c r="M954" t="s">
        <v>2513</v>
      </c>
      <c r="N954" t="s">
        <v>3012</v>
      </c>
      <c r="P954" t="s">
        <v>2514</v>
      </c>
      <c r="Q954" t="s">
        <v>2515</v>
      </c>
      <c r="R954" t="s">
        <v>2516</v>
      </c>
      <c r="S954" t="s">
        <v>40</v>
      </c>
      <c r="T954" s="1">
        <v>43831</v>
      </c>
      <c r="U954">
        <v>0</v>
      </c>
      <c r="V954">
        <v>12</v>
      </c>
      <c r="Y954" t="s">
        <v>42</v>
      </c>
      <c r="Z954" t="s">
        <v>43</v>
      </c>
      <c r="AA954" t="s">
        <v>43</v>
      </c>
      <c r="AD954" t="s">
        <v>3143</v>
      </c>
    </row>
    <row r="955" spans="1:30" x14ac:dyDescent="0.4">
      <c r="A955" t="s">
        <v>27</v>
      </c>
      <c r="B955">
        <v>2066</v>
      </c>
      <c r="C955" t="s">
        <v>68</v>
      </c>
      <c r="D955" t="s">
        <v>2507</v>
      </c>
      <c r="E955" t="s">
        <v>2508</v>
      </c>
      <c r="F955" t="s">
        <v>2509</v>
      </c>
      <c r="G955" t="s">
        <v>2510</v>
      </c>
      <c r="H955" t="s">
        <v>2511</v>
      </c>
      <c r="I955" t="s">
        <v>370</v>
      </c>
      <c r="J955" t="s">
        <v>2512</v>
      </c>
      <c r="K955" t="s">
        <v>35</v>
      </c>
      <c r="L955">
        <v>7778652136</v>
      </c>
      <c r="M955" t="s">
        <v>2513</v>
      </c>
      <c r="N955" t="s">
        <v>3012</v>
      </c>
      <c r="P955" t="s">
        <v>2517</v>
      </c>
      <c r="Q955" t="s">
        <v>2518</v>
      </c>
      <c r="R955" t="s">
        <v>2516</v>
      </c>
      <c r="S955" t="s">
        <v>82</v>
      </c>
      <c r="T955" s="1">
        <v>43831</v>
      </c>
      <c r="U955">
        <v>0</v>
      </c>
      <c r="V955">
        <v>13</v>
      </c>
      <c r="Y955" t="s">
        <v>42</v>
      </c>
      <c r="Z955" t="s">
        <v>43</v>
      </c>
      <c r="AA955" t="s">
        <v>43</v>
      </c>
      <c r="AD955" t="s">
        <v>3143</v>
      </c>
    </row>
    <row r="956" spans="1:30" x14ac:dyDescent="0.4">
      <c r="A956" t="s">
        <v>27</v>
      </c>
      <c r="B956">
        <v>1684</v>
      </c>
      <c r="C956" t="s">
        <v>68</v>
      </c>
      <c r="D956" t="s">
        <v>2519</v>
      </c>
      <c r="E956" t="s">
        <v>2520</v>
      </c>
      <c r="F956" t="s">
        <v>2521</v>
      </c>
      <c r="G956" t="s">
        <v>2522</v>
      </c>
      <c r="H956" t="s">
        <v>691</v>
      </c>
      <c r="I956" t="s">
        <v>242</v>
      </c>
      <c r="J956" t="s">
        <v>2523</v>
      </c>
      <c r="K956" t="s">
        <v>35</v>
      </c>
      <c r="L956">
        <v>1980652734</v>
      </c>
      <c r="M956" t="s">
        <v>2524</v>
      </c>
      <c r="N956" t="s">
        <v>3013</v>
      </c>
      <c r="P956" t="s">
        <v>2525</v>
      </c>
      <c r="Q956" t="s">
        <v>2526</v>
      </c>
      <c r="R956" t="s">
        <v>58</v>
      </c>
      <c r="S956" t="s">
        <v>40</v>
      </c>
      <c r="T956" s="1">
        <v>44707</v>
      </c>
      <c r="U956">
        <v>0</v>
      </c>
      <c r="V956">
        <v>3</v>
      </c>
      <c r="Y956" t="s">
        <v>42</v>
      </c>
      <c r="Z956" t="s">
        <v>43</v>
      </c>
      <c r="AA956" t="s">
        <v>43</v>
      </c>
      <c r="AD956" t="s">
        <v>3143</v>
      </c>
    </row>
    <row r="957" spans="1:30" x14ac:dyDescent="0.4">
      <c r="A957" t="s">
        <v>27</v>
      </c>
      <c r="B957">
        <v>4017</v>
      </c>
      <c r="C957" t="s">
        <v>68</v>
      </c>
      <c r="D957" t="s">
        <v>238</v>
      </c>
      <c r="E957" t="s">
        <v>2527</v>
      </c>
      <c r="F957" t="s">
        <v>2528</v>
      </c>
      <c r="G957" t="s">
        <v>2529</v>
      </c>
      <c r="H957" t="s">
        <v>1285</v>
      </c>
      <c r="I957" t="s">
        <v>1085</v>
      </c>
      <c r="J957" t="s">
        <v>2530</v>
      </c>
      <c r="K957" t="s">
        <v>35</v>
      </c>
      <c r="L957">
        <v>7958519967</v>
      </c>
      <c r="M957" t="s">
        <v>2531</v>
      </c>
      <c r="N957" t="s">
        <v>3014</v>
      </c>
      <c r="P957" t="s">
        <v>2532</v>
      </c>
      <c r="Q957" t="s">
        <v>2533</v>
      </c>
      <c r="R957" t="s">
        <v>555</v>
      </c>
      <c r="S957" t="s">
        <v>82</v>
      </c>
      <c r="T957" s="1">
        <v>43210</v>
      </c>
      <c r="U957">
        <v>0</v>
      </c>
      <c r="V957">
        <v>3</v>
      </c>
      <c r="Y957" t="s">
        <v>42</v>
      </c>
      <c r="Z957" t="s">
        <v>43</v>
      </c>
      <c r="AA957" t="s">
        <v>43</v>
      </c>
      <c r="AD957" t="s">
        <v>3143</v>
      </c>
    </row>
    <row r="958" spans="1:30" x14ac:dyDescent="0.4">
      <c r="A958" t="s">
        <v>27</v>
      </c>
      <c r="B958">
        <v>4017</v>
      </c>
      <c r="C958" t="s">
        <v>68</v>
      </c>
      <c r="D958" t="s">
        <v>238</v>
      </c>
      <c r="E958" t="s">
        <v>2527</v>
      </c>
      <c r="F958" t="s">
        <v>2528</v>
      </c>
      <c r="G958" t="s">
        <v>2529</v>
      </c>
      <c r="H958" t="s">
        <v>1285</v>
      </c>
      <c r="I958" t="s">
        <v>1085</v>
      </c>
      <c r="J958" t="s">
        <v>2530</v>
      </c>
      <c r="K958" t="s">
        <v>35</v>
      </c>
      <c r="L958">
        <v>7958519967</v>
      </c>
      <c r="M958" t="s">
        <v>2531</v>
      </c>
      <c r="N958" t="s">
        <v>3014</v>
      </c>
      <c r="P958" t="s">
        <v>2532</v>
      </c>
      <c r="Q958" t="s">
        <v>2533</v>
      </c>
      <c r="R958" t="s">
        <v>555</v>
      </c>
      <c r="S958" t="s">
        <v>82</v>
      </c>
      <c r="T958" s="1">
        <v>43210</v>
      </c>
      <c r="U958">
        <v>0</v>
      </c>
      <c r="V958">
        <v>4</v>
      </c>
      <c r="W958" t="s">
        <v>65</v>
      </c>
      <c r="Y958" t="s">
        <v>42</v>
      </c>
      <c r="Z958" t="s">
        <v>43</v>
      </c>
      <c r="AA958" t="s">
        <v>43</v>
      </c>
      <c r="AD958" t="s">
        <v>3143</v>
      </c>
    </row>
    <row r="959" spans="1:30" x14ac:dyDescent="0.4">
      <c r="A959" t="s">
        <v>27</v>
      </c>
      <c r="B959">
        <v>3186</v>
      </c>
      <c r="C959" t="s">
        <v>28</v>
      </c>
      <c r="D959" t="s">
        <v>2534</v>
      </c>
      <c r="E959" t="s">
        <v>2535</v>
      </c>
      <c r="F959" t="s">
        <v>2536</v>
      </c>
      <c r="G959" t="s">
        <v>2537</v>
      </c>
      <c r="H959" t="s">
        <v>2538</v>
      </c>
      <c r="I959" t="s">
        <v>495</v>
      </c>
      <c r="J959" t="s">
        <v>2539</v>
      </c>
      <c r="K959" t="s">
        <v>35</v>
      </c>
      <c r="L959">
        <v>7790465184</v>
      </c>
      <c r="M959" t="s">
        <v>2540</v>
      </c>
      <c r="N959" t="s">
        <v>2541</v>
      </c>
      <c r="P959" t="s">
        <v>2542</v>
      </c>
      <c r="Q959" t="s">
        <v>2543</v>
      </c>
      <c r="R959" t="s">
        <v>960</v>
      </c>
      <c r="S959" t="s">
        <v>40</v>
      </c>
      <c r="T959" s="1">
        <v>45114</v>
      </c>
      <c r="U959">
        <v>0</v>
      </c>
      <c r="V959">
        <v>4</v>
      </c>
      <c r="W959" t="s">
        <v>65</v>
      </c>
      <c r="X959" t="s">
        <v>135</v>
      </c>
      <c r="Y959" t="s">
        <v>42</v>
      </c>
      <c r="Z959" t="s">
        <v>43</v>
      </c>
      <c r="AA959" t="s">
        <v>43</v>
      </c>
      <c r="AD959" t="s">
        <v>3143</v>
      </c>
    </row>
    <row r="960" spans="1:30" x14ac:dyDescent="0.4">
      <c r="A960" t="s">
        <v>27</v>
      </c>
      <c r="B960">
        <v>3186</v>
      </c>
      <c r="C960" t="s">
        <v>28</v>
      </c>
      <c r="D960" t="s">
        <v>2534</v>
      </c>
      <c r="E960" t="s">
        <v>2535</v>
      </c>
      <c r="F960" t="s">
        <v>2536</v>
      </c>
      <c r="G960" t="s">
        <v>2537</v>
      </c>
      <c r="H960" t="s">
        <v>2538</v>
      </c>
      <c r="I960" t="s">
        <v>495</v>
      </c>
      <c r="J960" t="s">
        <v>2539</v>
      </c>
      <c r="K960" t="s">
        <v>35</v>
      </c>
      <c r="L960">
        <v>7790465184</v>
      </c>
      <c r="M960" t="s">
        <v>2540</v>
      </c>
      <c r="N960" t="s">
        <v>2541</v>
      </c>
      <c r="P960" t="s">
        <v>2544</v>
      </c>
      <c r="Q960" t="s">
        <v>2545</v>
      </c>
      <c r="R960" t="s">
        <v>960</v>
      </c>
      <c r="S960" t="s">
        <v>40</v>
      </c>
      <c r="T960" s="1">
        <v>44244</v>
      </c>
      <c r="U960">
        <v>0</v>
      </c>
      <c r="V960">
        <v>5</v>
      </c>
      <c r="W960" t="s">
        <v>66</v>
      </c>
      <c r="X960" t="s">
        <v>135</v>
      </c>
      <c r="Y960" t="s">
        <v>42</v>
      </c>
      <c r="Z960" t="s">
        <v>43</v>
      </c>
      <c r="AA960" t="s">
        <v>43</v>
      </c>
      <c r="AD960" t="s">
        <v>3143</v>
      </c>
    </row>
    <row r="961" spans="1:30" x14ac:dyDescent="0.4">
      <c r="A961" t="s">
        <v>27</v>
      </c>
      <c r="B961">
        <v>3186</v>
      </c>
      <c r="C961" t="s">
        <v>28</v>
      </c>
      <c r="D961" t="s">
        <v>2534</v>
      </c>
      <c r="E961" t="s">
        <v>2535</v>
      </c>
      <c r="F961" t="s">
        <v>2536</v>
      </c>
      <c r="G961" t="s">
        <v>2537</v>
      </c>
      <c r="H961" t="s">
        <v>2538</v>
      </c>
      <c r="I961" t="s">
        <v>495</v>
      </c>
      <c r="J961" t="s">
        <v>2539</v>
      </c>
      <c r="K961" t="s">
        <v>35</v>
      </c>
      <c r="L961">
        <v>7790465184</v>
      </c>
      <c r="M961" t="s">
        <v>2540</v>
      </c>
      <c r="N961" t="s">
        <v>2541</v>
      </c>
      <c r="P961" t="s">
        <v>2546</v>
      </c>
      <c r="Q961" t="s">
        <v>2547</v>
      </c>
      <c r="R961" t="s">
        <v>960</v>
      </c>
      <c r="S961" t="s">
        <v>40</v>
      </c>
      <c r="T961" s="1">
        <v>42610</v>
      </c>
      <c r="U961">
        <v>0</v>
      </c>
      <c r="V961">
        <v>7</v>
      </c>
      <c r="X961" t="s">
        <v>135</v>
      </c>
      <c r="Y961" t="s">
        <v>42</v>
      </c>
      <c r="Z961" t="s">
        <v>43</v>
      </c>
      <c r="AA961" t="s">
        <v>43</v>
      </c>
      <c r="AD961" t="s">
        <v>3143</v>
      </c>
    </row>
    <row r="962" spans="1:30" x14ac:dyDescent="0.4">
      <c r="A962" t="s">
        <v>27</v>
      </c>
      <c r="B962">
        <v>3186</v>
      </c>
      <c r="C962" t="s">
        <v>28</v>
      </c>
      <c r="D962" t="s">
        <v>2534</v>
      </c>
      <c r="E962" t="s">
        <v>2535</v>
      </c>
      <c r="F962" t="s">
        <v>2536</v>
      </c>
      <c r="G962" t="s">
        <v>2537</v>
      </c>
      <c r="H962" t="s">
        <v>2538</v>
      </c>
      <c r="I962" t="s">
        <v>495</v>
      </c>
      <c r="J962" t="s">
        <v>2539</v>
      </c>
      <c r="K962" t="s">
        <v>35</v>
      </c>
      <c r="L962">
        <v>7790465184</v>
      </c>
      <c r="M962" t="s">
        <v>2540</v>
      </c>
      <c r="N962" t="s">
        <v>2541</v>
      </c>
      <c r="P962" t="s">
        <v>2544</v>
      </c>
      <c r="Q962" t="s">
        <v>2545</v>
      </c>
      <c r="R962" t="s">
        <v>960</v>
      </c>
      <c r="S962" t="s">
        <v>40</v>
      </c>
      <c r="T962" s="1">
        <v>44244</v>
      </c>
      <c r="U962">
        <v>0</v>
      </c>
      <c r="V962">
        <v>6</v>
      </c>
      <c r="W962" t="s">
        <v>83</v>
      </c>
      <c r="X962" t="s">
        <v>135</v>
      </c>
      <c r="Y962" t="s">
        <v>42</v>
      </c>
      <c r="Z962" t="s">
        <v>43</v>
      </c>
      <c r="AA962" t="s">
        <v>43</v>
      </c>
      <c r="AD962" t="s">
        <v>3143</v>
      </c>
    </row>
    <row r="963" spans="1:30" x14ac:dyDescent="0.4">
      <c r="A963" t="s">
        <v>27</v>
      </c>
      <c r="B963">
        <v>3186</v>
      </c>
      <c r="C963" t="s">
        <v>28</v>
      </c>
      <c r="D963" t="s">
        <v>2534</v>
      </c>
      <c r="E963" t="s">
        <v>2535</v>
      </c>
      <c r="F963" t="s">
        <v>2536</v>
      </c>
      <c r="G963" t="s">
        <v>2537</v>
      </c>
      <c r="H963" t="s">
        <v>2538</v>
      </c>
      <c r="I963" t="s">
        <v>495</v>
      </c>
      <c r="J963" t="s">
        <v>2539</v>
      </c>
      <c r="K963" t="s">
        <v>35</v>
      </c>
      <c r="L963">
        <v>7790465184</v>
      </c>
      <c r="M963" t="s">
        <v>2540</v>
      </c>
      <c r="N963" t="s">
        <v>2541</v>
      </c>
      <c r="P963" t="s">
        <v>2542</v>
      </c>
      <c r="Q963" t="s">
        <v>2543</v>
      </c>
      <c r="R963" t="s">
        <v>960</v>
      </c>
      <c r="S963" t="s">
        <v>40</v>
      </c>
      <c r="T963" s="1">
        <v>45114</v>
      </c>
      <c r="U963">
        <v>0</v>
      </c>
      <c r="V963">
        <v>12</v>
      </c>
      <c r="X963" t="s">
        <v>135</v>
      </c>
      <c r="Y963" t="s">
        <v>42</v>
      </c>
      <c r="Z963" t="s">
        <v>43</v>
      </c>
      <c r="AA963" t="s">
        <v>43</v>
      </c>
      <c r="AD963" t="s">
        <v>3143</v>
      </c>
    </row>
    <row r="964" spans="1:30" x14ac:dyDescent="0.4">
      <c r="A964" t="s">
        <v>27</v>
      </c>
      <c r="B964">
        <v>3186</v>
      </c>
      <c r="C964" t="s">
        <v>28</v>
      </c>
      <c r="D964" t="s">
        <v>2534</v>
      </c>
      <c r="E964" t="s">
        <v>2535</v>
      </c>
      <c r="F964" t="s">
        <v>2536</v>
      </c>
      <c r="G964" t="s">
        <v>2537</v>
      </c>
      <c r="H964" t="s">
        <v>2538</v>
      </c>
      <c r="I964" t="s">
        <v>495</v>
      </c>
      <c r="J964" t="s">
        <v>2539</v>
      </c>
      <c r="K964" t="s">
        <v>35</v>
      </c>
      <c r="L964">
        <v>7790465184</v>
      </c>
      <c r="M964" t="s">
        <v>2540</v>
      </c>
      <c r="N964" t="s">
        <v>2541</v>
      </c>
      <c r="P964" t="s">
        <v>2544</v>
      </c>
      <c r="Q964" t="s">
        <v>2545</v>
      </c>
      <c r="R964" t="s">
        <v>960</v>
      </c>
      <c r="S964" t="s">
        <v>40</v>
      </c>
      <c r="T964" s="1">
        <v>44244</v>
      </c>
      <c r="U964">
        <v>0</v>
      </c>
      <c r="V964">
        <v>14</v>
      </c>
      <c r="X964" t="s">
        <v>135</v>
      </c>
      <c r="Y964" t="s">
        <v>42</v>
      </c>
      <c r="Z964" t="s">
        <v>43</v>
      </c>
      <c r="AA964" t="s">
        <v>43</v>
      </c>
      <c r="AD964" t="s">
        <v>3143</v>
      </c>
    </row>
    <row r="965" spans="1:30" x14ac:dyDescent="0.4">
      <c r="A965" t="s">
        <v>27</v>
      </c>
      <c r="B965">
        <v>3186</v>
      </c>
      <c r="C965" t="s">
        <v>28</v>
      </c>
      <c r="D965" t="s">
        <v>2534</v>
      </c>
      <c r="E965" t="s">
        <v>2535</v>
      </c>
      <c r="F965" t="s">
        <v>2536</v>
      </c>
      <c r="G965" t="s">
        <v>2537</v>
      </c>
      <c r="H965" t="s">
        <v>2538</v>
      </c>
      <c r="I965" t="s">
        <v>495</v>
      </c>
      <c r="J965" t="s">
        <v>2539</v>
      </c>
      <c r="K965" t="s">
        <v>35</v>
      </c>
      <c r="L965">
        <v>7790465184</v>
      </c>
      <c r="M965" t="s">
        <v>2540</v>
      </c>
      <c r="N965" t="s">
        <v>2541</v>
      </c>
      <c r="P965" t="s">
        <v>2544</v>
      </c>
      <c r="Q965" t="s">
        <v>2545</v>
      </c>
      <c r="R965" t="s">
        <v>960</v>
      </c>
      <c r="S965" t="s">
        <v>40</v>
      </c>
      <c r="T965" s="1">
        <v>44244</v>
      </c>
      <c r="U965">
        <v>0</v>
      </c>
      <c r="V965">
        <v>16</v>
      </c>
      <c r="X965" t="s">
        <v>135</v>
      </c>
      <c r="Y965" t="s">
        <v>42</v>
      </c>
      <c r="Z965" t="s">
        <v>43</v>
      </c>
      <c r="AA965" t="s">
        <v>43</v>
      </c>
      <c r="AD965" t="s">
        <v>3143</v>
      </c>
    </row>
    <row r="966" spans="1:30" x14ac:dyDescent="0.4">
      <c r="A966" t="s">
        <v>27</v>
      </c>
      <c r="B966">
        <v>3186</v>
      </c>
      <c r="C966" t="s">
        <v>28</v>
      </c>
      <c r="D966" t="s">
        <v>2534</v>
      </c>
      <c r="E966" t="s">
        <v>2535</v>
      </c>
      <c r="F966" t="s">
        <v>2536</v>
      </c>
      <c r="G966" t="s">
        <v>2537</v>
      </c>
      <c r="H966" t="s">
        <v>2538</v>
      </c>
      <c r="I966" t="s">
        <v>495</v>
      </c>
      <c r="J966" t="s">
        <v>2539</v>
      </c>
      <c r="K966" t="s">
        <v>35</v>
      </c>
      <c r="L966">
        <v>7790465184</v>
      </c>
      <c r="M966" t="s">
        <v>2540</v>
      </c>
      <c r="N966" t="s">
        <v>2541</v>
      </c>
      <c r="P966" t="s">
        <v>2546</v>
      </c>
      <c r="Q966" t="s">
        <v>2547</v>
      </c>
      <c r="R966" t="s">
        <v>960</v>
      </c>
      <c r="S966" t="s">
        <v>40</v>
      </c>
      <c r="T966" s="1">
        <v>42610</v>
      </c>
      <c r="U966">
        <v>0</v>
      </c>
      <c r="V966">
        <v>20</v>
      </c>
      <c r="X966" t="s">
        <v>135</v>
      </c>
      <c r="Y966" t="s">
        <v>42</v>
      </c>
      <c r="Z966" t="s">
        <v>43</v>
      </c>
      <c r="AA966" t="s">
        <v>43</v>
      </c>
      <c r="AD966" t="s">
        <v>3143</v>
      </c>
    </row>
    <row r="967" spans="1:30" x14ac:dyDescent="0.4">
      <c r="A967" t="s">
        <v>27</v>
      </c>
      <c r="B967">
        <v>4182</v>
      </c>
      <c r="C967" t="s">
        <v>257</v>
      </c>
      <c r="D967" t="s">
        <v>2548</v>
      </c>
      <c r="E967" t="s">
        <v>2549</v>
      </c>
      <c r="F967" t="s">
        <v>2550</v>
      </c>
      <c r="G967" t="s">
        <v>2551</v>
      </c>
      <c r="H967" t="s">
        <v>1718</v>
      </c>
      <c r="I967" t="s">
        <v>73</v>
      </c>
      <c r="J967" t="s">
        <v>2552</v>
      </c>
      <c r="K967" t="s">
        <v>35</v>
      </c>
      <c r="L967">
        <v>7956588248</v>
      </c>
      <c r="M967" t="s">
        <v>2553</v>
      </c>
      <c r="N967" t="s">
        <v>2554</v>
      </c>
      <c r="P967" t="s">
        <v>3055</v>
      </c>
      <c r="Q967" t="s">
        <v>2556</v>
      </c>
      <c r="R967" t="s">
        <v>58</v>
      </c>
      <c r="S967" t="s">
        <v>82</v>
      </c>
      <c r="T967" s="1">
        <v>44790</v>
      </c>
      <c r="U967">
        <v>0</v>
      </c>
      <c r="V967">
        <v>4</v>
      </c>
      <c r="W967" t="s">
        <v>65</v>
      </c>
      <c r="Y967" t="s">
        <v>42</v>
      </c>
      <c r="Z967" t="s">
        <v>43</v>
      </c>
      <c r="AA967" t="s">
        <v>43</v>
      </c>
      <c r="AD967" t="s">
        <v>3143</v>
      </c>
    </row>
    <row r="968" spans="1:30" x14ac:dyDescent="0.4">
      <c r="A968" t="s">
        <v>27</v>
      </c>
      <c r="B968">
        <v>684</v>
      </c>
      <c r="C968" t="s">
        <v>68</v>
      </c>
      <c r="D968" t="s">
        <v>2557</v>
      </c>
      <c r="E968" t="s">
        <v>2558</v>
      </c>
      <c r="F968" t="s">
        <v>2559</v>
      </c>
      <c r="G968" t="s">
        <v>426</v>
      </c>
      <c r="H968" t="s">
        <v>2560</v>
      </c>
      <c r="I968" t="s">
        <v>426</v>
      </c>
      <c r="J968" t="s">
        <v>2561</v>
      </c>
      <c r="K968" t="s">
        <v>35</v>
      </c>
      <c r="L968">
        <v>7729309428</v>
      </c>
      <c r="M968" t="s">
        <v>2562</v>
      </c>
      <c r="N968" t="s">
        <v>3086</v>
      </c>
      <c r="P968" t="s">
        <v>2563</v>
      </c>
      <c r="Q968" t="s">
        <v>2564</v>
      </c>
      <c r="R968" t="s">
        <v>94</v>
      </c>
      <c r="S968" t="s">
        <v>40</v>
      </c>
      <c r="T968" s="1">
        <v>43416</v>
      </c>
      <c r="U968">
        <v>0</v>
      </c>
      <c r="V968">
        <v>7</v>
      </c>
      <c r="Y968" t="s">
        <v>42</v>
      </c>
      <c r="Z968" t="s">
        <v>43</v>
      </c>
      <c r="AA968" t="s">
        <v>43</v>
      </c>
      <c r="AD968" t="s">
        <v>3143</v>
      </c>
    </row>
    <row r="969" spans="1:30" x14ac:dyDescent="0.4">
      <c r="A969" t="s">
        <v>27</v>
      </c>
      <c r="B969">
        <v>684</v>
      </c>
      <c r="C969" t="s">
        <v>68</v>
      </c>
      <c r="D969" t="s">
        <v>2557</v>
      </c>
      <c r="E969" t="s">
        <v>2558</v>
      </c>
      <c r="F969" t="s">
        <v>2559</v>
      </c>
      <c r="G969" t="s">
        <v>426</v>
      </c>
      <c r="H969" t="s">
        <v>2560</v>
      </c>
      <c r="I969" t="s">
        <v>426</v>
      </c>
      <c r="J969" t="s">
        <v>2561</v>
      </c>
      <c r="K969" t="s">
        <v>35</v>
      </c>
      <c r="L969">
        <v>7729309428</v>
      </c>
      <c r="M969" t="s">
        <v>2562</v>
      </c>
      <c r="N969" t="s">
        <v>3086</v>
      </c>
      <c r="P969" t="s">
        <v>2565</v>
      </c>
      <c r="Q969" t="s">
        <v>2566</v>
      </c>
      <c r="R969" t="s">
        <v>58</v>
      </c>
      <c r="S969" t="s">
        <v>82</v>
      </c>
      <c r="T969" s="1">
        <v>42501</v>
      </c>
      <c r="U969">
        <v>0</v>
      </c>
      <c r="V969">
        <v>7</v>
      </c>
      <c r="Y969" t="s">
        <v>42</v>
      </c>
      <c r="Z969" t="s">
        <v>43</v>
      </c>
      <c r="AA969" t="s">
        <v>43</v>
      </c>
      <c r="AD969" t="s">
        <v>3143</v>
      </c>
    </row>
    <row r="970" spans="1:30" x14ac:dyDescent="0.4">
      <c r="A970" t="s">
        <v>27</v>
      </c>
      <c r="B970">
        <v>684</v>
      </c>
      <c r="C970" t="s">
        <v>68</v>
      </c>
      <c r="D970" t="s">
        <v>2557</v>
      </c>
      <c r="E970" t="s">
        <v>2558</v>
      </c>
      <c r="F970" t="s">
        <v>2559</v>
      </c>
      <c r="G970" t="s">
        <v>426</v>
      </c>
      <c r="H970" t="s">
        <v>2560</v>
      </c>
      <c r="I970" t="s">
        <v>426</v>
      </c>
      <c r="J970" t="s">
        <v>2561</v>
      </c>
      <c r="K970" t="s">
        <v>35</v>
      </c>
      <c r="L970">
        <v>7729309428</v>
      </c>
      <c r="M970" t="s">
        <v>2562</v>
      </c>
      <c r="N970" t="s">
        <v>3086</v>
      </c>
      <c r="P970" t="s">
        <v>2563</v>
      </c>
      <c r="Q970" t="s">
        <v>2564</v>
      </c>
      <c r="R970" t="s">
        <v>94</v>
      </c>
      <c r="S970" t="s">
        <v>40</v>
      </c>
      <c r="T970" s="1">
        <v>43416</v>
      </c>
      <c r="U970">
        <v>0</v>
      </c>
      <c r="V970">
        <v>20</v>
      </c>
      <c r="Y970" t="s">
        <v>42</v>
      </c>
      <c r="Z970" t="s">
        <v>43</v>
      </c>
      <c r="AA970" t="s">
        <v>43</v>
      </c>
      <c r="AD970" t="s">
        <v>3143</v>
      </c>
    </row>
    <row r="971" spans="1:30" x14ac:dyDescent="0.4">
      <c r="A971" t="s">
        <v>27</v>
      </c>
      <c r="B971">
        <v>684</v>
      </c>
      <c r="C971" t="s">
        <v>68</v>
      </c>
      <c r="D971" t="s">
        <v>2557</v>
      </c>
      <c r="E971" t="s">
        <v>2558</v>
      </c>
      <c r="F971" t="s">
        <v>2559</v>
      </c>
      <c r="G971" t="s">
        <v>426</v>
      </c>
      <c r="H971" t="s">
        <v>2560</v>
      </c>
      <c r="I971" t="s">
        <v>426</v>
      </c>
      <c r="J971" t="s">
        <v>2561</v>
      </c>
      <c r="K971" t="s">
        <v>35</v>
      </c>
      <c r="L971">
        <v>7729309428</v>
      </c>
      <c r="M971" t="s">
        <v>2562</v>
      </c>
      <c r="N971" t="s">
        <v>3086</v>
      </c>
      <c r="P971" t="s">
        <v>2565</v>
      </c>
      <c r="Q971" t="s">
        <v>2566</v>
      </c>
      <c r="R971" t="s">
        <v>58</v>
      </c>
      <c r="S971" t="s">
        <v>82</v>
      </c>
      <c r="T971" s="1">
        <v>42501</v>
      </c>
      <c r="U971">
        <v>0</v>
      </c>
      <c r="V971">
        <v>21</v>
      </c>
      <c r="Y971" t="s">
        <v>42</v>
      </c>
      <c r="Z971" t="s">
        <v>43</v>
      </c>
      <c r="AA971" t="s">
        <v>43</v>
      </c>
      <c r="AD971" t="s">
        <v>3143</v>
      </c>
    </row>
    <row r="972" spans="1:30" ht="80" x14ac:dyDescent="0.4">
      <c r="A972" t="s">
        <v>27</v>
      </c>
      <c r="B972">
        <v>1530</v>
      </c>
      <c r="C972" t="s">
        <v>68</v>
      </c>
      <c r="D972" t="s">
        <v>2195</v>
      </c>
      <c r="E972" t="s">
        <v>2567</v>
      </c>
      <c r="F972" t="s">
        <v>2568</v>
      </c>
      <c r="G972" t="s">
        <v>2569</v>
      </c>
      <c r="H972" t="s">
        <v>2570</v>
      </c>
      <c r="I972" t="s">
        <v>2571</v>
      </c>
      <c r="J972" t="s">
        <v>2572</v>
      </c>
      <c r="K972" t="s">
        <v>35</v>
      </c>
      <c r="L972">
        <v>7940797964</v>
      </c>
      <c r="M972" t="s">
        <v>2573</v>
      </c>
      <c r="N972" t="s">
        <v>323</v>
      </c>
      <c r="P972" t="s">
        <v>2574</v>
      </c>
      <c r="Q972" t="s">
        <v>2575</v>
      </c>
      <c r="R972" t="s">
        <v>94</v>
      </c>
      <c r="S972" t="s">
        <v>82</v>
      </c>
      <c r="T972" s="1">
        <v>41190</v>
      </c>
      <c r="U972">
        <v>0</v>
      </c>
      <c r="V972">
        <v>0</v>
      </c>
      <c r="W972" t="s">
        <v>59</v>
      </c>
      <c r="Y972" t="s">
        <v>42</v>
      </c>
      <c r="Z972" t="s">
        <v>43</v>
      </c>
      <c r="AA972" t="s">
        <v>43</v>
      </c>
      <c r="AB972" s="2" t="s">
        <v>2576</v>
      </c>
      <c r="AD972" t="s">
        <v>3143</v>
      </c>
    </row>
    <row r="973" spans="1:30" ht="80" x14ac:dyDescent="0.4">
      <c r="A973" t="s">
        <v>27</v>
      </c>
      <c r="B973">
        <v>1530</v>
      </c>
      <c r="C973" t="s">
        <v>68</v>
      </c>
      <c r="D973" t="s">
        <v>2195</v>
      </c>
      <c r="E973" t="s">
        <v>2567</v>
      </c>
      <c r="F973" t="s">
        <v>2568</v>
      </c>
      <c r="G973" t="s">
        <v>2569</v>
      </c>
      <c r="H973" t="s">
        <v>2570</v>
      </c>
      <c r="I973" t="s">
        <v>2571</v>
      </c>
      <c r="J973" t="s">
        <v>2572</v>
      </c>
      <c r="K973" t="s">
        <v>35</v>
      </c>
      <c r="L973">
        <v>7940797964</v>
      </c>
      <c r="M973" t="s">
        <v>2573</v>
      </c>
      <c r="N973" t="s">
        <v>323</v>
      </c>
      <c r="P973" t="s">
        <v>2574</v>
      </c>
      <c r="Q973" t="s">
        <v>2575</v>
      </c>
      <c r="R973" t="s">
        <v>94</v>
      </c>
      <c r="S973" t="s">
        <v>82</v>
      </c>
      <c r="T973" s="1">
        <v>41190</v>
      </c>
      <c r="U973">
        <v>0</v>
      </c>
      <c r="V973">
        <v>0</v>
      </c>
      <c r="W973" t="s">
        <v>59</v>
      </c>
      <c r="Y973" t="s">
        <v>42</v>
      </c>
      <c r="Z973" t="s">
        <v>43</v>
      </c>
      <c r="AA973" t="s">
        <v>43</v>
      </c>
      <c r="AB973" s="2" t="s">
        <v>2576</v>
      </c>
      <c r="AD973" t="s">
        <v>3143</v>
      </c>
    </row>
    <row r="974" spans="1:30" ht="80" x14ac:dyDescent="0.4">
      <c r="A974" t="s">
        <v>27</v>
      </c>
      <c r="B974">
        <v>1530</v>
      </c>
      <c r="C974" t="s">
        <v>68</v>
      </c>
      <c r="D974" t="s">
        <v>2195</v>
      </c>
      <c r="E974" t="s">
        <v>2567</v>
      </c>
      <c r="F974" t="s">
        <v>2568</v>
      </c>
      <c r="G974" t="s">
        <v>2569</v>
      </c>
      <c r="H974" t="s">
        <v>2570</v>
      </c>
      <c r="I974" t="s">
        <v>2571</v>
      </c>
      <c r="J974" t="s">
        <v>2572</v>
      </c>
      <c r="K974" t="s">
        <v>35</v>
      </c>
      <c r="L974">
        <v>7940797964</v>
      </c>
      <c r="M974" t="s">
        <v>2573</v>
      </c>
      <c r="N974" t="s">
        <v>323</v>
      </c>
      <c r="P974" t="s">
        <v>2577</v>
      </c>
      <c r="Q974" t="s">
        <v>2578</v>
      </c>
      <c r="R974" t="s">
        <v>94</v>
      </c>
      <c r="S974" t="s">
        <v>40</v>
      </c>
      <c r="T974" s="1">
        <v>43839</v>
      </c>
      <c r="U974">
        <v>0</v>
      </c>
      <c r="V974">
        <v>0</v>
      </c>
      <c r="W974" t="s">
        <v>59</v>
      </c>
      <c r="Y974" t="s">
        <v>42</v>
      </c>
      <c r="Z974" t="s">
        <v>43</v>
      </c>
      <c r="AA974" t="s">
        <v>43</v>
      </c>
      <c r="AB974" s="2" t="s">
        <v>2576</v>
      </c>
      <c r="AD974" t="s">
        <v>3143</v>
      </c>
    </row>
    <row r="975" spans="1:30" ht="80" x14ac:dyDescent="0.4">
      <c r="A975" t="s">
        <v>27</v>
      </c>
      <c r="B975">
        <v>1530</v>
      </c>
      <c r="C975" t="s">
        <v>68</v>
      </c>
      <c r="D975" t="s">
        <v>2195</v>
      </c>
      <c r="E975" t="s">
        <v>2567</v>
      </c>
      <c r="F975" t="s">
        <v>2568</v>
      </c>
      <c r="G975" t="s">
        <v>2569</v>
      </c>
      <c r="H975" t="s">
        <v>2570</v>
      </c>
      <c r="I975" t="s">
        <v>2571</v>
      </c>
      <c r="J975" t="s">
        <v>2572</v>
      </c>
      <c r="K975" t="s">
        <v>35</v>
      </c>
      <c r="L975">
        <v>7940797964</v>
      </c>
      <c r="M975" t="s">
        <v>2573</v>
      </c>
      <c r="N975" t="s">
        <v>323</v>
      </c>
      <c r="P975" t="s">
        <v>2579</v>
      </c>
      <c r="Q975" t="s">
        <v>2580</v>
      </c>
      <c r="R975" t="s">
        <v>58</v>
      </c>
      <c r="S975" t="s">
        <v>40</v>
      </c>
      <c r="T975" s="1">
        <v>43794</v>
      </c>
      <c r="U975">
        <v>0</v>
      </c>
      <c r="V975">
        <v>0</v>
      </c>
      <c r="W975" t="s">
        <v>59</v>
      </c>
      <c r="Y975" t="s">
        <v>42</v>
      </c>
      <c r="Z975" t="s">
        <v>43</v>
      </c>
      <c r="AA975" t="s">
        <v>43</v>
      </c>
      <c r="AB975" s="2" t="s">
        <v>2576</v>
      </c>
      <c r="AD975" t="s">
        <v>3143</v>
      </c>
    </row>
    <row r="976" spans="1:30" ht="80" x14ac:dyDescent="0.4">
      <c r="A976" t="s">
        <v>27</v>
      </c>
      <c r="B976">
        <v>1530</v>
      </c>
      <c r="C976" t="s">
        <v>68</v>
      </c>
      <c r="D976" t="s">
        <v>2195</v>
      </c>
      <c r="E976" t="s">
        <v>2567</v>
      </c>
      <c r="F976" t="s">
        <v>2568</v>
      </c>
      <c r="G976" t="s">
        <v>2569</v>
      </c>
      <c r="H976" t="s">
        <v>2570</v>
      </c>
      <c r="I976" t="s">
        <v>2571</v>
      </c>
      <c r="J976" t="s">
        <v>2572</v>
      </c>
      <c r="K976" t="s">
        <v>35</v>
      </c>
      <c r="L976">
        <v>7940797964</v>
      </c>
      <c r="M976" t="s">
        <v>2573</v>
      </c>
      <c r="N976" t="s">
        <v>323</v>
      </c>
      <c r="P976" t="s">
        <v>2581</v>
      </c>
      <c r="Q976" t="s">
        <v>2582</v>
      </c>
      <c r="R976" t="s">
        <v>58</v>
      </c>
      <c r="S976" t="s">
        <v>40</v>
      </c>
      <c r="T976" s="1">
        <v>42407</v>
      </c>
      <c r="U976">
        <v>0</v>
      </c>
      <c r="V976">
        <v>0</v>
      </c>
      <c r="W976" t="s">
        <v>59</v>
      </c>
      <c r="Y976" t="s">
        <v>42</v>
      </c>
      <c r="Z976" t="s">
        <v>43</v>
      </c>
      <c r="AA976" t="s">
        <v>43</v>
      </c>
      <c r="AB976" s="2" t="s">
        <v>2576</v>
      </c>
      <c r="AD976" t="s">
        <v>3143</v>
      </c>
    </row>
    <row r="977" spans="1:30" ht="80" x14ac:dyDescent="0.4">
      <c r="A977" t="s">
        <v>27</v>
      </c>
      <c r="B977">
        <v>1530</v>
      </c>
      <c r="C977" t="s">
        <v>68</v>
      </c>
      <c r="D977" t="s">
        <v>2195</v>
      </c>
      <c r="E977" t="s">
        <v>2567</v>
      </c>
      <c r="F977" t="s">
        <v>2568</v>
      </c>
      <c r="G977" t="s">
        <v>2569</v>
      </c>
      <c r="H977" t="s">
        <v>2570</v>
      </c>
      <c r="I977" t="s">
        <v>2571</v>
      </c>
      <c r="J977" t="s">
        <v>2572</v>
      </c>
      <c r="K977" t="s">
        <v>35</v>
      </c>
      <c r="L977">
        <v>7940797964</v>
      </c>
      <c r="M977" t="s">
        <v>2573</v>
      </c>
      <c r="N977" t="s">
        <v>323</v>
      </c>
      <c r="P977" t="s">
        <v>2583</v>
      </c>
      <c r="Q977" t="s">
        <v>2584</v>
      </c>
      <c r="R977" t="s">
        <v>94</v>
      </c>
      <c r="S977" t="s">
        <v>82</v>
      </c>
      <c r="T977" s="1">
        <v>44809</v>
      </c>
      <c r="U977">
        <v>0</v>
      </c>
      <c r="V977">
        <v>0</v>
      </c>
      <c r="W977" t="s">
        <v>59</v>
      </c>
      <c r="Y977" t="s">
        <v>42</v>
      </c>
      <c r="Z977" t="s">
        <v>43</v>
      </c>
      <c r="AA977" t="s">
        <v>43</v>
      </c>
      <c r="AB977" s="2" t="s">
        <v>2576</v>
      </c>
      <c r="AD977" t="s">
        <v>3143</v>
      </c>
    </row>
    <row r="978" spans="1:30" ht="80" x14ac:dyDescent="0.4">
      <c r="A978" t="s">
        <v>27</v>
      </c>
      <c r="B978">
        <v>1530</v>
      </c>
      <c r="C978" t="s">
        <v>68</v>
      </c>
      <c r="D978" t="s">
        <v>2195</v>
      </c>
      <c r="E978" t="s">
        <v>2567</v>
      </c>
      <c r="F978" t="s">
        <v>2568</v>
      </c>
      <c r="G978" t="s">
        <v>2569</v>
      </c>
      <c r="H978" t="s">
        <v>2570</v>
      </c>
      <c r="I978" t="s">
        <v>2571</v>
      </c>
      <c r="J978" t="s">
        <v>2572</v>
      </c>
      <c r="K978" t="s">
        <v>35</v>
      </c>
      <c r="L978">
        <v>7940797964</v>
      </c>
      <c r="M978" t="s">
        <v>2573</v>
      </c>
      <c r="N978" t="s">
        <v>323</v>
      </c>
      <c r="P978" t="s">
        <v>2577</v>
      </c>
      <c r="Q978" t="s">
        <v>2578</v>
      </c>
      <c r="R978" t="s">
        <v>94</v>
      </c>
      <c r="S978" t="s">
        <v>40</v>
      </c>
      <c r="T978" s="1">
        <v>43839</v>
      </c>
      <c r="U978">
        <v>0</v>
      </c>
      <c r="V978">
        <v>7</v>
      </c>
      <c r="Y978" t="s">
        <v>42</v>
      </c>
      <c r="Z978" t="s">
        <v>43</v>
      </c>
      <c r="AA978" t="s">
        <v>43</v>
      </c>
      <c r="AB978" s="2" t="s">
        <v>2576</v>
      </c>
      <c r="AC978" s="2"/>
      <c r="AD978" t="s">
        <v>3143</v>
      </c>
    </row>
    <row r="979" spans="1:30" ht="80" x14ac:dyDescent="0.4">
      <c r="A979" t="s">
        <v>27</v>
      </c>
      <c r="B979">
        <v>1530</v>
      </c>
      <c r="C979" t="s">
        <v>68</v>
      </c>
      <c r="D979" t="s">
        <v>2195</v>
      </c>
      <c r="E979" t="s">
        <v>2567</v>
      </c>
      <c r="F979" t="s">
        <v>2568</v>
      </c>
      <c r="G979" t="s">
        <v>2569</v>
      </c>
      <c r="H979" t="s">
        <v>2570</v>
      </c>
      <c r="I979" t="s">
        <v>2571</v>
      </c>
      <c r="J979" t="s">
        <v>2572</v>
      </c>
      <c r="K979" t="s">
        <v>35</v>
      </c>
      <c r="L979">
        <v>7940797964</v>
      </c>
      <c r="M979" t="s">
        <v>2573</v>
      </c>
      <c r="N979" t="s">
        <v>323</v>
      </c>
      <c r="P979" t="s">
        <v>2581</v>
      </c>
      <c r="Q979" t="s">
        <v>2582</v>
      </c>
      <c r="R979" t="s">
        <v>58</v>
      </c>
      <c r="S979" t="s">
        <v>40</v>
      </c>
      <c r="T979" s="1">
        <v>42407</v>
      </c>
      <c r="U979">
        <v>0</v>
      </c>
      <c r="V979">
        <v>7</v>
      </c>
      <c r="Y979" t="s">
        <v>42</v>
      </c>
      <c r="Z979" t="s">
        <v>43</v>
      </c>
      <c r="AA979" t="s">
        <v>43</v>
      </c>
      <c r="AB979" s="2" t="s">
        <v>2576</v>
      </c>
      <c r="AC979" s="2"/>
      <c r="AD979" t="s">
        <v>3143</v>
      </c>
    </row>
    <row r="980" spans="1:30" ht="80" x14ac:dyDescent="0.4">
      <c r="A980" t="s">
        <v>27</v>
      </c>
      <c r="B980">
        <v>1530</v>
      </c>
      <c r="C980" t="s">
        <v>68</v>
      </c>
      <c r="D980" t="s">
        <v>2195</v>
      </c>
      <c r="E980" t="s">
        <v>2567</v>
      </c>
      <c r="F980" t="s">
        <v>2568</v>
      </c>
      <c r="G980" t="s">
        <v>2569</v>
      </c>
      <c r="H980" t="s">
        <v>2570</v>
      </c>
      <c r="I980" t="s">
        <v>2571</v>
      </c>
      <c r="J980" t="s">
        <v>2572</v>
      </c>
      <c r="K980" t="s">
        <v>35</v>
      </c>
      <c r="L980">
        <v>7940797964</v>
      </c>
      <c r="M980" t="s">
        <v>2573</v>
      </c>
      <c r="N980" t="s">
        <v>323</v>
      </c>
      <c r="P980" t="s">
        <v>2583</v>
      </c>
      <c r="Q980" t="s">
        <v>2584</v>
      </c>
      <c r="R980" t="s">
        <v>94</v>
      </c>
      <c r="S980" t="s">
        <v>82</v>
      </c>
      <c r="T980" s="1">
        <v>44809</v>
      </c>
      <c r="U980">
        <v>0</v>
      </c>
      <c r="V980">
        <v>7</v>
      </c>
      <c r="Y980" t="s">
        <v>42</v>
      </c>
      <c r="Z980" t="s">
        <v>43</v>
      </c>
      <c r="AA980" t="s">
        <v>43</v>
      </c>
      <c r="AB980" s="2" t="s">
        <v>2576</v>
      </c>
      <c r="AC980" s="2"/>
      <c r="AD980" t="s">
        <v>3143</v>
      </c>
    </row>
    <row r="981" spans="1:30" x14ac:dyDescent="0.4">
      <c r="A981" t="s">
        <v>27</v>
      </c>
      <c r="B981">
        <v>5990</v>
      </c>
      <c r="C981" t="s">
        <v>28</v>
      </c>
      <c r="D981" t="s">
        <v>2585</v>
      </c>
      <c r="E981" t="s">
        <v>2586</v>
      </c>
      <c r="F981" t="s">
        <v>2587</v>
      </c>
      <c r="G981" t="s">
        <v>2588</v>
      </c>
      <c r="H981" t="s">
        <v>559</v>
      </c>
      <c r="I981" t="s">
        <v>51</v>
      </c>
      <c r="J981" t="s">
        <v>2589</v>
      </c>
      <c r="K981" t="s">
        <v>35</v>
      </c>
      <c r="L981">
        <v>7732390797</v>
      </c>
      <c r="M981" t="s">
        <v>2590</v>
      </c>
      <c r="N981" t="s">
        <v>2903</v>
      </c>
      <c r="P981" t="s">
        <v>2591</v>
      </c>
      <c r="Q981" t="s">
        <v>2592</v>
      </c>
      <c r="R981" t="s">
        <v>2593</v>
      </c>
      <c r="S981" t="s">
        <v>40</v>
      </c>
      <c r="T981" s="1">
        <v>44665</v>
      </c>
      <c r="U981">
        <v>0</v>
      </c>
      <c r="V981">
        <v>1</v>
      </c>
      <c r="Y981" t="s">
        <v>42</v>
      </c>
      <c r="Z981" t="s">
        <v>43</v>
      </c>
      <c r="AA981" t="s">
        <v>43</v>
      </c>
      <c r="AD981" t="s">
        <v>3143</v>
      </c>
    </row>
    <row r="982" spans="1:30" x14ac:dyDescent="0.4">
      <c r="A982" t="s">
        <v>27</v>
      </c>
      <c r="B982">
        <v>5990</v>
      </c>
      <c r="C982" t="s">
        <v>28</v>
      </c>
      <c r="D982" t="s">
        <v>2585</v>
      </c>
      <c r="E982" t="s">
        <v>2586</v>
      </c>
      <c r="F982" t="s">
        <v>2587</v>
      </c>
      <c r="G982" t="s">
        <v>2588</v>
      </c>
      <c r="H982" t="s">
        <v>559</v>
      </c>
      <c r="I982" t="s">
        <v>51</v>
      </c>
      <c r="J982" t="s">
        <v>2589</v>
      </c>
      <c r="K982" t="s">
        <v>35</v>
      </c>
      <c r="L982">
        <v>7732390797</v>
      </c>
      <c r="M982" t="s">
        <v>2590</v>
      </c>
      <c r="N982" t="s">
        <v>2903</v>
      </c>
      <c r="P982" t="s">
        <v>2591</v>
      </c>
      <c r="Q982" t="s">
        <v>2592</v>
      </c>
      <c r="R982" t="s">
        <v>2593</v>
      </c>
      <c r="S982" t="s">
        <v>40</v>
      </c>
      <c r="T982" s="1">
        <v>44665</v>
      </c>
      <c r="U982">
        <v>0</v>
      </c>
      <c r="V982">
        <v>2</v>
      </c>
      <c r="Y982" t="s">
        <v>42</v>
      </c>
      <c r="Z982" t="s">
        <v>43</v>
      </c>
      <c r="AA982" t="s">
        <v>43</v>
      </c>
      <c r="AD982" t="s">
        <v>3143</v>
      </c>
    </row>
    <row r="983" spans="1:30" x14ac:dyDescent="0.4">
      <c r="A983" t="s">
        <v>27</v>
      </c>
      <c r="B983">
        <v>506</v>
      </c>
      <c r="C983" t="s">
        <v>28</v>
      </c>
      <c r="D983" t="s">
        <v>940</v>
      </c>
      <c r="E983" t="s">
        <v>2594</v>
      </c>
      <c r="F983" t="s">
        <v>2595</v>
      </c>
      <c r="G983" t="s">
        <v>2596</v>
      </c>
      <c r="H983" t="s">
        <v>886</v>
      </c>
      <c r="I983" t="s">
        <v>51</v>
      </c>
      <c r="J983" t="s">
        <v>2597</v>
      </c>
      <c r="K983" t="s">
        <v>35</v>
      </c>
      <c r="L983" t="s">
        <v>2598</v>
      </c>
      <c r="M983" t="s">
        <v>2599</v>
      </c>
      <c r="N983" t="s">
        <v>2600</v>
      </c>
      <c r="P983" t="s">
        <v>2601</v>
      </c>
      <c r="Q983" t="s">
        <v>2602</v>
      </c>
      <c r="R983" t="s">
        <v>169</v>
      </c>
      <c r="S983" t="s">
        <v>40</v>
      </c>
      <c r="T983" s="1">
        <v>43966</v>
      </c>
      <c r="U983">
        <v>0</v>
      </c>
      <c r="V983">
        <v>7</v>
      </c>
      <c r="Y983" t="s">
        <v>42</v>
      </c>
      <c r="Z983" t="s">
        <v>43</v>
      </c>
      <c r="AA983" t="s">
        <v>43</v>
      </c>
      <c r="AB983" t="s">
        <v>2603</v>
      </c>
      <c r="AD983" t="s">
        <v>3143</v>
      </c>
    </row>
    <row r="984" spans="1:30" x14ac:dyDescent="0.4">
      <c r="A984" t="s">
        <v>27</v>
      </c>
      <c r="B984">
        <v>506</v>
      </c>
      <c r="C984" t="s">
        <v>28</v>
      </c>
      <c r="D984" t="s">
        <v>940</v>
      </c>
      <c r="E984" t="s">
        <v>2594</v>
      </c>
      <c r="F984" t="s">
        <v>2595</v>
      </c>
      <c r="G984" t="s">
        <v>2596</v>
      </c>
      <c r="H984" t="s">
        <v>886</v>
      </c>
      <c r="I984" t="s">
        <v>51</v>
      </c>
      <c r="J984" t="s">
        <v>2597</v>
      </c>
      <c r="K984" t="s">
        <v>35</v>
      </c>
      <c r="L984" t="s">
        <v>2598</v>
      </c>
      <c r="M984" t="s">
        <v>2599</v>
      </c>
      <c r="N984" t="s">
        <v>2600</v>
      </c>
      <c r="P984" t="s">
        <v>2604</v>
      </c>
      <c r="Q984" t="s">
        <v>2605</v>
      </c>
      <c r="R984" t="s">
        <v>169</v>
      </c>
      <c r="S984" t="s">
        <v>40</v>
      </c>
      <c r="T984" s="1">
        <v>42331</v>
      </c>
      <c r="U984">
        <v>0</v>
      </c>
      <c r="V984">
        <v>5</v>
      </c>
      <c r="W984" t="s">
        <v>66</v>
      </c>
      <c r="Y984" t="s">
        <v>42</v>
      </c>
      <c r="Z984" t="s">
        <v>43</v>
      </c>
      <c r="AA984" t="s">
        <v>43</v>
      </c>
      <c r="AB984" t="s">
        <v>2603</v>
      </c>
      <c r="AD984" t="s">
        <v>3143</v>
      </c>
    </row>
    <row r="985" spans="1:30" x14ac:dyDescent="0.4">
      <c r="A985" t="s">
        <v>27</v>
      </c>
      <c r="B985">
        <v>506</v>
      </c>
      <c r="C985" t="s">
        <v>28</v>
      </c>
      <c r="D985" t="s">
        <v>940</v>
      </c>
      <c r="E985" t="s">
        <v>2594</v>
      </c>
      <c r="F985" t="s">
        <v>2595</v>
      </c>
      <c r="G985" t="s">
        <v>2596</v>
      </c>
      <c r="H985" t="s">
        <v>886</v>
      </c>
      <c r="I985" t="s">
        <v>51</v>
      </c>
      <c r="J985" t="s">
        <v>2597</v>
      </c>
      <c r="K985" t="s">
        <v>35</v>
      </c>
      <c r="L985" t="s">
        <v>2598</v>
      </c>
      <c r="M985" t="s">
        <v>2599</v>
      </c>
      <c r="N985" t="s">
        <v>2600</v>
      </c>
      <c r="P985" t="s">
        <v>2604</v>
      </c>
      <c r="Q985" t="s">
        <v>2605</v>
      </c>
      <c r="R985" t="s">
        <v>169</v>
      </c>
      <c r="S985" t="s">
        <v>40</v>
      </c>
      <c r="T985" s="1">
        <v>42331</v>
      </c>
      <c r="U985">
        <v>0</v>
      </c>
      <c r="V985">
        <v>6</v>
      </c>
      <c r="W985" t="s">
        <v>83</v>
      </c>
      <c r="Y985" t="s">
        <v>42</v>
      </c>
      <c r="Z985" t="s">
        <v>43</v>
      </c>
      <c r="AA985" t="s">
        <v>43</v>
      </c>
      <c r="AB985" t="s">
        <v>2603</v>
      </c>
      <c r="AD985" t="s">
        <v>3143</v>
      </c>
    </row>
    <row r="986" spans="1:30" x14ac:dyDescent="0.4">
      <c r="A986" t="s">
        <v>27</v>
      </c>
      <c r="B986">
        <v>506</v>
      </c>
      <c r="C986" t="s">
        <v>28</v>
      </c>
      <c r="D986" t="s">
        <v>940</v>
      </c>
      <c r="E986" t="s">
        <v>2594</v>
      </c>
      <c r="F986" t="s">
        <v>2595</v>
      </c>
      <c r="G986" t="s">
        <v>2596</v>
      </c>
      <c r="H986" t="s">
        <v>886</v>
      </c>
      <c r="I986" t="s">
        <v>51</v>
      </c>
      <c r="J986" t="s">
        <v>2597</v>
      </c>
      <c r="K986" t="s">
        <v>35</v>
      </c>
      <c r="L986" t="s">
        <v>2598</v>
      </c>
      <c r="M986" t="s">
        <v>2599</v>
      </c>
      <c r="N986" t="s">
        <v>2600</v>
      </c>
      <c r="P986" t="s">
        <v>2604</v>
      </c>
      <c r="Q986" t="s">
        <v>2605</v>
      </c>
      <c r="R986" t="s">
        <v>169</v>
      </c>
      <c r="S986" t="s">
        <v>40</v>
      </c>
      <c r="T986" s="1">
        <v>42331</v>
      </c>
      <c r="U986">
        <v>0</v>
      </c>
      <c r="V986">
        <v>14</v>
      </c>
      <c r="Y986" t="s">
        <v>42</v>
      </c>
      <c r="Z986" t="s">
        <v>43</v>
      </c>
      <c r="AA986" t="s">
        <v>43</v>
      </c>
      <c r="AB986" t="s">
        <v>2603</v>
      </c>
      <c r="AD986" t="s">
        <v>3143</v>
      </c>
    </row>
    <row r="987" spans="1:30" x14ac:dyDescent="0.4">
      <c r="A987" t="s">
        <v>27</v>
      </c>
      <c r="B987">
        <v>506</v>
      </c>
      <c r="C987" t="s">
        <v>28</v>
      </c>
      <c r="D987" t="s">
        <v>940</v>
      </c>
      <c r="E987" t="s">
        <v>2594</v>
      </c>
      <c r="F987" t="s">
        <v>2595</v>
      </c>
      <c r="G987" t="s">
        <v>2596</v>
      </c>
      <c r="H987" t="s">
        <v>886</v>
      </c>
      <c r="I987" t="s">
        <v>51</v>
      </c>
      <c r="J987" t="s">
        <v>2597</v>
      </c>
      <c r="K987" t="s">
        <v>35</v>
      </c>
      <c r="L987" t="s">
        <v>2598</v>
      </c>
      <c r="M987" t="s">
        <v>2599</v>
      </c>
      <c r="N987" t="s">
        <v>2600</v>
      </c>
      <c r="P987" t="s">
        <v>2604</v>
      </c>
      <c r="Q987" t="s">
        <v>2605</v>
      </c>
      <c r="R987" t="s">
        <v>169</v>
      </c>
      <c r="S987" t="s">
        <v>40</v>
      </c>
      <c r="T987" s="1">
        <v>42331</v>
      </c>
      <c r="U987">
        <v>0</v>
      </c>
      <c r="V987">
        <v>16</v>
      </c>
      <c r="Y987" t="s">
        <v>42</v>
      </c>
      <c r="Z987" t="s">
        <v>43</v>
      </c>
      <c r="AA987" t="s">
        <v>43</v>
      </c>
      <c r="AB987" t="s">
        <v>2603</v>
      </c>
      <c r="AD987" t="s">
        <v>3143</v>
      </c>
    </row>
    <row r="988" spans="1:30" x14ac:dyDescent="0.4">
      <c r="A988" t="s">
        <v>27</v>
      </c>
      <c r="B988">
        <v>506</v>
      </c>
      <c r="C988" t="s">
        <v>28</v>
      </c>
      <c r="D988" t="s">
        <v>940</v>
      </c>
      <c r="E988" t="s">
        <v>2594</v>
      </c>
      <c r="F988" t="s">
        <v>2595</v>
      </c>
      <c r="G988" t="s">
        <v>2596</v>
      </c>
      <c r="H988" t="s">
        <v>886</v>
      </c>
      <c r="I988" t="s">
        <v>51</v>
      </c>
      <c r="J988" t="s">
        <v>2597</v>
      </c>
      <c r="K988" t="s">
        <v>35</v>
      </c>
      <c r="L988" t="s">
        <v>2598</v>
      </c>
      <c r="M988" t="s">
        <v>2599</v>
      </c>
      <c r="N988" t="s">
        <v>2600</v>
      </c>
      <c r="P988" t="s">
        <v>2601</v>
      </c>
      <c r="Q988" t="s">
        <v>2602</v>
      </c>
      <c r="R988" t="s">
        <v>169</v>
      </c>
      <c r="S988" t="s">
        <v>40</v>
      </c>
      <c r="T988" s="1">
        <v>43966</v>
      </c>
      <c r="U988">
        <v>0</v>
      </c>
      <c r="V988">
        <v>18</v>
      </c>
      <c r="Y988" t="s">
        <v>42</v>
      </c>
      <c r="Z988" t="s">
        <v>43</v>
      </c>
      <c r="AA988" t="s">
        <v>43</v>
      </c>
      <c r="AB988" t="s">
        <v>2603</v>
      </c>
      <c r="AD988" t="s">
        <v>3143</v>
      </c>
    </row>
    <row r="989" spans="1:30" x14ac:dyDescent="0.4">
      <c r="A989" t="s">
        <v>27</v>
      </c>
      <c r="B989">
        <v>1339</v>
      </c>
      <c r="C989" t="s">
        <v>68</v>
      </c>
      <c r="D989" t="s">
        <v>858</v>
      </c>
      <c r="E989" t="s">
        <v>2606</v>
      </c>
      <c r="F989" t="s">
        <v>2607</v>
      </c>
      <c r="G989" t="s">
        <v>2608</v>
      </c>
      <c r="H989" t="s">
        <v>2609</v>
      </c>
      <c r="I989" t="s">
        <v>89</v>
      </c>
      <c r="J989" t="s">
        <v>2610</v>
      </c>
      <c r="K989" t="s">
        <v>35</v>
      </c>
      <c r="L989">
        <v>1295711363</v>
      </c>
      <c r="M989" t="s">
        <v>2611</v>
      </c>
      <c r="N989" t="s">
        <v>2879</v>
      </c>
      <c r="P989" t="s">
        <v>2612</v>
      </c>
      <c r="Q989" t="s">
        <v>2613</v>
      </c>
      <c r="R989" t="s">
        <v>58</v>
      </c>
      <c r="S989" t="s">
        <v>82</v>
      </c>
      <c r="T989" s="1">
        <v>43858</v>
      </c>
      <c r="U989">
        <v>0</v>
      </c>
      <c r="V989">
        <v>7</v>
      </c>
      <c r="X989" t="s">
        <v>392</v>
      </c>
      <c r="Y989" t="s">
        <v>42</v>
      </c>
      <c r="Z989" t="s">
        <v>43</v>
      </c>
      <c r="AA989" t="s">
        <v>42</v>
      </c>
      <c r="AD989" t="s">
        <v>3143</v>
      </c>
    </row>
    <row r="990" spans="1:30" x14ac:dyDescent="0.4">
      <c r="A990" t="s">
        <v>27</v>
      </c>
      <c r="B990">
        <v>1339</v>
      </c>
      <c r="C990" t="s">
        <v>68</v>
      </c>
      <c r="D990" t="s">
        <v>858</v>
      </c>
      <c r="E990" t="s">
        <v>2606</v>
      </c>
      <c r="F990" t="s">
        <v>2607</v>
      </c>
      <c r="G990" t="s">
        <v>2608</v>
      </c>
      <c r="H990" t="s">
        <v>2609</v>
      </c>
      <c r="I990" t="s">
        <v>89</v>
      </c>
      <c r="J990" t="s">
        <v>2610</v>
      </c>
      <c r="K990" t="s">
        <v>35</v>
      </c>
      <c r="L990">
        <v>1295711363</v>
      </c>
      <c r="M990" t="s">
        <v>2611</v>
      </c>
      <c r="N990" t="s">
        <v>2879</v>
      </c>
      <c r="P990" t="s">
        <v>2612</v>
      </c>
      <c r="Q990" t="s">
        <v>2613</v>
      </c>
      <c r="R990" t="s">
        <v>58</v>
      </c>
      <c r="S990" t="s">
        <v>82</v>
      </c>
      <c r="T990" s="1">
        <v>43858</v>
      </c>
      <c r="U990">
        <v>0</v>
      </c>
      <c r="V990">
        <v>19</v>
      </c>
      <c r="X990" t="s">
        <v>392</v>
      </c>
      <c r="Y990" t="s">
        <v>42</v>
      </c>
      <c r="Z990" t="s">
        <v>43</v>
      </c>
      <c r="AA990" t="s">
        <v>42</v>
      </c>
      <c r="AD990" t="s">
        <v>3143</v>
      </c>
    </row>
    <row r="991" spans="1:30" x14ac:dyDescent="0.4">
      <c r="A991" t="s">
        <v>27</v>
      </c>
      <c r="B991">
        <v>2616</v>
      </c>
      <c r="C991" t="s">
        <v>195</v>
      </c>
      <c r="D991" t="s">
        <v>501</v>
      </c>
      <c r="E991" t="s">
        <v>2606</v>
      </c>
      <c r="F991" t="s">
        <v>2614</v>
      </c>
      <c r="H991" t="s">
        <v>2615</v>
      </c>
      <c r="I991" t="s">
        <v>370</v>
      </c>
      <c r="J991" t="s">
        <v>2616</v>
      </c>
      <c r="K991" t="s">
        <v>35</v>
      </c>
      <c r="L991">
        <v>1344516687</v>
      </c>
      <c r="M991" t="s">
        <v>2617</v>
      </c>
      <c r="N991" t="s">
        <v>2618</v>
      </c>
      <c r="P991" t="s">
        <v>2619</v>
      </c>
      <c r="Q991" t="s">
        <v>2620</v>
      </c>
      <c r="R991" t="s">
        <v>376</v>
      </c>
      <c r="S991" t="s">
        <v>82</v>
      </c>
      <c r="T991" s="1">
        <v>44866</v>
      </c>
      <c r="U991">
        <v>0</v>
      </c>
      <c r="V991">
        <v>3</v>
      </c>
      <c r="Y991" t="s">
        <v>42</v>
      </c>
      <c r="Z991" t="s">
        <v>43</v>
      </c>
      <c r="AA991" t="s">
        <v>43</v>
      </c>
      <c r="AD991" t="s">
        <v>3143</v>
      </c>
    </row>
    <row r="992" spans="1:30" x14ac:dyDescent="0.4">
      <c r="A992" t="s">
        <v>27</v>
      </c>
      <c r="B992">
        <v>2616</v>
      </c>
      <c r="C992" t="s">
        <v>195</v>
      </c>
      <c r="D992" t="s">
        <v>501</v>
      </c>
      <c r="E992" t="s">
        <v>2606</v>
      </c>
      <c r="F992" t="s">
        <v>2614</v>
      </c>
      <c r="H992" t="s">
        <v>2615</v>
      </c>
      <c r="I992" t="s">
        <v>370</v>
      </c>
      <c r="J992" t="s">
        <v>2616</v>
      </c>
      <c r="K992" t="s">
        <v>35</v>
      </c>
      <c r="L992">
        <v>1344516687</v>
      </c>
      <c r="M992" t="s">
        <v>2617</v>
      </c>
      <c r="N992" t="s">
        <v>2618</v>
      </c>
      <c r="P992" t="s">
        <v>2619</v>
      </c>
      <c r="Q992" t="s">
        <v>2620</v>
      </c>
      <c r="R992" t="s">
        <v>376</v>
      </c>
      <c r="S992" t="s">
        <v>82</v>
      </c>
      <c r="T992" s="1">
        <v>44866</v>
      </c>
      <c r="U992">
        <v>0</v>
      </c>
      <c r="V992">
        <v>11</v>
      </c>
      <c r="Y992" t="s">
        <v>42</v>
      </c>
      <c r="Z992" t="s">
        <v>43</v>
      </c>
      <c r="AA992" t="s">
        <v>43</v>
      </c>
      <c r="AD992" t="s">
        <v>3143</v>
      </c>
    </row>
    <row r="993" spans="1:30" x14ac:dyDescent="0.4">
      <c r="A993" t="s">
        <v>27</v>
      </c>
      <c r="B993">
        <v>2616</v>
      </c>
      <c r="C993" t="s">
        <v>195</v>
      </c>
      <c r="D993" t="s">
        <v>501</v>
      </c>
      <c r="E993" t="s">
        <v>2606</v>
      </c>
      <c r="F993" t="s">
        <v>2614</v>
      </c>
      <c r="H993" t="s">
        <v>2615</v>
      </c>
      <c r="I993" t="s">
        <v>370</v>
      </c>
      <c r="J993" t="s">
        <v>2616</v>
      </c>
      <c r="K993" t="s">
        <v>35</v>
      </c>
      <c r="L993">
        <v>1344516687</v>
      </c>
      <c r="M993" t="s">
        <v>2617</v>
      </c>
      <c r="N993" t="s">
        <v>2618</v>
      </c>
      <c r="P993" t="s">
        <v>2619</v>
      </c>
      <c r="Q993" t="s">
        <v>2620</v>
      </c>
      <c r="R993" t="s">
        <v>376</v>
      </c>
      <c r="S993" t="s">
        <v>82</v>
      </c>
      <c r="T993" s="1">
        <v>44866</v>
      </c>
      <c r="U993">
        <v>0</v>
      </c>
      <c r="V993">
        <v>4</v>
      </c>
      <c r="W993" t="s">
        <v>65</v>
      </c>
      <c r="Y993" t="s">
        <v>42</v>
      </c>
      <c r="Z993" t="s">
        <v>43</v>
      </c>
      <c r="AA993" t="s">
        <v>43</v>
      </c>
      <c r="AD993" t="s">
        <v>3143</v>
      </c>
    </row>
    <row r="994" spans="1:30" x14ac:dyDescent="0.4">
      <c r="A994" t="s">
        <v>27</v>
      </c>
      <c r="B994">
        <v>2616</v>
      </c>
      <c r="C994" t="s">
        <v>195</v>
      </c>
      <c r="D994" t="s">
        <v>501</v>
      </c>
      <c r="E994" t="s">
        <v>2606</v>
      </c>
      <c r="F994" t="s">
        <v>2614</v>
      </c>
      <c r="H994" t="s">
        <v>2615</v>
      </c>
      <c r="I994" t="s">
        <v>370</v>
      </c>
      <c r="J994" t="s">
        <v>2616</v>
      </c>
      <c r="K994" t="s">
        <v>35</v>
      </c>
      <c r="L994">
        <v>1344516687</v>
      </c>
      <c r="M994" t="s">
        <v>2617</v>
      </c>
      <c r="N994" t="s">
        <v>2618</v>
      </c>
      <c r="P994" t="s">
        <v>2619</v>
      </c>
      <c r="Q994" t="s">
        <v>2620</v>
      </c>
      <c r="R994" t="s">
        <v>376</v>
      </c>
      <c r="S994" t="s">
        <v>82</v>
      </c>
      <c r="T994" s="1">
        <v>44866</v>
      </c>
      <c r="U994">
        <v>0</v>
      </c>
      <c r="V994">
        <v>13</v>
      </c>
      <c r="Y994" t="s">
        <v>42</v>
      </c>
      <c r="Z994" t="s">
        <v>43</v>
      </c>
      <c r="AA994" t="s">
        <v>43</v>
      </c>
      <c r="AD994" t="s">
        <v>3143</v>
      </c>
    </row>
    <row r="995" spans="1:30" x14ac:dyDescent="0.4">
      <c r="A995" t="s">
        <v>27</v>
      </c>
      <c r="B995">
        <v>3888</v>
      </c>
      <c r="C995" t="s">
        <v>68</v>
      </c>
      <c r="D995" t="s">
        <v>2621</v>
      </c>
      <c r="E995" t="s">
        <v>2606</v>
      </c>
      <c r="F995" t="s">
        <v>2622</v>
      </c>
      <c r="G995" t="s">
        <v>2623</v>
      </c>
      <c r="H995" t="s">
        <v>2624</v>
      </c>
      <c r="I995" t="s">
        <v>51</v>
      </c>
      <c r="J995" t="s">
        <v>2625</v>
      </c>
      <c r="K995" t="s">
        <v>35</v>
      </c>
      <c r="L995">
        <v>7488534434</v>
      </c>
      <c r="M995" t="s">
        <v>2626</v>
      </c>
      <c r="N995" t="s">
        <v>3016</v>
      </c>
      <c r="P995" t="s">
        <v>2627</v>
      </c>
      <c r="Q995" t="s">
        <v>2628</v>
      </c>
      <c r="R995" t="s">
        <v>1305</v>
      </c>
      <c r="S995" t="s">
        <v>40</v>
      </c>
      <c r="T995" s="1">
        <v>43181</v>
      </c>
      <c r="U995">
        <v>0</v>
      </c>
      <c r="V995">
        <v>5</v>
      </c>
      <c r="W995" t="s">
        <v>66</v>
      </c>
      <c r="Y995" t="s">
        <v>42</v>
      </c>
      <c r="Z995" t="s">
        <v>43</v>
      </c>
      <c r="AA995" t="s">
        <v>43</v>
      </c>
      <c r="AD995" t="s">
        <v>3143</v>
      </c>
    </row>
    <row r="996" spans="1:30" x14ac:dyDescent="0.4">
      <c r="A996" t="s">
        <v>27</v>
      </c>
      <c r="B996">
        <v>3888</v>
      </c>
      <c r="C996" t="s">
        <v>68</v>
      </c>
      <c r="D996" t="s">
        <v>2621</v>
      </c>
      <c r="E996" t="s">
        <v>2606</v>
      </c>
      <c r="F996" t="s">
        <v>2622</v>
      </c>
      <c r="G996" t="s">
        <v>2623</v>
      </c>
      <c r="H996" t="s">
        <v>2624</v>
      </c>
      <c r="I996" t="s">
        <v>51</v>
      </c>
      <c r="J996" t="s">
        <v>2625</v>
      </c>
      <c r="K996" t="s">
        <v>35</v>
      </c>
      <c r="L996">
        <v>7488534434</v>
      </c>
      <c r="M996" t="s">
        <v>2626</v>
      </c>
      <c r="N996" t="s">
        <v>3016</v>
      </c>
      <c r="P996" t="s">
        <v>2629</v>
      </c>
      <c r="Q996" t="s">
        <v>2630</v>
      </c>
      <c r="R996" t="s">
        <v>1305</v>
      </c>
      <c r="S996" t="s">
        <v>40</v>
      </c>
      <c r="T996" s="1">
        <v>44035</v>
      </c>
      <c r="U996">
        <v>0</v>
      </c>
      <c r="V996">
        <v>4</v>
      </c>
      <c r="W996" t="s">
        <v>65</v>
      </c>
      <c r="Y996" t="s">
        <v>42</v>
      </c>
      <c r="Z996" t="s">
        <v>43</v>
      </c>
      <c r="AA996" t="s">
        <v>43</v>
      </c>
      <c r="AD996" t="s">
        <v>3143</v>
      </c>
    </row>
    <row r="997" spans="1:30" x14ac:dyDescent="0.4">
      <c r="A997" t="s">
        <v>27</v>
      </c>
      <c r="B997">
        <v>3888</v>
      </c>
      <c r="C997" t="s">
        <v>68</v>
      </c>
      <c r="D997" t="s">
        <v>2621</v>
      </c>
      <c r="E997" t="s">
        <v>2606</v>
      </c>
      <c r="F997" t="s">
        <v>2622</v>
      </c>
      <c r="G997" t="s">
        <v>2623</v>
      </c>
      <c r="H997" t="s">
        <v>2624</v>
      </c>
      <c r="I997" t="s">
        <v>51</v>
      </c>
      <c r="J997" t="s">
        <v>2625</v>
      </c>
      <c r="K997" t="s">
        <v>35</v>
      </c>
      <c r="L997">
        <v>7488534434</v>
      </c>
      <c r="M997" t="s">
        <v>2626</v>
      </c>
      <c r="N997" t="s">
        <v>3016</v>
      </c>
      <c r="P997" t="s">
        <v>2629</v>
      </c>
      <c r="Q997" t="s">
        <v>2630</v>
      </c>
      <c r="R997" t="s">
        <v>1305</v>
      </c>
      <c r="S997" t="s">
        <v>40</v>
      </c>
      <c r="T997" s="1">
        <v>44035</v>
      </c>
      <c r="U997">
        <v>0</v>
      </c>
      <c r="V997">
        <v>12</v>
      </c>
      <c r="Y997" t="s">
        <v>42</v>
      </c>
      <c r="Z997" t="s">
        <v>43</v>
      </c>
      <c r="AA997" t="s">
        <v>43</v>
      </c>
      <c r="AD997" t="s">
        <v>3143</v>
      </c>
    </row>
    <row r="998" spans="1:30" x14ac:dyDescent="0.4">
      <c r="A998" t="s">
        <v>27</v>
      </c>
      <c r="B998">
        <v>3888</v>
      </c>
      <c r="C998" t="s">
        <v>68</v>
      </c>
      <c r="D998" t="s">
        <v>2621</v>
      </c>
      <c r="E998" t="s">
        <v>2606</v>
      </c>
      <c r="F998" t="s">
        <v>2622</v>
      </c>
      <c r="G998" t="s">
        <v>2623</v>
      </c>
      <c r="H998" t="s">
        <v>2624</v>
      </c>
      <c r="I998" t="s">
        <v>51</v>
      </c>
      <c r="J998" t="s">
        <v>2625</v>
      </c>
      <c r="K998" t="s">
        <v>35</v>
      </c>
      <c r="L998">
        <v>7488534434</v>
      </c>
      <c r="M998" t="s">
        <v>2626</v>
      </c>
      <c r="N998" t="s">
        <v>3016</v>
      </c>
      <c r="P998" t="s">
        <v>2627</v>
      </c>
      <c r="Q998" t="s">
        <v>2628</v>
      </c>
      <c r="R998" t="s">
        <v>1305</v>
      </c>
      <c r="S998" t="s">
        <v>40</v>
      </c>
      <c r="T998" s="1">
        <v>43181</v>
      </c>
      <c r="U998">
        <v>0</v>
      </c>
      <c r="V998">
        <v>14</v>
      </c>
      <c r="Y998" t="s">
        <v>42</v>
      </c>
      <c r="Z998" t="s">
        <v>43</v>
      </c>
      <c r="AA998" t="s">
        <v>43</v>
      </c>
      <c r="AD998" t="s">
        <v>3143</v>
      </c>
    </row>
    <row r="999" spans="1:30" x14ac:dyDescent="0.4">
      <c r="A999" t="s">
        <v>27</v>
      </c>
      <c r="B999">
        <v>3888</v>
      </c>
      <c r="C999" t="s">
        <v>68</v>
      </c>
      <c r="D999" t="s">
        <v>2621</v>
      </c>
      <c r="E999" t="s">
        <v>2606</v>
      </c>
      <c r="F999" t="s">
        <v>2622</v>
      </c>
      <c r="G999" t="s">
        <v>2623</v>
      </c>
      <c r="H999" t="s">
        <v>2624</v>
      </c>
      <c r="I999" t="s">
        <v>51</v>
      </c>
      <c r="J999" t="s">
        <v>2625</v>
      </c>
      <c r="K999" t="s">
        <v>35</v>
      </c>
      <c r="L999">
        <v>7488534434</v>
      </c>
      <c r="M999" t="s">
        <v>2626</v>
      </c>
      <c r="N999" t="s">
        <v>3016</v>
      </c>
      <c r="P999" t="s">
        <v>2627</v>
      </c>
      <c r="Q999" t="s">
        <v>2628</v>
      </c>
      <c r="R999" t="s">
        <v>1305</v>
      </c>
      <c r="S999" t="s">
        <v>40</v>
      </c>
      <c r="T999" s="1">
        <v>43181</v>
      </c>
      <c r="U999">
        <v>0</v>
      </c>
      <c r="V999">
        <v>6</v>
      </c>
      <c r="W999" t="s">
        <v>83</v>
      </c>
      <c r="Y999" t="s">
        <v>42</v>
      </c>
      <c r="Z999" t="s">
        <v>43</v>
      </c>
      <c r="AA999" t="s">
        <v>43</v>
      </c>
      <c r="AD999" t="s">
        <v>3143</v>
      </c>
    </row>
    <row r="1000" spans="1:30" x14ac:dyDescent="0.4">
      <c r="A1000" t="s">
        <v>27</v>
      </c>
      <c r="B1000">
        <v>2459</v>
      </c>
      <c r="C1000" t="s">
        <v>68</v>
      </c>
      <c r="D1000" t="s">
        <v>1558</v>
      </c>
      <c r="E1000" t="s">
        <v>2631</v>
      </c>
      <c r="F1000" t="s">
        <v>2632</v>
      </c>
      <c r="H1000" t="s">
        <v>2633</v>
      </c>
      <c r="I1000" t="s">
        <v>330</v>
      </c>
      <c r="J1000" t="s">
        <v>2634</v>
      </c>
      <c r="K1000" t="s">
        <v>35</v>
      </c>
      <c r="L1000">
        <v>1425621278</v>
      </c>
      <c r="M1000" t="s">
        <v>2635</v>
      </c>
      <c r="N1000" t="s">
        <v>2636</v>
      </c>
      <c r="P1000" t="s">
        <v>2637</v>
      </c>
      <c r="Q1000" t="s">
        <v>2638</v>
      </c>
      <c r="R1000" t="s">
        <v>58</v>
      </c>
      <c r="S1000" t="s">
        <v>82</v>
      </c>
      <c r="T1000" s="1">
        <v>41487</v>
      </c>
      <c r="U1000">
        <v>0</v>
      </c>
      <c r="V1000">
        <v>0</v>
      </c>
      <c r="W1000" t="s">
        <v>59</v>
      </c>
      <c r="Y1000" t="s">
        <v>42</v>
      </c>
      <c r="Z1000" t="s">
        <v>43</v>
      </c>
      <c r="AA1000" t="s">
        <v>43</v>
      </c>
      <c r="AD1000" t="s">
        <v>3143</v>
      </c>
    </row>
    <row r="1001" spans="1:30" x14ac:dyDescent="0.4">
      <c r="A1001" t="s">
        <v>27</v>
      </c>
      <c r="B1001">
        <v>2459</v>
      </c>
      <c r="C1001" t="s">
        <v>68</v>
      </c>
      <c r="D1001" t="s">
        <v>1558</v>
      </c>
      <c r="E1001" t="s">
        <v>2631</v>
      </c>
      <c r="F1001" t="s">
        <v>2632</v>
      </c>
      <c r="H1001" t="s">
        <v>2633</v>
      </c>
      <c r="I1001" t="s">
        <v>330</v>
      </c>
      <c r="J1001" t="s">
        <v>2634</v>
      </c>
      <c r="K1001" t="s">
        <v>35</v>
      </c>
      <c r="L1001">
        <v>1425621278</v>
      </c>
      <c r="M1001" t="s">
        <v>2635</v>
      </c>
      <c r="N1001" t="s">
        <v>2636</v>
      </c>
      <c r="P1001" t="s">
        <v>2639</v>
      </c>
      <c r="Q1001" t="s">
        <v>2640</v>
      </c>
      <c r="R1001" t="s">
        <v>138</v>
      </c>
      <c r="S1001" t="s">
        <v>82</v>
      </c>
      <c r="T1001" s="1">
        <v>43503</v>
      </c>
      <c r="U1001">
        <v>0</v>
      </c>
      <c r="V1001">
        <v>0</v>
      </c>
      <c r="W1001" t="s">
        <v>59</v>
      </c>
      <c r="Y1001" t="s">
        <v>42</v>
      </c>
      <c r="Z1001" t="s">
        <v>43</v>
      </c>
      <c r="AA1001" t="s">
        <v>43</v>
      </c>
      <c r="AD1001" t="s">
        <v>3143</v>
      </c>
    </row>
    <row r="1002" spans="1:30" x14ac:dyDescent="0.4">
      <c r="A1002" t="s">
        <v>27</v>
      </c>
      <c r="B1002">
        <v>2459</v>
      </c>
      <c r="C1002" t="s">
        <v>68</v>
      </c>
      <c r="D1002" t="s">
        <v>1558</v>
      </c>
      <c r="E1002" t="s">
        <v>2631</v>
      </c>
      <c r="F1002" t="s">
        <v>2632</v>
      </c>
      <c r="H1002" t="s">
        <v>2633</v>
      </c>
      <c r="I1002" t="s">
        <v>330</v>
      </c>
      <c r="J1002" t="s">
        <v>2634</v>
      </c>
      <c r="K1002" t="s">
        <v>35</v>
      </c>
      <c r="L1002">
        <v>1425621278</v>
      </c>
      <c r="M1002" t="s">
        <v>2635</v>
      </c>
      <c r="N1002" t="s">
        <v>3017</v>
      </c>
      <c r="P1002" t="s">
        <v>2641</v>
      </c>
      <c r="Q1002" t="s">
        <v>2642</v>
      </c>
      <c r="R1002" t="s">
        <v>94</v>
      </c>
      <c r="S1002" t="s">
        <v>82</v>
      </c>
      <c r="T1002" s="1">
        <v>44667</v>
      </c>
      <c r="U1002">
        <v>0</v>
      </c>
      <c r="V1002">
        <v>11</v>
      </c>
      <c r="Y1002" t="s">
        <v>42</v>
      </c>
      <c r="Z1002" t="s">
        <v>43</v>
      </c>
      <c r="AA1002" t="s">
        <v>43</v>
      </c>
      <c r="AD1002" t="s">
        <v>3143</v>
      </c>
    </row>
    <row r="1003" spans="1:30" x14ac:dyDescent="0.4">
      <c r="A1003" t="s">
        <v>27</v>
      </c>
      <c r="B1003">
        <v>2459</v>
      </c>
      <c r="C1003" t="s">
        <v>68</v>
      </c>
      <c r="D1003" t="s">
        <v>1558</v>
      </c>
      <c r="E1003" t="s">
        <v>2631</v>
      </c>
      <c r="F1003" t="s">
        <v>2632</v>
      </c>
      <c r="H1003" t="s">
        <v>2633</v>
      </c>
      <c r="I1003" t="s">
        <v>330</v>
      </c>
      <c r="J1003" t="s">
        <v>2634</v>
      </c>
      <c r="K1003" t="s">
        <v>35</v>
      </c>
      <c r="L1003">
        <v>1425621278</v>
      </c>
      <c r="M1003" t="s">
        <v>2635</v>
      </c>
      <c r="N1003" t="s">
        <v>3017</v>
      </c>
      <c r="P1003" t="s">
        <v>2641</v>
      </c>
      <c r="Q1003" t="s">
        <v>2642</v>
      </c>
      <c r="R1003" t="s">
        <v>94</v>
      </c>
      <c r="S1003" t="s">
        <v>82</v>
      </c>
      <c r="T1003" s="1">
        <v>44667</v>
      </c>
      <c r="U1003">
        <v>0</v>
      </c>
      <c r="V1003">
        <v>13</v>
      </c>
      <c r="Y1003" t="s">
        <v>42</v>
      </c>
      <c r="Z1003" t="s">
        <v>43</v>
      </c>
      <c r="AA1003" t="s">
        <v>43</v>
      </c>
      <c r="AD1003" t="s">
        <v>3143</v>
      </c>
    </row>
    <row r="1004" spans="1:30" x14ac:dyDescent="0.4">
      <c r="A1004" t="s">
        <v>27</v>
      </c>
      <c r="B1004">
        <v>2347</v>
      </c>
      <c r="C1004" t="s">
        <v>68</v>
      </c>
      <c r="D1004" t="s">
        <v>714</v>
      </c>
      <c r="E1004" t="s">
        <v>2643</v>
      </c>
      <c r="F1004" t="s">
        <v>2644</v>
      </c>
      <c r="H1004" t="s">
        <v>1732</v>
      </c>
      <c r="I1004" t="s">
        <v>495</v>
      </c>
      <c r="J1004" t="s">
        <v>2645</v>
      </c>
      <c r="K1004" t="s">
        <v>35</v>
      </c>
      <c r="L1004">
        <v>1424714369</v>
      </c>
      <c r="M1004" t="s">
        <v>2646</v>
      </c>
      <c r="N1004" t="s">
        <v>3018</v>
      </c>
      <c r="P1004" t="s">
        <v>2647</v>
      </c>
      <c r="Q1004" t="s">
        <v>2648</v>
      </c>
      <c r="R1004" t="s">
        <v>58</v>
      </c>
      <c r="S1004" t="s">
        <v>40</v>
      </c>
      <c r="T1004" s="1">
        <v>44254</v>
      </c>
      <c r="U1004">
        <v>0</v>
      </c>
      <c r="V1004">
        <v>6</v>
      </c>
      <c r="W1004" t="s">
        <v>83</v>
      </c>
      <c r="Y1004" t="s">
        <v>42</v>
      </c>
      <c r="Z1004" t="s">
        <v>43</v>
      </c>
      <c r="AA1004" t="s">
        <v>43</v>
      </c>
      <c r="AD1004" t="s">
        <v>3143</v>
      </c>
    </row>
    <row r="1005" spans="1:30" x14ac:dyDescent="0.4">
      <c r="A1005" t="s">
        <v>27</v>
      </c>
      <c r="B1005">
        <v>2347</v>
      </c>
      <c r="C1005" t="s">
        <v>68</v>
      </c>
      <c r="D1005" t="s">
        <v>714</v>
      </c>
      <c r="E1005" t="s">
        <v>2643</v>
      </c>
      <c r="F1005" t="s">
        <v>2644</v>
      </c>
      <c r="H1005" t="s">
        <v>1732</v>
      </c>
      <c r="I1005" t="s">
        <v>495</v>
      </c>
      <c r="J1005" t="s">
        <v>2645</v>
      </c>
      <c r="K1005" t="s">
        <v>35</v>
      </c>
      <c r="L1005">
        <v>1424714369</v>
      </c>
      <c r="M1005" t="s">
        <v>2646</v>
      </c>
      <c r="N1005" t="s">
        <v>3018</v>
      </c>
      <c r="P1005" t="s">
        <v>2649</v>
      </c>
      <c r="Q1005" t="s">
        <v>2650</v>
      </c>
      <c r="R1005" t="s">
        <v>58</v>
      </c>
      <c r="S1005" t="s">
        <v>40</v>
      </c>
      <c r="T1005" s="1">
        <v>42805</v>
      </c>
      <c r="U1005">
        <v>0</v>
      </c>
      <c r="V1005">
        <v>6</v>
      </c>
      <c r="W1005" t="s">
        <v>83</v>
      </c>
      <c r="Y1005" t="s">
        <v>42</v>
      </c>
      <c r="Z1005" t="s">
        <v>43</v>
      </c>
      <c r="AA1005" t="s">
        <v>43</v>
      </c>
      <c r="AD1005" t="s">
        <v>3143</v>
      </c>
    </row>
    <row r="1006" spans="1:30" x14ac:dyDescent="0.4">
      <c r="A1006" t="s">
        <v>27</v>
      </c>
      <c r="B1006">
        <v>2347</v>
      </c>
      <c r="C1006" t="s">
        <v>68</v>
      </c>
      <c r="D1006" t="s">
        <v>714</v>
      </c>
      <c r="E1006" t="s">
        <v>2643</v>
      </c>
      <c r="F1006" t="s">
        <v>2644</v>
      </c>
      <c r="H1006" t="s">
        <v>1732</v>
      </c>
      <c r="I1006" t="s">
        <v>495</v>
      </c>
      <c r="J1006" t="s">
        <v>2645</v>
      </c>
      <c r="K1006" t="s">
        <v>35</v>
      </c>
      <c r="L1006">
        <v>1424714369</v>
      </c>
      <c r="M1006" t="s">
        <v>2646</v>
      </c>
      <c r="N1006" t="s">
        <v>3018</v>
      </c>
      <c r="P1006" t="s">
        <v>2647</v>
      </c>
      <c r="Q1006" t="s">
        <v>2648</v>
      </c>
      <c r="R1006" t="s">
        <v>58</v>
      </c>
      <c r="S1006" t="s">
        <v>40</v>
      </c>
      <c r="T1006" s="1">
        <v>44254</v>
      </c>
      <c r="U1006">
        <v>0</v>
      </c>
      <c r="V1006">
        <v>7</v>
      </c>
      <c r="Y1006" t="s">
        <v>42</v>
      </c>
      <c r="Z1006" t="s">
        <v>43</v>
      </c>
      <c r="AA1006" t="s">
        <v>43</v>
      </c>
      <c r="AD1006" t="s">
        <v>3143</v>
      </c>
    </row>
    <row r="1007" spans="1:30" x14ac:dyDescent="0.4">
      <c r="A1007" t="s">
        <v>27</v>
      </c>
      <c r="B1007">
        <v>2347</v>
      </c>
      <c r="C1007" t="s">
        <v>68</v>
      </c>
      <c r="D1007" t="s">
        <v>714</v>
      </c>
      <c r="E1007" t="s">
        <v>2643</v>
      </c>
      <c r="F1007" t="s">
        <v>2644</v>
      </c>
      <c r="H1007" t="s">
        <v>1732</v>
      </c>
      <c r="I1007" t="s">
        <v>495</v>
      </c>
      <c r="J1007" t="s">
        <v>2645</v>
      </c>
      <c r="K1007" t="s">
        <v>35</v>
      </c>
      <c r="L1007">
        <v>1424714369</v>
      </c>
      <c r="M1007" t="s">
        <v>2646</v>
      </c>
      <c r="N1007" t="s">
        <v>3018</v>
      </c>
      <c r="P1007" t="s">
        <v>2649</v>
      </c>
      <c r="Q1007" t="s">
        <v>2650</v>
      </c>
      <c r="R1007" t="s">
        <v>58</v>
      </c>
      <c r="S1007" t="s">
        <v>40</v>
      </c>
      <c r="T1007" s="1">
        <v>42805</v>
      </c>
      <c r="U1007">
        <v>0</v>
      </c>
      <c r="V1007">
        <v>7</v>
      </c>
      <c r="Y1007" t="s">
        <v>42</v>
      </c>
      <c r="Z1007" t="s">
        <v>43</v>
      </c>
      <c r="AA1007" t="s">
        <v>43</v>
      </c>
      <c r="AD1007" t="s">
        <v>3143</v>
      </c>
    </row>
    <row r="1008" spans="1:30" x14ac:dyDescent="0.4">
      <c r="A1008" t="s">
        <v>27</v>
      </c>
      <c r="B1008">
        <v>2347</v>
      </c>
      <c r="C1008" t="s">
        <v>68</v>
      </c>
      <c r="D1008" t="s">
        <v>714</v>
      </c>
      <c r="E1008" t="s">
        <v>2643</v>
      </c>
      <c r="F1008" t="s">
        <v>2644</v>
      </c>
      <c r="H1008" t="s">
        <v>1732</v>
      </c>
      <c r="I1008" t="s">
        <v>495</v>
      </c>
      <c r="J1008" t="s">
        <v>2645</v>
      </c>
      <c r="K1008" t="s">
        <v>35</v>
      </c>
      <c r="L1008">
        <v>1424714369</v>
      </c>
      <c r="M1008" t="s">
        <v>2646</v>
      </c>
      <c r="N1008" t="s">
        <v>3018</v>
      </c>
      <c r="P1008" t="s">
        <v>2647</v>
      </c>
      <c r="Q1008" t="s">
        <v>2648</v>
      </c>
      <c r="R1008" t="s">
        <v>58</v>
      </c>
      <c r="S1008" t="s">
        <v>40</v>
      </c>
      <c r="T1008" s="1">
        <v>44254</v>
      </c>
      <c r="U1008">
        <v>0</v>
      </c>
      <c r="V1008">
        <v>16</v>
      </c>
      <c r="Y1008" t="s">
        <v>42</v>
      </c>
      <c r="Z1008" t="s">
        <v>43</v>
      </c>
      <c r="AA1008" t="s">
        <v>43</v>
      </c>
      <c r="AD1008" t="s">
        <v>3143</v>
      </c>
    </row>
    <row r="1009" spans="1:30" x14ac:dyDescent="0.4">
      <c r="A1009" t="s">
        <v>27</v>
      </c>
      <c r="B1009">
        <v>2347</v>
      </c>
      <c r="C1009" t="s">
        <v>68</v>
      </c>
      <c r="D1009" t="s">
        <v>714</v>
      </c>
      <c r="E1009" t="s">
        <v>2643</v>
      </c>
      <c r="F1009" t="s">
        <v>2644</v>
      </c>
      <c r="H1009" t="s">
        <v>1732</v>
      </c>
      <c r="I1009" t="s">
        <v>495</v>
      </c>
      <c r="J1009" t="s">
        <v>2645</v>
      </c>
      <c r="K1009" t="s">
        <v>35</v>
      </c>
      <c r="L1009">
        <v>1424714369</v>
      </c>
      <c r="M1009" t="s">
        <v>2646</v>
      </c>
      <c r="N1009" t="s">
        <v>3018</v>
      </c>
      <c r="P1009" t="s">
        <v>2649</v>
      </c>
      <c r="Q1009" t="s">
        <v>2650</v>
      </c>
      <c r="R1009" t="s">
        <v>58</v>
      </c>
      <c r="S1009" t="s">
        <v>40</v>
      </c>
      <c r="T1009" s="1">
        <v>42805</v>
      </c>
      <c r="U1009">
        <v>0</v>
      </c>
      <c r="V1009">
        <v>16</v>
      </c>
      <c r="Y1009" t="s">
        <v>42</v>
      </c>
      <c r="Z1009" t="s">
        <v>43</v>
      </c>
      <c r="AA1009" t="s">
        <v>43</v>
      </c>
      <c r="AD1009" t="s">
        <v>3143</v>
      </c>
    </row>
    <row r="1010" spans="1:30" x14ac:dyDescent="0.4">
      <c r="A1010" t="s">
        <v>27</v>
      </c>
      <c r="B1010">
        <v>2347</v>
      </c>
      <c r="C1010" t="s">
        <v>68</v>
      </c>
      <c r="D1010" t="s">
        <v>714</v>
      </c>
      <c r="E1010" t="s">
        <v>2643</v>
      </c>
      <c r="F1010" t="s">
        <v>2644</v>
      </c>
      <c r="H1010" t="s">
        <v>1732</v>
      </c>
      <c r="I1010" t="s">
        <v>495</v>
      </c>
      <c r="J1010" t="s">
        <v>2645</v>
      </c>
      <c r="K1010" t="s">
        <v>35</v>
      </c>
      <c r="L1010">
        <v>1424714369</v>
      </c>
      <c r="M1010" t="s">
        <v>2646</v>
      </c>
      <c r="N1010" t="s">
        <v>3018</v>
      </c>
      <c r="P1010" t="s">
        <v>2647</v>
      </c>
      <c r="Q1010" t="s">
        <v>2648</v>
      </c>
      <c r="R1010" t="s">
        <v>58</v>
      </c>
      <c r="S1010" t="s">
        <v>40</v>
      </c>
      <c r="T1010" s="1">
        <v>44254</v>
      </c>
      <c r="U1010">
        <v>0</v>
      </c>
      <c r="V1010">
        <v>18</v>
      </c>
      <c r="Y1010" t="s">
        <v>42</v>
      </c>
      <c r="Z1010" t="s">
        <v>43</v>
      </c>
      <c r="AA1010" t="s">
        <v>43</v>
      </c>
      <c r="AD1010" t="s">
        <v>3143</v>
      </c>
    </row>
    <row r="1011" spans="1:30" x14ac:dyDescent="0.4">
      <c r="A1011" t="s">
        <v>27</v>
      </c>
      <c r="B1011">
        <v>2347</v>
      </c>
      <c r="C1011" t="s">
        <v>68</v>
      </c>
      <c r="D1011" t="s">
        <v>714</v>
      </c>
      <c r="E1011" t="s">
        <v>2643</v>
      </c>
      <c r="F1011" t="s">
        <v>2644</v>
      </c>
      <c r="H1011" t="s">
        <v>1732</v>
      </c>
      <c r="I1011" t="s">
        <v>495</v>
      </c>
      <c r="J1011" t="s">
        <v>2645</v>
      </c>
      <c r="K1011" t="s">
        <v>35</v>
      </c>
      <c r="L1011">
        <v>1424714369</v>
      </c>
      <c r="M1011" t="s">
        <v>2646</v>
      </c>
      <c r="N1011" t="s">
        <v>3018</v>
      </c>
      <c r="P1011" t="s">
        <v>2649</v>
      </c>
      <c r="Q1011" t="s">
        <v>2650</v>
      </c>
      <c r="R1011" t="s">
        <v>58</v>
      </c>
      <c r="S1011" t="s">
        <v>40</v>
      </c>
      <c r="T1011" s="1">
        <v>42805</v>
      </c>
      <c r="U1011">
        <v>0</v>
      </c>
      <c r="V1011">
        <v>18</v>
      </c>
      <c r="Y1011" t="s">
        <v>42</v>
      </c>
      <c r="Z1011" t="s">
        <v>43</v>
      </c>
      <c r="AA1011" t="s">
        <v>43</v>
      </c>
      <c r="AD1011" t="s">
        <v>3143</v>
      </c>
    </row>
    <row r="1012" spans="1:30" x14ac:dyDescent="0.4">
      <c r="A1012" t="s">
        <v>27</v>
      </c>
      <c r="B1012">
        <v>757</v>
      </c>
      <c r="C1012" t="s">
        <v>68</v>
      </c>
      <c r="D1012" t="s">
        <v>2519</v>
      </c>
      <c r="E1012" t="s">
        <v>2651</v>
      </c>
      <c r="F1012" t="s">
        <v>2652</v>
      </c>
      <c r="G1012" t="s">
        <v>2653</v>
      </c>
      <c r="H1012" t="s">
        <v>691</v>
      </c>
      <c r="I1012" t="s">
        <v>242</v>
      </c>
      <c r="J1012" t="s">
        <v>2654</v>
      </c>
      <c r="K1012" t="s">
        <v>35</v>
      </c>
      <c r="L1012">
        <v>1980862957</v>
      </c>
      <c r="M1012" t="s">
        <v>2655</v>
      </c>
      <c r="N1012" t="s">
        <v>3019</v>
      </c>
      <c r="P1012" t="s">
        <v>2656</v>
      </c>
      <c r="Q1012" t="s">
        <v>2657</v>
      </c>
      <c r="R1012" t="s">
        <v>94</v>
      </c>
      <c r="S1012" t="s">
        <v>40</v>
      </c>
      <c r="T1012" s="1">
        <v>44625</v>
      </c>
      <c r="U1012">
        <v>0</v>
      </c>
      <c r="V1012">
        <v>11</v>
      </c>
      <c r="Y1012" t="s">
        <v>42</v>
      </c>
      <c r="Z1012" t="s">
        <v>43</v>
      </c>
      <c r="AA1012" t="s">
        <v>43</v>
      </c>
      <c r="AD1012" t="s">
        <v>3143</v>
      </c>
    </row>
    <row r="1013" spans="1:30" x14ac:dyDescent="0.4">
      <c r="A1013" t="s">
        <v>27</v>
      </c>
      <c r="B1013">
        <v>757</v>
      </c>
      <c r="C1013" t="s">
        <v>68</v>
      </c>
      <c r="D1013" t="s">
        <v>2519</v>
      </c>
      <c r="E1013" t="s">
        <v>2651</v>
      </c>
      <c r="F1013" t="s">
        <v>2652</v>
      </c>
      <c r="G1013" t="s">
        <v>2653</v>
      </c>
      <c r="H1013" t="s">
        <v>691</v>
      </c>
      <c r="I1013" t="s">
        <v>242</v>
      </c>
      <c r="J1013" t="s">
        <v>2654</v>
      </c>
      <c r="K1013" t="s">
        <v>35</v>
      </c>
      <c r="L1013">
        <v>1980862957</v>
      </c>
      <c r="M1013" t="s">
        <v>2655</v>
      </c>
      <c r="N1013" t="s">
        <v>3019</v>
      </c>
      <c r="P1013" t="s">
        <v>2658</v>
      </c>
      <c r="Q1013" t="s">
        <v>2659</v>
      </c>
      <c r="R1013" t="s">
        <v>94</v>
      </c>
      <c r="S1013" t="s">
        <v>40</v>
      </c>
      <c r="T1013" s="1">
        <v>42800</v>
      </c>
      <c r="U1013">
        <v>0</v>
      </c>
      <c r="V1013">
        <v>11</v>
      </c>
      <c r="Y1013" t="s">
        <v>42</v>
      </c>
      <c r="Z1013" t="s">
        <v>43</v>
      </c>
      <c r="AA1013" t="s">
        <v>43</v>
      </c>
      <c r="AD1013" t="s">
        <v>3143</v>
      </c>
    </row>
    <row r="1014" spans="1:30" x14ac:dyDescent="0.4">
      <c r="A1014" t="s">
        <v>27</v>
      </c>
      <c r="B1014">
        <v>757</v>
      </c>
      <c r="C1014" t="s">
        <v>68</v>
      </c>
      <c r="D1014" t="s">
        <v>2519</v>
      </c>
      <c r="E1014" t="s">
        <v>2651</v>
      </c>
      <c r="F1014" t="s">
        <v>2652</v>
      </c>
      <c r="G1014" t="s">
        <v>2653</v>
      </c>
      <c r="H1014" t="s">
        <v>691</v>
      </c>
      <c r="I1014" t="s">
        <v>242</v>
      </c>
      <c r="J1014" t="s">
        <v>2654</v>
      </c>
      <c r="K1014" t="s">
        <v>35</v>
      </c>
      <c r="L1014">
        <v>1980862957</v>
      </c>
      <c r="M1014" t="s">
        <v>2655</v>
      </c>
      <c r="N1014" t="s">
        <v>3019</v>
      </c>
      <c r="P1014" t="s">
        <v>2658</v>
      </c>
      <c r="Q1014" t="s">
        <v>2659</v>
      </c>
      <c r="R1014" t="s">
        <v>94</v>
      </c>
      <c r="S1014" t="s">
        <v>40</v>
      </c>
      <c r="T1014" s="1">
        <v>42800</v>
      </c>
      <c r="U1014">
        <v>0</v>
      </c>
      <c r="V1014">
        <v>12</v>
      </c>
      <c r="Y1014" t="s">
        <v>42</v>
      </c>
      <c r="Z1014" t="s">
        <v>43</v>
      </c>
      <c r="AA1014" t="s">
        <v>43</v>
      </c>
      <c r="AD1014" t="s">
        <v>3143</v>
      </c>
    </row>
    <row r="1015" spans="1:30" x14ac:dyDescent="0.4">
      <c r="A1015" t="s">
        <v>27</v>
      </c>
      <c r="B1015">
        <v>584</v>
      </c>
      <c r="C1015" t="s">
        <v>68</v>
      </c>
      <c r="D1015" t="s">
        <v>1333</v>
      </c>
      <c r="E1015" t="s">
        <v>2651</v>
      </c>
      <c r="F1015" t="s">
        <v>2660</v>
      </c>
      <c r="G1015" t="s">
        <v>2661</v>
      </c>
      <c r="H1015" t="s">
        <v>1732</v>
      </c>
      <c r="I1015" t="s">
        <v>495</v>
      </c>
      <c r="J1015" t="s">
        <v>2662</v>
      </c>
      <c r="K1015" t="s">
        <v>35</v>
      </c>
      <c r="L1015">
        <v>1424815168</v>
      </c>
      <c r="M1015" t="s">
        <v>2663</v>
      </c>
      <c r="N1015" t="s">
        <v>3020</v>
      </c>
      <c r="P1015" t="s">
        <v>2664</v>
      </c>
      <c r="Q1015" t="s">
        <v>2665</v>
      </c>
      <c r="R1015" t="s">
        <v>169</v>
      </c>
      <c r="S1015" t="s">
        <v>40</v>
      </c>
      <c r="T1015" s="1">
        <v>43678</v>
      </c>
      <c r="U1015">
        <v>0</v>
      </c>
      <c r="V1015">
        <v>5</v>
      </c>
      <c r="W1015" t="s">
        <v>66</v>
      </c>
      <c r="Y1015" t="s">
        <v>42</v>
      </c>
      <c r="Z1015" t="s">
        <v>43</v>
      </c>
      <c r="AA1015" t="s">
        <v>42</v>
      </c>
      <c r="AD1015" t="s">
        <v>3143</v>
      </c>
    </row>
    <row r="1016" spans="1:30" x14ac:dyDescent="0.4">
      <c r="A1016" t="s">
        <v>27</v>
      </c>
      <c r="B1016">
        <v>584</v>
      </c>
      <c r="C1016" t="s">
        <v>68</v>
      </c>
      <c r="D1016" t="s">
        <v>1333</v>
      </c>
      <c r="E1016" t="s">
        <v>2651</v>
      </c>
      <c r="F1016" t="s">
        <v>2660</v>
      </c>
      <c r="G1016" t="s">
        <v>2661</v>
      </c>
      <c r="H1016" t="s">
        <v>1732</v>
      </c>
      <c r="I1016" t="s">
        <v>495</v>
      </c>
      <c r="J1016" t="s">
        <v>2662</v>
      </c>
      <c r="K1016" t="s">
        <v>35</v>
      </c>
      <c r="L1016">
        <v>1424815168</v>
      </c>
      <c r="M1016" t="s">
        <v>2663</v>
      </c>
      <c r="N1016" t="s">
        <v>3020</v>
      </c>
      <c r="P1016" t="s">
        <v>2664</v>
      </c>
      <c r="Q1016" t="s">
        <v>2665</v>
      </c>
      <c r="R1016" t="s">
        <v>169</v>
      </c>
      <c r="S1016" t="s">
        <v>40</v>
      </c>
      <c r="T1016" s="1">
        <v>43678</v>
      </c>
      <c r="U1016">
        <v>0</v>
      </c>
      <c r="V1016">
        <v>6</v>
      </c>
      <c r="W1016" t="s">
        <v>83</v>
      </c>
      <c r="Y1016" t="s">
        <v>42</v>
      </c>
      <c r="Z1016" t="s">
        <v>43</v>
      </c>
      <c r="AA1016" t="s">
        <v>42</v>
      </c>
      <c r="AD1016" t="s">
        <v>3143</v>
      </c>
    </row>
    <row r="1017" spans="1:30" x14ac:dyDescent="0.4">
      <c r="A1017" t="s">
        <v>27</v>
      </c>
      <c r="B1017">
        <v>584</v>
      </c>
      <c r="C1017" t="s">
        <v>68</v>
      </c>
      <c r="D1017" t="s">
        <v>1333</v>
      </c>
      <c r="E1017" t="s">
        <v>2651</v>
      </c>
      <c r="F1017" t="s">
        <v>2660</v>
      </c>
      <c r="G1017" t="s">
        <v>2661</v>
      </c>
      <c r="H1017" t="s">
        <v>1732</v>
      </c>
      <c r="I1017" t="s">
        <v>495</v>
      </c>
      <c r="J1017" t="s">
        <v>2662</v>
      </c>
      <c r="K1017" t="s">
        <v>35</v>
      </c>
      <c r="L1017">
        <v>1424815168</v>
      </c>
      <c r="M1017" t="s">
        <v>2663</v>
      </c>
      <c r="N1017" t="s">
        <v>3020</v>
      </c>
      <c r="P1017" t="s">
        <v>2664</v>
      </c>
      <c r="Q1017" t="s">
        <v>2665</v>
      </c>
      <c r="R1017" t="s">
        <v>169</v>
      </c>
      <c r="S1017" t="s">
        <v>40</v>
      </c>
      <c r="T1017" s="1">
        <v>43678</v>
      </c>
      <c r="U1017">
        <v>0</v>
      </c>
      <c r="V1017">
        <v>16</v>
      </c>
      <c r="Y1017" t="s">
        <v>42</v>
      </c>
      <c r="Z1017" t="s">
        <v>43</v>
      </c>
      <c r="AA1017" t="s">
        <v>42</v>
      </c>
      <c r="AD1017" t="s">
        <v>3143</v>
      </c>
    </row>
    <row r="1018" spans="1:30" x14ac:dyDescent="0.4">
      <c r="A1018" t="s">
        <v>27</v>
      </c>
      <c r="B1018">
        <v>584</v>
      </c>
      <c r="C1018" t="s">
        <v>68</v>
      </c>
      <c r="D1018" t="s">
        <v>1333</v>
      </c>
      <c r="E1018" t="s">
        <v>2651</v>
      </c>
      <c r="F1018" t="s">
        <v>2660</v>
      </c>
      <c r="G1018" t="s">
        <v>2661</v>
      </c>
      <c r="H1018" t="s">
        <v>1732</v>
      </c>
      <c r="I1018" t="s">
        <v>495</v>
      </c>
      <c r="J1018" t="s">
        <v>2662</v>
      </c>
      <c r="K1018" t="s">
        <v>35</v>
      </c>
      <c r="L1018">
        <v>1424815168</v>
      </c>
      <c r="M1018" t="s">
        <v>2663</v>
      </c>
      <c r="N1018" t="s">
        <v>3020</v>
      </c>
      <c r="P1018" t="s">
        <v>2664</v>
      </c>
      <c r="Q1018" t="s">
        <v>2665</v>
      </c>
      <c r="R1018" t="s">
        <v>169</v>
      </c>
      <c r="S1018" t="s">
        <v>40</v>
      </c>
      <c r="T1018" s="1">
        <v>43678</v>
      </c>
      <c r="U1018">
        <v>0</v>
      </c>
      <c r="V1018">
        <v>14</v>
      </c>
      <c r="Y1018" t="s">
        <v>42</v>
      </c>
      <c r="Z1018" t="s">
        <v>43</v>
      </c>
      <c r="AA1018" t="s">
        <v>42</v>
      </c>
      <c r="AD1018" t="s">
        <v>3143</v>
      </c>
    </row>
    <row r="1019" spans="1:30" x14ac:dyDescent="0.4">
      <c r="A1019" t="s">
        <v>27</v>
      </c>
      <c r="B1019">
        <v>549</v>
      </c>
      <c r="C1019" t="s">
        <v>68</v>
      </c>
      <c r="D1019" t="s">
        <v>2666</v>
      </c>
      <c r="E1019" t="s">
        <v>2667</v>
      </c>
      <c r="F1019" t="s">
        <v>2668</v>
      </c>
      <c r="H1019" t="s">
        <v>1448</v>
      </c>
      <c r="I1019" t="s">
        <v>370</v>
      </c>
      <c r="J1019" t="s">
        <v>2669</v>
      </c>
      <c r="K1019" t="s">
        <v>35</v>
      </c>
      <c r="L1019" t="s">
        <v>2670</v>
      </c>
      <c r="M1019" t="s">
        <v>2671</v>
      </c>
      <c r="N1019" t="s">
        <v>3021</v>
      </c>
      <c r="P1019" t="s">
        <v>2672</v>
      </c>
      <c r="Q1019" t="s">
        <v>2673</v>
      </c>
      <c r="R1019" t="s">
        <v>58</v>
      </c>
      <c r="S1019" t="s">
        <v>82</v>
      </c>
      <c r="T1019" s="1">
        <v>44536</v>
      </c>
      <c r="U1019">
        <v>0</v>
      </c>
      <c r="V1019">
        <v>5</v>
      </c>
      <c r="W1019" t="s">
        <v>66</v>
      </c>
      <c r="Y1019" t="s">
        <v>42</v>
      </c>
      <c r="Z1019" t="s">
        <v>43</v>
      </c>
      <c r="AA1019" t="s">
        <v>43</v>
      </c>
      <c r="AD1019" t="s">
        <v>3143</v>
      </c>
    </row>
    <row r="1020" spans="1:30" x14ac:dyDescent="0.4">
      <c r="A1020" t="s">
        <v>27</v>
      </c>
      <c r="B1020">
        <v>549</v>
      </c>
      <c r="C1020" t="s">
        <v>68</v>
      </c>
      <c r="D1020" t="s">
        <v>2666</v>
      </c>
      <c r="E1020" t="s">
        <v>2667</v>
      </c>
      <c r="F1020" t="s">
        <v>2668</v>
      </c>
      <c r="H1020" t="s">
        <v>1448</v>
      </c>
      <c r="I1020" t="s">
        <v>370</v>
      </c>
      <c r="J1020" t="s">
        <v>2669</v>
      </c>
      <c r="K1020" t="s">
        <v>35</v>
      </c>
      <c r="L1020" t="s">
        <v>2670</v>
      </c>
      <c r="M1020" t="s">
        <v>2671</v>
      </c>
      <c r="N1020" t="s">
        <v>3021</v>
      </c>
      <c r="P1020" t="s">
        <v>2672</v>
      </c>
      <c r="Q1020" t="s">
        <v>2673</v>
      </c>
      <c r="R1020" t="s">
        <v>58</v>
      </c>
      <c r="S1020" t="s">
        <v>82</v>
      </c>
      <c r="T1020" s="1">
        <v>44536</v>
      </c>
      <c r="U1020">
        <v>0</v>
      </c>
      <c r="V1020">
        <v>6</v>
      </c>
      <c r="W1020" t="s">
        <v>83</v>
      </c>
      <c r="Y1020" t="s">
        <v>42</v>
      </c>
      <c r="Z1020" t="s">
        <v>43</v>
      </c>
      <c r="AA1020" t="s">
        <v>43</v>
      </c>
      <c r="AD1020" t="s">
        <v>3143</v>
      </c>
    </row>
    <row r="1021" spans="1:30" x14ac:dyDescent="0.4">
      <c r="A1021" t="s">
        <v>27</v>
      </c>
      <c r="B1021">
        <v>549</v>
      </c>
      <c r="C1021" t="s">
        <v>68</v>
      </c>
      <c r="D1021" t="s">
        <v>2666</v>
      </c>
      <c r="E1021" t="s">
        <v>2667</v>
      </c>
      <c r="F1021" t="s">
        <v>2668</v>
      </c>
      <c r="H1021" t="s">
        <v>1448</v>
      </c>
      <c r="I1021" t="s">
        <v>370</v>
      </c>
      <c r="J1021" t="s">
        <v>2669</v>
      </c>
      <c r="K1021" t="s">
        <v>35</v>
      </c>
      <c r="L1021" t="s">
        <v>2670</v>
      </c>
      <c r="M1021" t="s">
        <v>2671</v>
      </c>
      <c r="N1021" t="s">
        <v>3021</v>
      </c>
      <c r="P1021" t="s">
        <v>2672</v>
      </c>
      <c r="Q1021" t="s">
        <v>2673</v>
      </c>
      <c r="R1021" t="s">
        <v>58</v>
      </c>
      <c r="S1021" t="s">
        <v>82</v>
      </c>
      <c r="T1021" s="1">
        <v>44536</v>
      </c>
      <c r="U1021">
        <v>0</v>
      </c>
      <c r="V1021">
        <v>15</v>
      </c>
      <c r="Y1021" t="s">
        <v>42</v>
      </c>
      <c r="Z1021" t="s">
        <v>43</v>
      </c>
      <c r="AA1021" t="s">
        <v>43</v>
      </c>
      <c r="AD1021" t="s">
        <v>3143</v>
      </c>
    </row>
    <row r="1022" spans="1:30" x14ac:dyDescent="0.4">
      <c r="A1022" t="s">
        <v>27</v>
      </c>
      <c r="B1022">
        <v>549</v>
      </c>
      <c r="C1022" t="s">
        <v>68</v>
      </c>
      <c r="D1022" t="s">
        <v>2666</v>
      </c>
      <c r="E1022" t="s">
        <v>2667</v>
      </c>
      <c r="F1022" t="s">
        <v>2668</v>
      </c>
      <c r="H1022" t="s">
        <v>1448</v>
      </c>
      <c r="I1022" t="s">
        <v>370</v>
      </c>
      <c r="J1022" t="s">
        <v>2669</v>
      </c>
      <c r="K1022" t="s">
        <v>35</v>
      </c>
      <c r="L1022" t="s">
        <v>2670</v>
      </c>
      <c r="M1022" t="s">
        <v>2671</v>
      </c>
      <c r="N1022" t="s">
        <v>3021</v>
      </c>
      <c r="P1022" t="s">
        <v>2672</v>
      </c>
      <c r="Q1022" t="s">
        <v>2673</v>
      </c>
      <c r="R1022" t="s">
        <v>58</v>
      </c>
      <c r="S1022" t="s">
        <v>82</v>
      </c>
      <c r="T1022" s="1">
        <v>44536</v>
      </c>
      <c r="U1022">
        <v>0</v>
      </c>
      <c r="V1022">
        <v>17</v>
      </c>
      <c r="Y1022" t="s">
        <v>42</v>
      </c>
      <c r="Z1022" t="s">
        <v>43</v>
      </c>
      <c r="AA1022" t="s">
        <v>43</v>
      </c>
      <c r="AD1022" t="s">
        <v>3143</v>
      </c>
    </row>
    <row r="1023" spans="1:30" x14ac:dyDescent="0.4">
      <c r="A1023" t="s">
        <v>27</v>
      </c>
      <c r="B1023">
        <v>1034</v>
      </c>
      <c r="C1023" t="s">
        <v>68</v>
      </c>
      <c r="D1023" t="s">
        <v>2674</v>
      </c>
      <c r="E1023" t="s">
        <v>2675</v>
      </c>
      <c r="F1023" t="s">
        <v>2676</v>
      </c>
      <c r="G1023" t="s">
        <v>2677</v>
      </c>
      <c r="H1023" t="s">
        <v>2678</v>
      </c>
      <c r="I1023" t="s">
        <v>51</v>
      </c>
      <c r="J1023" t="s">
        <v>2679</v>
      </c>
      <c r="K1023" t="s">
        <v>35</v>
      </c>
      <c r="L1023" t="s">
        <v>2680</v>
      </c>
      <c r="M1023" t="s">
        <v>2681</v>
      </c>
      <c r="N1023" t="s">
        <v>2682</v>
      </c>
      <c r="P1023" t="s">
        <v>2683</v>
      </c>
      <c r="Q1023" t="s">
        <v>2684</v>
      </c>
      <c r="R1023" t="s">
        <v>555</v>
      </c>
      <c r="S1023" t="s">
        <v>40</v>
      </c>
      <c r="T1023" s="1">
        <v>44423</v>
      </c>
      <c r="U1023">
        <v>0</v>
      </c>
      <c r="V1023">
        <v>11</v>
      </c>
      <c r="Y1023" t="s">
        <v>42</v>
      </c>
      <c r="Z1023" t="s">
        <v>43</v>
      </c>
      <c r="AA1023" t="s">
        <v>43</v>
      </c>
      <c r="AD1023" t="s">
        <v>3143</v>
      </c>
    </row>
    <row r="1024" spans="1:30" x14ac:dyDescent="0.4">
      <c r="A1024" t="s">
        <v>27</v>
      </c>
      <c r="B1024">
        <v>1267</v>
      </c>
      <c r="C1024" t="s">
        <v>28</v>
      </c>
      <c r="D1024" t="s">
        <v>687</v>
      </c>
      <c r="E1024" t="s">
        <v>2685</v>
      </c>
      <c r="F1024" t="s">
        <v>2686</v>
      </c>
      <c r="G1024" t="s">
        <v>2687</v>
      </c>
      <c r="H1024" t="s">
        <v>2688</v>
      </c>
      <c r="I1024" t="s">
        <v>201</v>
      </c>
      <c r="J1024" t="s">
        <v>2689</v>
      </c>
      <c r="K1024" t="s">
        <v>35</v>
      </c>
      <c r="L1024" t="s">
        <v>2690</v>
      </c>
      <c r="M1024" t="s">
        <v>2691</v>
      </c>
      <c r="N1024" t="s">
        <v>2692</v>
      </c>
      <c r="P1024" t="s">
        <v>2693</v>
      </c>
      <c r="Q1024" t="s">
        <v>2694</v>
      </c>
      <c r="R1024" t="s">
        <v>376</v>
      </c>
      <c r="S1024" t="s">
        <v>40</v>
      </c>
      <c r="T1024" s="1">
        <v>41433</v>
      </c>
      <c r="U1024">
        <v>0</v>
      </c>
      <c r="V1024">
        <v>0</v>
      </c>
      <c r="W1024" t="s">
        <v>59</v>
      </c>
      <c r="Y1024" t="s">
        <v>42</v>
      </c>
      <c r="Z1024" t="s">
        <v>43</v>
      </c>
      <c r="AA1024" t="s">
        <v>43</v>
      </c>
      <c r="AD1024" t="s">
        <v>3143</v>
      </c>
    </row>
    <row r="1025" spans="1:30" x14ac:dyDescent="0.4">
      <c r="A1025" t="s">
        <v>27</v>
      </c>
      <c r="B1025">
        <v>1267</v>
      </c>
      <c r="C1025" t="s">
        <v>28</v>
      </c>
      <c r="D1025" t="s">
        <v>687</v>
      </c>
      <c r="E1025" t="s">
        <v>2685</v>
      </c>
      <c r="F1025" t="s">
        <v>2686</v>
      </c>
      <c r="G1025" t="s">
        <v>2687</v>
      </c>
      <c r="H1025" t="s">
        <v>2688</v>
      </c>
      <c r="I1025" t="s">
        <v>201</v>
      </c>
      <c r="J1025" t="s">
        <v>2689</v>
      </c>
      <c r="K1025" t="s">
        <v>35</v>
      </c>
      <c r="L1025" t="s">
        <v>2690</v>
      </c>
      <c r="M1025" t="s">
        <v>2691</v>
      </c>
      <c r="N1025" t="s">
        <v>2692</v>
      </c>
      <c r="P1025" t="s">
        <v>2695</v>
      </c>
      <c r="Q1025" t="s">
        <v>2696</v>
      </c>
      <c r="R1025" t="s">
        <v>2697</v>
      </c>
      <c r="S1025" t="s">
        <v>40</v>
      </c>
      <c r="T1025" s="1">
        <v>45579</v>
      </c>
      <c r="U1025">
        <v>0</v>
      </c>
      <c r="V1025">
        <v>0</v>
      </c>
      <c r="W1025" t="s">
        <v>59</v>
      </c>
      <c r="Y1025" t="s">
        <v>42</v>
      </c>
      <c r="Z1025" t="s">
        <v>43</v>
      </c>
      <c r="AA1025" t="s">
        <v>43</v>
      </c>
      <c r="AD1025" t="s">
        <v>3143</v>
      </c>
    </row>
    <row r="1026" spans="1:30" x14ac:dyDescent="0.4">
      <c r="A1026" t="s">
        <v>27</v>
      </c>
      <c r="B1026">
        <v>1267</v>
      </c>
      <c r="C1026" t="s">
        <v>28</v>
      </c>
      <c r="D1026" t="s">
        <v>687</v>
      </c>
      <c r="E1026" t="s">
        <v>2685</v>
      </c>
      <c r="F1026" t="s">
        <v>2686</v>
      </c>
      <c r="G1026" t="s">
        <v>2687</v>
      </c>
      <c r="H1026" t="s">
        <v>2688</v>
      </c>
      <c r="I1026" t="s">
        <v>201</v>
      </c>
      <c r="J1026" t="s">
        <v>2689</v>
      </c>
      <c r="K1026" t="s">
        <v>35</v>
      </c>
      <c r="L1026" t="s">
        <v>2690</v>
      </c>
      <c r="M1026" t="s">
        <v>2691</v>
      </c>
      <c r="N1026" t="s">
        <v>3022</v>
      </c>
      <c r="P1026" t="s">
        <v>2698</v>
      </c>
      <c r="Q1026" t="s">
        <v>2699</v>
      </c>
      <c r="R1026" t="s">
        <v>376</v>
      </c>
      <c r="S1026" t="s">
        <v>40</v>
      </c>
      <c r="T1026" s="1">
        <v>43831</v>
      </c>
      <c r="U1026">
        <v>0</v>
      </c>
      <c r="V1026">
        <v>4</v>
      </c>
      <c r="W1026" t="s">
        <v>65</v>
      </c>
      <c r="Y1026" t="s">
        <v>42</v>
      </c>
      <c r="Z1026" t="s">
        <v>43</v>
      </c>
      <c r="AA1026" t="s">
        <v>43</v>
      </c>
      <c r="AD1026" t="s">
        <v>3143</v>
      </c>
    </row>
    <row r="1027" spans="1:30" x14ac:dyDescent="0.4">
      <c r="A1027" t="s">
        <v>27</v>
      </c>
      <c r="B1027">
        <v>1267</v>
      </c>
      <c r="C1027" t="s">
        <v>28</v>
      </c>
      <c r="D1027" t="s">
        <v>687</v>
      </c>
      <c r="E1027" t="s">
        <v>2685</v>
      </c>
      <c r="F1027" t="s">
        <v>2686</v>
      </c>
      <c r="G1027" t="s">
        <v>2687</v>
      </c>
      <c r="H1027" t="s">
        <v>2688</v>
      </c>
      <c r="I1027" t="s">
        <v>201</v>
      </c>
      <c r="J1027" t="s">
        <v>2689</v>
      </c>
      <c r="K1027" t="s">
        <v>35</v>
      </c>
      <c r="L1027" t="s">
        <v>2690</v>
      </c>
      <c r="M1027" t="s">
        <v>2691</v>
      </c>
      <c r="N1027" t="s">
        <v>3022</v>
      </c>
      <c r="P1027" t="s">
        <v>2698</v>
      </c>
      <c r="Q1027" t="s">
        <v>2699</v>
      </c>
      <c r="R1027" t="s">
        <v>376</v>
      </c>
      <c r="S1027" t="s">
        <v>40</v>
      </c>
      <c r="T1027" s="1">
        <v>43831</v>
      </c>
      <c r="U1027">
        <v>0</v>
      </c>
      <c r="V1027">
        <v>5</v>
      </c>
      <c r="W1027" t="s">
        <v>66</v>
      </c>
      <c r="Y1027" t="s">
        <v>42</v>
      </c>
      <c r="Z1027" t="s">
        <v>43</v>
      </c>
      <c r="AA1027" t="s">
        <v>43</v>
      </c>
      <c r="AD1027" t="s">
        <v>3143</v>
      </c>
    </row>
    <row r="1028" spans="1:30" x14ac:dyDescent="0.4">
      <c r="A1028" t="s">
        <v>27</v>
      </c>
      <c r="B1028">
        <v>1267</v>
      </c>
      <c r="C1028" t="s">
        <v>28</v>
      </c>
      <c r="D1028" t="s">
        <v>687</v>
      </c>
      <c r="E1028" t="s">
        <v>2685</v>
      </c>
      <c r="F1028" t="s">
        <v>2686</v>
      </c>
      <c r="G1028" t="s">
        <v>2687</v>
      </c>
      <c r="H1028" t="s">
        <v>2688</v>
      </c>
      <c r="I1028" t="s">
        <v>201</v>
      </c>
      <c r="J1028" t="s">
        <v>2689</v>
      </c>
      <c r="K1028" t="s">
        <v>35</v>
      </c>
      <c r="L1028" t="s">
        <v>2690</v>
      </c>
      <c r="M1028" t="s">
        <v>2691</v>
      </c>
      <c r="N1028" t="s">
        <v>3022</v>
      </c>
      <c r="P1028" t="s">
        <v>2698</v>
      </c>
      <c r="Q1028" t="s">
        <v>2699</v>
      </c>
      <c r="R1028" t="s">
        <v>376</v>
      </c>
      <c r="S1028" t="s">
        <v>40</v>
      </c>
      <c r="T1028" s="1">
        <v>43831</v>
      </c>
      <c r="U1028">
        <v>0</v>
      </c>
      <c r="V1028">
        <v>12</v>
      </c>
      <c r="Y1028" t="s">
        <v>42</v>
      </c>
      <c r="Z1028" t="s">
        <v>43</v>
      </c>
      <c r="AA1028" t="s">
        <v>43</v>
      </c>
      <c r="AD1028" t="s">
        <v>3143</v>
      </c>
    </row>
    <row r="1029" spans="1:30" x14ac:dyDescent="0.4">
      <c r="A1029" t="s">
        <v>27</v>
      </c>
      <c r="B1029">
        <v>1267</v>
      </c>
      <c r="C1029" t="s">
        <v>28</v>
      </c>
      <c r="D1029" t="s">
        <v>687</v>
      </c>
      <c r="E1029" t="s">
        <v>2685</v>
      </c>
      <c r="F1029" t="s">
        <v>2686</v>
      </c>
      <c r="G1029" t="s">
        <v>2687</v>
      </c>
      <c r="H1029" t="s">
        <v>2688</v>
      </c>
      <c r="I1029" t="s">
        <v>201</v>
      </c>
      <c r="J1029" t="s">
        <v>2689</v>
      </c>
      <c r="K1029" t="s">
        <v>35</v>
      </c>
      <c r="L1029" t="s">
        <v>2690</v>
      </c>
      <c r="M1029" t="s">
        <v>2691</v>
      </c>
      <c r="N1029" t="s">
        <v>3022</v>
      </c>
      <c r="P1029" t="s">
        <v>2698</v>
      </c>
      <c r="Q1029" t="s">
        <v>2699</v>
      </c>
      <c r="R1029" t="s">
        <v>376</v>
      </c>
      <c r="S1029" t="s">
        <v>40</v>
      </c>
      <c r="T1029" s="1">
        <v>43831</v>
      </c>
      <c r="U1029">
        <v>0</v>
      </c>
      <c r="V1029">
        <v>14</v>
      </c>
      <c r="Y1029" t="s">
        <v>42</v>
      </c>
      <c r="Z1029" t="s">
        <v>43</v>
      </c>
      <c r="AA1029" t="s">
        <v>43</v>
      </c>
      <c r="AD1029" t="s">
        <v>3143</v>
      </c>
    </row>
    <row r="1030" spans="1:30" x14ac:dyDescent="0.4">
      <c r="A1030" t="s">
        <v>27</v>
      </c>
      <c r="B1030">
        <v>1267</v>
      </c>
      <c r="C1030" t="s">
        <v>28</v>
      </c>
      <c r="D1030" t="s">
        <v>687</v>
      </c>
      <c r="E1030" t="s">
        <v>2685</v>
      </c>
      <c r="F1030" t="s">
        <v>2686</v>
      </c>
      <c r="G1030" t="s">
        <v>2687</v>
      </c>
      <c r="H1030" t="s">
        <v>2688</v>
      </c>
      <c r="I1030" t="s">
        <v>201</v>
      </c>
      <c r="J1030" t="s">
        <v>2689</v>
      </c>
      <c r="K1030" t="s">
        <v>35</v>
      </c>
      <c r="L1030" t="s">
        <v>2690</v>
      </c>
      <c r="M1030" t="s">
        <v>2691</v>
      </c>
      <c r="N1030" t="s">
        <v>2692</v>
      </c>
      <c r="P1030" t="s">
        <v>2695</v>
      </c>
      <c r="Q1030" t="s">
        <v>2696</v>
      </c>
      <c r="R1030" t="s">
        <v>2697</v>
      </c>
      <c r="S1030" t="s">
        <v>40</v>
      </c>
      <c r="T1030" s="1">
        <v>45579</v>
      </c>
      <c r="U1030">
        <v>0</v>
      </c>
      <c r="V1030">
        <v>0</v>
      </c>
      <c r="W1030" t="s">
        <v>59</v>
      </c>
      <c r="Y1030" t="s">
        <v>42</v>
      </c>
      <c r="Z1030" t="s">
        <v>43</v>
      </c>
      <c r="AA1030" t="s">
        <v>43</v>
      </c>
      <c r="AD1030" t="s">
        <v>3143</v>
      </c>
    </row>
    <row r="1031" spans="1:30" x14ac:dyDescent="0.4">
      <c r="A1031" t="s">
        <v>27</v>
      </c>
      <c r="B1031">
        <v>1267</v>
      </c>
      <c r="C1031" t="s">
        <v>28</v>
      </c>
      <c r="D1031" t="s">
        <v>687</v>
      </c>
      <c r="E1031" t="s">
        <v>2685</v>
      </c>
      <c r="F1031" t="s">
        <v>2686</v>
      </c>
      <c r="G1031" t="s">
        <v>2687</v>
      </c>
      <c r="H1031" t="s">
        <v>2688</v>
      </c>
      <c r="I1031" t="s">
        <v>201</v>
      </c>
      <c r="J1031" t="s">
        <v>2689</v>
      </c>
      <c r="K1031" t="s">
        <v>35</v>
      </c>
      <c r="L1031" t="s">
        <v>2690</v>
      </c>
      <c r="M1031" t="s">
        <v>2691</v>
      </c>
      <c r="N1031" t="s">
        <v>2692</v>
      </c>
      <c r="P1031" t="s">
        <v>2693</v>
      </c>
      <c r="Q1031" t="s">
        <v>2694</v>
      </c>
      <c r="R1031" t="s">
        <v>376</v>
      </c>
      <c r="S1031" t="s">
        <v>40</v>
      </c>
      <c r="T1031" s="1">
        <v>41433</v>
      </c>
      <c r="U1031">
        <v>0</v>
      </c>
      <c r="V1031">
        <v>0</v>
      </c>
      <c r="W1031" t="s">
        <v>59</v>
      </c>
      <c r="Y1031" t="s">
        <v>42</v>
      </c>
      <c r="Z1031" t="s">
        <v>43</v>
      </c>
      <c r="AA1031" t="s">
        <v>43</v>
      </c>
      <c r="AD1031" t="s">
        <v>3143</v>
      </c>
    </row>
    <row r="1032" spans="1:30" x14ac:dyDescent="0.4">
      <c r="A1032" t="s">
        <v>27</v>
      </c>
      <c r="B1032">
        <v>6003</v>
      </c>
      <c r="C1032" t="s">
        <v>195</v>
      </c>
      <c r="D1032" t="s">
        <v>2290</v>
      </c>
      <c r="E1032" t="s">
        <v>2700</v>
      </c>
      <c r="F1032" t="s">
        <v>2701</v>
      </c>
      <c r="H1032" t="s">
        <v>1732</v>
      </c>
      <c r="I1032" t="s">
        <v>495</v>
      </c>
      <c r="J1032" t="s">
        <v>2702</v>
      </c>
      <c r="K1032" t="s">
        <v>35</v>
      </c>
      <c r="L1032">
        <v>7710524922</v>
      </c>
      <c r="M1032" t="s">
        <v>2703</v>
      </c>
      <c r="N1032" t="s">
        <v>2904</v>
      </c>
      <c r="P1032" t="s">
        <v>2906</v>
      </c>
      <c r="Q1032" t="s">
        <v>2705</v>
      </c>
      <c r="R1032" t="s">
        <v>376</v>
      </c>
      <c r="S1032" t="s">
        <v>40</v>
      </c>
      <c r="T1032" s="1">
        <v>43644</v>
      </c>
      <c r="U1032">
        <v>0</v>
      </c>
      <c r="V1032">
        <v>1</v>
      </c>
      <c r="Y1032" t="s">
        <v>42</v>
      </c>
      <c r="Z1032" t="s">
        <v>43</v>
      </c>
      <c r="AA1032" t="s">
        <v>43</v>
      </c>
      <c r="AD1032" t="s">
        <v>3143</v>
      </c>
    </row>
    <row r="1033" spans="1:30" x14ac:dyDescent="0.4">
      <c r="A1033" t="s">
        <v>27</v>
      </c>
      <c r="B1033">
        <v>6003</v>
      </c>
      <c r="C1033" t="s">
        <v>195</v>
      </c>
      <c r="D1033" t="s">
        <v>2290</v>
      </c>
      <c r="E1033" t="s">
        <v>2700</v>
      </c>
      <c r="F1033" t="s">
        <v>2701</v>
      </c>
      <c r="H1033" t="s">
        <v>1732</v>
      </c>
      <c r="I1033" t="s">
        <v>495</v>
      </c>
      <c r="J1033" t="s">
        <v>2702</v>
      </c>
      <c r="K1033" t="s">
        <v>35</v>
      </c>
      <c r="L1033">
        <v>7710524922</v>
      </c>
      <c r="M1033" t="s">
        <v>2703</v>
      </c>
      <c r="N1033" t="s">
        <v>2904</v>
      </c>
      <c r="P1033" t="s">
        <v>2906</v>
      </c>
      <c r="Q1033" t="s">
        <v>2705</v>
      </c>
      <c r="R1033" t="s">
        <v>376</v>
      </c>
      <c r="S1033" t="s">
        <v>40</v>
      </c>
      <c r="T1033" s="1">
        <v>43644</v>
      </c>
      <c r="U1033">
        <v>0</v>
      </c>
      <c r="V1033">
        <v>2</v>
      </c>
      <c r="Y1033" t="s">
        <v>42</v>
      </c>
      <c r="Z1033" t="s">
        <v>43</v>
      </c>
      <c r="AA1033" t="s">
        <v>43</v>
      </c>
      <c r="AD1033" t="s">
        <v>3143</v>
      </c>
    </row>
    <row r="1034" spans="1:30" x14ac:dyDescent="0.4">
      <c r="A1034" t="s">
        <v>27</v>
      </c>
      <c r="B1034">
        <v>6003</v>
      </c>
      <c r="C1034" t="s">
        <v>195</v>
      </c>
      <c r="D1034" t="s">
        <v>2290</v>
      </c>
      <c r="E1034" t="s">
        <v>2700</v>
      </c>
      <c r="F1034" t="s">
        <v>2701</v>
      </c>
      <c r="H1034" t="s">
        <v>1732</v>
      </c>
      <c r="I1034" t="s">
        <v>495</v>
      </c>
      <c r="J1034" t="s">
        <v>2702</v>
      </c>
      <c r="K1034" t="s">
        <v>35</v>
      </c>
      <c r="L1034">
        <v>7710524922</v>
      </c>
      <c r="M1034" t="s">
        <v>2703</v>
      </c>
      <c r="N1034" t="s">
        <v>2904</v>
      </c>
      <c r="P1034" t="s">
        <v>2906</v>
      </c>
      <c r="Q1034" t="s">
        <v>2705</v>
      </c>
      <c r="R1034" t="s">
        <v>376</v>
      </c>
      <c r="S1034" t="s">
        <v>40</v>
      </c>
      <c r="T1034" s="1">
        <v>43644</v>
      </c>
      <c r="U1034">
        <v>0</v>
      </c>
      <c r="V1034">
        <v>8</v>
      </c>
      <c r="Y1034" t="s">
        <v>42</v>
      </c>
      <c r="Z1034" t="s">
        <v>43</v>
      </c>
      <c r="AA1034" t="s">
        <v>43</v>
      </c>
      <c r="AD1034" t="s">
        <v>3143</v>
      </c>
    </row>
    <row r="1035" spans="1:30" x14ac:dyDescent="0.4">
      <c r="A1035" t="s">
        <v>27</v>
      </c>
      <c r="B1035">
        <v>6003</v>
      </c>
      <c r="C1035" t="s">
        <v>195</v>
      </c>
      <c r="D1035" t="s">
        <v>2290</v>
      </c>
      <c r="E1035" t="s">
        <v>2700</v>
      </c>
      <c r="F1035" t="s">
        <v>2701</v>
      </c>
      <c r="H1035" t="s">
        <v>1732</v>
      </c>
      <c r="I1035" t="s">
        <v>495</v>
      </c>
      <c r="J1035" t="s">
        <v>2702</v>
      </c>
      <c r="K1035" t="s">
        <v>35</v>
      </c>
      <c r="L1035">
        <v>7710524922</v>
      </c>
      <c r="M1035" t="s">
        <v>2703</v>
      </c>
      <c r="N1035" t="s">
        <v>2904</v>
      </c>
      <c r="P1035" t="s">
        <v>2906</v>
      </c>
      <c r="Q1035" t="s">
        <v>2705</v>
      </c>
      <c r="R1035" t="s">
        <v>376</v>
      </c>
      <c r="S1035" t="s">
        <v>40</v>
      </c>
      <c r="T1035" s="1">
        <v>43644</v>
      </c>
      <c r="U1035">
        <v>0</v>
      </c>
      <c r="V1035">
        <v>9</v>
      </c>
      <c r="Y1035" t="s">
        <v>42</v>
      </c>
      <c r="Z1035" t="s">
        <v>43</v>
      </c>
      <c r="AA1035" t="s">
        <v>43</v>
      </c>
      <c r="AD1035" t="s">
        <v>3143</v>
      </c>
    </row>
    <row r="1036" spans="1:30" x14ac:dyDescent="0.4">
      <c r="A1036" t="s">
        <v>27</v>
      </c>
      <c r="B1036">
        <v>5191</v>
      </c>
      <c r="C1036" t="s">
        <v>68</v>
      </c>
      <c r="D1036" t="s">
        <v>85</v>
      </c>
      <c r="E1036" t="s">
        <v>2700</v>
      </c>
      <c r="F1036" t="s">
        <v>2706</v>
      </c>
      <c r="G1036" t="s">
        <v>2707</v>
      </c>
      <c r="H1036" t="s">
        <v>2239</v>
      </c>
      <c r="I1036" t="s">
        <v>73</v>
      </c>
      <c r="J1036" t="s">
        <v>2708</v>
      </c>
      <c r="K1036" t="s">
        <v>35</v>
      </c>
      <c r="L1036">
        <v>7584050059</v>
      </c>
      <c r="M1036" t="s">
        <v>2709</v>
      </c>
      <c r="N1036" t="s">
        <v>3023</v>
      </c>
      <c r="P1036" t="s">
        <v>2710</v>
      </c>
      <c r="Q1036" t="s">
        <v>2711</v>
      </c>
      <c r="R1036" t="s">
        <v>138</v>
      </c>
      <c r="S1036" t="s">
        <v>82</v>
      </c>
      <c r="T1036" s="1">
        <v>45061</v>
      </c>
      <c r="U1036">
        <v>0</v>
      </c>
      <c r="V1036">
        <v>4</v>
      </c>
      <c r="W1036" t="s">
        <v>65</v>
      </c>
      <c r="Y1036" t="s">
        <v>42</v>
      </c>
      <c r="Z1036" t="s">
        <v>43</v>
      </c>
      <c r="AA1036" t="s">
        <v>43</v>
      </c>
      <c r="AD1036" t="s">
        <v>3143</v>
      </c>
    </row>
    <row r="1037" spans="1:30" x14ac:dyDescent="0.4">
      <c r="A1037" t="s">
        <v>27</v>
      </c>
      <c r="B1037">
        <v>5191</v>
      </c>
      <c r="C1037" t="s">
        <v>68</v>
      </c>
      <c r="D1037" t="s">
        <v>85</v>
      </c>
      <c r="E1037" t="s">
        <v>2700</v>
      </c>
      <c r="F1037" t="s">
        <v>2706</v>
      </c>
      <c r="G1037" t="s">
        <v>2707</v>
      </c>
      <c r="H1037" t="s">
        <v>2239</v>
      </c>
      <c r="I1037" t="s">
        <v>73</v>
      </c>
      <c r="J1037" t="s">
        <v>2708</v>
      </c>
      <c r="K1037" t="s">
        <v>35</v>
      </c>
      <c r="L1037">
        <v>7584050059</v>
      </c>
      <c r="M1037" t="s">
        <v>2709</v>
      </c>
      <c r="N1037" t="s">
        <v>3023</v>
      </c>
      <c r="P1037" t="s">
        <v>2712</v>
      </c>
      <c r="Q1037" t="s">
        <v>2713</v>
      </c>
      <c r="R1037" t="s">
        <v>58</v>
      </c>
      <c r="S1037" t="s">
        <v>82</v>
      </c>
      <c r="T1037" s="1">
        <v>44459</v>
      </c>
      <c r="U1037">
        <v>0</v>
      </c>
      <c r="V1037">
        <v>4</v>
      </c>
      <c r="W1037" t="s">
        <v>65</v>
      </c>
      <c r="Y1037" t="s">
        <v>42</v>
      </c>
      <c r="Z1037" t="s">
        <v>43</v>
      </c>
      <c r="AA1037" t="s">
        <v>43</v>
      </c>
      <c r="AD1037" t="s">
        <v>3143</v>
      </c>
    </row>
    <row r="1038" spans="1:30" x14ac:dyDescent="0.4">
      <c r="A1038" t="s">
        <v>27</v>
      </c>
      <c r="B1038">
        <v>5191</v>
      </c>
      <c r="C1038" t="s">
        <v>68</v>
      </c>
      <c r="D1038" t="s">
        <v>85</v>
      </c>
      <c r="E1038" t="s">
        <v>2700</v>
      </c>
      <c r="F1038" t="s">
        <v>2706</v>
      </c>
      <c r="G1038" t="s">
        <v>2707</v>
      </c>
      <c r="H1038" t="s">
        <v>2239</v>
      </c>
      <c r="I1038" t="s">
        <v>73</v>
      </c>
      <c r="J1038" t="s">
        <v>2708</v>
      </c>
      <c r="K1038" t="s">
        <v>35</v>
      </c>
      <c r="L1038">
        <v>7584050059</v>
      </c>
      <c r="M1038" t="s">
        <v>2709</v>
      </c>
      <c r="N1038" t="s">
        <v>3023</v>
      </c>
      <c r="P1038" t="s">
        <v>2714</v>
      </c>
      <c r="Q1038" t="s">
        <v>2715</v>
      </c>
      <c r="R1038" t="s">
        <v>376</v>
      </c>
      <c r="S1038" t="s">
        <v>82</v>
      </c>
      <c r="T1038" s="1">
        <v>44717</v>
      </c>
      <c r="U1038">
        <v>0</v>
      </c>
      <c r="V1038">
        <v>5</v>
      </c>
      <c r="W1038" t="s">
        <v>66</v>
      </c>
      <c r="Y1038" t="s">
        <v>42</v>
      </c>
      <c r="Z1038" t="s">
        <v>43</v>
      </c>
      <c r="AA1038" t="s">
        <v>43</v>
      </c>
      <c r="AD1038" t="s">
        <v>3143</v>
      </c>
    </row>
    <row r="1039" spans="1:30" x14ac:dyDescent="0.4">
      <c r="A1039" t="s">
        <v>27</v>
      </c>
      <c r="B1039">
        <v>5191</v>
      </c>
      <c r="C1039" t="s">
        <v>68</v>
      </c>
      <c r="D1039" t="s">
        <v>85</v>
      </c>
      <c r="E1039" t="s">
        <v>2700</v>
      </c>
      <c r="F1039" t="s">
        <v>2706</v>
      </c>
      <c r="G1039" t="s">
        <v>2707</v>
      </c>
      <c r="H1039" t="s">
        <v>2239</v>
      </c>
      <c r="I1039" t="s">
        <v>73</v>
      </c>
      <c r="J1039" t="s">
        <v>2708</v>
      </c>
      <c r="K1039" t="s">
        <v>35</v>
      </c>
      <c r="L1039">
        <v>7584050059</v>
      </c>
      <c r="M1039" t="s">
        <v>2709</v>
      </c>
      <c r="N1039" t="s">
        <v>3023</v>
      </c>
      <c r="P1039" t="s">
        <v>2714</v>
      </c>
      <c r="Q1039" t="s">
        <v>2715</v>
      </c>
      <c r="R1039" t="s">
        <v>376</v>
      </c>
      <c r="S1039" t="s">
        <v>82</v>
      </c>
      <c r="T1039" s="1">
        <v>44717</v>
      </c>
      <c r="U1039">
        <v>0</v>
      </c>
      <c r="V1039">
        <v>6</v>
      </c>
      <c r="W1039" t="s">
        <v>83</v>
      </c>
      <c r="Y1039" t="s">
        <v>42</v>
      </c>
      <c r="Z1039" t="s">
        <v>43</v>
      </c>
      <c r="AA1039" t="s">
        <v>43</v>
      </c>
      <c r="AD1039" t="s">
        <v>3143</v>
      </c>
    </row>
    <row r="1040" spans="1:30" x14ac:dyDescent="0.4">
      <c r="A1040" t="s">
        <v>27</v>
      </c>
      <c r="B1040">
        <v>5191</v>
      </c>
      <c r="C1040" t="s">
        <v>68</v>
      </c>
      <c r="D1040" t="s">
        <v>85</v>
      </c>
      <c r="E1040" t="s">
        <v>2700</v>
      </c>
      <c r="F1040" t="s">
        <v>2706</v>
      </c>
      <c r="G1040" t="s">
        <v>2707</v>
      </c>
      <c r="H1040" t="s">
        <v>2239</v>
      </c>
      <c r="I1040" t="s">
        <v>73</v>
      </c>
      <c r="J1040" t="s">
        <v>2708</v>
      </c>
      <c r="K1040" t="s">
        <v>35</v>
      </c>
      <c r="L1040">
        <v>7584050059</v>
      </c>
      <c r="M1040" t="s">
        <v>2709</v>
      </c>
      <c r="N1040" t="s">
        <v>3023</v>
      </c>
      <c r="P1040" t="s">
        <v>2710</v>
      </c>
      <c r="Q1040" t="s">
        <v>2711</v>
      </c>
      <c r="R1040" t="s">
        <v>138</v>
      </c>
      <c r="S1040" t="s">
        <v>82</v>
      </c>
      <c r="T1040" s="1">
        <v>45061</v>
      </c>
      <c r="U1040">
        <v>0</v>
      </c>
      <c r="V1040">
        <v>13</v>
      </c>
      <c r="Y1040" t="s">
        <v>42</v>
      </c>
      <c r="Z1040" t="s">
        <v>43</v>
      </c>
      <c r="AA1040" t="s">
        <v>43</v>
      </c>
      <c r="AD1040" t="s">
        <v>3143</v>
      </c>
    </row>
    <row r="1041" spans="1:30" x14ac:dyDescent="0.4">
      <c r="A1041" t="s">
        <v>27</v>
      </c>
      <c r="B1041">
        <v>5191</v>
      </c>
      <c r="C1041" t="s">
        <v>68</v>
      </c>
      <c r="D1041" t="s">
        <v>85</v>
      </c>
      <c r="E1041" t="s">
        <v>2700</v>
      </c>
      <c r="F1041" t="s">
        <v>2706</v>
      </c>
      <c r="G1041" t="s">
        <v>2707</v>
      </c>
      <c r="H1041" t="s">
        <v>2239</v>
      </c>
      <c r="I1041" t="s">
        <v>73</v>
      </c>
      <c r="J1041" t="s">
        <v>2708</v>
      </c>
      <c r="K1041" t="s">
        <v>35</v>
      </c>
      <c r="L1041">
        <v>7584050059</v>
      </c>
      <c r="M1041" t="s">
        <v>2709</v>
      </c>
      <c r="N1041" t="s">
        <v>3023</v>
      </c>
      <c r="P1041" t="s">
        <v>2712</v>
      </c>
      <c r="Q1041" t="s">
        <v>2713</v>
      </c>
      <c r="R1041" t="s">
        <v>58</v>
      </c>
      <c r="S1041" t="s">
        <v>82</v>
      </c>
      <c r="T1041" s="1">
        <v>44459</v>
      </c>
      <c r="U1041">
        <v>0</v>
      </c>
      <c r="V1041">
        <v>13</v>
      </c>
      <c r="Y1041" t="s">
        <v>42</v>
      </c>
      <c r="Z1041" t="s">
        <v>43</v>
      </c>
      <c r="AA1041" t="s">
        <v>43</v>
      </c>
      <c r="AD1041" t="s">
        <v>3143</v>
      </c>
    </row>
    <row r="1042" spans="1:30" x14ac:dyDescent="0.4">
      <c r="A1042" t="s">
        <v>27</v>
      </c>
      <c r="B1042">
        <v>5191</v>
      </c>
      <c r="C1042" t="s">
        <v>68</v>
      </c>
      <c r="D1042" t="s">
        <v>85</v>
      </c>
      <c r="E1042" t="s">
        <v>2700</v>
      </c>
      <c r="F1042" t="s">
        <v>2706</v>
      </c>
      <c r="G1042" t="s">
        <v>2707</v>
      </c>
      <c r="H1042" t="s">
        <v>2239</v>
      </c>
      <c r="I1042" t="s">
        <v>73</v>
      </c>
      <c r="J1042" t="s">
        <v>2708</v>
      </c>
      <c r="K1042" t="s">
        <v>35</v>
      </c>
      <c r="L1042">
        <v>7584050059</v>
      </c>
      <c r="M1042" t="s">
        <v>2709</v>
      </c>
      <c r="N1042" t="s">
        <v>3023</v>
      </c>
      <c r="P1042" t="s">
        <v>2714</v>
      </c>
      <c r="Q1042" t="s">
        <v>2715</v>
      </c>
      <c r="R1042" t="s">
        <v>376</v>
      </c>
      <c r="S1042" t="s">
        <v>82</v>
      </c>
      <c r="T1042" s="1">
        <v>44717</v>
      </c>
      <c r="U1042">
        <v>0</v>
      </c>
      <c r="V1042">
        <v>15</v>
      </c>
      <c r="Y1042" t="s">
        <v>42</v>
      </c>
      <c r="Z1042" t="s">
        <v>43</v>
      </c>
      <c r="AA1042" t="s">
        <v>43</v>
      </c>
      <c r="AD1042" t="s">
        <v>3143</v>
      </c>
    </row>
    <row r="1043" spans="1:30" x14ac:dyDescent="0.4">
      <c r="A1043" t="s">
        <v>27</v>
      </c>
      <c r="B1043">
        <v>5191</v>
      </c>
      <c r="C1043" t="s">
        <v>68</v>
      </c>
      <c r="D1043" t="s">
        <v>85</v>
      </c>
      <c r="E1043" t="s">
        <v>2700</v>
      </c>
      <c r="F1043" t="s">
        <v>2706</v>
      </c>
      <c r="G1043" t="s">
        <v>2707</v>
      </c>
      <c r="H1043" t="s">
        <v>2239</v>
      </c>
      <c r="I1043" t="s">
        <v>73</v>
      </c>
      <c r="J1043" t="s">
        <v>2708</v>
      </c>
      <c r="K1043" t="s">
        <v>35</v>
      </c>
      <c r="L1043">
        <v>7584050059</v>
      </c>
      <c r="M1043" t="s">
        <v>2709</v>
      </c>
      <c r="N1043" t="s">
        <v>3023</v>
      </c>
      <c r="P1043" t="s">
        <v>2714</v>
      </c>
      <c r="Q1043" t="s">
        <v>2715</v>
      </c>
      <c r="R1043" t="s">
        <v>376</v>
      </c>
      <c r="S1043" t="s">
        <v>82</v>
      </c>
      <c r="T1043" s="1">
        <v>44717</v>
      </c>
      <c r="U1043">
        <v>0</v>
      </c>
      <c r="V1043">
        <v>17</v>
      </c>
      <c r="Y1043" t="s">
        <v>42</v>
      </c>
      <c r="Z1043" t="s">
        <v>43</v>
      </c>
      <c r="AA1043" t="s">
        <v>43</v>
      </c>
      <c r="AD1043" t="s">
        <v>3143</v>
      </c>
    </row>
    <row r="1044" spans="1:30" x14ac:dyDescent="0.4">
      <c r="A1044" t="s">
        <v>27</v>
      </c>
      <c r="B1044">
        <v>1839</v>
      </c>
      <c r="C1044" t="s">
        <v>257</v>
      </c>
      <c r="D1044" t="s">
        <v>2716</v>
      </c>
      <c r="E1044" t="s">
        <v>242</v>
      </c>
      <c r="F1044" t="s">
        <v>2717</v>
      </c>
      <c r="G1044" t="s">
        <v>2718</v>
      </c>
      <c r="H1044" t="s">
        <v>2719</v>
      </c>
      <c r="I1044" t="s">
        <v>242</v>
      </c>
      <c r="J1044" t="s">
        <v>2720</v>
      </c>
      <c r="K1044" t="s">
        <v>35</v>
      </c>
      <c r="L1044">
        <v>1225793330</v>
      </c>
      <c r="M1044" t="s">
        <v>2721</v>
      </c>
      <c r="N1044" t="s">
        <v>3024</v>
      </c>
      <c r="P1044" t="s">
        <v>2722</v>
      </c>
      <c r="Q1044" t="s">
        <v>2723</v>
      </c>
      <c r="R1044" t="s">
        <v>284</v>
      </c>
      <c r="S1044" t="s">
        <v>40</v>
      </c>
      <c r="T1044" s="1">
        <v>45084</v>
      </c>
      <c r="U1044">
        <v>0</v>
      </c>
      <c r="V1044">
        <v>16</v>
      </c>
      <c r="Y1044" t="s">
        <v>42</v>
      </c>
      <c r="Z1044" t="s">
        <v>43</v>
      </c>
      <c r="AA1044" t="s">
        <v>43</v>
      </c>
      <c r="AD1044" t="s">
        <v>3143</v>
      </c>
    </row>
    <row r="1045" spans="1:30" x14ac:dyDescent="0.4">
      <c r="A1045" t="s">
        <v>27</v>
      </c>
      <c r="B1045">
        <v>1839</v>
      </c>
      <c r="C1045" t="s">
        <v>257</v>
      </c>
      <c r="D1045" t="s">
        <v>2716</v>
      </c>
      <c r="E1045" t="s">
        <v>242</v>
      </c>
      <c r="F1045" t="s">
        <v>2717</v>
      </c>
      <c r="G1045" t="s">
        <v>2718</v>
      </c>
      <c r="H1045" t="s">
        <v>2719</v>
      </c>
      <c r="I1045" t="s">
        <v>242</v>
      </c>
      <c r="J1045" t="s">
        <v>2720</v>
      </c>
      <c r="K1045" t="s">
        <v>35</v>
      </c>
      <c r="L1045">
        <v>1225793330</v>
      </c>
      <c r="M1045" t="s">
        <v>2721</v>
      </c>
      <c r="N1045" t="s">
        <v>3024</v>
      </c>
      <c r="P1045" t="s">
        <v>2724</v>
      </c>
      <c r="Q1045" t="s">
        <v>2725</v>
      </c>
      <c r="R1045" t="s">
        <v>284</v>
      </c>
      <c r="S1045" t="s">
        <v>40</v>
      </c>
      <c r="T1045" s="1">
        <v>42346</v>
      </c>
      <c r="U1045">
        <v>0</v>
      </c>
      <c r="V1045">
        <v>18</v>
      </c>
      <c r="Y1045" t="s">
        <v>42</v>
      </c>
      <c r="Z1045" t="s">
        <v>43</v>
      </c>
      <c r="AA1045" t="s">
        <v>43</v>
      </c>
      <c r="AD1045" t="s">
        <v>3143</v>
      </c>
    </row>
    <row r="1046" spans="1:30" x14ac:dyDescent="0.4">
      <c r="A1046" t="s">
        <v>27</v>
      </c>
      <c r="B1046">
        <v>1839</v>
      </c>
      <c r="C1046" t="s">
        <v>257</v>
      </c>
      <c r="D1046" t="s">
        <v>2716</v>
      </c>
      <c r="E1046" t="s">
        <v>242</v>
      </c>
      <c r="F1046" t="s">
        <v>2717</v>
      </c>
      <c r="G1046" t="s">
        <v>2718</v>
      </c>
      <c r="H1046" t="s">
        <v>2719</v>
      </c>
      <c r="I1046" t="s">
        <v>242</v>
      </c>
      <c r="J1046" t="s">
        <v>2720</v>
      </c>
      <c r="K1046" t="s">
        <v>35</v>
      </c>
      <c r="L1046">
        <v>1225793330</v>
      </c>
      <c r="M1046" t="s">
        <v>2721</v>
      </c>
      <c r="N1046" t="s">
        <v>3024</v>
      </c>
      <c r="P1046" t="s">
        <v>2722</v>
      </c>
      <c r="Q1046" t="s">
        <v>2723</v>
      </c>
      <c r="R1046" t="s">
        <v>284</v>
      </c>
      <c r="S1046" t="s">
        <v>40</v>
      </c>
      <c r="T1046" s="1">
        <v>45084</v>
      </c>
      <c r="U1046">
        <v>0</v>
      </c>
      <c r="V1046">
        <v>14</v>
      </c>
      <c r="Y1046" t="s">
        <v>42</v>
      </c>
      <c r="Z1046" t="s">
        <v>43</v>
      </c>
      <c r="AA1046" t="s">
        <v>43</v>
      </c>
      <c r="AD1046" t="s">
        <v>3143</v>
      </c>
    </row>
    <row r="1047" spans="1:30" x14ac:dyDescent="0.4">
      <c r="A1047" t="s">
        <v>27</v>
      </c>
      <c r="B1047">
        <v>4728</v>
      </c>
      <c r="C1047" t="s">
        <v>68</v>
      </c>
      <c r="D1047" t="s">
        <v>594</v>
      </c>
      <c r="E1047" t="s">
        <v>242</v>
      </c>
      <c r="F1047" t="s">
        <v>2717</v>
      </c>
      <c r="G1047" t="s">
        <v>2718</v>
      </c>
      <c r="H1047" t="s">
        <v>2726</v>
      </c>
      <c r="I1047" t="s">
        <v>242</v>
      </c>
      <c r="J1047" t="s">
        <v>2720</v>
      </c>
      <c r="K1047" t="s">
        <v>35</v>
      </c>
      <c r="L1047" t="s">
        <v>2727</v>
      </c>
      <c r="M1047" t="s">
        <v>2728</v>
      </c>
      <c r="N1047" t="s">
        <v>3087</v>
      </c>
      <c r="P1047" t="s">
        <v>2729</v>
      </c>
      <c r="Q1047" t="s">
        <v>2730</v>
      </c>
      <c r="R1047" t="s">
        <v>284</v>
      </c>
      <c r="S1047" t="s">
        <v>82</v>
      </c>
      <c r="T1047" s="1">
        <v>43259</v>
      </c>
      <c r="U1047">
        <v>0</v>
      </c>
      <c r="V1047">
        <v>15</v>
      </c>
      <c r="Y1047" t="s">
        <v>42</v>
      </c>
      <c r="Z1047" t="s">
        <v>43</v>
      </c>
      <c r="AA1047" t="s">
        <v>43</v>
      </c>
      <c r="AD1047" t="s">
        <v>3143</v>
      </c>
    </row>
    <row r="1048" spans="1:30" x14ac:dyDescent="0.4">
      <c r="A1048" t="s">
        <v>27</v>
      </c>
      <c r="B1048">
        <v>4728</v>
      </c>
      <c r="C1048" t="s">
        <v>68</v>
      </c>
      <c r="D1048" t="s">
        <v>594</v>
      </c>
      <c r="E1048" t="s">
        <v>242</v>
      </c>
      <c r="F1048" t="s">
        <v>2717</v>
      </c>
      <c r="G1048" t="s">
        <v>2718</v>
      </c>
      <c r="H1048" t="s">
        <v>2726</v>
      </c>
      <c r="I1048" t="s">
        <v>242</v>
      </c>
      <c r="J1048" t="s">
        <v>2720</v>
      </c>
      <c r="K1048" t="s">
        <v>35</v>
      </c>
      <c r="L1048" t="s">
        <v>2727</v>
      </c>
      <c r="M1048" t="s">
        <v>2728</v>
      </c>
      <c r="N1048" t="s">
        <v>3087</v>
      </c>
      <c r="P1048" t="s">
        <v>2729</v>
      </c>
      <c r="Q1048" t="s">
        <v>2730</v>
      </c>
      <c r="R1048" t="s">
        <v>284</v>
      </c>
      <c r="S1048" t="s">
        <v>82</v>
      </c>
      <c r="T1048" s="1">
        <v>43259</v>
      </c>
      <c r="U1048">
        <v>0</v>
      </c>
      <c r="V1048">
        <v>17</v>
      </c>
      <c r="Y1048" t="s">
        <v>42</v>
      </c>
      <c r="Z1048" t="s">
        <v>43</v>
      </c>
      <c r="AA1048" t="s">
        <v>43</v>
      </c>
      <c r="AD1048" t="s">
        <v>3143</v>
      </c>
    </row>
    <row r="1049" spans="1:30" x14ac:dyDescent="0.4">
      <c r="A1049" t="s">
        <v>27</v>
      </c>
      <c r="B1049">
        <v>850</v>
      </c>
      <c r="C1049" t="s">
        <v>28</v>
      </c>
      <c r="D1049" t="s">
        <v>2731</v>
      </c>
      <c r="E1049" t="s">
        <v>2732</v>
      </c>
      <c r="F1049" t="s">
        <v>2733</v>
      </c>
      <c r="H1049" t="s">
        <v>2734</v>
      </c>
      <c r="I1049" t="s">
        <v>189</v>
      </c>
      <c r="J1049" t="s">
        <v>2735</v>
      </c>
      <c r="K1049" t="s">
        <v>35</v>
      </c>
      <c r="L1049">
        <v>1277657769</v>
      </c>
      <c r="M1049" t="s">
        <v>2736</v>
      </c>
      <c r="N1049" t="s">
        <v>3026</v>
      </c>
      <c r="P1049" t="s">
        <v>2737</v>
      </c>
      <c r="Q1049" t="s">
        <v>2738</v>
      </c>
      <c r="R1049" t="s">
        <v>284</v>
      </c>
      <c r="S1049" t="s">
        <v>82</v>
      </c>
      <c r="T1049" s="1">
        <v>43382</v>
      </c>
      <c r="U1049">
        <v>0</v>
      </c>
      <c r="V1049">
        <v>4</v>
      </c>
      <c r="W1049" t="s">
        <v>65</v>
      </c>
      <c r="Y1049" t="s">
        <v>42</v>
      </c>
      <c r="Z1049" t="s">
        <v>43</v>
      </c>
      <c r="AA1049" t="s">
        <v>43</v>
      </c>
      <c r="AD1049" t="s">
        <v>3143</v>
      </c>
    </row>
    <row r="1050" spans="1:30" x14ac:dyDescent="0.4">
      <c r="A1050" t="s">
        <v>27</v>
      </c>
      <c r="B1050">
        <v>850</v>
      </c>
      <c r="C1050" t="s">
        <v>28</v>
      </c>
      <c r="D1050" t="s">
        <v>2731</v>
      </c>
      <c r="E1050" t="s">
        <v>2732</v>
      </c>
      <c r="F1050" t="s">
        <v>2733</v>
      </c>
      <c r="H1050" t="s">
        <v>2734</v>
      </c>
      <c r="I1050" t="s">
        <v>189</v>
      </c>
      <c r="J1050" t="s">
        <v>2735</v>
      </c>
      <c r="K1050" t="s">
        <v>35</v>
      </c>
      <c r="L1050">
        <v>1277657769</v>
      </c>
      <c r="M1050" t="s">
        <v>2736</v>
      </c>
      <c r="N1050" t="s">
        <v>3026</v>
      </c>
      <c r="P1050" t="s">
        <v>2739</v>
      </c>
      <c r="Q1050" t="s">
        <v>2740</v>
      </c>
      <c r="R1050" t="s">
        <v>284</v>
      </c>
      <c r="S1050" t="s">
        <v>82</v>
      </c>
      <c r="T1050" s="1">
        <v>44248</v>
      </c>
      <c r="U1050">
        <v>0</v>
      </c>
      <c r="V1050">
        <v>7</v>
      </c>
      <c r="Y1050" t="s">
        <v>42</v>
      </c>
      <c r="Z1050" t="s">
        <v>43</v>
      </c>
      <c r="AA1050" t="s">
        <v>43</v>
      </c>
      <c r="AD1050" t="s">
        <v>3143</v>
      </c>
    </row>
    <row r="1051" spans="1:30" x14ac:dyDescent="0.4">
      <c r="A1051" t="s">
        <v>27</v>
      </c>
      <c r="B1051">
        <v>850</v>
      </c>
      <c r="C1051" t="s">
        <v>28</v>
      </c>
      <c r="D1051" t="s">
        <v>2731</v>
      </c>
      <c r="E1051" t="s">
        <v>2732</v>
      </c>
      <c r="F1051" t="s">
        <v>2733</v>
      </c>
      <c r="H1051" t="s">
        <v>2734</v>
      </c>
      <c r="I1051" t="s">
        <v>189</v>
      </c>
      <c r="J1051" t="s">
        <v>2735</v>
      </c>
      <c r="K1051" t="s">
        <v>35</v>
      </c>
      <c r="L1051">
        <v>1277657769</v>
      </c>
      <c r="M1051" t="s">
        <v>2736</v>
      </c>
      <c r="N1051" t="s">
        <v>3026</v>
      </c>
      <c r="P1051" t="s">
        <v>2737</v>
      </c>
      <c r="Q1051" t="s">
        <v>2738</v>
      </c>
      <c r="R1051" t="s">
        <v>284</v>
      </c>
      <c r="S1051" t="s">
        <v>82</v>
      </c>
      <c r="T1051" s="1">
        <v>43382</v>
      </c>
      <c r="U1051">
        <v>0</v>
      </c>
      <c r="V1051">
        <v>13</v>
      </c>
      <c r="Y1051" t="s">
        <v>42</v>
      </c>
      <c r="Z1051" t="s">
        <v>43</v>
      </c>
      <c r="AA1051" t="s">
        <v>43</v>
      </c>
      <c r="AD1051" t="s">
        <v>3143</v>
      </c>
    </row>
    <row r="1052" spans="1:30" x14ac:dyDescent="0.4">
      <c r="A1052" t="s">
        <v>27</v>
      </c>
      <c r="B1052">
        <v>850</v>
      </c>
      <c r="C1052" t="s">
        <v>28</v>
      </c>
      <c r="D1052" t="s">
        <v>2731</v>
      </c>
      <c r="E1052" t="s">
        <v>2732</v>
      </c>
      <c r="F1052" t="s">
        <v>2733</v>
      </c>
      <c r="H1052" t="s">
        <v>2734</v>
      </c>
      <c r="I1052" t="s">
        <v>189</v>
      </c>
      <c r="J1052" t="s">
        <v>2735</v>
      </c>
      <c r="K1052" t="s">
        <v>35</v>
      </c>
      <c r="L1052">
        <v>1277657769</v>
      </c>
      <c r="M1052" t="s">
        <v>2736</v>
      </c>
      <c r="N1052" t="s">
        <v>3026</v>
      </c>
      <c r="P1052" t="s">
        <v>2739</v>
      </c>
      <c r="Q1052" t="s">
        <v>2740</v>
      </c>
      <c r="R1052" t="s">
        <v>284</v>
      </c>
      <c r="S1052" t="s">
        <v>82</v>
      </c>
      <c r="T1052" s="1">
        <v>44248</v>
      </c>
      <c r="U1052">
        <v>0</v>
      </c>
      <c r="V1052">
        <v>19</v>
      </c>
      <c r="Y1052" t="s">
        <v>42</v>
      </c>
      <c r="Z1052" t="s">
        <v>43</v>
      </c>
      <c r="AA1052" t="s">
        <v>43</v>
      </c>
      <c r="AD1052" t="s">
        <v>3143</v>
      </c>
    </row>
    <row r="1053" spans="1:30" x14ac:dyDescent="0.4">
      <c r="A1053" t="s">
        <v>27</v>
      </c>
      <c r="B1053">
        <v>649</v>
      </c>
      <c r="C1053" t="s">
        <v>68</v>
      </c>
      <c r="D1053" t="s">
        <v>2741</v>
      </c>
      <c r="E1053" t="s">
        <v>2742</v>
      </c>
      <c r="F1053" t="s">
        <v>2743</v>
      </c>
      <c r="G1053" t="s">
        <v>2744</v>
      </c>
      <c r="H1053" t="s">
        <v>2745</v>
      </c>
      <c r="I1053" t="s">
        <v>189</v>
      </c>
      <c r="J1053" t="s">
        <v>2746</v>
      </c>
      <c r="K1053" t="s">
        <v>35</v>
      </c>
      <c r="L1053" t="s">
        <v>2747</v>
      </c>
      <c r="M1053" t="s">
        <v>2748</v>
      </c>
      <c r="N1053" t="s">
        <v>3088</v>
      </c>
      <c r="P1053" t="s">
        <v>2750</v>
      </c>
      <c r="Q1053" t="s">
        <v>2751</v>
      </c>
      <c r="R1053" t="s">
        <v>376</v>
      </c>
      <c r="S1053" t="s">
        <v>40</v>
      </c>
      <c r="T1053" s="1">
        <v>43909</v>
      </c>
      <c r="U1053">
        <v>0</v>
      </c>
      <c r="V1053">
        <v>20</v>
      </c>
      <c r="Y1053" t="s">
        <v>42</v>
      </c>
      <c r="Z1053" t="s">
        <v>43</v>
      </c>
      <c r="AA1053" t="s">
        <v>43</v>
      </c>
      <c r="AD1053" t="s">
        <v>3143</v>
      </c>
    </row>
    <row r="1054" spans="1:30" x14ac:dyDescent="0.4">
      <c r="A1054" t="s">
        <v>27</v>
      </c>
      <c r="B1054">
        <v>649</v>
      </c>
      <c r="C1054" t="s">
        <v>68</v>
      </c>
      <c r="D1054" t="s">
        <v>2741</v>
      </c>
      <c r="E1054" t="s">
        <v>2742</v>
      </c>
      <c r="F1054" t="s">
        <v>2743</v>
      </c>
      <c r="G1054" t="s">
        <v>2744</v>
      </c>
      <c r="H1054" t="s">
        <v>2745</v>
      </c>
      <c r="I1054" t="s">
        <v>189</v>
      </c>
      <c r="J1054" t="s">
        <v>2746</v>
      </c>
      <c r="K1054" t="s">
        <v>35</v>
      </c>
      <c r="L1054" t="s">
        <v>2747</v>
      </c>
      <c r="M1054" t="s">
        <v>2748</v>
      </c>
      <c r="N1054" t="s">
        <v>3088</v>
      </c>
      <c r="P1054" t="s">
        <v>3129</v>
      </c>
      <c r="Q1054" t="s">
        <v>2753</v>
      </c>
      <c r="R1054" t="s">
        <v>94</v>
      </c>
      <c r="S1054" t="s">
        <v>40</v>
      </c>
      <c r="T1054" s="1">
        <v>42417</v>
      </c>
      <c r="U1054">
        <v>0</v>
      </c>
      <c r="V1054">
        <v>20</v>
      </c>
      <c r="Y1054" t="s">
        <v>42</v>
      </c>
      <c r="Z1054" t="s">
        <v>43</v>
      </c>
      <c r="AA1054" t="s">
        <v>43</v>
      </c>
      <c r="AD1054" t="s">
        <v>3143</v>
      </c>
    </row>
    <row r="1055" spans="1:30" x14ac:dyDescent="0.4">
      <c r="A1055" t="s">
        <v>27</v>
      </c>
      <c r="B1055">
        <v>4435</v>
      </c>
      <c r="C1055" t="s">
        <v>28</v>
      </c>
      <c r="D1055" t="s">
        <v>2754</v>
      </c>
      <c r="E1055" t="s">
        <v>2755</v>
      </c>
      <c r="F1055" t="s">
        <v>2756</v>
      </c>
      <c r="G1055" t="s">
        <v>2757</v>
      </c>
      <c r="H1055" t="s">
        <v>2758</v>
      </c>
      <c r="I1055" t="s">
        <v>426</v>
      </c>
      <c r="J1055" t="s">
        <v>2759</v>
      </c>
      <c r="K1055" t="s">
        <v>35</v>
      </c>
      <c r="L1055">
        <v>1732845255</v>
      </c>
      <c r="M1055" t="s">
        <v>2760</v>
      </c>
      <c r="N1055" t="s">
        <v>3027</v>
      </c>
      <c r="P1055" t="s">
        <v>2762</v>
      </c>
      <c r="Q1055" t="s">
        <v>2763</v>
      </c>
      <c r="R1055" t="s">
        <v>58</v>
      </c>
      <c r="S1055" t="s">
        <v>82</v>
      </c>
      <c r="T1055" s="1">
        <v>43226</v>
      </c>
      <c r="U1055">
        <v>0</v>
      </c>
      <c r="V1055">
        <v>4</v>
      </c>
      <c r="W1055" t="s">
        <v>65</v>
      </c>
      <c r="Y1055" t="s">
        <v>42</v>
      </c>
      <c r="Z1055" t="s">
        <v>43</v>
      </c>
      <c r="AA1055" t="s">
        <v>43</v>
      </c>
      <c r="AB1055" t="s">
        <v>2764</v>
      </c>
      <c r="AD1055" t="s">
        <v>3143</v>
      </c>
    </row>
    <row r="1056" spans="1:30" x14ac:dyDescent="0.4">
      <c r="A1056" t="s">
        <v>27</v>
      </c>
      <c r="B1056">
        <v>4435</v>
      </c>
      <c r="C1056" t="s">
        <v>28</v>
      </c>
      <c r="D1056" t="s">
        <v>2754</v>
      </c>
      <c r="E1056" t="s">
        <v>2755</v>
      </c>
      <c r="F1056" t="s">
        <v>2756</v>
      </c>
      <c r="G1056" t="s">
        <v>2757</v>
      </c>
      <c r="H1056" t="s">
        <v>2758</v>
      </c>
      <c r="I1056" t="s">
        <v>426</v>
      </c>
      <c r="J1056" t="s">
        <v>2759</v>
      </c>
      <c r="K1056" t="s">
        <v>35</v>
      </c>
      <c r="L1056">
        <v>1732845255</v>
      </c>
      <c r="M1056" t="s">
        <v>2760</v>
      </c>
      <c r="N1056" t="s">
        <v>3027</v>
      </c>
      <c r="P1056" t="s">
        <v>2765</v>
      </c>
      <c r="Q1056" t="s">
        <v>2766</v>
      </c>
      <c r="R1056" t="s">
        <v>94</v>
      </c>
      <c r="S1056" t="s">
        <v>40</v>
      </c>
      <c r="T1056" s="1">
        <v>44593</v>
      </c>
      <c r="U1056">
        <v>0</v>
      </c>
      <c r="V1056">
        <v>4</v>
      </c>
      <c r="W1056" t="s">
        <v>65</v>
      </c>
      <c r="Y1056" t="s">
        <v>42</v>
      </c>
      <c r="Z1056" t="s">
        <v>43</v>
      </c>
      <c r="AA1056" t="s">
        <v>43</v>
      </c>
      <c r="AB1056" t="s">
        <v>2764</v>
      </c>
      <c r="AD1056" t="s">
        <v>3143</v>
      </c>
    </row>
    <row r="1057" spans="1:30" x14ac:dyDescent="0.4">
      <c r="A1057" t="s">
        <v>27</v>
      </c>
      <c r="B1057">
        <v>4435</v>
      </c>
      <c r="C1057" t="s">
        <v>28</v>
      </c>
      <c r="D1057" t="s">
        <v>2754</v>
      </c>
      <c r="E1057" t="s">
        <v>2755</v>
      </c>
      <c r="F1057" t="s">
        <v>2756</v>
      </c>
      <c r="G1057" t="s">
        <v>2757</v>
      </c>
      <c r="H1057" t="s">
        <v>2758</v>
      </c>
      <c r="I1057" t="s">
        <v>426</v>
      </c>
      <c r="J1057" t="s">
        <v>2759</v>
      </c>
      <c r="K1057" t="s">
        <v>35</v>
      </c>
      <c r="L1057">
        <v>1732845255</v>
      </c>
      <c r="M1057" t="s">
        <v>2760</v>
      </c>
      <c r="N1057" t="s">
        <v>3027</v>
      </c>
      <c r="P1057" t="s">
        <v>2762</v>
      </c>
      <c r="Q1057" t="s">
        <v>2763</v>
      </c>
      <c r="R1057" t="s">
        <v>58</v>
      </c>
      <c r="S1057" t="s">
        <v>82</v>
      </c>
      <c r="T1057" s="1">
        <v>43226</v>
      </c>
      <c r="U1057">
        <v>0</v>
      </c>
      <c r="V1057">
        <v>5</v>
      </c>
      <c r="W1057" t="s">
        <v>66</v>
      </c>
      <c r="Y1057" t="s">
        <v>42</v>
      </c>
      <c r="Z1057" t="s">
        <v>43</v>
      </c>
      <c r="AA1057" t="s">
        <v>43</v>
      </c>
      <c r="AB1057" t="s">
        <v>2764</v>
      </c>
      <c r="AD1057" t="s">
        <v>3143</v>
      </c>
    </row>
    <row r="1058" spans="1:30" x14ac:dyDescent="0.4">
      <c r="A1058" t="s">
        <v>27</v>
      </c>
      <c r="B1058">
        <v>4435</v>
      </c>
      <c r="C1058" t="s">
        <v>28</v>
      </c>
      <c r="D1058" t="s">
        <v>2754</v>
      </c>
      <c r="E1058" t="s">
        <v>2755</v>
      </c>
      <c r="F1058" t="s">
        <v>2756</v>
      </c>
      <c r="G1058" t="s">
        <v>2757</v>
      </c>
      <c r="H1058" t="s">
        <v>2758</v>
      </c>
      <c r="I1058" t="s">
        <v>426</v>
      </c>
      <c r="J1058" t="s">
        <v>2759</v>
      </c>
      <c r="K1058" t="s">
        <v>35</v>
      </c>
      <c r="L1058">
        <v>1732845255</v>
      </c>
      <c r="M1058" t="s">
        <v>2760</v>
      </c>
      <c r="N1058" t="s">
        <v>3027</v>
      </c>
      <c r="P1058" t="s">
        <v>2765</v>
      </c>
      <c r="Q1058" t="s">
        <v>2766</v>
      </c>
      <c r="R1058" t="s">
        <v>94</v>
      </c>
      <c r="S1058" t="s">
        <v>40</v>
      </c>
      <c r="T1058" s="1">
        <v>44593</v>
      </c>
      <c r="U1058">
        <v>0</v>
      </c>
      <c r="V1058">
        <v>5</v>
      </c>
      <c r="W1058" t="s">
        <v>66</v>
      </c>
      <c r="Y1058" t="s">
        <v>42</v>
      </c>
      <c r="Z1058" t="s">
        <v>43</v>
      </c>
      <c r="AA1058" t="s">
        <v>43</v>
      </c>
      <c r="AB1058" t="s">
        <v>2764</v>
      </c>
      <c r="AD1058" t="s">
        <v>3143</v>
      </c>
    </row>
    <row r="1059" spans="1:30" x14ac:dyDescent="0.4">
      <c r="A1059" t="s">
        <v>27</v>
      </c>
      <c r="B1059">
        <v>4435</v>
      </c>
      <c r="C1059" t="s">
        <v>28</v>
      </c>
      <c r="D1059" t="s">
        <v>2754</v>
      </c>
      <c r="E1059" t="s">
        <v>2755</v>
      </c>
      <c r="F1059" t="s">
        <v>2756</v>
      </c>
      <c r="G1059" t="s">
        <v>2757</v>
      </c>
      <c r="H1059" t="s">
        <v>2758</v>
      </c>
      <c r="I1059" t="s">
        <v>426</v>
      </c>
      <c r="J1059" t="s">
        <v>2759</v>
      </c>
      <c r="K1059" t="s">
        <v>35</v>
      </c>
      <c r="L1059">
        <v>1732845255</v>
      </c>
      <c r="M1059" t="s">
        <v>2760</v>
      </c>
      <c r="N1059" t="s">
        <v>3027</v>
      </c>
      <c r="P1059" t="s">
        <v>2762</v>
      </c>
      <c r="Q1059" t="s">
        <v>2763</v>
      </c>
      <c r="R1059" t="s">
        <v>58</v>
      </c>
      <c r="S1059" t="s">
        <v>82</v>
      </c>
      <c r="T1059" s="1">
        <v>43226</v>
      </c>
      <c r="U1059">
        <v>0</v>
      </c>
      <c r="V1059">
        <v>6</v>
      </c>
      <c r="W1059" t="s">
        <v>83</v>
      </c>
      <c r="Y1059" t="s">
        <v>42</v>
      </c>
      <c r="Z1059" t="s">
        <v>43</v>
      </c>
      <c r="AA1059" t="s">
        <v>43</v>
      </c>
      <c r="AB1059" t="s">
        <v>2764</v>
      </c>
      <c r="AD1059" t="s">
        <v>3143</v>
      </c>
    </row>
    <row r="1060" spans="1:30" x14ac:dyDescent="0.4">
      <c r="A1060" t="s">
        <v>27</v>
      </c>
      <c r="B1060">
        <v>4435</v>
      </c>
      <c r="C1060" t="s">
        <v>28</v>
      </c>
      <c r="D1060" t="s">
        <v>2754</v>
      </c>
      <c r="E1060" t="s">
        <v>2755</v>
      </c>
      <c r="F1060" t="s">
        <v>2756</v>
      </c>
      <c r="G1060" t="s">
        <v>2757</v>
      </c>
      <c r="H1060" t="s">
        <v>2758</v>
      </c>
      <c r="I1060" t="s">
        <v>426</v>
      </c>
      <c r="J1060" t="s">
        <v>2759</v>
      </c>
      <c r="K1060" t="s">
        <v>35</v>
      </c>
      <c r="L1060">
        <v>1732845255</v>
      </c>
      <c r="M1060" t="s">
        <v>2760</v>
      </c>
      <c r="N1060" t="s">
        <v>2761</v>
      </c>
      <c r="P1060" t="s">
        <v>2767</v>
      </c>
      <c r="Q1060" t="s">
        <v>2768</v>
      </c>
      <c r="R1060" t="s">
        <v>94</v>
      </c>
      <c r="S1060" t="s">
        <v>40</v>
      </c>
      <c r="T1060" s="1">
        <v>40609</v>
      </c>
      <c r="U1060">
        <v>0</v>
      </c>
      <c r="V1060">
        <v>0</v>
      </c>
      <c r="W1060" t="s">
        <v>59</v>
      </c>
      <c r="Y1060" t="s">
        <v>42</v>
      </c>
      <c r="Z1060" t="s">
        <v>43</v>
      </c>
      <c r="AA1060" t="s">
        <v>43</v>
      </c>
      <c r="AB1060" t="s">
        <v>2764</v>
      </c>
      <c r="AD1060" t="s">
        <v>3143</v>
      </c>
    </row>
    <row r="1061" spans="1:30" x14ac:dyDescent="0.4">
      <c r="A1061" t="s">
        <v>27</v>
      </c>
      <c r="B1061">
        <v>4435</v>
      </c>
      <c r="C1061" t="s">
        <v>28</v>
      </c>
      <c r="D1061" t="s">
        <v>2754</v>
      </c>
      <c r="E1061" t="s">
        <v>2755</v>
      </c>
      <c r="F1061" t="s">
        <v>2756</v>
      </c>
      <c r="G1061" t="s">
        <v>2757</v>
      </c>
      <c r="H1061" t="s">
        <v>2758</v>
      </c>
      <c r="I1061" t="s">
        <v>426</v>
      </c>
      <c r="J1061" t="s">
        <v>2759</v>
      </c>
      <c r="K1061" t="s">
        <v>35</v>
      </c>
      <c r="L1061">
        <v>1732845255</v>
      </c>
      <c r="M1061" t="s">
        <v>2760</v>
      </c>
      <c r="N1061" t="s">
        <v>2761</v>
      </c>
      <c r="P1061" t="s">
        <v>2769</v>
      </c>
      <c r="Q1061" t="s">
        <v>2770</v>
      </c>
      <c r="R1061" t="s">
        <v>58</v>
      </c>
      <c r="S1061" t="s">
        <v>40</v>
      </c>
      <c r="T1061" s="1">
        <v>41192</v>
      </c>
      <c r="U1061">
        <v>0</v>
      </c>
      <c r="V1061">
        <v>0</v>
      </c>
      <c r="W1061" t="s">
        <v>59</v>
      </c>
      <c r="Y1061" t="s">
        <v>42</v>
      </c>
      <c r="Z1061" t="s">
        <v>43</v>
      </c>
      <c r="AA1061" t="s">
        <v>43</v>
      </c>
      <c r="AB1061" t="s">
        <v>2764</v>
      </c>
      <c r="AD1061" t="s">
        <v>3143</v>
      </c>
    </row>
    <row r="1062" spans="1:30" x14ac:dyDescent="0.4">
      <c r="A1062" t="s">
        <v>27</v>
      </c>
      <c r="B1062">
        <v>787</v>
      </c>
      <c r="C1062" t="s">
        <v>68</v>
      </c>
      <c r="D1062" t="s">
        <v>2771</v>
      </c>
      <c r="E1062" t="s">
        <v>2772</v>
      </c>
      <c r="F1062" t="s">
        <v>2773</v>
      </c>
      <c r="H1062" t="s">
        <v>2774</v>
      </c>
      <c r="I1062" t="s">
        <v>1227</v>
      </c>
      <c r="J1062" t="s">
        <v>2775</v>
      </c>
      <c r="K1062" t="s">
        <v>35</v>
      </c>
      <c r="L1062">
        <v>1179855172</v>
      </c>
      <c r="M1062" t="s">
        <v>2776</v>
      </c>
      <c r="N1062" t="s">
        <v>2777</v>
      </c>
      <c r="P1062" t="s">
        <v>2778</v>
      </c>
      <c r="Q1062" t="s">
        <v>2779</v>
      </c>
      <c r="R1062" t="s">
        <v>94</v>
      </c>
      <c r="S1062" t="s">
        <v>40</v>
      </c>
      <c r="T1062" s="1">
        <v>40733</v>
      </c>
      <c r="U1062">
        <v>0</v>
      </c>
      <c r="V1062">
        <v>0</v>
      </c>
      <c r="W1062" t="s">
        <v>59</v>
      </c>
      <c r="Y1062" t="s">
        <v>42</v>
      </c>
      <c r="Z1062" t="s">
        <v>43</v>
      </c>
      <c r="AA1062" t="s">
        <v>43</v>
      </c>
      <c r="AD1062" t="s">
        <v>3143</v>
      </c>
    </row>
    <row r="1063" spans="1:30" x14ac:dyDescent="0.4">
      <c r="A1063" t="s">
        <v>27</v>
      </c>
      <c r="B1063">
        <v>787</v>
      </c>
      <c r="C1063" t="s">
        <v>68</v>
      </c>
      <c r="D1063" t="s">
        <v>2771</v>
      </c>
      <c r="E1063" t="s">
        <v>2772</v>
      </c>
      <c r="F1063" t="s">
        <v>2773</v>
      </c>
      <c r="H1063" t="s">
        <v>2774</v>
      </c>
      <c r="I1063" t="s">
        <v>1227</v>
      </c>
      <c r="J1063" t="s">
        <v>2775</v>
      </c>
      <c r="K1063" t="s">
        <v>35</v>
      </c>
      <c r="L1063">
        <v>1179855172</v>
      </c>
      <c r="M1063" t="s">
        <v>2776</v>
      </c>
      <c r="N1063" t="s">
        <v>2777</v>
      </c>
      <c r="P1063" t="s">
        <v>2780</v>
      </c>
      <c r="Q1063" t="s">
        <v>2781</v>
      </c>
      <c r="R1063" t="s">
        <v>94</v>
      </c>
      <c r="S1063" t="s">
        <v>82</v>
      </c>
      <c r="T1063" s="1">
        <v>41012</v>
      </c>
      <c r="U1063">
        <v>0</v>
      </c>
      <c r="V1063">
        <v>0</v>
      </c>
      <c r="W1063" t="s">
        <v>59</v>
      </c>
      <c r="Y1063" t="s">
        <v>42</v>
      </c>
      <c r="Z1063" t="s">
        <v>43</v>
      </c>
      <c r="AA1063" t="s">
        <v>43</v>
      </c>
      <c r="AD1063" t="s">
        <v>3143</v>
      </c>
    </row>
    <row r="1064" spans="1:30" x14ac:dyDescent="0.4">
      <c r="A1064" t="s">
        <v>27</v>
      </c>
      <c r="B1064">
        <v>787</v>
      </c>
      <c r="C1064" t="s">
        <v>68</v>
      </c>
      <c r="D1064" t="s">
        <v>2771</v>
      </c>
      <c r="E1064" t="s">
        <v>2772</v>
      </c>
      <c r="F1064" t="s">
        <v>2773</v>
      </c>
      <c r="H1064" t="s">
        <v>2774</v>
      </c>
      <c r="I1064" t="s">
        <v>1227</v>
      </c>
      <c r="J1064" t="s">
        <v>2775</v>
      </c>
      <c r="K1064" t="s">
        <v>35</v>
      </c>
      <c r="L1064">
        <v>1179855172</v>
      </c>
      <c r="M1064" t="s">
        <v>2776</v>
      </c>
      <c r="N1064" t="s">
        <v>3028</v>
      </c>
      <c r="P1064" t="s">
        <v>2782</v>
      </c>
      <c r="Q1064" t="s">
        <v>2783</v>
      </c>
      <c r="R1064" t="s">
        <v>94</v>
      </c>
      <c r="S1064" t="s">
        <v>40</v>
      </c>
      <c r="T1064" s="1">
        <v>44916</v>
      </c>
      <c r="U1064">
        <v>0</v>
      </c>
      <c r="V1064">
        <v>18</v>
      </c>
      <c r="Y1064" t="s">
        <v>42</v>
      </c>
      <c r="Z1064" t="s">
        <v>43</v>
      </c>
      <c r="AA1064" t="s">
        <v>43</v>
      </c>
      <c r="AD1064" t="s">
        <v>3143</v>
      </c>
    </row>
    <row r="1065" spans="1:30" x14ac:dyDescent="0.4">
      <c r="A1065" t="s">
        <v>27</v>
      </c>
      <c r="B1065">
        <v>787</v>
      </c>
      <c r="C1065" t="s">
        <v>68</v>
      </c>
      <c r="D1065" t="s">
        <v>2771</v>
      </c>
      <c r="E1065" t="s">
        <v>2772</v>
      </c>
      <c r="F1065" t="s">
        <v>2773</v>
      </c>
      <c r="H1065" t="s">
        <v>2774</v>
      </c>
      <c r="I1065" t="s">
        <v>1227</v>
      </c>
      <c r="J1065" t="s">
        <v>2775</v>
      </c>
      <c r="K1065" t="s">
        <v>35</v>
      </c>
      <c r="L1065">
        <v>1179855172</v>
      </c>
      <c r="M1065" t="s">
        <v>2776</v>
      </c>
      <c r="N1065" t="s">
        <v>3028</v>
      </c>
      <c r="P1065" t="s">
        <v>2784</v>
      </c>
      <c r="Q1065" t="s">
        <v>2785</v>
      </c>
      <c r="R1065" t="s">
        <v>94</v>
      </c>
      <c r="S1065" t="s">
        <v>82</v>
      </c>
      <c r="T1065" s="1">
        <v>43116</v>
      </c>
      <c r="U1065">
        <v>0</v>
      </c>
      <c r="V1065">
        <v>19</v>
      </c>
      <c r="Y1065" t="s">
        <v>42</v>
      </c>
      <c r="Z1065" t="s">
        <v>43</v>
      </c>
      <c r="AA1065" t="s">
        <v>43</v>
      </c>
      <c r="AD1065" t="s">
        <v>3143</v>
      </c>
    </row>
    <row r="1066" spans="1:30" x14ac:dyDescent="0.4">
      <c r="A1066" t="s">
        <v>27</v>
      </c>
      <c r="B1066">
        <v>787</v>
      </c>
      <c r="C1066" t="s">
        <v>68</v>
      </c>
      <c r="D1066" t="s">
        <v>2771</v>
      </c>
      <c r="E1066" t="s">
        <v>2772</v>
      </c>
      <c r="F1066" t="s">
        <v>2773</v>
      </c>
      <c r="H1066" t="s">
        <v>2774</v>
      </c>
      <c r="I1066" t="s">
        <v>1227</v>
      </c>
      <c r="J1066" t="s">
        <v>2775</v>
      </c>
      <c r="K1066" t="s">
        <v>35</v>
      </c>
      <c r="L1066">
        <v>1179855172</v>
      </c>
      <c r="M1066" t="s">
        <v>2776</v>
      </c>
      <c r="N1066" t="s">
        <v>3028</v>
      </c>
      <c r="P1066" t="s">
        <v>2784</v>
      </c>
      <c r="Q1066" t="s">
        <v>2785</v>
      </c>
      <c r="R1066" t="s">
        <v>94</v>
      </c>
      <c r="S1066" t="s">
        <v>82</v>
      </c>
      <c r="T1066" s="1">
        <v>43116</v>
      </c>
      <c r="U1066">
        <v>0</v>
      </c>
      <c r="V1066">
        <v>21</v>
      </c>
      <c r="Y1066" t="s">
        <v>42</v>
      </c>
      <c r="Z1066" t="s">
        <v>43</v>
      </c>
      <c r="AA1066" t="s">
        <v>43</v>
      </c>
      <c r="AD1066" t="s">
        <v>3143</v>
      </c>
    </row>
    <row r="1067" spans="1:30" x14ac:dyDescent="0.4">
      <c r="A1067" t="s">
        <v>27</v>
      </c>
      <c r="B1067">
        <v>1240</v>
      </c>
      <c r="C1067" t="s">
        <v>68</v>
      </c>
      <c r="D1067" t="s">
        <v>2786</v>
      </c>
      <c r="E1067" t="s">
        <v>2787</v>
      </c>
      <c r="F1067" t="s">
        <v>2788</v>
      </c>
      <c r="G1067" t="s">
        <v>2789</v>
      </c>
      <c r="H1067" t="s">
        <v>225</v>
      </c>
      <c r="I1067" t="s">
        <v>426</v>
      </c>
      <c r="J1067" t="s">
        <v>2790</v>
      </c>
      <c r="K1067" t="s">
        <v>35</v>
      </c>
      <c r="L1067">
        <v>7920795013</v>
      </c>
      <c r="M1067" t="s">
        <v>2791</v>
      </c>
      <c r="N1067" t="s">
        <v>3029</v>
      </c>
      <c r="P1067" t="s">
        <v>3130</v>
      </c>
      <c r="Q1067" t="s">
        <v>2793</v>
      </c>
      <c r="R1067" t="s">
        <v>3135</v>
      </c>
      <c r="S1067" t="s">
        <v>82</v>
      </c>
      <c r="T1067" s="1">
        <v>44155</v>
      </c>
      <c r="U1067">
        <v>0</v>
      </c>
      <c r="V1067">
        <v>21</v>
      </c>
      <c r="Y1067" t="s">
        <v>42</v>
      </c>
      <c r="Z1067" t="s">
        <v>43</v>
      </c>
      <c r="AA1067" t="s">
        <v>43</v>
      </c>
      <c r="AD1067" t="s">
        <v>3143</v>
      </c>
    </row>
    <row r="1068" spans="1:30" x14ac:dyDescent="0.4">
      <c r="A1068" t="s">
        <v>27</v>
      </c>
      <c r="B1068">
        <v>1240</v>
      </c>
      <c r="C1068" t="s">
        <v>68</v>
      </c>
      <c r="D1068" t="s">
        <v>2786</v>
      </c>
      <c r="E1068" t="s">
        <v>2787</v>
      </c>
      <c r="F1068" t="s">
        <v>2788</v>
      </c>
      <c r="G1068" t="s">
        <v>2789</v>
      </c>
      <c r="H1068" t="s">
        <v>225</v>
      </c>
      <c r="I1068" t="s">
        <v>426</v>
      </c>
      <c r="J1068" t="s">
        <v>2790</v>
      </c>
      <c r="K1068" t="s">
        <v>35</v>
      </c>
      <c r="L1068">
        <v>7920795013</v>
      </c>
      <c r="M1068" t="s">
        <v>2791</v>
      </c>
      <c r="N1068" t="s">
        <v>3029</v>
      </c>
      <c r="P1068" t="s">
        <v>3130</v>
      </c>
      <c r="Q1068" t="s">
        <v>2793</v>
      </c>
      <c r="R1068" t="s">
        <v>3135</v>
      </c>
      <c r="S1068" t="s">
        <v>82</v>
      </c>
      <c r="T1068" s="1">
        <v>44155</v>
      </c>
      <c r="U1068">
        <v>0</v>
      </c>
      <c r="V1068">
        <v>19</v>
      </c>
      <c r="Y1068" t="s">
        <v>42</v>
      </c>
      <c r="Z1068" t="s">
        <v>43</v>
      </c>
      <c r="AA1068" t="s">
        <v>43</v>
      </c>
      <c r="AD1068" t="s">
        <v>3143</v>
      </c>
    </row>
    <row r="1069" spans="1:30" x14ac:dyDescent="0.4">
      <c r="A1069" t="s">
        <v>27</v>
      </c>
      <c r="B1069">
        <v>5798</v>
      </c>
      <c r="C1069" t="s">
        <v>68</v>
      </c>
      <c r="D1069" t="s">
        <v>2794</v>
      </c>
      <c r="E1069" t="s">
        <v>2795</v>
      </c>
      <c r="F1069" t="s">
        <v>2796</v>
      </c>
      <c r="G1069" t="s">
        <v>2797</v>
      </c>
      <c r="H1069" t="s">
        <v>2798</v>
      </c>
      <c r="I1069" t="s">
        <v>528</v>
      </c>
      <c r="J1069" t="s">
        <v>2799</v>
      </c>
      <c r="K1069" t="s">
        <v>35</v>
      </c>
      <c r="L1069">
        <v>7854397610</v>
      </c>
      <c r="M1069" t="s">
        <v>2800</v>
      </c>
      <c r="N1069" t="s">
        <v>3030</v>
      </c>
      <c r="P1069" t="s">
        <v>3131</v>
      </c>
      <c r="Q1069" t="s">
        <v>2802</v>
      </c>
      <c r="R1069" t="s">
        <v>58</v>
      </c>
      <c r="S1069" t="s">
        <v>40</v>
      </c>
      <c r="T1069" s="1">
        <v>44688</v>
      </c>
      <c r="U1069">
        <v>0</v>
      </c>
      <c r="V1069">
        <v>8</v>
      </c>
      <c r="Y1069" t="s">
        <v>42</v>
      </c>
      <c r="Z1069" t="s">
        <v>43</v>
      </c>
      <c r="AA1069" t="s">
        <v>42</v>
      </c>
      <c r="AD1069" t="s">
        <v>3143</v>
      </c>
    </row>
    <row r="1070" spans="1:30" x14ac:dyDescent="0.4">
      <c r="A1070" t="s">
        <v>27</v>
      </c>
      <c r="B1070">
        <v>5798</v>
      </c>
      <c r="C1070" t="s">
        <v>68</v>
      </c>
      <c r="D1070" t="s">
        <v>2794</v>
      </c>
      <c r="E1070" t="s">
        <v>2795</v>
      </c>
      <c r="F1070" t="s">
        <v>2796</v>
      </c>
      <c r="G1070" t="s">
        <v>2797</v>
      </c>
      <c r="H1070" t="s">
        <v>2798</v>
      </c>
      <c r="I1070" t="s">
        <v>528</v>
      </c>
      <c r="J1070" t="s">
        <v>2799</v>
      </c>
      <c r="K1070" t="s">
        <v>35</v>
      </c>
      <c r="L1070">
        <v>7854397610</v>
      </c>
      <c r="M1070" t="s">
        <v>2800</v>
      </c>
      <c r="N1070" t="s">
        <v>3030</v>
      </c>
      <c r="P1070" t="s">
        <v>3131</v>
      </c>
      <c r="Q1070" t="s">
        <v>2802</v>
      </c>
      <c r="R1070" t="s">
        <v>58</v>
      </c>
      <c r="S1070" t="s">
        <v>40</v>
      </c>
      <c r="T1070" s="1">
        <v>44688</v>
      </c>
      <c r="U1070">
        <v>0</v>
      </c>
      <c r="V1070">
        <v>10</v>
      </c>
      <c r="Y1070" t="s">
        <v>42</v>
      </c>
      <c r="Z1070" t="s">
        <v>43</v>
      </c>
      <c r="AA1070" t="s">
        <v>42</v>
      </c>
      <c r="AD1070" t="s">
        <v>3143</v>
      </c>
    </row>
    <row r="1071" spans="1:30" x14ac:dyDescent="0.4">
      <c r="A1071" t="s">
        <v>27</v>
      </c>
      <c r="B1071" t="s">
        <v>2803</v>
      </c>
      <c r="D1071" t="s">
        <v>2804</v>
      </c>
      <c r="E1071" t="s">
        <v>2805</v>
      </c>
      <c r="F1071" t="s">
        <v>2806</v>
      </c>
      <c r="G1071" t="s">
        <v>2807</v>
      </c>
      <c r="H1071" t="s">
        <v>2808</v>
      </c>
      <c r="I1071" t="s">
        <v>215</v>
      </c>
      <c r="J1071" t="s">
        <v>2809</v>
      </c>
      <c r="K1071" t="s">
        <v>35</v>
      </c>
      <c r="L1071">
        <v>7711807109</v>
      </c>
      <c r="M1071" s="3" t="s">
        <v>2810</v>
      </c>
      <c r="N1071" t="s">
        <v>2811</v>
      </c>
      <c r="P1071" t="s">
        <v>2812</v>
      </c>
      <c r="R1071" t="s">
        <v>555</v>
      </c>
      <c r="S1071" t="s">
        <v>40</v>
      </c>
      <c r="T1071" s="1">
        <v>42722</v>
      </c>
      <c r="U1071">
        <v>0</v>
      </c>
      <c r="V1071">
        <v>8</v>
      </c>
      <c r="Y1071" t="s">
        <v>42</v>
      </c>
      <c r="Z1071" t="s">
        <v>43</v>
      </c>
      <c r="AA1071" t="s">
        <v>43</v>
      </c>
      <c r="AD1071" t="s">
        <v>3143</v>
      </c>
    </row>
    <row r="1072" spans="1:30" x14ac:dyDescent="0.4">
      <c r="A1072" t="s">
        <v>27</v>
      </c>
      <c r="B1072" t="s">
        <v>2803</v>
      </c>
      <c r="D1072" t="s">
        <v>2804</v>
      </c>
      <c r="E1072" t="s">
        <v>2805</v>
      </c>
      <c r="F1072" t="s">
        <v>2806</v>
      </c>
      <c r="G1072" t="s">
        <v>2807</v>
      </c>
      <c r="H1072" t="s">
        <v>2808</v>
      </c>
      <c r="I1072" t="s">
        <v>215</v>
      </c>
      <c r="J1072" t="s">
        <v>2809</v>
      </c>
      <c r="K1072" t="s">
        <v>35</v>
      </c>
      <c r="L1072">
        <v>7711807109</v>
      </c>
      <c r="M1072" s="3" t="s">
        <v>2810</v>
      </c>
      <c r="N1072" t="s">
        <v>2811</v>
      </c>
      <c r="P1072" t="s">
        <v>2812</v>
      </c>
      <c r="R1072" t="s">
        <v>555</v>
      </c>
      <c r="S1072" t="s">
        <v>40</v>
      </c>
      <c r="T1072" s="1">
        <v>42722</v>
      </c>
      <c r="U1072">
        <v>0</v>
      </c>
      <c r="V1072">
        <v>10</v>
      </c>
      <c r="Y1072" t="s">
        <v>42</v>
      </c>
      <c r="Z1072" t="s">
        <v>43</v>
      </c>
      <c r="AA1072" t="s">
        <v>43</v>
      </c>
      <c r="AD1072" t="s">
        <v>3143</v>
      </c>
    </row>
    <row r="1073" spans="1:30" x14ac:dyDescent="0.4">
      <c r="A1073" t="s">
        <v>27</v>
      </c>
      <c r="B1073" t="s">
        <v>2803</v>
      </c>
      <c r="D1073" t="s">
        <v>2804</v>
      </c>
      <c r="E1073" t="s">
        <v>2805</v>
      </c>
      <c r="F1073" t="s">
        <v>2806</v>
      </c>
      <c r="G1073" t="s">
        <v>2807</v>
      </c>
      <c r="H1073" t="s">
        <v>2808</v>
      </c>
      <c r="I1073" t="s">
        <v>215</v>
      </c>
      <c r="J1073" t="s">
        <v>2809</v>
      </c>
      <c r="K1073" t="s">
        <v>35</v>
      </c>
      <c r="L1073">
        <v>7711807109</v>
      </c>
      <c r="M1073" s="3" t="s">
        <v>2810</v>
      </c>
      <c r="N1073" t="s">
        <v>2811</v>
      </c>
      <c r="P1073" t="s">
        <v>2812</v>
      </c>
      <c r="R1073" t="s">
        <v>555</v>
      </c>
      <c r="S1073" t="s">
        <v>40</v>
      </c>
      <c r="T1073" s="1">
        <v>42722</v>
      </c>
      <c r="U1073">
        <v>0</v>
      </c>
      <c r="V1073">
        <v>11</v>
      </c>
      <c r="Y1073" t="s">
        <v>42</v>
      </c>
      <c r="Z1073" t="s">
        <v>43</v>
      </c>
      <c r="AA1073" t="s">
        <v>43</v>
      </c>
      <c r="AD1073" t="s">
        <v>3143</v>
      </c>
    </row>
    <row r="1074" spans="1:30" x14ac:dyDescent="0.4">
      <c r="A1074" t="s">
        <v>27</v>
      </c>
      <c r="B1074" t="s">
        <v>2813</v>
      </c>
      <c r="C1074" t="s">
        <v>68</v>
      </c>
      <c r="D1074" t="s">
        <v>2814</v>
      </c>
      <c r="E1074" t="s">
        <v>2815</v>
      </c>
      <c r="F1074" t="s">
        <v>2816</v>
      </c>
      <c r="G1074" t="s">
        <v>2817</v>
      </c>
      <c r="H1074" t="s">
        <v>2818</v>
      </c>
      <c r="I1074" t="s">
        <v>528</v>
      </c>
      <c r="J1074" t="s">
        <v>2819</v>
      </c>
      <c r="K1074" t="s">
        <v>35</v>
      </c>
      <c r="L1074">
        <v>1903877336</v>
      </c>
      <c r="M1074" s="3" t="s">
        <v>2820</v>
      </c>
      <c r="N1074" t="s">
        <v>2821</v>
      </c>
      <c r="P1074" t="s">
        <v>2822</v>
      </c>
      <c r="Q1074" t="s">
        <v>61</v>
      </c>
      <c r="R1074" t="s">
        <v>94</v>
      </c>
      <c r="S1074" t="s">
        <v>40</v>
      </c>
      <c r="T1074" s="1">
        <v>42644</v>
      </c>
      <c r="U1074">
        <v>0</v>
      </c>
      <c r="V1074">
        <v>7</v>
      </c>
      <c r="Y1074" t="s">
        <v>42</v>
      </c>
      <c r="Z1074" t="s">
        <v>43</v>
      </c>
      <c r="AA1074" t="s">
        <v>43</v>
      </c>
      <c r="AD1074" t="s">
        <v>3143</v>
      </c>
    </row>
    <row r="1075" spans="1:30" x14ac:dyDescent="0.4">
      <c r="A1075" t="s">
        <v>27</v>
      </c>
      <c r="B1075" t="s">
        <v>2813</v>
      </c>
      <c r="C1075" t="s">
        <v>68</v>
      </c>
      <c r="D1075" t="s">
        <v>2814</v>
      </c>
      <c r="E1075" t="s">
        <v>2815</v>
      </c>
      <c r="F1075" t="s">
        <v>2816</v>
      </c>
      <c r="G1075" t="s">
        <v>2817</v>
      </c>
      <c r="H1075" t="s">
        <v>2818</v>
      </c>
      <c r="I1075" t="s">
        <v>528</v>
      </c>
      <c r="J1075" t="s">
        <v>2819</v>
      </c>
      <c r="K1075" t="s">
        <v>35</v>
      </c>
      <c r="L1075">
        <v>1903877336</v>
      </c>
      <c r="M1075" s="3" t="s">
        <v>2820</v>
      </c>
      <c r="N1075" t="s">
        <v>2821</v>
      </c>
      <c r="P1075" t="s">
        <v>2822</v>
      </c>
      <c r="Q1075" t="s">
        <v>61</v>
      </c>
      <c r="R1075" t="s">
        <v>94</v>
      </c>
      <c r="S1075" t="s">
        <v>40</v>
      </c>
      <c r="T1075" s="1">
        <v>42644</v>
      </c>
      <c r="U1075">
        <v>0</v>
      </c>
      <c r="V1075">
        <v>18</v>
      </c>
      <c r="Y1075" t="s">
        <v>42</v>
      </c>
      <c r="Z1075" t="s">
        <v>43</v>
      </c>
      <c r="AA1075" t="s">
        <v>43</v>
      </c>
      <c r="AD1075" t="s">
        <v>3143</v>
      </c>
    </row>
    <row r="1076" spans="1:30" x14ac:dyDescent="0.4">
      <c r="A1076" t="s">
        <v>27</v>
      </c>
      <c r="B1076" t="s">
        <v>2813</v>
      </c>
      <c r="C1076" t="s">
        <v>68</v>
      </c>
      <c r="D1076" t="s">
        <v>2814</v>
      </c>
      <c r="E1076" t="s">
        <v>2815</v>
      </c>
      <c r="F1076" t="s">
        <v>2816</v>
      </c>
      <c r="G1076" t="s">
        <v>2817</v>
      </c>
      <c r="H1076" t="s">
        <v>2818</v>
      </c>
      <c r="I1076" t="s">
        <v>528</v>
      </c>
      <c r="J1076" t="s">
        <v>2819</v>
      </c>
      <c r="K1076" t="s">
        <v>35</v>
      </c>
      <c r="L1076">
        <v>1903877336</v>
      </c>
      <c r="M1076" s="3" t="s">
        <v>2820</v>
      </c>
      <c r="N1076" t="s">
        <v>2821</v>
      </c>
      <c r="P1076" t="s">
        <v>2822</v>
      </c>
      <c r="Q1076" t="s">
        <v>61</v>
      </c>
      <c r="R1076" t="s">
        <v>94</v>
      </c>
      <c r="S1076" t="s">
        <v>40</v>
      </c>
      <c r="T1076" s="1">
        <v>42644</v>
      </c>
      <c r="U1076">
        <v>0</v>
      </c>
      <c r="V1076">
        <v>20</v>
      </c>
      <c r="Y1076" t="s">
        <v>42</v>
      </c>
      <c r="Z1076" t="s">
        <v>43</v>
      </c>
      <c r="AA1076" t="s">
        <v>43</v>
      </c>
      <c r="AD1076" t="s">
        <v>3143</v>
      </c>
    </row>
    <row r="1078" spans="1:30" x14ac:dyDescent="0.4">
      <c r="R1078" t="s">
        <v>2845</v>
      </c>
      <c r="T1078" s="6" t="s">
        <v>2844</v>
      </c>
      <c r="U1078" t="s">
        <v>2846</v>
      </c>
    </row>
    <row r="1079" spans="1:30" x14ac:dyDescent="0.4">
      <c r="R1079">
        <v>1</v>
      </c>
      <c r="S1079" t="s">
        <v>382</v>
      </c>
      <c r="U1079" t="s">
        <v>2823</v>
      </c>
      <c r="V1079">
        <f>COUNTIF($V$2:$V$1076,$R1079)</f>
        <v>6</v>
      </c>
    </row>
    <row r="1080" spans="1:30" x14ac:dyDescent="0.4">
      <c r="R1080">
        <v>2</v>
      </c>
      <c r="S1080" t="s">
        <v>382</v>
      </c>
      <c r="U1080" t="s">
        <v>2824</v>
      </c>
      <c r="V1080">
        <f>COUNTIF($V$2:$V$1076,$R1080)</f>
        <v>15</v>
      </c>
    </row>
    <row r="1081" spans="1:30" x14ac:dyDescent="0.4">
      <c r="R1081">
        <v>3</v>
      </c>
      <c r="S1081" t="s">
        <v>170</v>
      </c>
      <c r="U1081" t="s">
        <v>2825</v>
      </c>
      <c r="V1081">
        <f>COUNTIF($V$2:$V$1076,$R1081)</f>
        <v>23</v>
      </c>
    </row>
    <row r="1082" spans="1:30" x14ac:dyDescent="0.4">
      <c r="R1082">
        <v>4</v>
      </c>
      <c r="S1082" t="s">
        <v>65</v>
      </c>
      <c r="T1082" t="s">
        <v>2841</v>
      </c>
      <c r="U1082" t="s">
        <v>2826</v>
      </c>
      <c r="V1082">
        <f>COUNTIF($V$2:$V$1076,$R1082)</f>
        <v>92</v>
      </c>
      <c r="W1082">
        <f>V1082/2</f>
        <v>46</v>
      </c>
    </row>
    <row r="1083" spans="1:30" x14ac:dyDescent="0.4">
      <c r="R1083">
        <v>5</v>
      </c>
      <c r="S1083" t="s">
        <v>66</v>
      </c>
      <c r="T1083" t="s">
        <v>2842</v>
      </c>
      <c r="U1083" t="s">
        <v>2827</v>
      </c>
      <c r="V1083">
        <f>COUNTIF($V$2:$V$1076,$R1083)</f>
        <v>91</v>
      </c>
      <c r="W1083">
        <f>V1083/2</f>
        <v>45.5</v>
      </c>
    </row>
    <row r="1084" spans="1:30" x14ac:dyDescent="0.4">
      <c r="R1084">
        <v>6</v>
      </c>
      <c r="S1084" t="s">
        <v>83</v>
      </c>
      <c r="T1084" s="5" t="s">
        <v>41</v>
      </c>
      <c r="U1084" t="s">
        <v>2828</v>
      </c>
      <c r="V1084">
        <f>COUNTIF($V$2:$V$1076,$R1084)</f>
        <v>63</v>
      </c>
      <c r="W1084">
        <f>V1084/2</f>
        <v>31.5</v>
      </c>
    </row>
    <row r="1085" spans="1:30" x14ac:dyDescent="0.4">
      <c r="R1085">
        <v>7</v>
      </c>
      <c r="S1085" t="s">
        <v>104</v>
      </c>
      <c r="U1085" t="s">
        <v>2829</v>
      </c>
      <c r="V1085">
        <f>COUNTIF($V$2:$V$1076,$R1085)</f>
        <v>55</v>
      </c>
    </row>
    <row r="1086" spans="1:30" x14ac:dyDescent="0.4">
      <c r="R1086">
        <v>8</v>
      </c>
      <c r="S1086" t="s">
        <v>377</v>
      </c>
      <c r="U1086" t="s">
        <v>2830</v>
      </c>
      <c r="V1086">
        <f>COUNTIF($V$2:$V$1076,$R1086)</f>
        <v>22</v>
      </c>
    </row>
    <row r="1087" spans="1:30" x14ac:dyDescent="0.4">
      <c r="R1087">
        <v>9</v>
      </c>
      <c r="S1087" t="s">
        <v>2842</v>
      </c>
      <c r="U1087" t="s">
        <v>2823</v>
      </c>
      <c r="V1087">
        <f>COUNTIF($V$2:$V$1076,$R1087)</f>
        <v>16</v>
      </c>
    </row>
    <row r="1088" spans="1:30" x14ac:dyDescent="0.4">
      <c r="R1088">
        <v>10</v>
      </c>
      <c r="S1088" t="s">
        <v>382</v>
      </c>
      <c r="U1088" t="s">
        <v>2824</v>
      </c>
      <c r="V1088">
        <f>COUNTIF($V$2:$V$1076,$R1088)</f>
        <v>23</v>
      </c>
    </row>
    <row r="1089" spans="18:22" x14ac:dyDescent="0.4">
      <c r="R1089">
        <v>11</v>
      </c>
      <c r="S1089" t="s">
        <v>297</v>
      </c>
      <c r="U1089" t="s">
        <v>2825</v>
      </c>
      <c r="V1089">
        <f>COUNTIF($V$2:$V$1076,$R1089)</f>
        <v>29</v>
      </c>
    </row>
    <row r="1090" spans="18:22" x14ac:dyDescent="0.4">
      <c r="R1090">
        <v>12</v>
      </c>
      <c r="S1090" t="s">
        <v>323</v>
      </c>
      <c r="U1090" t="s">
        <v>2831</v>
      </c>
      <c r="V1090">
        <f>COUNTIF($V$2:$V$1076,$R1090)</f>
        <v>51</v>
      </c>
    </row>
    <row r="1091" spans="18:22" x14ac:dyDescent="0.4">
      <c r="R1091">
        <v>13</v>
      </c>
      <c r="S1091" t="s">
        <v>95</v>
      </c>
      <c r="U1091" t="s">
        <v>2832</v>
      </c>
      <c r="V1091">
        <f>COUNTIF($V$2:$V$1076,$R1091)</f>
        <v>43</v>
      </c>
    </row>
    <row r="1092" spans="18:22" x14ac:dyDescent="0.4">
      <c r="R1092">
        <v>14</v>
      </c>
      <c r="S1092" t="s">
        <v>67</v>
      </c>
      <c r="U1092" t="s">
        <v>2833</v>
      </c>
      <c r="V1092">
        <f>COUNTIF($V$2:$V$1076,$R1092)</f>
        <v>55</v>
      </c>
    </row>
    <row r="1093" spans="18:22" x14ac:dyDescent="0.4">
      <c r="R1093">
        <v>15</v>
      </c>
      <c r="S1093" t="s">
        <v>84</v>
      </c>
      <c r="U1093" t="s">
        <v>2834</v>
      </c>
      <c r="V1093">
        <f>COUNTIF($V$2:$V$1076,$R1093)</f>
        <v>40</v>
      </c>
    </row>
    <row r="1094" spans="18:22" x14ac:dyDescent="0.4">
      <c r="R1094">
        <v>16</v>
      </c>
      <c r="S1094" s="5"/>
      <c r="U1094" t="s">
        <v>2835</v>
      </c>
      <c r="V1094">
        <f>COUNTIF($V$2:$V$1076,$R1094)</f>
        <v>44</v>
      </c>
    </row>
    <row r="1095" spans="18:22" x14ac:dyDescent="0.4">
      <c r="R1095">
        <v>17</v>
      </c>
      <c r="S1095" t="s">
        <v>2843</v>
      </c>
      <c r="U1095" t="s">
        <v>2836</v>
      </c>
      <c r="V1095">
        <f>COUNTIF($V$2:$V$1076,$R1095)</f>
        <v>30</v>
      </c>
    </row>
    <row r="1096" spans="18:22" x14ac:dyDescent="0.4">
      <c r="R1096">
        <v>18</v>
      </c>
      <c r="S1096" s="5" t="s">
        <v>210</v>
      </c>
      <c r="U1096" t="s">
        <v>2837</v>
      </c>
      <c r="V1096">
        <f>COUNTIF($V$2:$V$1076,$R1096)</f>
        <v>36</v>
      </c>
    </row>
    <row r="1097" spans="18:22" x14ac:dyDescent="0.4">
      <c r="R1097">
        <v>19</v>
      </c>
      <c r="S1097" t="s">
        <v>104</v>
      </c>
      <c r="U1097" t="s">
        <v>2838</v>
      </c>
      <c r="V1097">
        <f>COUNTIF($V$2:$V$1076,$R1097)</f>
        <v>28</v>
      </c>
    </row>
    <row r="1098" spans="18:22" x14ac:dyDescent="0.4">
      <c r="R1098">
        <v>20</v>
      </c>
      <c r="S1098" t="s">
        <v>141</v>
      </c>
      <c r="U1098" t="s">
        <v>2839</v>
      </c>
      <c r="V1098">
        <f>COUNTIF($V$2:$V$1076,$R1098)</f>
        <v>24</v>
      </c>
    </row>
    <row r="1099" spans="18:22" x14ac:dyDescent="0.4">
      <c r="R1099">
        <v>21</v>
      </c>
      <c r="S1099" t="s">
        <v>113</v>
      </c>
      <c r="U1099" t="s">
        <v>2840</v>
      </c>
      <c r="V1099">
        <f>COUNTIF($V$2:$V$1076,$R1099)</f>
        <v>18</v>
      </c>
    </row>
    <row r="1100" spans="18:22" x14ac:dyDescent="0.4">
      <c r="V1100" s="6">
        <f>SUM(V1079:V1099)</f>
        <v>804</v>
      </c>
    </row>
    <row r="1102" spans="18:22" x14ac:dyDescent="0.4">
      <c r="R1102">
        <v>0</v>
      </c>
      <c r="U1102" t="s">
        <v>2893</v>
      </c>
      <c r="V1102">
        <f>COUNTIF($V$2:$V$1076,$R1102)</f>
        <v>271</v>
      </c>
    </row>
  </sheetData>
  <hyperlinks>
    <hyperlink ref="M1074" r:id="rId1" xr:uid="{5CF18C9B-FA9F-4009-BC72-96B90210A194}"/>
    <hyperlink ref="M1075" r:id="rId2" xr:uid="{9D264646-994F-46F1-8FF7-C3F1E083FB02}"/>
    <hyperlink ref="M1076" r:id="rId3" xr:uid="{BA93265E-21C5-44F2-A3E5-C947687E7A1E}"/>
    <hyperlink ref="M1071" r:id="rId4" xr:uid="{E1B3266C-F6B6-43E3-B2AF-C86D139E949B}"/>
    <hyperlink ref="M1072" r:id="rId5" xr:uid="{4E69E20F-31E9-49CD-AC08-E3E8AFA25401}"/>
    <hyperlink ref="M1073" r:id="rId6" xr:uid="{054E9A92-30EF-4AA0-90EE-6F6B7A5E1DA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F6E0-29A5-423D-B28F-F8E9298CDD3D}">
  <dimension ref="A1:H805"/>
  <sheetViews>
    <sheetView topLeftCell="A46" workbookViewId="0">
      <selection activeCell="H3" sqref="H3:H351"/>
    </sheetView>
  </sheetViews>
  <sheetFormatPr defaultRowHeight="16" x14ac:dyDescent="0.4"/>
  <sheetData>
    <row r="1" spans="1:8" x14ac:dyDescent="0.4">
      <c r="A1" t="s">
        <v>3031</v>
      </c>
      <c r="B1" t="s">
        <v>40</v>
      </c>
      <c r="F1" t="s">
        <v>3031</v>
      </c>
      <c r="G1" t="s">
        <v>40</v>
      </c>
    </row>
    <row r="2" spans="1:8" x14ac:dyDescent="0.4">
      <c r="A2" t="s">
        <v>30</v>
      </c>
      <c r="B2" t="s">
        <v>38</v>
      </c>
      <c r="F2" t="s">
        <v>30</v>
      </c>
      <c r="G2" t="s">
        <v>38</v>
      </c>
      <c r="H2">
        <v>1</v>
      </c>
    </row>
    <row r="3" spans="1:8" x14ac:dyDescent="0.4">
      <c r="A3" t="s">
        <v>30</v>
      </c>
      <c r="B3" t="s">
        <v>44</v>
      </c>
      <c r="F3" t="s">
        <v>30</v>
      </c>
      <c r="G3" t="s">
        <v>44</v>
      </c>
      <c r="H3">
        <v>2</v>
      </c>
    </row>
    <row r="4" spans="1:8" x14ac:dyDescent="0.4">
      <c r="A4" t="s">
        <v>48</v>
      </c>
      <c r="B4" t="s">
        <v>63</v>
      </c>
      <c r="F4" t="s">
        <v>48</v>
      </c>
      <c r="G4" t="s">
        <v>63</v>
      </c>
      <c r="H4">
        <v>3</v>
      </c>
    </row>
    <row r="5" spans="1:8" x14ac:dyDescent="0.4">
      <c r="A5" t="s">
        <v>48</v>
      </c>
      <c r="B5" t="s">
        <v>63</v>
      </c>
      <c r="F5" t="s">
        <v>70</v>
      </c>
      <c r="G5" t="s">
        <v>80</v>
      </c>
      <c r="H5">
        <v>4</v>
      </c>
    </row>
    <row r="6" spans="1:8" x14ac:dyDescent="0.4">
      <c r="A6" t="s">
        <v>48</v>
      </c>
      <c r="B6" t="s">
        <v>63</v>
      </c>
      <c r="F6" t="s">
        <v>86</v>
      </c>
      <c r="G6" t="s">
        <v>100</v>
      </c>
      <c r="H6">
        <v>5</v>
      </c>
    </row>
    <row r="7" spans="1:8" x14ac:dyDescent="0.4">
      <c r="A7" t="s">
        <v>48</v>
      </c>
      <c r="B7" t="s">
        <v>63</v>
      </c>
      <c r="F7" t="s">
        <v>86</v>
      </c>
      <c r="G7" t="s">
        <v>98</v>
      </c>
      <c r="H7">
        <v>6</v>
      </c>
    </row>
    <row r="8" spans="1:8" x14ac:dyDescent="0.4">
      <c r="A8" t="s">
        <v>70</v>
      </c>
      <c r="B8" t="s">
        <v>80</v>
      </c>
      <c r="F8" t="s">
        <v>86</v>
      </c>
      <c r="G8" t="s">
        <v>102</v>
      </c>
      <c r="H8">
        <v>7</v>
      </c>
    </row>
    <row r="9" spans="1:8" x14ac:dyDescent="0.4">
      <c r="A9" t="s">
        <v>70</v>
      </c>
      <c r="B9" t="s">
        <v>80</v>
      </c>
      <c r="F9" t="s">
        <v>86</v>
      </c>
      <c r="G9" t="s">
        <v>92</v>
      </c>
      <c r="H9">
        <v>8</v>
      </c>
    </row>
    <row r="10" spans="1:8" x14ac:dyDescent="0.4">
      <c r="A10" t="s">
        <v>70</v>
      </c>
      <c r="B10" t="s">
        <v>80</v>
      </c>
      <c r="F10" t="s">
        <v>86</v>
      </c>
      <c r="G10" t="s">
        <v>96</v>
      </c>
      <c r="H10">
        <v>9</v>
      </c>
    </row>
    <row r="11" spans="1:8" x14ac:dyDescent="0.4">
      <c r="A11" t="s">
        <v>70</v>
      </c>
      <c r="B11" t="s">
        <v>80</v>
      </c>
      <c r="F11" t="s">
        <v>106</v>
      </c>
      <c r="G11" t="s">
        <v>114</v>
      </c>
      <c r="H11">
        <v>10</v>
      </c>
    </row>
    <row r="12" spans="1:8" x14ac:dyDescent="0.4">
      <c r="A12" t="s">
        <v>86</v>
      </c>
      <c r="B12" t="s">
        <v>100</v>
      </c>
      <c r="F12" t="s">
        <v>126</v>
      </c>
      <c r="G12" t="s">
        <v>133</v>
      </c>
      <c r="H12">
        <v>11</v>
      </c>
    </row>
    <row r="13" spans="1:8" x14ac:dyDescent="0.4">
      <c r="A13" t="s">
        <v>86</v>
      </c>
      <c r="B13" t="s">
        <v>98</v>
      </c>
      <c r="F13" t="s">
        <v>126</v>
      </c>
      <c r="G13" t="s">
        <v>139</v>
      </c>
      <c r="H13">
        <v>12</v>
      </c>
    </row>
    <row r="14" spans="1:8" x14ac:dyDescent="0.4">
      <c r="A14" t="s">
        <v>86</v>
      </c>
      <c r="B14" t="s">
        <v>102</v>
      </c>
      <c r="F14" t="s">
        <v>126</v>
      </c>
      <c r="G14" t="s">
        <v>136</v>
      </c>
      <c r="H14">
        <v>13</v>
      </c>
    </row>
    <row r="15" spans="1:8" x14ac:dyDescent="0.4">
      <c r="A15" t="s">
        <v>86</v>
      </c>
      <c r="B15" t="s">
        <v>92</v>
      </c>
      <c r="F15" t="s">
        <v>150</v>
      </c>
      <c r="G15" t="s">
        <v>158</v>
      </c>
      <c r="H15">
        <v>14</v>
      </c>
    </row>
    <row r="16" spans="1:8" x14ac:dyDescent="0.4">
      <c r="A16" t="s">
        <v>86</v>
      </c>
      <c r="B16" t="s">
        <v>96</v>
      </c>
      <c r="F16" t="s">
        <v>150</v>
      </c>
      <c r="G16" t="s">
        <v>156</v>
      </c>
      <c r="H16">
        <v>15</v>
      </c>
    </row>
    <row r="17" spans="1:8" x14ac:dyDescent="0.4">
      <c r="A17" t="s">
        <v>106</v>
      </c>
      <c r="B17" t="s">
        <v>114</v>
      </c>
      <c r="F17" t="s">
        <v>161</v>
      </c>
      <c r="G17" t="s">
        <v>167</v>
      </c>
      <c r="H17">
        <v>16</v>
      </c>
    </row>
    <row r="18" spans="1:8" x14ac:dyDescent="0.4">
      <c r="A18" t="s">
        <v>126</v>
      </c>
      <c r="B18" t="s">
        <v>133</v>
      </c>
      <c r="F18" t="s">
        <v>185</v>
      </c>
      <c r="G18" t="s">
        <v>192</v>
      </c>
      <c r="H18">
        <v>17</v>
      </c>
    </row>
    <row r="19" spans="1:8" x14ac:dyDescent="0.4">
      <c r="A19" t="s">
        <v>126</v>
      </c>
      <c r="B19" t="s">
        <v>133</v>
      </c>
      <c r="F19" t="s">
        <v>197</v>
      </c>
      <c r="G19" t="s">
        <v>208</v>
      </c>
      <c r="H19">
        <v>18</v>
      </c>
    </row>
    <row r="20" spans="1:8" x14ac:dyDescent="0.4">
      <c r="A20" t="s">
        <v>126</v>
      </c>
      <c r="B20" t="s">
        <v>139</v>
      </c>
      <c r="F20" t="s">
        <v>212</v>
      </c>
      <c r="G20" t="s">
        <v>221</v>
      </c>
      <c r="H20">
        <v>19</v>
      </c>
    </row>
    <row r="21" spans="1:8" x14ac:dyDescent="0.4">
      <c r="A21" t="s">
        <v>126</v>
      </c>
      <c r="B21" t="s">
        <v>139</v>
      </c>
      <c r="F21" t="s">
        <v>212</v>
      </c>
      <c r="G21" t="s">
        <v>218</v>
      </c>
      <c r="H21">
        <v>20</v>
      </c>
    </row>
    <row r="22" spans="1:8" x14ac:dyDescent="0.4">
      <c r="A22" t="s">
        <v>126</v>
      </c>
      <c r="B22" t="s">
        <v>136</v>
      </c>
      <c r="F22" t="s">
        <v>223</v>
      </c>
      <c r="G22" t="s">
        <v>233</v>
      </c>
      <c r="H22">
        <v>21</v>
      </c>
    </row>
    <row r="23" spans="1:8" x14ac:dyDescent="0.4">
      <c r="A23" t="s">
        <v>126</v>
      </c>
      <c r="B23" t="s">
        <v>136</v>
      </c>
      <c r="F23" t="s">
        <v>223</v>
      </c>
      <c r="G23" t="s">
        <v>230</v>
      </c>
      <c r="H23">
        <v>22</v>
      </c>
    </row>
    <row r="24" spans="1:8" x14ac:dyDescent="0.4">
      <c r="A24" t="s">
        <v>126</v>
      </c>
      <c r="B24" t="s">
        <v>136</v>
      </c>
      <c r="F24" t="s">
        <v>239</v>
      </c>
      <c r="G24" t="s">
        <v>251</v>
      </c>
      <c r="H24">
        <v>23</v>
      </c>
    </row>
    <row r="25" spans="1:8" x14ac:dyDescent="0.4">
      <c r="A25" t="s">
        <v>126</v>
      </c>
      <c r="B25" t="s">
        <v>136</v>
      </c>
      <c r="F25" t="s">
        <v>239</v>
      </c>
      <c r="G25" t="s">
        <v>255</v>
      </c>
      <c r="H25">
        <v>24</v>
      </c>
    </row>
    <row r="26" spans="1:8" x14ac:dyDescent="0.4">
      <c r="A26" t="s">
        <v>150</v>
      </c>
      <c r="B26" t="s">
        <v>158</v>
      </c>
      <c r="F26" t="s">
        <v>239</v>
      </c>
      <c r="G26" t="s">
        <v>253</v>
      </c>
      <c r="H26">
        <v>25</v>
      </c>
    </row>
    <row r="27" spans="1:8" x14ac:dyDescent="0.4">
      <c r="A27" t="s">
        <v>150</v>
      </c>
      <c r="B27" t="s">
        <v>158</v>
      </c>
      <c r="F27" t="s">
        <v>259</v>
      </c>
      <c r="G27" t="s">
        <v>273</v>
      </c>
      <c r="H27">
        <v>26</v>
      </c>
    </row>
    <row r="28" spans="1:8" x14ac:dyDescent="0.4">
      <c r="A28" t="s">
        <v>150</v>
      </c>
      <c r="B28" t="s">
        <v>156</v>
      </c>
      <c r="F28" t="s">
        <v>276</v>
      </c>
      <c r="G28" t="s">
        <v>282</v>
      </c>
      <c r="H28">
        <v>27</v>
      </c>
    </row>
    <row r="29" spans="1:8" x14ac:dyDescent="0.4">
      <c r="A29" t="s">
        <v>161</v>
      </c>
      <c r="B29" t="s">
        <v>167</v>
      </c>
      <c r="F29" t="s">
        <v>289</v>
      </c>
      <c r="G29" t="s">
        <v>294</v>
      </c>
      <c r="H29">
        <v>28</v>
      </c>
    </row>
    <row r="30" spans="1:8" x14ac:dyDescent="0.4">
      <c r="A30" t="s">
        <v>161</v>
      </c>
      <c r="B30" t="s">
        <v>167</v>
      </c>
      <c r="F30" t="s">
        <v>289</v>
      </c>
      <c r="G30" t="s">
        <v>295</v>
      </c>
      <c r="H30">
        <v>29</v>
      </c>
    </row>
    <row r="31" spans="1:8" x14ac:dyDescent="0.4">
      <c r="A31" t="s">
        <v>185</v>
      </c>
      <c r="B31" t="s">
        <v>192</v>
      </c>
      <c r="F31" t="s">
        <v>301</v>
      </c>
      <c r="G31" t="s">
        <v>324</v>
      </c>
      <c r="H31">
        <v>30</v>
      </c>
    </row>
    <row r="32" spans="1:8" x14ac:dyDescent="0.4">
      <c r="A32" t="s">
        <v>185</v>
      </c>
      <c r="B32" t="s">
        <v>192</v>
      </c>
      <c r="F32" t="s">
        <v>301</v>
      </c>
      <c r="G32" t="s">
        <v>320</v>
      </c>
      <c r="H32">
        <v>31</v>
      </c>
    </row>
    <row r="33" spans="1:8" x14ac:dyDescent="0.4">
      <c r="A33" t="s">
        <v>197</v>
      </c>
      <c r="B33" t="s">
        <v>208</v>
      </c>
      <c r="F33" t="s">
        <v>301</v>
      </c>
      <c r="G33" t="s">
        <v>312</v>
      </c>
      <c r="H33">
        <v>32</v>
      </c>
    </row>
    <row r="34" spans="1:8" x14ac:dyDescent="0.4">
      <c r="A34" t="s">
        <v>197</v>
      </c>
      <c r="B34" t="s">
        <v>208</v>
      </c>
      <c r="F34" t="s">
        <v>301</v>
      </c>
      <c r="G34" t="s">
        <v>310</v>
      </c>
      <c r="H34">
        <v>33</v>
      </c>
    </row>
    <row r="35" spans="1:8" x14ac:dyDescent="0.4">
      <c r="A35" t="s">
        <v>197</v>
      </c>
      <c r="B35" t="s">
        <v>208</v>
      </c>
      <c r="F35" t="s">
        <v>301</v>
      </c>
      <c r="G35" t="s">
        <v>308</v>
      </c>
      <c r="H35">
        <v>34</v>
      </c>
    </row>
    <row r="36" spans="1:8" x14ac:dyDescent="0.4">
      <c r="A36" t="s">
        <v>212</v>
      </c>
      <c r="B36" t="s">
        <v>221</v>
      </c>
      <c r="F36" t="s">
        <v>327</v>
      </c>
      <c r="G36" t="s">
        <v>334</v>
      </c>
      <c r="H36">
        <v>35</v>
      </c>
    </row>
    <row r="37" spans="1:8" x14ac:dyDescent="0.4">
      <c r="A37" t="s">
        <v>212</v>
      </c>
      <c r="B37" t="s">
        <v>221</v>
      </c>
      <c r="F37" t="s">
        <v>336</v>
      </c>
      <c r="G37" t="s">
        <v>343</v>
      </c>
      <c r="H37">
        <v>36</v>
      </c>
    </row>
    <row r="38" spans="1:8" x14ac:dyDescent="0.4">
      <c r="A38" t="s">
        <v>212</v>
      </c>
      <c r="B38" t="s">
        <v>218</v>
      </c>
      <c r="F38" t="s">
        <v>336</v>
      </c>
      <c r="G38" t="s">
        <v>341</v>
      </c>
      <c r="H38">
        <v>37</v>
      </c>
    </row>
    <row r="39" spans="1:8" x14ac:dyDescent="0.4">
      <c r="A39" t="s">
        <v>212</v>
      </c>
      <c r="B39" t="s">
        <v>218</v>
      </c>
      <c r="F39" t="s">
        <v>346</v>
      </c>
      <c r="G39" t="s">
        <v>352</v>
      </c>
      <c r="H39">
        <v>38</v>
      </c>
    </row>
    <row r="40" spans="1:8" x14ac:dyDescent="0.4">
      <c r="A40" t="s">
        <v>223</v>
      </c>
      <c r="B40" t="s">
        <v>233</v>
      </c>
      <c r="F40" t="s">
        <v>367</v>
      </c>
      <c r="G40" t="s">
        <v>378</v>
      </c>
      <c r="H40">
        <v>39</v>
      </c>
    </row>
    <row r="41" spans="1:8" x14ac:dyDescent="0.4">
      <c r="A41" t="s">
        <v>223</v>
      </c>
      <c r="B41" t="s">
        <v>230</v>
      </c>
      <c r="F41" t="s">
        <v>367</v>
      </c>
      <c r="G41" t="s">
        <v>374</v>
      </c>
      <c r="H41">
        <v>40</v>
      </c>
    </row>
    <row r="42" spans="1:8" x14ac:dyDescent="0.4">
      <c r="A42" t="s">
        <v>223</v>
      </c>
      <c r="B42" t="s">
        <v>230</v>
      </c>
      <c r="F42" t="s">
        <v>367</v>
      </c>
      <c r="G42" t="s">
        <v>380</v>
      </c>
      <c r="H42">
        <v>41</v>
      </c>
    </row>
    <row r="43" spans="1:8" x14ac:dyDescent="0.4">
      <c r="A43" t="s">
        <v>223</v>
      </c>
      <c r="B43" t="s">
        <v>230</v>
      </c>
      <c r="F43" t="s">
        <v>384</v>
      </c>
      <c r="G43" t="s">
        <v>394</v>
      </c>
      <c r="H43">
        <v>42</v>
      </c>
    </row>
    <row r="44" spans="1:8" x14ac:dyDescent="0.4">
      <c r="A44" t="s">
        <v>239</v>
      </c>
      <c r="B44" t="s">
        <v>251</v>
      </c>
      <c r="F44" t="s">
        <v>384</v>
      </c>
      <c r="G44" t="s">
        <v>396</v>
      </c>
      <c r="H44">
        <v>43</v>
      </c>
    </row>
    <row r="45" spans="1:8" x14ac:dyDescent="0.4">
      <c r="A45" t="s">
        <v>239</v>
      </c>
      <c r="B45" t="s">
        <v>251</v>
      </c>
      <c r="F45" t="s">
        <v>399</v>
      </c>
      <c r="G45" t="s">
        <v>417</v>
      </c>
      <c r="H45">
        <v>44</v>
      </c>
    </row>
    <row r="46" spans="1:8" x14ac:dyDescent="0.4">
      <c r="A46" t="s">
        <v>239</v>
      </c>
      <c r="B46" t="s">
        <v>255</v>
      </c>
      <c r="F46" t="s">
        <v>399</v>
      </c>
      <c r="G46" t="s">
        <v>419</v>
      </c>
      <c r="H46">
        <v>45</v>
      </c>
    </row>
    <row r="47" spans="1:8" x14ac:dyDescent="0.4">
      <c r="A47" t="s">
        <v>239</v>
      </c>
      <c r="B47" t="s">
        <v>255</v>
      </c>
      <c r="F47" t="s">
        <v>422</v>
      </c>
      <c r="G47" t="s">
        <v>431</v>
      </c>
      <c r="H47">
        <v>46</v>
      </c>
    </row>
    <row r="48" spans="1:8" x14ac:dyDescent="0.4">
      <c r="A48" t="s">
        <v>239</v>
      </c>
      <c r="B48" t="s">
        <v>253</v>
      </c>
      <c r="F48" t="s">
        <v>436</v>
      </c>
      <c r="G48" t="s">
        <v>443</v>
      </c>
      <c r="H48">
        <v>47</v>
      </c>
    </row>
    <row r="49" spans="1:8" x14ac:dyDescent="0.4">
      <c r="A49" t="s">
        <v>259</v>
      </c>
      <c r="B49" t="s">
        <v>273</v>
      </c>
      <c r="F49" t="s">
        <v>446</v>
      </c>
      <c r="G49" t="s">
        <v>453</v>
      </c>
      <c r="H49">
        <v>48</v>
      </c>
    </row>
    <row r="50" spans="1:8" x14ac:dyDescent="0.4">
      <c r="A50" t="s">
        <v>259</v>
      </c>
      <c r="B50" t="s">
        <v>273</v>
      </c>
      <c r="F50" t="s">
        <v>455</v>
      </c>
      <c r="G50" t="s">
        <v>462</v>
      </c>
      <c r="H50">
        <v>49</v>
      </c>
    </row>
    <row r="51" spans="1:8" x14ac:dyDescent="0.4">
      <c r="A51" t="s">
        <v>276</v>
      </c>
      <c r="B51" t="s">
        <v>282</v>
      </c>
      <c r="F51" t="s">
        <v>466</v>
      </c>
      <c r="G51" t="s">
        <v>472</v>
      </c>
      <c r="H51">
        <v>50</v>
      </c>
    </row>
    <row r="52" spans="1:8" x14ac:dyDescent="0.4">
      <c r="A52" t="s">
        <v>276</v>
      </c>
      <c r="B52" t="s">
        <v>282</v>
      </c>
      <c r="F52" t="s">
        <v>466</v>
      </c>
      <c r="G52" t="s">
        <v>475</v>
      </c>
      <c r="H52">
        <v>51</v>
      </c>
    </row>
    <row r="53" spans="1:8" x14ac:dyDescent="0.4">
      <c r="A53" t="s">
        <v>289</v>
      </c>
      <c r="B53" t="s">
        <v>294</v>
      </c>
      <c r="F53" t="s">
        <v>482</v>
      </c>
      <c r="G53" t="s">
        <v>487</v>
      </c>
      <c r="H53">
        <v>52</v>
      </c>
    </row>
    <row r="54" spans="1:8" x14ac:dyDescent="0.4">
      <c r="A54" t="s">
        <v>289</v>
      </c>
      <c r="B54" t="s">
        <v>295</v>
      </c>
      <c r="F54" t="s">
        <v>482</v>
      </c>
      <c r="G54" t="s">
        <v>489</v>
      </c>
      <c r="H54">
        <v>53</v>
      </c>
    </row>
    <row r="55" spans="1:8" x14ac:dyDescent="0.4">
      <c r="A55" t="s">
        <v>289</v>
      </c>
      <c r="B55" t="s">
        <v>295</v>
      </c>
      <c r="F55" t="s">
        <v>2815</v>
      </c>
      <c r="G55" t="s">
        <v>2822</v>
      </c>
      <c r="H55">
        <v>54</v>
      </c>
    </row>
    <row r="56" spans="1:8" x14ac:dyDescent="0.4">
      <c r="A56" t="s">
        <v>301</v>
      </c>
      <c r="B56" t="s">
        <v>324</v>
      </c>
      <c r="F56" t="s">
        <v>492</v>
      </c>
      <c r="G56" t="s">
        <v>498</v>
      </c>
      <c r="H56">
        <v>55</v>
      </c>
    </row>
    <row r="57" spans="1:8" x14ac:dyDescent="0.4">
      <c r="A57" t="s">
        <v>301</v>
      </c>
      <c r="B57" t="s">
        <v>324</v>
      </c>
      <c r="F57" t="s">
        <v>502</v>
      </c>
      <c r="G57" t="s">
        <v>507</v>
      </c>
      <c r="H57">
        <v>56</v>
      </c>
    </row>
    <row r="58" spans="1:8" x14ac:dyDescent="0.4">
      <c r="A58" t="s">
        <v>301</v>
      </c>
      <c r="B58" t="s">
        <v>320</v>
      </c>
      <c r="F58" t="s">
        <v>502</v>
      </c>
      <c r="G58" t="s">
        <v>510</v>
      </c>
      <c r="H58">
        <v>57</v>
      </c>
    </row>
    <row r="59" spans="1:8" x14ac:dyDescent="0.4">
      <c r="A59" t="s">
        <v>301</v>
      </c>
      <c r="B59" t="s">
        <v>320</v>
      </c>
      <c r="F59" t="s">
        <v>502</v>
      </c>
      <c r="G59" t="s">
        <v>522</v>
      </c>
      <c r="H59">
        <v>58</v>
      </c>
    </row>
    <row r="60" spans="1:8" x14ac:dyDescent="0.4">
      <c r="A60" t="s">
        <v>301</v>
      </c>
      <c r="B60" t="s">
        <v>312</v>
      </c>
      <c r="F60" t="s">
        <v>525</v>
      </c>
      <c r="G60" t="s">
        <v>532</v>
      </c>
      <c r="H60">
        <v>59</v>
      </c>
    </row>
    <row r="61" spans="1:8" x14ac:dyDescent="0.4">
      <c r="A61" t="s">
        <v>301</v>
      </c>
      <c r="B61" t="s">
        <v>312</v>
      </c>
      <c r="F61" t="s">
        <v>536</v>
      </c>
      <c r="G61" t="s">
        <v>541</v>
      </c>
      <c r="H61">
        <v>60</v>
      </c>
    </row>
    <row r="62" spans="1:8" x14ac:dyDescent="0.4">
      <c r="A62" t="s">
        <v>301</v>
      </c>
      <c r="B62" t="s">
        <v>310</v>
      </c>
      <c r="F62" t="s">
        <v>536</v>
      </c>
      <c r="G62" t="s">
        <v>543</v>
      </c>
      <c r="H62">
        <v>61</v>
      </c>
    </row>
    <row r="63" spans="1:8" x14ac:dyDescent="0.4">
      <c r="A63" t="s">
        <v>301</v>
      </c>
      <c r="B63" t="s">
        <v>308</v>
      </c>
      <c r="F63" t="s">
        <v>546</v>
      </c>
      <c r="G63" t="s">
        <v>563</v>
      </c>
      <c r="H63">
        <v>62</v>
      </c>
    </row>
    <row r="64" spans="1:8" x14ac:dyDescent="0.4">
      <c r="A64" t="s">
        <v>327</v>
      </c>
      <c r="B64" t="s">
        <v>334</v>
      </c>
      <c r="F64" t="s">
        <v>546</v>
      </c>
      <c r="G64" t="s">
        <v>553</v>
      </c>
      <c r="H64">
        <v>63</v>
      </c>
    </row>
    <row r="65" spans="1:8" x14ac:dyDescent="0.4">
      <c r="A65" t="s">
        <v>327</v>
      </c>
      <c r="B65" t="s">
        <v>334</v>
      </c>
      <c r="F65" t="s">
        <v>571</v>
      </c>
      <c r="G65" t="s">
        <v>578</v>
      </c>
      <c r="H65">
        <v>64</v>
      </c>
    </row>
    <row r="66" spans="1:8" x14ac:dyDescent="0.4">
      <c r="A66" t="s">
        <v>336</v>
      </c>
      <c r="B66" t="s">
        <v>343</v>
      </c>
      <c r="F66" t="s">
        <v>582</v>
      </c>
      <c r="G66" t="s">
        <v>592</v>
      </c>
      <c r="H66">
        <v>65</v>
      </c>
    </row>
    <row r="67" spans="1:8" x14ac:dyDescent="0.4">
      <c r="A67" t="s">
        <v>336</v>
      </c>
      <c r="B67" t="s">
        <v>341</v>
      </c>
      <c r="F67" t="s">
        <v>582</v>
      </c>
      <c r="G67" t="s">
        <v>588</v>
      </c>
      <c r="H67">
        <v>66</v>
      </c>
    </row>
    <row r="68" spans="1:8" x14ac:dyDescent="0.4">
      <c r="A68" t="s">
        <v>346</v>
      </c>
      <c r="B68" t="s">
        <v>352</v>
      </c>
      <c r="F68" t="s">
        <v>595</v>
      </c>
      <c r="G68" t="s">
        <v>601</v>
      </c>
      <c r="H68">
        <v>67</v>
      </c>
    </row>
    <row r="69" spans="1:8" x14ac:dyDescent="0.4">
      <c r="A69" t="s">
        <v>346</v>
      </c>
      <c r="B69" t="s">
        <v>352</v>
      </c>
      <c r="F69" t="s">
        <v>604</v>
      </c>
      <c r="G69" t="s">
        <v>609</v>
      </c>
      <c r="H69">
        <v>68</v>
      </c>
    </row>
    <row r="70" spans="1:8" x14ac:dyDescent="0.4">
      <c r="A70" t="s">
        <v>346</v>
      </c>
      <c r="B70" t="s">
        <v>352</v>
      </c>
      <c r="F70" t="s">
        <v>612</v>
      </c>
      <c r="G70" t="s">
        <v>618</v>
      </c>
      <c r="H70">
        <v>69</v>
      </c>
    </row>
    <row r="71" spans="1:8" x14ac:dyDescent="0.4">
      <c r="A71" t="s">
        <v>346</v>
      </c>
      <c r="B71" t="s">
        <v>352</v>
      </c>
      <c r="F71" t="s">
        <v>630</v>
      </c>
      <c r="G71" t="s">
        <v>639</v>
      </c>
      <c r="H71">
        <v>70</v>
      </c>
    </row>
    <row r="72" spans="1:8" x14ac:dyDescent="0.4">
      <c r="A72" t="s">
        <v>367</v>
      </c>
      <c r="B72" t="s">
        <v>378</v>
      </c>
      <c r="F72" t="s">
        <v>644</v>
      </c>
      <c r="G72" t="s">
        <v>652</v>
      </c>
      <c r="H72">
        <v>71</v>
      </c>
    </row>
    <row r="73" spans="1:8" x14ac:dyDescent="0.4">
      <c r="A73" t="s">
        <v>367</v>
      </c>
      <c r="B73" t="s">
        <v>374</v>
      </c>
      <c r="F73" t="s">
        <v>644</v>
      </c>
      <c r="G73" t="s">
        <v>654</v>
      </c>
      <c r="H73">
        <v>72</v>
      </c>
    </row>
    <row r="74" spans="1:8" x14ac:dyDescent="0.4">
      <c r="A74" t="s">
        <v>367</v>
      </c>
      <c r="B74" t="s">
        <v>380</v>
      </c>
      <c r="F74" t="s">
        <v>657</v>
      </c>
      <c r="G74" t="s">
        <v>664</v>
      </c>
      <c r="H74">
        <v>73</v>
      </c>
    </row>
    <row r="75" spans="1:8" x14ac:dyDescent="0.4">
      <c r="A75" t="s">
        <v>384</v>
      </c>
      <c r="B75" t="s">
        <v>394</v>
      </c>
      <c r="F75" t="s">
        <v>657</v>
      </c>
      <c r="G75" t="s">
        <v>666</v>
      </c>
      <c r="H75">
        <v>74</v>
      </c>
    </row>
    <row r="76" spans="1:8" x14ac:dyDescent="0.4">
      <c r="A76" t="s">
        <v>384</v>
      </c>
      <c r="B76" t="s">
        <v>394</v>
      </c>
      <c r="F76" t="s">
        <v>669</v>
      </c>
      <c r="G76" t="s">
        <v>683</v>
      </c>
      <c r="H76">
        <v>75</v>
      </c>
    </row>
    <row r="77" spans="1:8" x14ac:dyDescent="0.4">
      <c r="A77" t="s">
        <v>384</v>
      </c>
      <c r="B77" t="s">
        <v>394</v>
      </c>
      <c r="F77" t="s">
        <v>669</v>
      </c>
      <c r="G77" t="s">
        <v>685</v>
      </c>
      <c r="H77">
        <v>76</v>
      </c>
    </row>
    <row r="78" spans="1:8" x14ac:dyDescent="0.4">
      <c r="A78" t="s">
        <v>384</v>
      </c>
      <c r="B78" t="s">
        <v>394</v>
      </c>
      <c r="F78" t="s">
        <v>669</v>
      </c>
      <c r="G78" t="s">
        <v>675</v>
      </c>
      <c r="H78">
        <v>77</v>
      </c>
    </row>
    <row r="79" spans="1:8" x14ac:dyDescent="0.4">
      <c r="A79" t="s">
        <v>384</v>
      </c>
      <c r="B79" t="s">
        <v>396</v>
      </c>
      <c r="F79" t="s">
        <v>688</v>
      </c>
      <c r="G79" t="s">
        <v>697</v>
      </c>
      <c r="H79">
        <v>78</v>
      </c>
    </row>
    <row r="80" spans="1:8" x14ac:dyDescent="0.4">
      <c r="A80" t="s">
        <v>384</v>
      </c>
      <c r="B80" t="s">
        <v>396</v>
      </c>
      <c r="F80" t="s">
        <v>688</v>
      </c>
      <c r="G80" t="s">
        <v>694</v>
      </c>
      <c r="H80">
        <v>79</v>
      </c>
    </row>
    <row r="81" spans="1:8" x14ac:dyDescent="0.4">
      <c r="A81" t="s">
        <v>399</v>
      </c>
      <c r="B81" t="s">
        <v>417</v>
      </c>
      <c r="F81" t="s">
        <v>700</v>
      </c>
      <c r="G81" t="s">
        <v>710</v>
      </c>
      <c r="H81">
        <v>80</v>
      </c>
    </row>
    <row r="82" spans="1:8" x14ac:dyDescent="0.4">
      <c r="A82" t="s">
        <v>399</v>
      </c>
      <c r="B82" t="s">
        <v>419</v>
      </c>
      <c r="F82" t="s">
        <v>700</v>
      </c>
      <c r="G82" t="s">
        <v>707</v>
      </c>
      <c r="H82">
        <v>81</v>
      </c>
    </row>
    <row r="83" spans="1:8" x14ac:dyDescent="0.4">
      <c r="A83" t="s">
        <v>422</v>
      </c>
      <c r="B83" t="s">
        <v>431</v>
      </c>
      <c r="F83" t="s">
        <v>715</v>
      </c>
      <c r="G83" t="s">
        <v>724</v>
      </c>
      <c r="H83">
        <v>82</v>
      </c>
    </row>
    <row r="84" spans="1:8" x14ac:dyDescent="0.4">
      <c r="A84" t="s">
        <v>422</v>
      </c>
      <c r="B84" t="s">
        <v>431</v>
      </c>
      <c r="F84" t="s">
        <v>727</v>
      </c>
      <c r="G84" t="s">
        <v>738</v>
      </c>
      <c r="H84">
        <v>83</v>
      </c>
    </row>
    <row r="85" spans="1:8" x14ac:dyDescent="0.4">
      <c r="A85" t="s">
        <v>436</v>
      </c>
      <c r="B85" t="s">
        <v>443</v>
      </c>
      <c r="F85" t="s">
        <v>727</v>
      </c>
      <c r="G85" t="s">
        <v>735</v>
      </c>
      <c r="H85">
        <v>84</v>
      </c>
    </row>
    <row r="86" spans="1:8" x14ac:dyDescent="0.4">
      <c r="A86" t="s">
        <v>446</v>
      </c>
      <c r="B86" t="s">
        <v>453</v>
      </c>
      <c r="F86" t="s">
        <v>741</v>
      </c>
      <c r="G86" t="s">
        <v>747</v>
      </c>
      <c r="H86">
        <v>85</v>
      </c>
    </row>
    <row r="87" spans="1:8" x14ac:dyDescent="0.4">
      <c r="A87" t="s">
        <v>455</v>
      </c>
      <c r="B87" t="s">
        <v>462</v>
      </c>
      <c r="F87" t="s">
        <v>749</v>
      </c>
      <c r="G87" t="s">
        <v>755</v>
      </c>
      <c r="H87">
        <v>86</v>
      </c>
    </row>
    <row r="88" spans="1:8" x14ac:dyDescent="0.4">
      <c r="A88" t="s">
        <v>455</v>
      </c>
      <c r="B88" t="s">
        <v>462</v>
      </c>
      <c r="F88" t="s">
        <v>758</v>
      </c>
      <c r="G88" t="s">
        <v>770</v>
      </c>
      <c r="H88">
        <v>87</v>
      </c>
    </row>
    <row r="89" spans="1:8" x14ac:dyDescent="0.4">
      <c r="A89" t="s">
        <v>455</v>
      </c>
      <c r="B89" t="s">
        <v>462</v>
      </c>
      <c r="F89" t="s">
        <v>773</v>
      </c>
      <c r="G89" t="s">
        <v>785</v>
      </c>
      <c r="H89">
        <v>88</v>
      </c>
    </row>
    <row r="90" spans="1:8" x14ac:dyDescent="0.4">
      <c r="A90" t="s">
        <v>455</v>
      </c>
      <c r="B90" t="s">
        <v>462</v>
      </c>
      <c r="F90" t="s">
        <v>788</v>
      </c>
      <c r="G90" t="s">
        <v>795</v>
      </c>
      <c r="H90">
        <v>89</v>
      </c>
    </row>
    <row r="91" spans="1:8" x14ac:dyDescent="0.4">
      <c r="A91" t="s">
        <v>466</v>
      </c>
      <c r="B91" t="s">
        <v>472</v>
      </c>
      <c r="F91" t="s">
        <v>788</v>
      </c>
      <c r="G91" t="s">
        <v>797</v>
      </c>
      <c r="H91">
        <v>90</v>
      </c>
    </row>
    <row r="92" spans="1:8" x14ac:dyDescent="0.4">
      <c r="A92" t="s">
        <v>466</v>
      </c>
      <c r="B92" t="s">
        <v>472</v>
      </c>
      <c r="F92" t="s">
        <v>799</v>
      </c>
      <c r="G92" t="s">
        <v>805</v>
      </c>
      <c r="H92">
        <v>91</v>
      </c>
    </row>
    <row r="93" spans="1:8" x14ac:dyDescent="0.4">
      <c r="A93" t="s">
        <v>466</v>
      </c>
      <c r="B93" t="s">
        <v>475</v>
      </c>
      <c r="F93" t="s">
        <v>809</v>
      </c>
      <c r="G93" t="s">
        <v>817</v>
      </c>
      <c r="H93">
        <v>92</v>
      </c>
    </row>
    <row r="94" spans="1:8" x14ac:dyDescent="0.4">
      <c r="A94" t="s">
        <v>466</v>
      </c>
      <c r="B94" t="s">
        <v>475</v>
      </c>
      <c r="F94" t="s">
        <v>819</v>
      </c>
      <c r="G94" t="s">
        <v>826</v>
      </c>
      <c r="H94">
        <v>93</v>
      </c>
    </row>
    <row r="95" spans="1:8" x14ac:dyDescent="0.4">
      <c r="A95" t="s">
        <v>482</v>
      </c>
      <c r="B95" t="s">
        <v>487</v>
      </c>
      <c r="F95" t="s">
        <v>837</v>
      </c>
      <c r="G95" t="s">
        <v>846</v>
      </c>
      <c r="H95">
        <v>94</v>
      </c>
    </row>
    <row r="96" spans="1:8" x14ac:dyDescent="0.4">
      <c r="A96" t="s">
        <v>482</v>
      </c>
      <c r="B96" t="s">
        <v>487</v>
      </c>
      <c r="F96" t="s">
        <v>848</v>
      </c>
      <c r="G96" t="s">
        <v>854</v>
      </c>
      <c r="H96">
        <v>95</v>
      </c>
    </row>
    <row r="97" spans="1:8" x14ac:dyDescent="0.4">
      <c r="A97" t="s">
        <v>482</v>
      </c>
      <c r="B97" t="s">
        <v>487</v>
      </c>
      <c r="F97" t="s">
        <v>848</v>
      </c>
      <c r="G97" t="s">
        <v>856</v>
      </c>
      <c r="H97">
        <v>96</v>
      </c>
    </row>
    <row r="98" spans="1:8" x14ac:dyDescent="0.4">
      <c r="A98" t="s">
        <v>482</v>
      </c>
      <c r="B98" t="s">
        <v>487</v>
      </c>
      <c r="F98" t="s">
        <v>859</v>
      </c>
      <c r="G98" t="s">
        <v>866</v>
      </c>
      <c r="H98">
        <v>97</v>
      </c>
    </row>
    <row r="99" spans="1:8" x14ac:dyDescent="0.4">
      <c r="A99" t="s">
        <v>482</v>
      </c>
      <c r="B99" t="s">
        <v>489</v>
      </c>
      <c r="F99" t="s">
        <v>870</v>
      </c>
      <c r="G99" t="s">
        <v>879</v>
      </c>
      <c r="H99">
        <v>98</v>
      </c>
    </row>
    <row r="100" spans="1:8" x14ac:dyDescent="0.4">
      <c r="A100" t="s">
        <v>482</v>
      </c>
      <c r="B100" t="s">
        <v>489</v>
      </c>
      <c r="F100" t="s">
        <v>870</v>
      </c>
      <c r="G100" t="s">
        <v>881</v>
      </c>
      <c r="H100">
        <v>99</v>
      </c>
    </row>
    <row r="101" spans="1:8" x14ac:dyDescent="0.4">
      <c r="A101" t="s">
        <v>482</v>
      </c>
      <c r="B101" t="s">
        <v>489</v>
      </c>
      <c r="F101" t="s">
        <v>884</v>
      </c>
      <c r="G101" t="s">
        <v>891</v>
      </c>
      <c r="H101">
        <v>100</v>
      </c>
    </row>
    <row r="102" spans="1:8" x14ac:dyDescent="0.4">
      <c r="A102" t="s">
        <v>482</v>
      </c>
      <c r="B102" t="s">
        <v>489</v>
      </c>
      <c r="F102" t="s">
        <v>897</v>
      </c>
      <c r="G102" t="s">
        <v>906</v>
      </c>
      <c r="H102">
        <v>101</v>
      </c>
    </row>
    <row r="103" spans="1:8" x14ac:dyDescent="0.4">
      <c r="A103" t="s">
        <v>2815</v>
      </c>
      <c r="B103" t="s">
        <v>2822</v>
      </c>
      <c r="F103" t="s">
        <v>911</v>
      </c>
      <c r="G103" t="s">
        <v>917</v>
      </c>
      <c r="H103">
        <v>102</v>
      </c>
    </row>
    <row r="104" spans="1:8" x14ac:dyDescent="0.4">
      <c r="A104" t="s">
        <v>2815</v>
      </c>
      <c r="B104" t="s">
        <v>2822</v>
      </c>
      <c r="F104" t="s">
        <v>920</v>
      </c>
      <c r="G104" t="s">
        <v>930</v>
      </c>
      <c r="H104">
        <v>103</v>
      </c>
    </row>
    <row r="105" spans="1:8" x14ac:dyDescent="0.4">
      <c r="A105" t="s">
        <v>2815</v>
      </c>
      <c r="B105" t="s">
        <v>2822</v>
      </c>
      <c r="F105" t="s">
        <v>933</v>
      </c>
      <c r="G105" t="s">
        <v>938</v>
      </c>
      <c r="H105">
        <v>104</v>
      </c>
    </row>
    <row r="106" spans="1:8" x14ac:dyDescent="0.4">
      <c r="A106" t="s">
        <v>492</v>
      </c>
      <c r="B106" t="s">
        <v>498</v>
      </c>
      <c r="F106" t="s">
        <v>941</v>
      </c>
      <c r="G106" t="s">
        <v>948</v>
      </c>
      <c r="H106">
        <v>105</v>
      </c>
    </row>
    <row r="107" spans="1:8" x14ac:dyDescent="0.4">
      <c r="A107" t="s">
        <v>492</v>
      </c>
      <c r="B107" t="s">
        <v>498</v>
      </c>
      <c r="F107" t="s">
        <v>941</v>
      </c>
      <c r="G107" t="s">
        <v>946</v>
      </c>
      <c r="H107">
        <v>106</v>
      </c>
    </row>
    <row r="108" spans="1:8" x14ac:dyDescent="0.4">
      <c r="A108" t="s">
        <v>492</v>
      </c>
      <c r="B108" t="s">
        <v>498</v>
      </c>
      <c r="F108" t="s">
        <v>951</v>
      </c>
      <c r="G108" t="s">
        <v>958</v>
      </c>
      <c r="H108">
        <v>107</v>
      </c>
    </row>
    <row r="109" spans="1:8" x14ac:dyDescent="0.4">
      <c r="A109" t="s">
        <v>492</v>
      </c>
      <c r="B109" t="s">
        <v>498</v>
      </c>
      <c r="F109" t="s">
        <v>969</v>
      </c>
      <c r="G109" t="s">
        <v>977</v>
      </c>
      <c r="H109">
        <v>108</v>
      </c>
    </row>
    <row r="110" spans="1:8" x14ac:dyDescent="0.4">
      <c r="A110" t="s">
        <v>502</v>
      </c>
      <c r="B110" t="s">
        <v>507</v>
      </c>
      <c r="F110" t="s">
        <v>980</v>
      </c>
      <c r="G110" t="s">
        <v>988</v>
      </c>
      <c r="H110">
        <v>109</v>
      </c>
    </row>
    <row r="111" spans="1:8" x14ac:dyDescent="0.4">
      <c r="A111" t="s">
        <v>502</v>
      </c>
      <c r="B111" t="s">
        <v>510</v>
      </c>
      <c r="F111" t="s">
        <v>980</v>
      </c>
      <c r="G111" t="s">
        <v>986</v>
      </c>
      <c r="H111">
        <v>110</v>
      </c>
    </row>
    <row r="112" spans="1:8" x14ac:dyDescent="0.4">
      <c r="A112" t="s">
        <v>502</v>
      </c>
      <c r="B112" t="s">
        <v>522</v>
      </c>
      <c r="F112" t="s">
        <v>994</v>
      </c>
      <c r="G112" t="s">
        <v>999</v>
      </c>
      <c r="H112">
        <v>111</v>
      </c>
    </row>
    <row r="113" spans="1:8" x14ac:dyDescent="0.4">
      <c r="A113" t="s">
        <v>502</v>
      </c>
      <c r="B113" t="s">
        <v>522</v>
      </c>
      <c r="F113" t="s">
        <v>1002</v>
      </c>
      <c r="G113" t="s">
        <v>1008</v>
      </c>
      <c r="H113">
        <v>112</v>
      </c>
    </row>
    <row r="114" spans="1:8" x14ac:dyDescent="0.4">
      <c r="A114" t="s">
        <v>502</v>
      </c>
      <c r="B114" t="s">
        <v>522</v>
      </c>
      <c r="F114" t="s">
        <v>1013</v>
      </c>
      <c r="G114" t="s">
        <v>1020</v>
      </c>
      <c r="H114">
        <v>113</v>
      </c>
    </row>
    <row r="115" spans="1:8" x14ac:dyDescent="0.4">
      <c r="A115" t="s">
        <v>502</v>
      </c>
      <c r="B115" t="s">
        <v>522</v>
      </c>
      <c r="F115" t="s">
        <v>1013</v>
      </c>
      <c r="G115" t="s">
        <v>1022</v>
      </c>
      <c r="H115">
        <v>114</v>
      </c>
    </row>
    <row r="116" spans="1:8" x14ac:dyDescent="0.4">
      <c r="A116" t="s">
        <v>525</v>
      </c>
      <c r="B116" t="s">
        <v>532</v>
      </c>
      <c r="F116" t="s">
        <v>1025</v>
      </c>
      <c r="G116" t="s">
        <v>1033</v>
      </c>
      <c r="H116">
        <v>115</v>
      </c>
    </row>
    <row r="117" spans="1:8" x14ac:dyDescent="0.4">
      <c r="A117" t="s">
        <v>525</v>
      </c>
      <c r="B117" t="s">
        <v>532</v>
      </c>
      <c r="F117" t="s">
        <v>1025</v>
      </c>
      <c r="G117" t="s">
        <v>1035</v>
      </c>
      <c r="H117">
        <v>116</v>
      </c>
    </row>
    <row r="118" spans="1:8" x14ac:dyDescent="0.4">
      <c r="A118" t="s">
        <v>536</v>
      </c>
      <c r="B118" t="s">
        <v>541</v>
      </c>
      <c r="F118" t="s">
        <v>1025</v>
      </c>
      <c r="G118" t="s">
        <v>1037</v>
      </c>
      <c r="H118">
        <v>117</v>
      </c>
    </row>
    <row r="119" spans="1:8" x14ac:dyDescent="0.4">
      <c r="A119" t="s">
        <v>536</v>
      </c>
      <c r="B119" t="s">
        <v>541</v>
      </c>
      <c r="F119" t="s">
        <v>1041</v>
      </c>
      <c r="G119" t="s">
        <v>1048</v>
      </c>
      <c r="H119">
        <v>118</v>
      </c>
    </row>
    <row r="120" spans="1:8" x14ac:dyDescent="0.4">
      <c r="A120" t="s">
        <v>536</v>
      </c>
      <c r="B120" t="s">
        <v>541</v>
      </c>
      <c r="F120" t="s">
        <v>1052</v>
      </c>
      <c r="G120" t="s">
        <v>1060</v>
      </c>
      <c r="H120">
        <v>119</v>
      </c>
    </row>
    <row r="121" spans="1:8" x14ac:dyDescent="0.4">
      <c r="A121" t="s">
        <v>536</v>
      </c>
      <c r="B121" t="s">
        <v>541</v>
      </c>
      <c r="F121" t="s">
        <v>1052</v>
      </c>
      <c r="G121" t="s">
        <v>1057</v>
      </c>
      <c r="H121">
        <v>120</v>
      </c>
    </row>
    <row r="122" spans="1:8" x14ac:dyDescent="0.4">
      <c r="A122" t="s">
        <v>536</v>
      </c>
      <c r="B122" t="s">
        <v>543</v>
      </c>
      <c r="F122" t="s">
        <v>1063</v>
      </c>
      <c r="G122" t="s">
        <v>1069</v>
      </c>
      <c r="H122">
        <v>121</v>
      </c>
    </row>
    <row r="123" spans="1:8" x14ac:dyDescent="0.4">
      <c r="A123" t="s">
        <v>536</v>
      </c>
      <c r="B123" t="s">
        <v>543</v>
      </c>
      <c r="F123" t="s">
        <v>1072</v>
      </c>
      <c r="G123" t="s">
        <v>1078</v>
      </c>
      <c r="H123">
        <v>122</v>
      </c>
    </row>
    <row r="124" spans="1:8" x14ac:dyDescent="0.4">
      <c r="A124" t="s">
        <v>546</v>
      </c>
      <c r="B124" t="s">
        <v>563</v>
      </c>
      <c r="F124" t="s">
        <v>1081</v>
      </c>
      <c r="G124" t="s">
        <v>1092</v>
      </c>
      <c r="H124">
        <v>123</v>
      </c>
    </row>
    <row r="125" spans="1:8" x14ac:dyDescent="0.4">
      <c r="A125" t="s">
        <v>546</v>
      </c>
      <c r="B125" t="s">
        <v>563</v>
      </c>
      <c r="F125" t="s">
        <v>1081</v>
      </c>
      <c r="G125" t="s">
        <v>1094</v>
      </c>
      <c r="H125">
        <v>124</v>
      </c>
    </row>
    <row r="126" spans="1:8" x14ac:dyDescent="0.4">
      <c r="A126" t="s">
        <v>546</v>
      </c>
      <c r="B126" t="s">
        <v>553</v>
      </c>
      <c r="F126" t="s">
        <v>1097</v>
      </c>
      <c r="G126" t="s">
        <v>1107</v>
      </c>
      <c r="H126">
        <v>125</v>
      </c>
    </row>
    <row r="127" spans="1:8" x14ac:dyDescent="0.4">
      <c r="A127" t="s">
        <v>546</v>
      </c>
      <c r="B127" t="s">
        <v>553</v>
      </c>
      <c r="F127" t="s">
        <v>1097</v>
      </c>
      <c r="G127" t="s">
        <v>1109</v>
      </c>
      <c r="H127">
        <v>126</v>
      </c>
    </row>
    <row r="128" spans="1:8" x14ac:dyDescent="0.4">
      <c r="A128" t="s">
        <v>546</v>
      </c>
      <c r="B128" t="s">
        <v>553</v>
      </c>
      <c r="F128" t="s">
        <v>1097</v>
      </c>
      <c r="G128" t="s">
        <v>1112</v>
      </c>
      <c r="H128">
        <v>127</v>
      </c>
    </row>
    <row r="129" spans="1:8" x14ac:dyDescent="0.4">
      <c r="A129" t="s">
        <v>571</v>
      </c>
      <c r="B129" t="s">
        <v>578</v>
      </c>
      <c r="F129" t="s">
        <v>1097</v>
      </c>
      <c r="G129" t="s">
        <v>1105</v>
      </c>
      <c r="H129">
        <v>128</v>
      </c>
    </row>
    <row r="130" spans="1:8" x14ac:dyDescent="0.4">
      <c r="A130" t="s">
        <v>571</v>
      </c>
      <c r="B130" t="s">
        <v>578</v>
      </c>
      <c r="F130" t="s">
        <v>1118</v>
      </c>
      <c r="G130" t="s">
        <v>1123</v>
      </c>
      <c r="H130">
        <v>129</v>
      </c>
    </row>
    <row r="131" spans="1:8" x14ac:dyDescent="0.4">
      <c r="A131" t="s">
        <v>582</v>
      </c>
      <c r="B131" t="s">
        <v>592</v>
      </c>
      <c r="F131" t="s">
        <v>1135</v>
      </c>
      <c r="G131" t="s">
        <v>1142</v>
      </c>
      <c r="H131">
        <v>130</v>
      </c>
    </row>
    <row r="132" spans="1:8" x14ac:dyDescent="0.4">
      <c r="A132" t="s">
        <v>582</v>
      </c>
      <c r="B132" t="s">
        <v>592</v>
      </c>
      <c r="F132" t="s">
        <v>1135</v>
      </c>
      <c r="G132" t="s">
        <v>1144</v>
      </c>
      <c r="H132">
        <v>131</v>
      </c>
    </row>
    <row r="133" spans="1:8" x14ac:dyDescent="0.4">
      <c r="A133" t="s">
        <v>582</v>
      </c>
      <c r="B133" t="s">
        <v>588</v>
      </c>
      <c r="F133" t="s">
        <v>1147</v>
      </c>
      <c r="G133" t="s">
        <v>1159</v>
      </c>
      <c r="H133">
        <v>132</v>
      </c>
    </row>
    <row r="134" spans="1:8" x14ac:dyDescent="0.4">
      <c r="A134" t="s">
        <v>582</v>
      </c>
      <c r="B134" t="s">
        <v>588</v>
      </c>
      <c r="F134" t="s">
        <v>1162</v>
      </c>
      <c r="G134" t="s">
        <v>1173</v>
      </c>
      <c r="H134">
        <v>133</v>
      </c>
    </row>
    <row r="135" spans="1:8" x14ac:dyDescent="0.4">
      <c r="A135" t="s">
        <v>582</v>
      </c>
      <c r="B135" t="s">
        <v>588</v>
      </c>
      <c r="F135" t="s">
        <v>1185</v>
      </c>
      <c r="G135" t="s">
        <v>1202</v>
      </c>
      <c r="H135">
        <v>134</v>
      </c>
    </row>
    <row r="136" spans="1:8" x14ac:dyDescent="0.4">
      <c r="A136" t="s">
        <v>582</v>
      </c>
      <c r="B136" t="s">
        <v>588</v>
      </c>
      <c r="F136" t="s">
        <v>1185</v>
      </c>
      <c r="G136" t="s">
        <v>1205</v>
      </c>
      <c r="H136">
        <v>135</v>
      </c>
    </row>
    <row r="137" spans="1:8" x14ac:dyDescent="0.4">
      <c r="A137" t="s">
        <v>595</v>
      </c>
      <c r="B137" t="s">
        <v>601</v>
      </c>
      <c r="F137" t="s">
        <v>1208</v>
      </c>
      <c r="G137" t="s">
        <v>1216</v>
      </c>
      <c r="H137">
        <v>136</v>
      </c>
    </row>
    <row r="138" spans="1:8" x14ac:dyDescent="0.4">
      <c r="A138" t="s">
        <v>604</v>
      </c>
      <c r="B138" t="s">
        <v>609</v>
      </c>
      <c r="F138" t="s">
        <v>1224</v>
      </c>
      <c r="G138" t="s">
        <v>1232</v>
      </c>
      <c r="H138">
        <v>137</v>
      </c>
    </row>
    <row r="139" spans="1:8" x14ac:dyDescent="0.4">
      <c r="A139" t="s">
        <v>604</v>
      </c>
      <c r="B139" t="s">
        <v>609</v>
      </c>
      <c r="F139" t="s">
        <v>1237</v>
      </c>
      <c r="G139" t="s">
        <v>1242</v>
      </c>
      <c r="H139">
        <v>138</v>
      </c>
    </row>
    <row r="140" spans="1:8" x14ac:dyDescent="0.4">
      <c r="A140" t="s">
        <v>612</v>
      </c>
      <c r="B140" t="s">
        <v>618</v>
      </c>
      <c r="F140" t="s">
        <v>1237</v>
      </c>
      <c r="G140" t="s">
        <v>1244</v>
      </c>
      <c r="H140">
        <v>139</v>
      </c>
    </row>
    <row r="141" spans="1:8" x14ac:dyDescent="0.4">
      <c r="A141" t="s">
        <v>612</v>
      </c>
      <c r="B141" t="s">
        <v>618</v>
      </c>
      <c r="F141" t="s">
        <v>1237</v>
      </c>
      <c r="G141" t="s">
        <v>1246</v>
      </c>
      <c r="H141">
        <v>140</v>
      </c>
    </row>
    <row r="142" spans="1:8" x14ac:dyDescent="0.4">
      <c r="A142" t="s">
        <v>612</v>
      </c>
      <c r="B142" t="s">
        <v>618</v>
      </c>
      <c r="F142" t="s">
        <v>1249</v>
      </c>
      <c r="G142" t="s">
        <v>1256</v>
      </c>
      <c r="H142">
        <v>141</v>
      </c>
    </row>
    <row r="143" spans="1:8" x14ac:dyDescent="0.4">
      <c r="A143" t="s">
        <v>612</v>
      </c>
      <c r="B143" t="s">
        <v>618</v>
      </c>
      <c r="F143" t="s">
        <v>1249</v>
      </c>
      <c r="G143" t="s">
        <v>1258</v>
      </c>
      <c r="H143">
        <v>142</v>
      </c>
    </row>
    <row r="144" spans="1:8" x14ac:dyDescent="0.4">
      <c r="A144" t="s">
        <v>630</v>
      </c>
      <c r="B144" t="s">
        <v>639</v>
      </c>
      <c r="F144" t="s">
        <v>1260</v>
      </c>
      <c r="G144" t="s">
        <v>1265</v>
      </c>
      <c r="H144">
        <v>143</v>
      </c>
    </row>
    <row r="145" spans="1:8" x14ac:dyDescent="0.4">
      <c r="A145" t="s">
        <v>630</v>
      </c>
      <c r="B145" t="s">
        <v>639</v>
      </c>
      <c r="F145" t="s">
        <v>1267</v>
      </c>
      <c r="G145" t="s">
        <v>1280</v>
      </c>
      <c r="H145">
        <v>144</v>
      </c>
    </row>
    <row r="146" spans="1:8" x14ac:dyDescent="0.4">
      <c r="A146" t="s">
        <v>644</v>
      </c>
      <c r="B146" t="s">
        <v>652</v>
      </c>
      <c r="F146" t="s">
        <v>1267</v>
      </c>
      <c r="G146" t="s">
        <v>1278</v>
      </c>
      <c r="H146">
        <v>145</v>
      </c>
    </row>
    <row r="147" spans="1:8" x14ac:dyDescent="0.4">
      <c r="A147" t="s">
        <v>644</v>
      </c>
      <c r="B147" t="s">
        <v>652</v>
      </c>
      <c r="F147" t="s">
        <v>1283</v>
      </c>
      <c r="G147" t="s">
        <v>1289</v>
      </c>
      <c r="H147">
        <v>146</v>
      </c>
    </row>
    <row r="148" spans="1:8" x14ac:dyDescent="0.4">
      <c r="A148" t="s">
        <v>644</v>
      </c>
      <c r="B148" t="s">
        <v>652</v>
      </c>
      <c r="F148" t="s">
        <v>1283</v>
      </c>
      <c r="G148" t="s">
        <v>1292</v>
      </c>
      <c r="H148">
        <v>147</v>
      </c>
    </row>
    <row r="149" spans="1:8" x14ac:dyDescent="0.4">
      <c r="A149" t="s">
        <v>644</v>
      </c>
      <c r="B149" t="s">
        <v>654</v>
      </c>
      <c r="F149" t="s">
        <v>1283</v>
      </c>
      <c r="G149" t="s">
        <v>1312</v>
      </c>
      <c r="H149">
        <v>148</v>
      </c>
    </row>
    <row r="150" spans="1:8" x14ac:dyDescent="0.4">
      <c r="A150" t="s">
        <v>644</v>
      </c>
      <c r="B150" t="s">
        <v>654</v>
      </c>
      <c r="F150" t="s">
        <v>1283</v>
      </c>
      <c r="G150" t="s">
        <v>1303</v>
      </c>
      <c r="H150">
        <v>149</v>
      </c>
    </row>
    <row r="151" spans="1:8" x14ac:dyDescent="0.4">
      <c r="A151" t="s">
        <v>657</v>
      </c>
      <c r="B151" t="s">
        <v>664</v>
      </c>
      <c r="F151" t="s">
        <v>1316</v>
      </c>
      <c r="G151" t="s">
        <v>1324</v>
      </c>
      <c r="H151">
        <v>150</v>
      </c>
    </row>
    <row r="152" spans="1:8" x14ac:dyDescent="0.4">
      <c r="A152" t="s">
        <v>657</v>
      </c>
      <c r="B152" t="s">
        <v>664</v>
      </c>
      <c r="F152" t="s">
        <v>1316</v>
      </c>
      <c r="G152" t="s">
        <v>1326</v>
      </c>
      <c r="H152">
        <v>151</v>
      </c>
    </row>
    <row r="153" spans="1:8" x14ac:dyDescent="0.4">
      <c r="A153" t="s">
        <v>657</v>
      </c>
      <c r="B153" t="s">
        <v>666</v>
      </c>
      <c r="F153" t="s">
        <v>1316</v>
      </c>
      <c r="G153" t="s">
        <v>1331</v>
      </c>
      <c r="H153">
        <v>152</v>
      </c>
    </row>
    <row r="154" spans="1:8" x14ac:dyDescent="0.4">
      <c r="A154" t="s">
        <v>657</v>
      </c>
      <c r="B154" t="s">
        <v>666</v>
      </c>
      <c r="F154" t="s">
        <v>1334</v>
      </c>
      <c r="G154" t="s">
        <v>1339</v>
      </c>
      <c r="H154">
        <v>153</v>
      </c>
    </row>
    <row r="155" spans="1:8" x14ac:dyDescent="0.4">
      <c r="A155" t="s">
        <v>669</v>
      </c>
      <c r="B155" t="s">
        <v>683</v>
      </c>
      <c r="F155" t="s">
        <v>1342</v>
      </c>
      <c r="G155" t="s">
        <v>1347</v>
      </c>
      <c r="H155">
        <v>154</v>
      </c>
    </row>
    <row r="156" spans="1:8" x14ac:dyDescent="0.4">
      <c r="A156" t="s">
        <v>669</v>
      </c>
      <c r="B156" t="s">
        <v>683</v>
      </c>
      <c r="F156" t="s">
        <v>1350</v>
      </c>
      <c r="G156" t="s">
        <v>1357</v>
      </c>
      <c r="H156">
        <v>155</v>
      </c>
    </row>
    <row r="157" spans="1:8" x14ac:dyDescent="0.4">
      <c r="A157" t="s">
        <v>669</v>
      </c>
      <c r="B157" t="s">
        <v>685</v>
      </c>
      <c r="F157" t="s">
        <v>1360</v>
      </c>
      <c r="G157" t="s">
        <v>1368</v>
      </c>
      <c r="H157">
        <v>156</v>
      </c>
    </row>
    <row r="158" spans="1:8" x14ac:dyDescent="0.4">
      <c r="A158" t="s">
        <v>669</v>
      </c>
      <c r="B158" t="s">
        <v>685</v>
      </c>
      <c r="F158" t="s">
        <v>1370</v>
      </c>
      <c r="G158" t="s">
        <v>1376</v>
      </c>
      <c r="H158">
        <v>157</v>
      </c>
    </row>
    <row r="159" spans="1:8" x14ac:dyDescent="0.4">
      <c r="A159" t="s">
        <v>669</v>
      </c>
      <c r="B159" t="s">
        <v>675</v>
      </c>
      <c r="F159" t="s">
        <v>1380</v>
      </c>
      <c r="G159" t="s">
        <v>1387</v>
      </c>
      <c r="H159">
        <v>158</v>
      </c>
    </row>
    <row r="160" spans="1:8" x14ac:dyDescent="0.4">
      <c r="A160" t="s">
        <v>669</v>
      </c>
      <c r="B160" t="s">
        <v>675</v>
      </c>
      <c r="F160" t="s">
        <v>1390</v>
      </c>
      <c r="G160" t="s">
        <v>1398</v>
      </c>
      <c r="H160">
        <v>159</v>
      </c>
    </row>
    <row r="161" spans="1:8" x14ac:dyDescent="0.4">
      <c r="A161" t="s">
        <v>688</v>
      </c>
      <c r="B161" t="s">
        <v>697</v>
      </c>
      <c r="F161" t="s">
        <v>1390</v>
      </c>
      <c r="G161" t="s">
        <v>1401</v>
      </c>
      <c r="H161">
        <v>160</v>
      </c>
    </row>
    <row r="162" spans="1:8" x14ac:dyDescent="0.4">
      <c r="A162" t="s">
        <v>688</v>
      </c>
      <c r="B162" t="s">
        <v>697</v>
      </c>
      <c r="F162" t="s">
        <v>1414</v>
      </c>
      <c r="G162" t="s">
        <v>1421</v>
      </c>
      <c r="H162">
        <v>161</v>
      </c>
    </row>
    <row r="163" spans="1:8" x14ac:dyDescent="0.4">
      <c r="A163" t="s">
        <v>688</v>
      </c>
      <c r="B163" t="s">
        <v>697</v>
      </c>
      <c r="F163" t="s">
        <v>1424</v>
      </c>
      <c r="G163" t="s">
        <v>1430</v>
      </c>
      <c r="H163">
        <v>162</v>
      </c>
    </row>
    <row r="164" spans="1:8" x14ac:dyDescent="0.4">
      <c r="A164" t="s">
        <v>688</v>
      </c>
      <c r="B164" t="s">
        <v>697</v>
      </c>
      <c r="F164" t="s">
        <v>1432</v>
      </c>
      <c r="G164" t="s">
        <v>1454</v>
      </c>
      <c r="H164">
        <v>163</v>
      </c>
    </row>
    <row r="165" spans="1:8" x14ac:dyDescent="0.4">
      <c r="A165" t="s">
        <v>688</v>
      </c>
      <c r="B165" t="s">
        <v>694</v>
      </c>
      <c r="F165" t="s">
        <v>1432</v>
      </c>
      <c r="G165" t="s">
        <v>1451</v>
      </c>
      <c r="H165">
        <v>164</v>
      </c>
    </row>
    <row r="166" spans="1:8" x14ac:dyDescent="0.4">
      <c r="A166" t="s">
        <v>688</v>
      </c>
      <c r="B166" t="s">
        <v>694</v>
      </c>
      <c r="F166" t="s">
        <v>1432</v>
      </c>
      <c r="G166" t="s">
        <v>1441</v>
      </c>
      <c r="H166">
        <v>165</v>
      </c>
    </row>
    <row r="167" spans="1:8" x14ac:dyDescent="0.4">
      <c r="A167" t="s">
        <v>688</v>
      </c>
      <c r="B167" t="s">
        <v>694</v>
      </c>
      <c r="F167" t="s">
        <v>1432</v>
      </c>
      <c r="G167" t="s">
        <v>1443</v>
      </c>
      <c r="H167">
        <v>166</v>
      </c>
    </row>
    <row r="168" spans="1:8" x14ac:dyDescent="0.4">
      <c r="A168" t="s">
        <v>688</v>
      </c>
      <c r="B168" t="s">
        <v>694</v>
      </c>
      <c r="F168" t="s">
        <v>1457</v>
      </c>
      <c r="G168" t="s">
        <v>1461</v>
      </c>
      <c r="H168">
        <v>167</v>
      </c>
    </row>
    <row r="169" spans="1:8" x14ac:dyDescent="0.4">
      <c r="A169" t="s">
        <v>700</v>
      </c>
      <c r="B169" t="s">
        <v>710</v>
      </c>
      <c r="F169" t="s">
        <v>1464</v>
      </c>
      <c r="G169" t="s">
        <v>1473</v>
      </c>
      <c r="H169">
        <v>168</v>
      </c>
    </row>
    <row r="170" spans="1:8" x14ac:dyDescent="0.4">
      <c r="A170" t="s">
        <v>700</v>
      </c>
      <c r="B170" t="s">
        <v>710</v>
      </c>
      <c r="F170" t="s">
        <v>1464</v>
      </c>
      <c r="G170" t="s">
        <v>1471</v>
      </c>
      <c r="H170">
        <v>169</v>
      </c>
    </row>
    <row r="171" spans="1:8" x14ac:dyDescent="0.4">
      <c r="A171" t="s">
        <v>700</v>
      </c>
      <c r="B171" t="s">
        <v>707</v>
      </c>
      <c r="F171" t="s">
        <v>1476</v>
      </c>
      <c r="G171" t="s">
        <v>1487</v>
      </c>
      <c r="H171">
        <v>170</v>
      </c>
    </row>
    <row r="172" spans="1:8" x14ac:dyDescent="0.4">
      <c r="A172" t="s">
        <v>700</v>
      </c>
      <c r="B172" t="s">
        <v>707</v>
      </c>
      <c r="F172" t="s">
        <v>1489</v>
      </c>
      <c r="G172" t="s">
        <v>1499</v>
      </c>
      <c r="H172">
        <v>171</v>
      </c>
    </row>
    <row r="173" spans="1:8" x14ac:dyDescent="0.4">
      <c r="A173" t="s">
        <v>715</v>
      </c>
      <c r="B173" t="s">
        <v>724</v>
      </c>
      <c r="F173" t="s">
        <v>1489</v>
      </c>
      <c r="G173" t="s">
        <v>1501</v>
      </c>
      <c r="H173">
        <v>172</v>
      </c>
    </row>
    <row r="174" spans="1:8" x14ac:dyDescent="0.4">
      <c r="A174" t="s">
        <v>715</v>
      </c>
      <c r="B174" t="s">
        <v>724</v>
      </c>
      <c r="F174" t="s">
        <v>1504</v>
      </c>
      <c r="G174" t="s">
        <v>1508</v>
      </c>
      <c r="H174">
        <v>173</v>
      </c>
    </row>
    <row r="175" spans="1:8" x14ac:dyDescent="0.4">
      <c r="A175" t="s">
        <v>715</v>
      </c>
      <c r="B175" t="s">
        <v>724</v>
      </c>
      <c r="F175" t="s">
        <v>1511</v>
      </c>
      <c r="G175" t="s">
        <v>1517</v>
      </c>
      <c r="H175">
        <v>174</v>
      </c>
    </row>
    <row r="176" spans="1:8" x14ac:dyDescent="0.4">
      <c r="A176" t="s">
        <v>715</v>
      </c>
      <c r="B176" t="s">
        <v>724</v>
      </c>
      <c r="F176" t="s">
        <v>1519</v>
      </c>
      <c r="G176" t="s">
        <v>1525</v>
      </c>
      <c r="H176">
        <v>175</v>
      </c>
    </row>
    <row r="177" spans="1:8" x14ac:dyDescent="0.4">
      <c r="A177" t="s">
        <v>727</v>
      </c>
      <c r="B177" t="s">
        <v>738</v>
      </c>
      <c r="F177" t="s">
        <v>1529</v>
      </c>
      <c r="G177" t="s">
        <v>1535</v>
      </c>
      <c r="H177">
        <v>176</v>
      </c>
    </row>
    <row r="178" spans="1:8" x14ac:dyDescent="0.4">
      <c r="A178" t="s">
        <v>727</v>
      </c>
      <c r="B178" t="s">
        <v>735</v>
      </c>
      <c r="F178" t="s">
        <v>1540</v>
      </c>
      <c r="G178" t="s">
        <v>1545</v>
      </c>
      <c r="H178">
        <v>177</v>
      </c>
    </row>
    <row r="179" spans="1:8" x14ac:dyDescent="0.4">
      <c r="A179" t="s">
        <v>727</v>
      </c>
      <c r="B179" t="s">
        <v>735</v>
      </c>
      <c r="F179" t="s">
        <v>1548</v>
      </c>
      <c r="G179" t="s">
        <v>1556</v>
      </c>
      <c r="H179">
        <v>178</v>
      </c>
    </row>
    <row r="180" spans="1:8" x14ac:dyDescent="0.4">
      <c r="A180" t="s">
        <v>727</v>
      </c>
      <c r="B180" t="s">
        <v>735</v>
      </c>
      <c r="F180" t="s">
        <v>1559</v>
      </c>
      <c r="G180" t="s">
        <v>1564</v>
      </c>
      <c r="H180">
        <v>179</v>
      </c>
    </row>
    <row r="181" spans="1:8" x14ac:dyDescent="0.4">
      <c r="A181" t="s">
        <v>741</v>
      </c>
      <c r="B181" t="s">
        <v>747</v>
      </c>
      <c r="F181" t="s">
        <v>1566</v>
      </c>
      <c r="G181" t="s">
        <v>1573</v>
      </c>
      <c r="H181">
        <v>180</v>
      </c>
    </row>
    <row r="182" spans="1:8" x14ac:dyDescent="0.4">
      <c r="A182" t="s">
        <v>741</v>
      </c>
      <c r="B182" t="s">
        <v>747</v>
      </c>
      <c r="F182" t="s">
        <v>1566</v>
      </c>
      <c r="G182" t="s">
        <v>1593</v>
      </c>
      <c r="H182">
        <v>181</v>
      </c>
    </row>
    <row r="183" spans="1:8" x14ac:dyDescent="0.4">
      <c r="A183" t="s">
        <v>741</v>
      </c>
      <c r="B183" t="s">
        <v>747</v>
      </c>
      <c r="F183" t="s">
        <v>1566</v>
      </c>
      <c r="G183" t="s">
        <v>1585</v>
      </c>
      <c r="H183">
        <v>182</v>
      </c>
    </row>
    <row r="184" spans="1:8" x14ac:dyDescent="0.4">
      <c r="A184" t="s">
        <v>741</v>
      </c>
      <c r="B184" t="s">
        <v>747</v>
      </c>
      <c r="F184" t="s">
        <v>1566</v>
      </c>
      <c r="G184" t="s">
        <v>1575</v>
      </c>
      <c r="H184">
        <v>183</v>
      </c>
    </row>
    <row r="185" spans="1:8" x14ac:dyDescent="0.4">
      <c r="A185" t="s">
        <v>749</v>
      </c>
      <c r="B185" t="s">
        <v>755</v>
      </c>
      <c r="F185" t="s">
        <v>1605</v>
      </c>
      <c r="G185" t="s">
        <v>1610</v>
      </c>
      <c r="H185">
        <v>184</v>
      </c>
    </row>
    <row r="186" spans="1:8" x14ac:dyDescent="0.4">
      <c r="A186" t="s">
        <v>749</v>
      </c>
      <c r="B186" t="s">
        <v>755</v>
      </c>
      <c r="F186" t="s">
        <v>1612</v>
      </c>
      <c r="G186" t="s">
        <v>1622</v>
      </c>
      <c r="H186">
        <v>185</v>
      </c>
    </row>
    <row r="187" spans="1:8" x14ac:dyDescent="0.4">
      <c r="A187" t="s">
        <v>749</v>
      </c>
      <c r="B187" t="s">
        <v>755</v>
      </c>
      <c r="F187" t="s">
        <v>1612</v>
      </c>
      <c r="G187" t="s">
        <v>1619</v>
      </c>
      <c r="H187">
        <v>186</v>
      </c>
    </row>
    <row r="188" spans="1:8" x14ac:dyDescent="0.4">
      <c r="A188" t="s">
        <v>749</v>
      </c>
      <c r="B188" t="s">
        <v>755</v>
      </c>
      <c r="F188" t="s">
        <v>1625</v>
      </c>
      <c r="G188" t="s">
        <v>1632</v>
      </c>
      <c r="H188">
        <v>187</v>
      </c>
    </row>
    <row r="189" spans="1:8" x14ac:dyDescent="0.4">
      <c r="A189" t="s">
        <v>758</v>
      </c>
      <c r="B189" t="s">
        <v>770</v>
      </c>
      <c r="F189" t="s">
        <v>1625</v>
      </c>
      <c r="G189" t="s">
        <v>1634</v>
      </c>
      <c r="H189">
        <v>188</v>
      </c>
    </row>
    <row r="190" spans="1:8" x14ac:dyDescent="0.4">
      <c r="A190" t="s">
        <v>773</v>
      </c>
      <c r="B190" t="s">
        <v>785</v>
      </c>
      <c r="F190" t="s">
        <v>1625</v>
      </c>
      <c r="G190" t="s">
        <v>1646</v>
      </c>
      <c r="H190">
        <v>189</v>
      </c>
    </row>
    <row r="191" spans="1:8" x14ac:dyDescent="0.4">
      <c r="A191" t="s">
        <v>773</v>
      </c>
      <c r="B191" t="s">
        <v>785</v>
      </c>
      <c r="F191" t="s">
        <v>1625</v>
      </c>
      <c r="G191" t="s">
        <v>1650</v>
      </c>
      <c r="H191">
        <v>190</v>
      </c>
    </row>
    <row r="192" spans="1:8" x14ac:dyDescent="0.4">
      <c r="A192" t="s">
        <v>773</v>
      </c>
      <c r="B192" t="s">
        <v>785</v>
      </c>
      <c r="F192" t="s">
        <v>1652</v>
      </c>
      <c r="G192" t="s">
        <v>1658</v>
      </c>
      <c r="H192">
        <v>191</v>
      </c>
    </row>
    <row r="193" spans="1:8" x14ac:dyDescent="0.4">
      <c r="A193" t="s">
        <v>773</v>
      </c>
      <c r="B193" t="s">
        <v>785</v>
      </c>
      <c r="F193" t="s">
        <v>1652</v>
      </c>
      <c r="G193" t="s">
        <v>1660</v>
      </c>
      <c r="H193">
        <v>192</v>
      </c>
    </row>
    <row r="194" spans="1:8" x14ac:dyDescent="0.4">
      <c r="A194" t="s">
        <v>788</v>
      </c>
      <c r="B194" t="s">
        <v>795</v>
      </c>
      <c r="F194" t="s">
        <v>1662</v>
      </c>
      <c r="G194" t="s">
        <v>1670</v>
      </c>
      <c r="H194">
        <v>193</v>
      </c>
    </row>
    <row r="195" spans="1:8" x14ac:dyDescent="0.4">
      <c r="A195" t="s">
        <v>788</v>
      </c>
      <c r="B195" t="s">
        <v>797</v>
      </c>
      <c r="F195" t="s">
        <v>1673</v>
      </c>
      <c r="G195" t="s">
        <v>1680</v>
      </c>
      <c r="H195">
        <v>194</v>
      </c>
    </row>
    <row r="196" spans="1:8" x14ac:dyDescent="0.4">
      <c r="A196" t="s">
        <v>788</v>
      </c>
      <c r="B196" t="s">
        <v>797</v>
      </c>
      <c r="F196" t="s">
        <v>1692</v>
      </c>
      <c r="G196" t="s">
        <v>1701</v>
      </c>
      <c r="H196">
        <v>195</v>
      </c>
    </row>
    <row r="197" spans="1:8" x14ac:dyDescent="0.4">
      <c r="A197" t="s">
        <v>799</v>
      </c>
      <c r="B197" t="s">
        <v>805</v>
      </c>
      <c r="F197" t="s">
        <v>1703</v>
      </c>
      <c r="G197" t="s">
        <v>1714</v>
      </c>
      <c r="H197">
        <v>196</v>
      </c>
    </row>
    <row r="198" spans="1:8" x14ac:dyDescent="0.4">
      <c r="A198" t="s">
        <v>799</v>
      </c>
      <c r="B198" t="s">
        <v>805</v>
      </c>
      <c r="F198" t="s">
        <v>1716</v>
      </c>
      <c r="G198" t="s">
        <v>1722</v>
      </c>
      <c r="H198">
        <v>197</v>
      </c>
    </row>
    <row r="199" spans="1:8" x14ac:dyDescent="0.4">
      <c r="A199" t="s">
        <v>809</v>
      </c>
      <c r="B199" t="s">
        <v>817</v>
      </c>
      <c r="F199" t="s">
        <v>1716</v>
      </c>
      <c r="G199" t="s">
        <v>1724</v>
      </c>
      <c r="H199">
        <v>198</v>
      </c>
    </row>
    <row r="200" spans="1:8" x14ac:dyDescent="0.4">
      <c r="A200" t="s">
        <v>809</v>
      </c>
      <c r="B200" t="s">
        <v>817</v>
      </c>
      <c r="F200" t="s">
        <v>1727</v>
      </c>
      <c r="G200" t="s">
        <v>1728</v>
      </c>
      <c r="H200">
        <v>199</v>
      </c>
    </row>
    <row r="201" spans="1:8" x14ac:dyDescent="0.4">
      <c r="A201" t="s">
        <v>809</v>
      </c>
      <c r="B201" t="s">
        <v>817</v>
      </c>
      <c r="F201" t="s">
        <v>1730</v>
      </c>
      <c r="G201" t="s">
        <v>1736</v>
      </c>
      <c r="H201">
        <v>200</v>
      </c>
    </row>
    <row r="202" spans="1:8" x14ac:dyDescent="0.4">
      <c r="A202" t="s">
        <v>819</v>
      </c>
      <c r="B202" t="s">
        <v>826</v>
      </c>
      <c r="F202" t="s">
        <v>1738</v>
      </c>
      <c r="G202" t="s">
        <v>1745</v>
      </c>
      <c r="H202">
        <v>201</v>
      </c>
    </row>
    <row r="203" spans="1:8" x14ac:dyDescent="0.4">
      <c r="A203" t="s">
        <v>819</v>
      </c>
      <c r="B203" t="s">
        <v>826</v>
      </c>
      <c r="F203" t="s">
        <v>1749</v>
      </c>
      <c r="G203" t="s">
        <v>1757</v>
      </c>
      <c r="H203">
        <v>202</v>
      </c>
    </row>
    <row r="204" spans="1:8" x14ac:dyDescent="0.4">
      <c r="A204" t="s">
        <v>837</v>
      </c>
      <c r="B204" t="s">
        <v>846</v>
      </c>
      <c r="F204" t="s">
        <v>1770</v>
      </c>
      <c r="G204" t="s">
        <v>1783</v>
      </c>
      <c r="H204">
        <v>203</v>
      </c>
    </row>
    <row r="205" spans="1:8" x14ac:dyDescent="0.4">
      <c r="A205" t="s">
        <v>837</v>
      </c>
      <c r="B205" t="s">
        <v>846</v>
      </c>
      <c r="F205" t="s">
        <v>1770</v>
      </c>
      <c r="G205" t="s">
        <v>1777</v>
      </c>
      <c r="H205">
        <v>204</v>
      </c>
    </row>
    <row r="206" spans="1:8" x14ac:dyDescent="0.4">
      <c r="A206" t="s">
        <v>848</v>
      </c>
      <c r="B206" t="s">
        <v>854</v>
      </c>
      <c r="F206" t="s">
        <v>1770</v>
      </c>
      <c r="G206" t="s">
        <v>1779</v>
      </c>
      <c r="H206">
        <v>205</v>
      </c>
    </row>
    <row r="207" spans="1:8" x14ac:dyDescent="0.4">
      <c r="A207" t="s">
        <v>848</v>
      </c>
      <c r="B207" t="s">
        <v>856</v>
      </c>
      <c r="F207" t="s">
        <v>1770</v>
      </c>
      <c r="G207" t="s">
        <v>1781</v>
      </c>
      <c r="H207">
        <v>206</v>
      </c>
    </row>
    <row r="208" spans="1:8" x14ac:dyDescent="0.4">
      <c r="A208" t="s">
        <v>848</v>
      </c>
      <c r="B208" t="s">
        <v>856</v>
      </c>
      <c r="F208" t="s">
        <v>1786</v>
      </c>
      <c r="G208" t="s">
        <v>1791</v>
      </c>
      <c r="H208">
        <v>207</v>
      </c>
    </row>
    <row r="209" spans="1:8" x14ac:dyDescent="0.4">
      <c r="A209" t="s">
        <v>859</v>
      </c>
      <c r="B209" t="s">
        <v>866</v>
      </c>
      <c r="F209" t="s">
        <v>2805</v>
      </c>
      <c r="G209" t="s">
        <v>2812</v>
      </c>
      <c r="H209">
        <v>208</v>
      </c>
    </row>
    <row r="210" spans="1:8" x14ac:dyDescent="0.4">
      <c r="A210" t="s">
        <v>859</v>
      </c>
      <c r="B210" t="s">
        <v>866</v>
      </c>
      <c r="F210" t="s">
        <v>1794</v>
      </c>
      <c r="G210" t="s">
        <v>1799</v>
      </c>
      <c r="H210">
        <v>209</v>
      </c>
    </row>
    <row r="211" spans="1:8" x14ac:dyDescent="0.4">
      <c r="A211" t="s">
        <v>859</v>
      </c>
      <c r="B211" t="s">
        <v>866</v>
      </c>
      <c r="F211" t="s">
        <v>1801</v>
      </c>
      <c r="G211" t="s">
        <v>1808</v>
      </c>
      <c r="H211">
        <v>210</v>
      </c>
    </row>
    <row r="212" spans="1:8" x14ac:dyDescent="0.4">
      <c r="A212" t="s">
        <v>859</v>
      </c>
      <c r="B212" t="s">
        <v>866</v>
      </c>
      <c r="F212" t="s">
        <v>1812</v>
      </c>
      <c r="G212" t="s">
        <v>1816</v>
      </c>
      <c r="H212">
        <v>211</v>
      </c>
    </row>
    <row r="213" spans="1:8" x14ac:dyDescent="0.4">
      <c r="A213" t="s">
        <v>870</v>
      </c>
      <c r="B213" t="s">
        <v>879</v>
      </c>
      <c r="F213" t="s">
        <v>1819</v>
      </c>
      <c r="G213" t="s">
        <v>1825</v>
      </c>
      <c r="H213">
        <v>212</v>
      </c>
    </row>
    <row r="214" spans="1:8" x14ac:dyDescent="0.4">
      <c r="A214" t="s">
        <v>870</v>
      </c>
      <c r="B214" t="s">
        <v>881</v>
      </c>
      <c r="F214" t="s">
        <v>1819</v>
      </c>
      <c r="G214" t="s">
        <v>1828</v>
      </c>
      <c r="H214">
        <v>213</v>
      </c>
    </row>
    <row r="215" spans="1:8" x14ac:dyDescent="0.4">
      <c r="A215" t="s">
        <v>884</v>
      </c>
      <c r="B215" t="s">
        <v>891</v>
      </c>
      <c r="F215" t="s">
        <v>1831</v>
      </c>
      <c r="G215" t="s">
        <v>1838</v>
      </c>
      <c r="H215">
        <v>214</v>
      </c>
    </row>
    <row r="216" spans="1:8" x14ac:dyDescent="0.4">
      <c r="A216" t="s">
        <v>884</v>
      </c>
      <c r="B216" t="s">
        <v>891</v>
      </c>
      <c r="F216" t="s">
        <v>1841</v>
      </c>
      <c r="G216" t="s">
        <v>1847</v>
      </c>
      <c r="H216">
        <v>215</v>
      </c>
    </row>
    <row r="217" spans="1:8" x14ac:dyDescent="0.4">
      <c r="A217" t="s">
        <v>897</v>
      </c>
      <c r="B217" t="s">
        <v>906</v>
      </c>
      <c r="F217" t="s">
        <v>1850</v>
      </c>
      <c r="G217" t="s">
        <v>1855</v>
      </c>
      <c r="H217">
        <v>216</v>
      </c>
    </row>
    <row r="218" spans="1:8" x14ac:dyDescent="0.4">
      <c r="A218" t="s">
        <v>897</v>
      </c>
      <c r="B218" t="s">
        <v>906</v>
      </c>
      <c r="F218" t="s">
        <v>1858</v>
      </c>
      <c r="G218" t="s">
        <v>1864</v>
      </c>
      <c r="H218">
        <v>217</v>
      </c>
    </row>
    <row r="219" spans="1:8" x14ac:dyDescent="0.4">
      <c r="A219" t="s">
        <v>911</v>
      </c>
      <c r="B219" t="s">
        <v>917</v>
      </c>
      <c r="F219" t="s">
        <v>1858</v>
      </c>
      <c r="G219" t="s">
        <v>1866</v>
      </c>
      <c r="H219">
        <v>218</v>
      </c>
    </row>
    <row r="220" spans="1:8" x14ac:dyDescent="0.4">
      <c r="A220" t="s">
        <v>911</v>
      </c>
      <c r="B220" t="s">
        <v>917</v>
      </c>
      <c r="F220" t="s">
        <v>1868</v>
      </c>
      <c r="G220" t="s">
        <v>1875</v>
      </c>
      <c r="H220">
        <v>219</v>
      </c>
    </row>
    <row r="221" spans="1:8" x14ac:dyDescent="0.4">
      <c r="A221" t="s">
        <v>920</v>
      </c>
      <c r="B221" t="s">
        <v>930</v>
      </c>
      <c r="F221" t="s">
        <v>1882</v>
      </c>
      <c r="G221" t="s">
        <v>1890</v>
      </c>
      <c r="H221">
        <v>220</v>
      </c>
    </row>
    <row r="222" spans="1:8" x14ac:dyDescent="0.4">
      <c r="A222" t="s">
        <v>920</v>
      </c>
      <c r="B222" t="s">
        <v>930</v>
      </c>
      <c r="F222" t="s">
        <v>1016</v>
      </c>
      <c r="G222" t="s">
        <v>1901</v>
      </c>
      <c r="H222">
        <v>221</v>
      </c>
    </row>
    <row r="223" spans="1:8" x14ac:dyDescent="0.4">
      <c r="A223" t="s">
        <v>933</v>
      </c>
      <c r="B223" t="s">
        <v>938</v>
      </c>
      <c r="F223" t="s">
        <v>1016</v>
      </c>
      <c r="G223" t="s">
        <v>1904</v>
      </c>
      <c r="H223">
        <v>222</v>
      </c>
    </row>
    <row r="224" spans="1:8" x14ac:dyDescent="0.4">
      <c r="A224" t="s">
        <v>933</v>
      </c>
      <c r="B224" t="s">
        <v>938</v>
      </c>
      <c r="F224" t="s">
        <v>1906</v>
      </c>
      <c r="G224" t="s">
        <v>1911</v>
      </c>
      <c r="H224">
        <v>223</v>
      </c>
    </row>
    <row r="225" spans="1:8" x14ac:dyDescent="0.4">
      <c r="A225" t="s">
        <v>933</v>
      </c>
      <c r="B225" t="s">
        <v>938</v>
      </c>
      <c r="F225" t="s">
        <v>1914</v>
      </c>
      <c r="G225" t="s">
        <v>1921</v>
      </c>
      <c r="H225">
        <v>224</v>
      </c>
    </row>
    <row r="226" spans="1:8" x14ac:dyDescent="0.4">
      <c r="A226" t="s">
        <v>933</v>
      </c>
      <c r="B226" t="s">
        <v>938</v>
      </c>
      <c r="F226" t="s">
        <v>1914</v>
      </c>
      <c r="G226" t="s">
        <v>1919</v>
      </c>
      <c r="H226">
        <v>225</v>
      </c>
    </row>
    <row r="227" spans="1:8" x14ac:dyDescent="0.4">
      <c r="A227" t="s">
        <v>941</v>
      </c>
      <c r="B227" t="s">
        <v>948</v>
      </c>
      <c r="F227" t="s">
        <v>1914</v>
      </c>
      <c r="G227" t="s">
        <v>1923</v>
      </c>
      <c r="H227">
        <v>226</v>
      </c>
    </row>
    <row r="228" spans="1:8" x14ac:dyDescent="0.4">
      <c r="A228" t="s">
        <v>941</v>
      </c>
      <c r="B228" t="s">
        <v>948</v>
      </c>
      <c r="F228" t="s">
        <v>1935</v>
      </c>
      <c r="G228" t="s">
        <v>1940</v>
      </c>
      <c r="H228">
        <v>227</v>
      </c>
    </row>
    <row r="229" spans="1:8" x14ac:dyDescent="0.4">
      <c r="A229" t="s">
        <v>941</v>
      </c>
      <c r="B229" t="s">
        <v>946</v>
      </c>
      <c r="F229" t="s">
        <v>1935</v>
      </c>
      <c r="G229" t="s">
        <v>1948</v>
      </c>
      <c r="H229">
        <v>228</v>
      </c>
    </row>
    <row r="230" spans="1:8" x14ac:dyDescent="0.4">
      <c r="A230" t="s">
        <v>941</v>
      </c>
      <c r="B230" t="s">
        <v>946</v>
      </c>
      <c r="F230" t="s">
        <v>1935</v>
      </c>
      <c r="G230" t="s">
        <v>1950</v>
      </c>
      <c r="H230">
        <v>229</v>
      </c>
    </row>
    <row r="231" spans="1:8" x14ac:dyDescent="0.4">
      <c r="A231" t="s">
        <v>951</v>
      </c>
      <c r="B231" t="s">
        <v>958</v>
      </c>
      <c r="F231" t="s">
        <v>1925</v>
      </c>
      <c r="G231" t="s">
        <v>1933</v>
      </c>
      <c r="H231">
        <v>230</v>
      </c>
    </row>
    <row r="232" spans="1:8" x14ac:dyDescent="0.4">
      <c r="A232" t="s">
        <v>969</v>
      </c>
      <c r="B232" t="s">
        <v>977</v>
      </c>
      <c r="F232" t="s">
        <v>1952</v>
      </c>
      <c r="G232" t="s">
        <v>1956</v>
      </c>
      <c r="H232">
        <v>231</v>
      </c>
    </row>
    <row r="233" spans="1:8" x14ac:dyDescent="0.4">
      <c r="A233" t="s">
        <v>969</v>
      </c>
      <c r="B233" t="s">
        <v>977</v>
      </c>
      <c r="F233" t="s">
        <v>1952</v>
      </c>
      <c r="G233" t="s">
        <v>1958</v>
      </c>
      <c r="H233">
        <v>232</v>
      </c>
    </row>
    <row r="234" spans="1:8" x14ac:dyDescent="0.4">
      <c r="A234" t="s">
        <v>980</v>
      </c>
      <c r="B234" t="s">
        <v>988</v>
      </c>
      <c r="F234" t="s">
        <v>1973</v>
      </c>
      <c r="G234" t="s">
        <v>1979</v>
      </c>
      <c r="H234">
        <v>233</v>
      </c>
    </row>
    <row r="235" spans="1:8" x14ac:dyDescent="0.4">
      <c r="A235" t="s">
        <v>980</v>
      </c>
      <c r="B235" t="s">
        <v>988</v>
      </c>
      <c r="F235" t="s">
        <v>1960</v>
      </c>
      <c r="G235" t="s">
        <v>1966</v>
      </c>
      <c r="H235">
        <v>234</v>
      </c>
    </row>
    <row r="236" spans="1:8" x14ac:dyDescent="0.4">
      <c r="A236" t="s">
        <v>980</v>
      </c>
      <c r="B236" t="s">
        <v>986</v>
      </c>
      <c r="F236" t="s">
        <v>1960</v>
      </c>
      <c r="G236" t="s">
        <v>1971</v>
      </c>
      <c r="H236">
        <v>235</v>
      </c>
    </row>
    <row r="237" spans="1:8" x14ac:dyDescent="0.4">
      <c r="A237" t="s">
        <v>980</v>
      </c>
      <c r="B237" t="s">
        <v>986</v>
      </c>
      <c r="F237" t="s">
        <v>1981</v>
      </c>
      <c r="G237" t="s">
        <v>1992</v>
      </c>
      <c r="H237">
        <v>236</v>
      </c>
    </row>
    <row r="238" spans="1:8" x14ac:dyDescent="0.4">
      <c r="A238" t="s">
        <v>994</v>
      </c>
      <c r="B238" t="s">
        <v>999</v>
      </c>
      <c r="F238" t="s">
        <v>1981</v>
      </c>
      <c r="G238" t="s">
        <v>1990</v>
      </c>
      <c r="H238">
        <v>237</v>
      </c>
    </row>
    <row r="239" spans="1:8" x14ac:dyDescent="0.4">
      <c r="A239" t="s">
        <v>994</v>
      </c>
      <c r="B239" t="s">
        <v>999</v>
      </c>
      <c r="F239" t="s">
        <v>1995</v>
      </c>
      <c r="G239" t="s">
        <v>2000</v>
      </c>
      <c r="H239">
        <v>238</v>
      </c>
    </row>
    <row r="240" spans="1:8" x14ac:dyDescent="0.4">
      <c r="A240" t="s">
        <v>1002</v>
      </c>
      <c r="B240" t="s">
        <v>1008</v>
      </c>
      <c r="F240" t="s">
        <v>2007</v>
      </c>
      <c r="G240" t="s">
        <v>2014</v>
      </c>
      <c r="H240">
        <v>239</v>
      </c>
    </row>
    <row r="241" spans="1:8" x14ac:dyDescent="0.4">
      <c r="A241" t="s">
        <v>1002</v>
      </c>
      <c r="B241" t="s">
        <v>1008</v>
      </c>
      <c r="F241" t="s">
        <v>2030</v>
      </c>
      <c r="G241" t="s">
        <v>2037</v>
      </c>
      <c r="H241">
        <v>240</v>
      </c>
    </row>
    <row r="242" spans="1:8" x14ac:dyDescent="0.4">
      <c r="A242" t="s">
        <v>1002</v>
      </c>
      <c r="B242" t="s">
        <v>1008</v>
      </c>
      <c r="F242" t="s">
        <v>2039</v>
      </c>
      <c r="G242" t="s">
        <v>2046</v>
      </c>
      <c r="H242">
        <v>241</v>
      </c>
    </row>
    <row r="243" spans="1:8" x14ac:dyDescent="0.4">
      <c r="A243" t="s">
        <v>1002</v>
      </c>
      <c r="B243" t="s">
        <v>1008</v>
      </c>
      <c r="F243" t="s">
        <v>2053</v>
      </c>
      <c r="G243" t="s">
        <v>2059</v>
      </c>
      <c r="H243">
        <v>242</v>
      </c>
    </row>
    <row r="244" spans="1:8" x14ac:dyDescent="0.4">
      <c r="A244" t="s">
        <v>1013</v>
      </c>
      <c r="B244" t="s">
        <v>1020</v>
      </c>
      <c r="F244" t="s">
        <v>2062</v>
      </c>
      <c r="G244" t="s">
        <v>2069</v>
      </c>
      <c r="H244">
        <v>243</v>
      </c>
    </row>
    <row r="245" spans="1:8" x14ac:dyDescent="0.4">
      <c r="A245" t="s">
        <v>1013</v>
      </c>
      <c r="B245" t="s">
        <v>1020</v>
      </c>
      <c r="F245" t="s">
        <v>2072</v>
      </c>
      <c r="G245" t="s">
        <v>2077</v>
      </c>
      <c r="H245">
        <v>244</v>
      </c>
    </row>
    <row r="246" spans="1:8" x14ac:dyDescent="0.4">
      <c r="A246" t="s">
        <v>1013</v>
      </c>
      <c r="B246" t="s">
        <v>1022</v>
      </c>
      <c r="F246" t="s">
        <v>2080</v>
      </c>
      <c r="G246" t="s">
        <v>2085</v>
      </c>
      <c r="H246">
        <v>245</v>
      </c>
    </row>
    <row r="247" spans="1:8" x14ac:dyDescent="0.4">
      <c r="A247" t="s">
        <v>1025</v>
      </c>
      <c r="B247" t="s">
        <v>1033</v>
      </c>
      <c r="F247" t="s">
        <v>2088</v>
      </c>
      <c r="G247" t="s">
        <v>2095</v>
      </c>
      <c r="H247">
        <v>246</v>
      </c>
    </row>
    <row r="248" spans="1:8" x14ac:dyDescent="0.4">
      <c r="A248" t="s">
        <v>1025</v>
      </c>
      <c r="B248" t="s">
        <v>1033</v>
      </c>
      <c r="F248" t="s">
        <v>2088</v>
      </c>
      <c r="G248" t="s">
        <v>2100</v>
      </c>
      <c r="H248">
        <v>247</v>
      </c>
    </row>
    <row r="249" spans="1:8" x14ac:dyDescent="0.4">
      <c r="A249" t="s">
        <v>1025</v>
      </c>
      <c r="B249" t="s">
        <v>1035</v>
      </c>
      <c r="F249" t="s">
        <v>2088</v>
      </c>
      <c r="G249" t="s">
        <v>2102</v>
      </c>
      <c r="H249">
        <v>248</v>
      </c>
    </row>
    <row r="250" spans="1:8" x14ac:dyDescent="0.4">
      <c r="A250" t="s">
        <v>1025</v>
      </c>
      <c r="B250" t="s">
        <v>1035</v>
      </c>
      <c r="F250" t="s">
        <v>2105</v>
      </c>
      <c r="G250" t="s">
        <v>2111</v>
      </c>
      <c r="H250">
        <v>249</v>
      </c>
    </row>
    <row r="251" spans="1:8" x14ac:dyDescent="0.4">
      <c r="A251" t="s">
        <v>1025</v>
      </c>
      <c r="B251" t="s">
        <v>1037</v>
      </c>
      <c r="F251" t="s">
        <v>2119</v>
      </c>
      <c r="G251" t="s">
        <v>2125</v>
      </c>
      <c r="H251">
        <v>250</v>
      </c>
    </row>
    <row r="252" spans="1:8" x14ac:dyDescent="0.4">
      <c r="A252" t="s">
        <v>1025</v>
      </c>
      <c r="B252" t="s">
        <v>1037</v>
      </c>
      <c r="F252" t="s">
        <v>2119</v>
      </c>
      <c r="G252" t="s">
        <v>2129</v>
      </c>
      <c r="H252">
        <v>251</v>
      </c>
    </row>
    <row r="253" spans="1:8" x14ac:dyDescent="0.4">
      <c r="A253" t="s">
        <v>1041</v>
      </c>
      <c r="B253" t="s">
        <v>1048</v>
      </c>
      <c r="F253" t="s">
        <v>2131</v>
      </c>
      <c r="G253" t="s">
        <v>2137</v>
      </c>
      <c r="H253">
        <v>252</v>
      </c>
    </row>
    <row r="254" spans="1:8" x14ac:dyDescent="0.4">
      <c r="A254" t="s">
        <v>1041</v>
      </c>
      <c r="B254" t="s">
        <v>1048</v>
      </c>
      <c r="F254" t="s">
        <v>2141</v>
      </c>
      <c r="G254" t="s">
        <v>2149</v>
      </c>
      <c r="H254">
        <v>253</v>
      </c>
    </row>
    <row r="255" spans="1:8" x14ac:dyDescent="0.4">
      <c r="A255" t="s">
        <v>1052</v>
      </c>
      <c r="B255" t="s">
        <v>1060</v>
      </c>
      <c r="F255" t="s">
        <v>2141</v>
      </c>
      <c r="G255" t="s">
        <v>2151</v>
      </c>
      <c r="H255">
        <v>254</v>
      </c>
    </row>
    <row r="256" spans="1:8" x14ac:dyDescent="0.4">
      <c r="A256" t="s">
        <v>1052</v>
      </c>
      <c r="B256" t="s">
        <v>1060</v>
      </c>
      <c r="F256" t="s">
        <v>2141</v>
      </c>
      <c r="G256" t="s">
        <v>2155</v>
      </c>
      <c r="H256">
        <v>255</v>
      </c>
    </row>
    <row r="257" spans="1:8" x14ac:dyDescent="0.4">
      <c r="A257" t="s">
        <v>1052</v>
      </c>
      <c r="B257" t="s">
        <v>1060</v>
      </c>
      <c r="F257" t="s">
        <v>2158</v>
      </c>
      <c r="G257" t="s">
        <v>2165</v>
      </c>
      <c r="H257">
        <v>256</v>
      </c>
    </row>
    <row r="258" spans="1:8" x14ac:dyDescent="0.4">
      <c r="A258" t="s">
        <v>1052</v>
      </c>
      <c r="B258" t="s">
        <v>1060</v>
      </c>
      <c r="F258" t="s">
        <v>2158</v>
      </c>
      <c r="G258" t="s">
        <v>2163</v>
      </c>
      <c r="H258">
        <v>257</v>
      </c>
    </row>
    <row r="259" spans="1:8" x14ac:dyDescent="0.4">
      <c r="A259" t="s">
        <v>1052</v>
      </c>
      <c r="B259" t="s">
        <v>1057</v>
      </c>
      <c r="F259" t="s">
        <v>2168</v>
      </c>
      <c r="G259" t="s">
        <v>2175</v>
      </c>
      <c r="H259">
        <v>258</v>
      </c>
    </row>
    <row r="260" spans="1:8" x14ac:dyDescent="0.4">
      <c r="A260" t="s">
        <v>1052</v>
      </c>
      <c r="B260" t="s">
        <v>1057</v>
      </c>
      <c r="F260" t="s">
        <v>2182</v>
      </c>
      <c r="G260" t="s">
        <v>2189</v>
      </c>
      <c r="H260">
        <v>259</v>
      </c>
    </row>
    <row r="261" spans="1:8" x14ac:dyDescent="0.4">
      <c r="A261" t="s">
        <v>1063</v>
      </c>
      <c r="B261" t="s">
        <v>1069</v>
      </c>
      <c r="F261" t="s">
        <v>2196</v>
      </c>
      <c r="G261" t="s">
        <v>2204</v>
      </c>
      <c r="H261">
        <v>260</v>
      </c>
    </row>
    <row r="262" spans="1:8" x14ac:dyDescent="0.4">
      <c r="A262" t="s">
        <v>1063</v>
      </c>
      <c r="B262" t="s">
        <v>1069</v>
      </c>
      <c r="F262" t="s">
        <v>2196</v>
      </c>
      <c r="G262" t="s">
        <v>2206</v>
      </c>
      <c r="H262">
        <v>261</v>
      </c>
    </row>
    <row r="263" spans="1:8" x14ac:dyDescent="0.4">
      <c r="A263" t="s">
        <v>1072</v>
      </c>
      <c r="B263" t="s">
        <v>1078</v>
      </c>
      <c r="F263" t="s">
        <v>2196</v>
      </c>
      <c r="G263" t="s">
        <v>2201</v>
      </c>
      <c r="H263">
        <v>262</v>
      </c>
    </row>
    <row r="264" spans="1:8" x14ac:dyDescent="0.4">
      <c r="A264" t="s">
        <v>1072</v>
      </c>
      <c r="B264" t="s">
        <v>1078</v>
      </c>
      <c r="F264" t="s">
        <v>2209</v>
      </c>
      <c r="G264" t="s">
        <v>2218</v>
      </c>
      <c r="H264">
        <v>263</v>
      </c>
    </row>
    <row r="265" spans="1:8" x14ac:dyDescent="0.4">
      <c r="A265" t="s">
        <v>1081</v>
      </c>
      <c r="B265" t="s">
        <v>1092</v>
      </c>
      <c r="F265" t="s">
        <v>2209</v>
      </c>
      <c r="G265" t="s">
        <v>2215</v>
      </c>
      <c r="H265">
        <v>264</v>
      </c>
    </row>
    <row r="266" spans="1:8" x14ac:dyDescent="0.4">
      <c r="A266" t="s">
        <v>1081</v>
      </c>
      <c r="B266" t="s">
        <v>1092</v>
      </c>
      <c r="F266" t="s">
        <v>2221</v>
      </c>
      <c r="G266" t="s">
        <v>2232</v>
      </c>
      <c r="H266">
        <v>265</v>
      </c>
    </row>
    <row r="267" spans="1:8" x14ac:dyDescent="0.4">
      <c r="A267" t="s">
        <v>1081</v>
      </c>
      <c r="B267" t="s">
        <v>1094</v>
      </c>
      <c r="F267" t="s">
        <v>2221</v>
      </c>
      <c r="G267" t="s">
        <v>2234</v>
      </c>
      <c r="H267">
        <v>266</v>
      </c>
    </row>
    <row r="268" spans="1:8" x14ac:dyDescent="0.4">
      <c r="A268" t="s">
        <v>1081</v>
      </c>
      <c r="B268" t="s">
        <v>1094</v>
      </c>
      <c r="F268" t="s">
        <v>2221</v>
      </c>
      <c r="G268" t="s">
        <v>2230</v>
      </c>
      <c r="H268">
        <v>267</v>
      </c>
    </row>
    <row r="269" spans="1:8" x14ac:dyDescent="0.4">
      <c r="A269" t="s">
        <v>1081</v>
      </c>
      <c r="B269" t="s">
        <v>1094</v>
      </c>
      <c r="F269" t="s">
        <v>258</v>
      </c>
      <c r="G269" t="s">
        <v>2242</v>
      </c>
      <c r="H269">
        <v>268</v>
      </c>
    </row>
    <row r="270" spans="1:8" x14ac:dyDescent="0.4">
      <c r="A270" t="s">
        <v>1081</v>
      </c>
      <c r="B270" t="s">
        <v>1094</v>
      </c>
      <c r="F270" t="s">
        <v>2245</v>
      </c>
      <c r="G270" t="s">
        <v>2253</v>
      </c>
      <c r="H270">
        <v>269</v>
      </c>
    </row>
    <row r="271" spans="1:8" x14ac:dyDescent="0.4">
      <c r="A271" t="s">
        <v>1097</v>
      </c>
      <c r="B271" t="s">
        <v>1107</v>
      </c>
      <c r="F271" t="s">
        <v>2245</v>
      </c>
      <c r="G271" t="s">
        <v>2255</v>
      </c>
      <c r="H271">
        <v>270</v>
      </c>
    </row>
    <row r="272" spans="1:8" x14ac:dyDescent="0.4">
      <c r="A272" t="s">
        <v>1097</v>
      </c>
      <c r="B272" t="s">
        <v>1107</v>
      </c>
      <c r="F272" t="s">
        <v>2258</v>
      </c>
      <c r="G272" t="s">
        <v>2265</v>
      </c>
      <c r="H272">
        <v>271</v>
      </c>
    </row>
    <row r="273" spans="1:8" x14ac:dyDescent="0.4">
      <c r="A273" t="s">
        <v>1097</v>
      </c>
      <c r="B273" t="s">
        <v>1107</v>
      </c>
      <c r="F273" t="s">
        <v>2258</v>
      </c>
      <c r="G273" t="s">
        <v>2267</v>
      </c>
      <c r="H273">
        <v>272</v>
      </c>
    </row>
    <row r="274" spans="1:8" x14ac:dyDescent="0.4">
      <c r="A274" t="s">
        <v>1097</v>
      </c>
      <c r="B274" t="s">
        <v>1107</v>
      </c>
      <c r="F274" t="s">
        <v>2269</v>
      </c>
      <c r="G274" t="s">
        <v>2276</v>
      </c>
      <c r="H274">
        <v>273</v>
      </c>
    </row>
    <row r="275" spans="1:8" x14ac:dyDescent="0.4">
      <c r="A275" t="s">
        <v>1097</v>
      </c>
      <c r="B275" t="s">
        <v>1109</v>
      </c>
      <c r="F275" t="s">
        <v>2269</v>
      </c>
      <c r="G275" t="s">
        <v>2278</v>
      </c>
      <c r="H275">
        <v>274</v>
      </c>
    </row>
    <row r="276" spans="1:8" x14ac:dyDescent="0.4">
      <c r="A276" t="s">
        <v>1097</v>
      </c>
      <c r="B276" t="s">
        <v>1109</v>
      </c>
      <c r="F276" t="s">
        <v>2281</v>
      </c>
      <c r="G276" t="s">
        <v>2288</v>
      </c>
      <c r="H276">
        <v>275</v>
      </c>
    </row>
    <row r="277" spans="1:8" x14ac:dyDescent="0.4">
      <c r="A277" t="s">
        <v>1097</v>
      </c>
      <c r="B277" t="s">
        <v>1109</v>
      </c>
      <c r="F277" t="s">
        <v>2281</v>
      </c>
      <c r="G277" t="s">
        <v>2286</v>
      </c>
      <c r="H277">
        <v>276</v>
      </c>
    </row>
    <row r="278" spans="1:8" x14ac:dyDescent="0.4">
      <c r="A278" t="s">
        <v>1097</v>
      </c>
      <c r="B278" t="s">
        <v>1112</v>
      </c>
      <c r="F278" t="s">
        <v>2291</v>
      </c>
      <c r="G278" t="s">
        <v>2297</v>
      </c>
      <c r="H278">
        <v>277</v>
      </c>
    </row>
    <row r="279" spans="1:8" x14ac:dyDescent="0.4">
      <c r="A279" t="s">
        <v>1097</v>
      </c>
      <c r="B279" t="s">
        <v>1112</v>
      </c>
      <c r="F279" t="s">
        <v>2291</v>
      </c>
      <c r="G279" t="s">
        <v>2299</v>
      </c>
      <c r="H279">
        <v>278</v>
      </c>
    </row>
    <row r="280" spans="1:8" x14ac:dyDescent="0.4">
      <c r="A280" t="s">
        <v>1097</v>
      </c>
      <c r="B280" t="s">
        <v>1105</v>
      </c>
      <c r="F280" t="s">
        <v>2302</v>
      </c>
      <c r="G280" t="s">
        <v>2309</v>
      </c>
      <c r="H280">
        <v>279</v>
      </c>
    </row>
    <row r="281" spans="1:8" x14ac:dyDescent="0.4">
      <c r="A281" t="s">
        <v>1097</v>
      </c>
      <c r="B281" t="s">
        <v>1105</v>
      </c>
      <c r="F281" t="s">
        <v>2302</v>
      </c>
      <c r="G281" t="s">
        <v>2312</v>
      </c>
      <c r="H281">
        <v>280</v>
      </c>
    </row>
    <row r="282" spans="1:8" x14ac:dyDescent="0.4">
      <c r="A282" t="s">
        <v>1118</v>
      </c>
      <c r="B282" t="s">
        <v>1123</v>
      </c>
      <c r="F282" t="s">
        <v>2318</v>
      </c>
      <c r="G282" t="s">
        <v>2324</v>
      </c>
      <c r="H282">
        <v>281</v>
      </c>
    </row>
    <row r="283" spans="1:8" x14ac:dyDescent="0.4">
      <c r="A283" t="s">
        <v>1118</v>
      </c>
      <c r="B283" t="s">
        <v>1123</v>
      </c>
      <c r="F283" t="s">
        <v>2318</v>
      </c>
      <c r="G283" t="s">
        <v>2326</v>
      </c>
      <c r="H283">
        <v>282</v>
      </c>
    </row>
    <row r="284" spans="1:8" x14ac:dyDescent="0.4">
      <c r="A284" t="s">
        <v>1118</v>
      </c>
      <c r="B284" t="s">
        <v>1123</v>
      </c>
      <c r="F284" t="s">
        <v>2333</v>
      </c>
      <c r="G284" t="s">
        <v>2339</v>
      </c>
      <c r="H284">
        <v>283</v>
      </c>
    </row>
    <row r="285" spans="1:8" x14ac:dyDescent="0.4">
      <c r="A285" t="s">
        <v>1118</v>
      </c>
      <c r="B285" t="s">
        <v>1123</v>
      </c>
      <c r="F285" t="s">
        <v>2333</v>
      </c>
      <c r="G285" t="s">
        <v>2349</v>
      </c>
      <c r="H285">
        <v>284</v>
      </c>
    </row>
    <row r="286" spans="1:8" x14ac:dyDescent="0.4">
      <c r="A286" t="s">
        <v>1135</v>
      </c>
      <c r="B286" t="s">
        <v>1142</v>
      </c>
      <c r="F286" t="s">
        <v>2333</v>
      </c>
      <c r="G286" t="s">
        <v>2351</v>
      </c>
      <c r="H286">
        <v>285</v>
      </c>
    </row>
    <row r="287" spans="1:8" x14ac:dyDescent="0.4">
      <c r="A287" t="s">
        <v>1135</v>
      </c>
      <c r="B287" t="s">
        <v>1144</v>
      </c>
      <c r="F287" t="s">
        <v>2333</v>
      </c>
      <c r="G287" t="s">
        <v>2341</v>
      </c>
      <c r="H287">
        <v>286</v>
      </c>
    </row>
    <row r="288" spans="1:8" x14ac:dyDescent="0.4">
      <c r="A288" t="s">
        <v>1147</v>
      </c>
      <c r="B288" t="s">
        <v>1159</v>
      </c>
      <c r="F288" t="s">
        <v>2354</v>
      </c>
      <c r="G288" t="s">
        <v>2360</v>
      </c>
      <c r="H288">
        <v>287</v>
      </c>
    </row>
    <row r="289" spans="1:8" x14ac:dyDescent="0.4">
      <c r="A289" t="s">
        <v>1147</v>
      </c>
      <c r="B289" t="s">
        <v>1159</v>
      </c>
      <c r="F289" t="s">
        <v>2363</v>
      </c>
      <c r="G289" t="s">
        <v>2369</v>
      </c>
      <c r="H289">
        <v>288</v>
      </c>
    </row>
    <row r="290" spans="1:8" x14ac:dyDescent="0.4">
      <c r="A290" t="s">
        <v>1147</v>
      </c>
      <c r="B290" t="s">
        <v>1159</v>
      </c>
      <c r="F290" t="s">
        <v>2363</v>
      </c>
      <c r="G290" t="s">
        <v>2376</v>
      </c>
      <c r="H290">
        <v>289</v>
      </c>
    </row>
    <row r="291" spans="1:8" x14ac:dyDescent="0.4">
      <c r="A291" t="s">
        <v>1147</v>
      </c>
      <c r="B291" t="s">
        <v>1159</v>
      </c>
      <c r="F291" t="s">
        <v>2378</v>
      </c>
      <c r="G291" t="s">
        <v>2386</v>
      </c>
      <c r="H291">
        <v>290</v>
      </c>
    </row>
    <row r="292" spans="1:8" x14ac:dyDescent="0.4">
      <c r="A292" t="s">
        <v>1162</v>
      </c>
      <c r="B292" t="s">
        <v>1173</v>
      </c>
      <c r="F292" t="s">
        <v>2378</v>
      </c>
      <c r="G292" t="s">
        <v>2388</v>
      </c>
      <c r="H292">
        <v>291</v>
      </c>
    </row>
    <row r="293" spans="1:8" x14ac:dyDescent="0.4">
      <c r="A293" t="s">
        <v>1185</v>
      </c>
      <c r="B293" t="s">
        <v>1202</v>
      </c>
      <c r="F293" t="s">
        <v>2391</v>
      </c>
      <c r="G293" t="s">
        <v>2397</v>
      </c>
      <c r="H293">
        <v>292</v>
      </c>
    </row>
    <row r="294" spans="1:8" x14ac:dyDescent="0.4">
      <c r="A294" t="s">
        <v>1185</v>
      </c>
      <c r="B294" t="s">
        <v>1202</v>
      </c>
      <c r="F294" t="s">
        <v>2401</v>
      </c>
      <c r="G294" t="s">
        <v>2409</v>
      </c>
      <c r="H294">
        <v>293</v>
      </c>
    </row>
    <row r="295" spans="1:8" x14ac:dyDescent="0.4">
      <c r="A295" t="s">
        <v>1185</v>
      </c>
      <c r="B295" t="s">
        <v>1205</v>
      </c>
      <c r="F295" t="s">
        <v>2412</v>
      </c>
      <c r="G295" t="s">
        <v>2416</v>
      </c>
      <c r="H295">
        <v>294</v>
      </c>
    </row>
    <row r="296" spans="1:8" x14ac:dyDescent="0.4">
      <c r="A296" t="s">
        <v>1185</v>
      </c>
      <c r="B296" t="s">
        <v>1205</v>
      </c>
      <c r="F296" t="s">
        <v>2418</v>
      </c>
      <c r="G296" t="s">
        <v>2428</v>
      </c>
      <c r="H296">
        <v>295</v>
      </c>
    </row>
    <row r="297" spans="1:8" x14ac:dyDescent="0.4">
      <c r="A297" t="s">
        <v>1185</v>
      </c>
      <c r="B297" t="s">
        <v>1205</v>
      </c>
      <c r="F297" t="s">
        <v>2431</v>
      </c>
      <c r="G297" t="s">
        <v>2438</v>
      </c>
      <c r="H297">
        <v>296</v>
      </c>
    </row>
    <row r="298" spans="1:8" x14ac:dyDescent="0.4">
      <c r="A298" t="s">
        <v>1185</v>
      </c>
      <c r="B298" t="s">
        <v>1205</v>
      </c>
      <c r="F298" t="s">
        <v>2441</v>
      </c>
      <c r="G298" t="s">
        <v>2450</v>
      </c>
      <c r="H298">
        <v>297</v>
      </c>
    </row>
    <row r="299" spans="1:8" x14ac:dyDescent="0.4">
      <c r="A299" t="s">
        <v>1208</v>
      </c>
      <c r="B299" t="s">
        <v>1216</v>
      </c>
      <c r="F299" t="s">
        <v>2453</v>
      </c>
      <c r="G299" t="s">
        <v>2459</v>
      </c>
      <c r="H299">
        <v>298</v>
      </c>
    </row>
    <row r="300" spans="1:8" x14ac:dyDescent="0.4">
      <c r="A300" t="s">
        <v>1224</v>
      </c>
      <c r="B300" t="s">
        <v>1232</v>
      </c>
      <c r="F300" t="s">
        <v>2462</v>
      </c>
      <c r="G300" t="s">
        <v>2468</v>
      </c>
      <c r="H300">
        <v>299</v>
      </c>
    </row>
    <row r="301" spans="1:8" x14ac:dyDescent="0.4">
      <c r="A301" t="s">
        <v>1224</v>
      </c>
      <c r="B301" t="s">
        <v>1232</v>
      </c>
      <c r="F301" t="s">
        <v>2471</v>
      </c>
      <c r="G301" t="s">
        <v>2477</v>
      </c>
      <c r="H301">
        <v>300</v>
      </c>
    </row>
    <row r="302" spans="1:8" x14ac:dyDescent="0.4">
      <c r="A302" t="s">
        <v>1237</v>
      </c>
      <c r="B302" t="s">
        <v>1242</v>
      </c>
      <c r="F302" t="s">
        <v>2471</v>
      </c>
      <c r="G302" t="s">
        <v>2479</v>
      </c>
      <c r="H302">
        <v>301</v>
      </c>
    </row>
    <row r="303" spans="1:8" x14ac:dyDescent="0.4">
      <c r="A303" t="s">
        <v>1237</v>
      </c>
      <c r="B303" t="s">
        <v>1242</v>
      </c>
      <c r="F303" t="s">
        <v>2481</v>
      </c>
      <c r="G303" t="s">
        <v>2505</v>
      </c>
      <c r="H303">
        <v>302</v>
      </c>
    </row>
    <row r="304" spans="1:8" x14ac:dyDescent="0.4">
      <c r="A304" t="s">
        <v>1237</v>
      </c>
      <c r="B304" t="s">
        <v>1244</v>
      </c>
      <c r="F304" t="s">
        <v>2481</v>
      </c>
      <c r="G304" t="s">
        <v>2488</v>
      </c>
      <c r="H304">
        <v>303</v>
      </c>
    </row>
    <row r="305" spans="1:8" x14ac:dyDescent="0.4">
      <c r="A305" t="s">
        <v>1237</v>
      </c>
      <c r="B305" t="s">
        <v>1244</v>
      </c>
      <c r="F305" t="s">
        <v>2481</v>
      </c>
      <c r="G305" t="s">
        <v>2490</v>
      </c>
      <c r="H305">
        <v>304</v>
      </c>
    </row>
    <row r="306" spans="1:8" x14ac:dyDescent="0.4">
      <c r="A306" t="s">
        <v>1237</v>
      </c>
      <c r="B306" t="s">
        <v>1246</v>
      </c>
      <c r="F306" t="s">
        <v>2508</v>
      </c>
      <c r="G306" t="s">
        <v>2517</v>
      </c>
      <c r="H306">
        <v>305</v>
      </c>
    </row>
    <row r="307" spans="1:8" x14ac:dyDescent="0.4">
      <c r="A307" t="s">
        <v>1237</v>
      </c>
      <c r="B307" t="s">
        <v>1246</v>
      </c>
      <c r="F307" t="s">
        <v>2508</v>
      </c>
      <c r="G307" t="s">
        <v>2514</v>
      </c>
      <c r="H307">
        <v>306</v>
      </c>
    </row>
    <row r="308" spans="1:8" x14ac:dyDescent="0.4">
      <c r="A308" t="s">
        <v>1249</v>
      </c>
      <c r="B308" t="s">
        <v>1256</v>
      </c>
      <c r="F308" t="s">
        <v>2520</v>
      </c>
      <c r="G308" t="s">
        <v>2525</v>
      </c>
      <c r="H308">
        <v>307</v>
      </c>
    </row>
    <row r="309" spans="1:8" x14ac:dyDescent="0.4">
      <c r="A309" t="s">
        <v>1249</v>
      </c>
      <c r="B309" t="s">
        <v>1256</v>
      </c>
      <c r="F309" t="s">
        <v>2527</v>
      </c>
      <c r="G309" t="s">
        <v>2532</v>
      </c>
      <c r="H309">
        <v>308</v>
      </c>
    </row>
    <row r="310" spans="1:8" x14ac:dyDescent="0.4">
      <c r="A310" t="s">
        <v>1249</v>
      </c>
      <c r="B310" t="s">
        <v>1258</v>
      </c>
      <c r="F310" t="s">
        <v>2535</v>
      </c>
      <c r="G310" t="s">
        <v>2546</v>
      </c>
      <c r="H310">
        <v>309</v>
      </c>
    </row>
    <row r="311" spans="1:8" x14ac:dyDescent="0.4">
      <c r="A311" t="s">
        <v>1249</v>
      </c>
      <c r="B311" t="s">
        <v>1258</v>
      </c>
      <c r="F311" t="s">
        <v>2535</v>
      </c>
      <c r="G311" t="s">
        <v>2544</v>
      </c>
      <c r="H311">
        <v>310</v>
      </c>
    </row>
    <row r="312" spans="1:8" x14ac:dyDescent="0.4">
      <c r="A312" t="s">
        <v>1249</v>
      </c>
      <c r="B312" t="s">
        <v>1258</v>
      </c>
      <c r="F312" t="s">
        <v>2535</v>
      </c>
      <c r="G312" t="s">
        <v>2542</v>
      </c>
      <c r="H312">
        <v>311</v>
      </c>
    </row>
    <row r="313" spans="1:8" x14ac:dyDescent="0.4">
      <c r="A313" t="s">
        <v>1260</v>
      </c>
      <c r="B313" t="s">
        <v>1265</v>
      </c>
      <c r="F313" t="s">
        <v>2549</v>
      </c>
      <c r="G313" t="s">
        <v>2555</v>
      </c>
      <c r="H313">
        <v>312</v>
      </c>
    </row>
    <row r="314" spans="1:8" x14ac:dyDescent="0.4">
      <c r="A314" t="s">
        <v>1260</v>
      </c>
      <c r="B314" t="s">
        <v>1265</v>
      </c>
      <c r="F314" t="s">
        <v>2558</v>
      </c>
      <c r="G314" t="s">
        <v>2563</v>
      </c>
      <c r="H314">
        <v>313</v>
      </c>
    </row>
    <row r="315" spans="1:8" x14ac:dyDescent="0.4">
      <c r="A315" t="s">
        <v>1267</v>
      </c>
      <c r="B315" t="s">
        <v>1280</v>
      </c>
      <c r="F315" t="s">
        <v>2558</v>
      </c>
      <c r="G315" t="s">
        <v>2565</v>
      </c>
      <c r="H315">
        <v>314</v>
      </c>
    </row>
    <row r="316" spans="1:8" x14ac:dyDescent="0.4">
      <c r="A316" t="s">
        <v>1267</v>
      </c>
      <c r="B316" t="s">
        <v>1280</v>
      </c>
      <c r="F316" t="s">
        <v>2567</v>
      </c>
      <c r="G316" t="s">
        <v>2577</v>
      </c>
      <c r="H316">
        <v>315</v>
      </c>
    </row>
    <row r="317" spans="1:8" x14ac:dyDescent="0.4">
      <c r="A317" t="s">
        <v>1267</v>
      </c>
      <c r="B317" t="s">
        <v>1280</v>
      </c>
      <c r="F317" t="s">
        <v>2567</v>
      </c>
      <c r="G317" t="s">
        <v>2581</v>
      </c>
      <c r="H317">
        <v>316</v>
      </c>
    </row>
    <row r="318" spans="1:8" x14ac:dyDescent="0.4">
      <c r="A318" t="s">
        <v>1267</v>
      </c>
      <c r="B318" t="s">
        <v>1278</v>
      </c>
      <c r="F318" t="s">
        <v>2567</v>
      </c>
      <c r="G318" t="s">
        <v>2583</v>
      </c>
      <c r="H318">
        <v>317</v>
      </c>
    </row>
    <row r="319" spans="1:8" x14ac:dyDescent="0.4">
      <c r="A319" t="s">
        <v>1267</v>
      </c>
      <c r="B319" t="s">
        <v>1278</v>
      </c>
      <c r="F319" t="s">
        <v>2586</v>
      </c>
      <c r="G319" t="s">
        <v>2591</v>
      </c>
      <c r="H319">
        <v>318</v>
      </c>
    </row>
    <row r="320" spans="1:8" x14ac:dyDescent="0.4">
      <c r="A320" t="s">
        <v>1267</v>
      </c>
      <c r="B320" t="s">
        <v>1278</v>
      </c>
      <c r="F320" t="s">
        <v>2594</v>
      </c>
      <c r="G320" t="s">
        <v>2604</v>
      </c>
      <c r="H320">
        <v>319</v>
      </c>
    </row>
    <row r="321" spans="1:8" x14ac:dyDescent="0.4">
      <c r="A321" t="s">
        <v>1283</v>
      </c>
      <c r="B321" t="s">
        <v>1289</v>
      </c>
      <c r="F321" t="s">
        <v>2594</v>
      </c>
      <c r="G321" t="s">
        <v>2601</v>
      </c>
      <c r="H321">
        <v>320</v>
      </c>
    </row>
    <row r="322" spans="1:8" x14ac:dyDescent="0.4">
      <c r="A322" t="s">
        <v>1283</v>
      </c>
      <c r="B322" t="s">
        <v>1289</v>
      </c>
      <c r="F322" t="s">
        <v>2606</v>
      </c>
      <c r="G322" t="s">
        <v>2619</v>
      </c>
      <c r="H322">
        <v>321</v>
      </c>
    </row>
    <row r="323" spans="1:8" x14ac:dyDescent="0.4">
      <c r="A323" t="s">
        <v>1283</v>
      </c>
      <c r="B323" t="s">
        <v>1289</v>
      </c>
      <c r="F323" t="s">
        <v>2606</v>
      </c>
      <c r="G323" t="s">
        <v>2612</v>
      </c>
      <c r="H323">
        <v>322</v>
      </c>
    </row>
    <row r="324" spans="1:8" x14ac:dyDescent="0.4">
      <c r="A324" t="s">
        <v>1283</v>
      </c>
      <c r="B324" t="s">
        <v>1292</v>
      </c>
      <c r="F324" t="s">
        <v>2606</v>
      </c>
      <c r="G324" t="s">
        <v>2627</v>
      </c>
      <c r="H324">
        <v>323</v>
      </c>
    </row>
    <row r="325" spans="1:8" x14ac:dyDescent="0.4">
      <c r="A325" t="s">
        <v>1283</v>
      </c>
      <c r="B325" t="s">
        <v>1292</v>
      </c>
      <c r="F325" t="s">
        <v>2606</v>
      </c>
      <c r="G325" t="s">
        <v>2629</v>
      </c>
      <c r="H325">
        <v>324</v>
      </c>
    </row>
    <row r="326" spans="1:8" x14ac:dyDescent="0.4">
      <c r="A326" t="s">
        <v>1283</v>
      </c>
      <c r="B326" t="s">
        <v>1312</v>
      </c>
      <c r="F326" t="s">
        <v>2631</v>
      </c>
      <c r="G326" t="s">
        <v>2641</v>
      </c>
      <c r="H326">
        <v>325</v>
      </c>
    </row>
    <row r="327" spans="1:8" x14ac:dyDescent="0.4">
      <c r="A327" t="s">
        <v>1283</v>
      </c>
      <c r="B327" t="s">
        <v>1312</v>
      </c>
      <c r="F327" t="s">
        <v>2643</v>
      </c>
      <c r="G327" t="s">
        <v>2647</v>
      </c>
      <c r="H327">
        <v>326</v>
      </c>
    </row>
    <row r="328" spans="1:8" x14ac:dyDescent="0.4">
      <c r="A328" t="s">
        <v>1283</v>
      </c>
      <c r="B328" t="s">
        <v>1303</v>
      </c>
      <c r="F328" t="s">
        <v>2643</v>
      </c>
      <c r="G328" t="s">
        <v>2649</v>
      </c>
      <c r="H328">
        <v>327</v>
      </c>
    </row>
    <row r="329" spans="1:8" x14ac:dyDescent="0.4">
      <c r="A329" t="s">
        <v>1283</v>
      </c>
      <c r="B329" t="s">
        <v>1303</v>
      </c>
      <c r="F329" t="s">
        <v>2651</v>
      </c>
      <c r="G329" t="s">
        <v>2664</v>
      </c>
      <c r="H329">
        <v>328</v>
      </c>
    </row>
    <row r="330" spans="1:8" x14ac:dyDescent="0.4">
      <c r="A330" t="s">
        <v>1316</v>
      </c>
      <c r="B330" t="s">
        <v>1324</v>
      </c>
      <c r="F330" t="s">
        <v>2651</v>
      </c>
      <c r="G330" t="s">
        <v>2656</v>
      </c>
      <c r="H330">
        <v>329</v>
      </c>
    </row>
    <row r="331" spans="1:8" x14ac:dyDescent="0.4">
      <c r="A331" t="s">
        <v>1316</v>
      </c>
      <c r="B331" t="s">
        <v>1324</v>
      </c>
      <c r="F331" t="s">
        <v>2651</v>
      </c>
      <c r="G331" t="s">
        <v>2658</v>
      </c>
      <c r="H331">
        <v>330</v>
      </c>
    </row>
    <row r="332" spans="1:8" x14ac:dyDescent="0.4">
      <c r="A332" t="s">
        <v>1316</v>
      </c>
      <c r="B332" t="s">
        <v>1324</v>
      </c>
      <c r="F332" t="s">
        <v>2667</v>
      </c>
      <c r="G332" t="s">
        <v>2672</v>
      </c>
      <c r="H332">
        <v>331</v>
      </c>
    </row>
    <row r="333" spans="1:8" x14ac:dyDescent="0.4">
      <c r="A333" t="s">
        <v>1316</v>
      </c>
      <c r="B333" t="s">
        <v>1324</v>
      </c>
      <c r="F333" t="s">
        <v>2675</v>
      </c>
      <c r="G333" t="s">
        <v>2683</v>
      </c>
      <c r="H333">
        <v>332</v>
      </c>
    </row>
    <row r="334" spans="1:8" x14ac:dyDescent="0.4">
      <c r="A334" t="s">
        <v>1316</v>
      </c>
      <c r="B334" t="s">
        <v>1326</v>
      </c>
      <c r="F334" t="s">
        <v>2685</v>
      </c>
      <c r="G334" t="s">
        <v>2698</v>
      </c>
      <c r="H334">
        <v>333</v>
      </c>
    </row>
    <row r="335" spans="1:8" x14ac:dyDescent="0.4">
      <c r="A335" t="s">
        <v>1316</v>
      </c>
      <c r="B335" t="s">
        <v>1326</v>
      </c>
      <c r="F335" t="s">
        <v>2700</v>
      </c>
      <c r="G335" t="s">
        <v>2710</v>
      </c>
      <c r="H335">
        <v>334</v>
      </c>
    </row>
    <row r="336" spans="1:8" x14ac:dyDescent="0.4">
      <c r="A336" t="s">
        <v>1316</v>
      </c>
      <c r="B336" t="s">
        <v>1331</v>
      </c>
      <c r="F336" t="s">
        <v>2700</v>
      </c>
      <c r="G336" t="s">
        <v>2714</v>
      </c>
      <c r="H336">
        <v>335</v>
      </c>
    </row>
    <row r="337" spans="1:8" x14ac:dyDescent="0.4">
      <c r="A337" t="s">
        <v>1316</v>
      </c>
      <c r="B337" t="s">
        <v>1331</v>
      </c>
      <c r="F337" t="s">
        <v>2700</v>
      </c>
      <c r="G337" t="s">
        <v>2712</v>
      </c>
      <c r="H337">
        <v>336</v>
      </c>
    </row>
    <row r="338" spans="1:8" x14ac:dyDescent="0.4">
      <c r="A338" t="s">
        <v>1316</v>
      </c>
      <c r="B338" t="s">
        <v>1331</v>
      </c>
      <c r="F338" t="s">
        <v>2700</v>
      </c>
      <c r="G338" t="s">
        <v>2906</v>
      </c>
      <c r="H338">
        <v>337</v>
      </c>
    </row>
    <row r="339" spans="1:8" x14ac:dyDescent="0.4">
      <c r="A339" t="s">
        <v>1334</v>
      </c>
      <c r="B339" t="s">
        <v>1339</v>
      </c>
      <c r="F339" t="s">
        <v>242</v>
      </c>
      <c r="G339" t="s">
        <v>2722</v>
      </c>
      <c r="H339">
        <v>338</v>
      </c>
    </row>
    <row r="340" spans="1:8" x14ac:dyDescent="0.4">
      <c r="A340" t="s">
        <v>1342</v>
      </c>
      <c r="B340" t="s">
        <v>1347</v>
      </c>
      <c r="F340" t="s">
        <v>242</v>
      </c>
      <c r="G340" t="s">
        <v>2729</v>
      </c>
      <c r="H340">
        <v>339</v>
      </c>
    </row>
    <row r="341" spans="1:8" x14ac:dyDescent="0.4">
      <c r="A341" t="s">
        <v>1342</v>
      </c>
      <c r="B341" t="s">
        <v>1347</v>
      </c>
      <c r="F341" t="s">
        <v>242</v>
      </c>
      <c r="G341" t="s">
        <v>2724</v>
      </c>
      <c r="H341">
        <v>340</v>
      </c>
    </row>
    <row r="342" spans="1:8" x14ac:dyDescent="0.4">
      <c r="A342" t="s">
        <v>1350</v>
      </c>
      <c r="B342" t="s">
        <v>1357</v>
      </c>
      <c r="F342" t="s">
        <v>2732</v>
      </c>
      <c r="G342" t="s">
        <v>2739</v>
      </c>
      <c r="H342">
        <v>341</v>
      </c>
    </row>
    <row r="343" spans="1:8" x14ac:dyDescent="0.4">
      <c r="A343" t="s">
        <v>1350</v>
      </c>
      <c r="B343" t="s">
        <v>1357</v>
      </c>
      <c r="F343" t="s">
        <v>2732</v>
      </c>
      <c r="G343" t="s">
        <v>2737</v>
      </c>
      <c r="H343">
        <v>342</v>
      </c>
    </row>
    <row r="344" spans="1:8" x14ac:dyDescent="0.4">
      <c r="A344" t="s">
        <v>1350</v>
      </c>
      <c r="B344" t="s">
        <v>1357</v>
      </c>
      <c r="F344" t="s">
        <v>2742</v>
      </c>
      <c r="G344" t="s">
        <v>2752</v>
      </c>
      <c r="H344">
        <v>343</v>
      </c>
    </row>
    <row r="345" spans="1:8" x14ac:dyDescent="0.4">
      <c r="A345" t="s">
        <v>1350</v>
      </c>
      <c r="B345" t="s">
        <v>1357</v>
      </c>
      <c r="F345" t="s">
        <v>2742</v>
      </c>
      <c r="G345" t="s">
        <v>2750</v>
      </c>
      <c r="H345">
        <v>344</v>
      </c>
    </row>
    <row r="346" spans="1:8" x14ac:dyDescent="0.4">
      <c r="A346" t="s">
        <v>1360</v>
      </c>
      <c r="B346" t="s">
        <v>1368</v>
      </c>
      <c r="F346" t="s">
        <v>2755</v>
      </c>
      <c r="G346" t="s">
        <v>2762</v>
      </c>
      <c r="H346">
        <v>345</v>
      </c>
    </row>
    <row r="347" spans="1:8" x14ac:dyDescent="0.4">
      <c r="A347" t="s">
        <v>1360</v>
      </c>
      <c r="B347" t="s">
        <v>1368</v>
      </c>
      <c r="F347" t="s">
        <v>2755</v>
      </c>
      <c r="G347" t="s">
        <v>2765</v>
      </c>
      <c r="H347">
        <v>346</v>
      </c>
    </row>
    <row r="348" spans="1:8" x14ac:dyDescent="0.4">
      <c r="A348" t="s">
        <v>1360</v>
      </c>
      <c r="B348" t="s">
        <v>1368</v>
      </c>
      <c r="F348" t="s">
        <v>2772</v>
      </c>
      <c r="G348" t="s">
        <v>2784</v>
      </c>
      <c r="H348">
        <v>347</v>
      </c>
    </row>
    <row r="349" spans="1:8" x14ac:dyDescent="0.4">
      <c r="A349" t="s">
        <v>1370</v>
      </c>
      <c r="B349" t="s">
        <v>1376</v>
      </c>
      <c r="F349" t="s">
        <v>2772</v>
      </c>
      <c r="G349" t="s">
        <v>2782</v>
      </c>
      <c r="H349">
        <v>348</v>
      </c>
    </row>
    <row r="350" spans="1:8" x14ac:dyDescent="0.4">
      <c r="A350" t="s">
        <v>1370</v>
      </c>
      <c r="B350" t="s">
        <v>1376</v>
      </c>
      <c r="F350" t="s">
        <v>2787</v>
      </c>
      <c r="G350" t="s">
        <v>2792</v>
      </c>
      <c r="H350">
        <v>349</v>
      </c>
    </row>
    <row r="351" spans="1:8" x14ac:dyDescent="0.4">
      <c r="A351" t="s">
        <v>1370</v>
      </c>
      <c r="B351" t="s">
        <v>1376</v>
      </c>
      <c r="F351" t="s">
        <v>2795</v>
      </c>
      <c r="G351" t="s">
        <v>2801</v>
      </c>
      <c r="H351">
        <v>350</v>
      </c>
    </row>
    <row r="352" spans="1:8" x14ac:dyDescent="0.4">
      <c r="A352" t="s">
        <v>1370</v>
      </c>
      <c r="B352" t="s">
        <v>1376</v>
      </c>
    </row>
    <row r="353" spans="1:2" x14ac:dyDescent="0.4">
      <c r="A353" t="s">
        <v>1380</v>
      </c>
      <c r="B353" t="s">
        <v>1387</v>
      </c>
    </row>
    <row r="354" spans="1:2" x14ac:dyDescent="0.4">
      <c r="A354" t="s">
        <v>1380</v>
      </c>
      <c r="B354" t="s">
        <v>1387</v>
      </c>
    </row>
    <row r="355" spans="1:2" x14ac:dyDescent="0.4">
      <c r="A355" t="s">
        <v>1390</v>
      </c>
      <c r="B355" t="s">
        <v>1398</v>
      </c>
    </row>
    <row r="356" spans="1:2" x14ac:dyDescent="0.4">
      <c r="A356" t="s">
        <v>1390</v>
      </c>
      <c r="B356" t="s">
        <v>1401</v>
      </c>
    </row>
    <row r="357" spans="1:2" x14ac:dyDescent="0.4">
      <c r="A357" t="s">
        <v>1390</v>
      </c>
      <c r="B357" t="s">
        <v>1401</v>
      </c>
    </row>
    <row r="358" spans="1:2" x14ac:dyDescent="0.4">
      <c r="A358" t="s">
        <v>1414</v>
      </c>
      <c r="B358" t="s">
        <v>1421</v>
      </c>
    </row>
    <row r="359" spans="1:2" x14ac:dyDescent="0.4">
      <c r="A359" t="s">
        <v>1414</v>
      </c>
      <c r="B359" t="s">
        <v>1421</v>
      </c>
    </row>
    <row r="360" spans="1:2" x14ac:dyDescent="0.4">
      <c r="A360" t="s">
        <v>1424</v>
      </c>
      <c r="B360" t="s">
        <v>1430</v>
      </c>
    </row>
    <row r="361" spans="1:2" x14ac:dyDescent="0.4">
      <c r="A361" t="s">
        <v>1432</v>
      </c>
      <c r="B361" t="s">
        <v>1454</v>
      </c>
    </row>
    <row r="362" spans="1:2" x14ac:dyDescent="0.4">
      <c r="A362" t="s">
        <v>1432</v>
      </c>
      <c r="B362" t="s">
        <v>1454</v>
      </c>
    </row>
    <row r="363" spans="1:2" x14ac:dyDescent="0.4">
      <c r="A363" t="s">
        <v>1432</v>
      </c>
      <c r="B363" t="s">
        <v>1454</v>
      </c>
    </row>
    <row r="364" spans="1:2" x14ac:dyDescent="0.4">
      <c r="A364" t="s">
        <v>1432</v>
      </c>
      <c r="B364" t="s">
        <v>1454</v>
      </c>
    </row>
    <row r="365" spans="1:2" x14ac:dyDescent="0.4">
      <c r="A365" t="s">
        <v>1432</v>
      </c>
      <c r="B365" t="s">
        <v>1451</v>
      </c>
    </row>
    <row r="366" spans="1:2" x14ac:dyDescent="0.4">
      <c r="A366" t="s">
        <v>1432</v>
      </c>
      <c r="B366" t="s">
        <v>1451</v>
      </c>
    </row>
    <row r="367" spans="1:2" x14ac:dyDescent="0.4">
      <c r="A367" t="s">
        <v>1432</v>
      </c>
      <c r="B367" t="s">
        <v>1441</v>
      </c>
    </row>
    <row r="368" spans="1:2" x14ac:dyDescent="0.4">
      <c r="A368" t="s">
        <v>1432</v>
      </c>
      <c r="B368" t="s">
        <v>1441</v>
      </c>
    </row>
    <row r="369" spans="1:2" x14ac:dyDescent="0.4">
      <c r="A369" t="s">
        <v>1432</v>
      </c>
      <c r="B369" t="s">
        <v>1441</v>
      </c>
    </row>
    <row r="370" spans="1:2" x14ac:dyDescent="0.4">
      <c r="A370" t="s">
        <v>1432</v>
      </c>
      <c r="B370" t="s">
        <v>1441</v>
      </c>
    </row>
    <row r="371" spans="1:2" x14ac:dyDescent="0.4">
      <c r="A371" t="s">
        <v>1432</v>
      </c>
      <c r="B371" t="s">
        <v>1443</v>
      </c>
    </row>
    <row r="372" spans="1:2" x14ac:dyDescent="0.4">
      <c r="A372" t="s">
        <v>1432</v>
      </c>
      <c r="B372" t="s">
        <v>1443</v>
      </c>
    </row>
    <row r="373" spans="1:2" x14ac:dyDescent="0.4">
      <c r="A373" t="s">
        <v>1432</v>
      </c>
      <c r="B373" t="s">
        <v>1443</v>
      </c>
    </row>
    <row r="374" spans="1:2" x14ac:dyDescent="0.4">
      <c r="A374" t="s">
        <v>1432</v>
      </c>
      <c r="B374" t="s">
        <v>1443</v>
      </c>
    </row>
    <row r="375" spans="1:2" x14ac:dyDescent="0.4">
      <c r="A375" t="s">
        <v>1457</v>
      </c>
      <c r="B375" t="s">
        <v>1461</v>
      </c>
    </row>
    <row r="376" spans="1:2" x14ac:dyDescent="0.4">
      <c r="A376" t="s">
        <v>1457</v>
      </c>
      <c r="B376" t="s">
        <v>1461</v>
      </c>
    </row>
    <row r="377" spans="1:2" x14ac:dyDescent="0.4">
      <c r="A377" t="s">
        <v>1464</v>
      </c>
      <c r="B377" t="s">
        <v>1473</v>
      </c>
    </row>
    <row r="378" spans="1:2" x14ac:dyDescent="0.4">
      <c r="A378" t="s">
        <v>1464</v>
      </c>
      <c r="B378" t="s">
        <v>1471</v>
      </c>
    </row>
    <row r="379" spans="1:2" x14ac:dyDescent="0.4">
      <c r="A379" t="s">
        <v>1476</v>
      </c>
      <c r="B379" t="s">
        <v>1487</v>
      </c>
    </row>
    <row r="380" spans="1:2" x14ac:dyDescent="0.4">
      <c r="A380" t="s">
        <v>1476</v>
      </c>
      <c r="B380" t="s">
        <v>1487</v>
      </c>
    </row>
    <row r="381" spans="1:2" x14ac:dyDescent="0.4">
      <c r="A381" t="s">
        <v>1476</v>
      </c>
      <c r="B381" t="s">
        <v>1487</v>
      </c>
    </row>
    <row r="382" spans="1:2" x14ac:dyDescent="0.4">
      <c r="A382" t="s">
        <v>1476</v>
      </c>
      <c r="B382" t="s">
        <v>1487</v>
      </c>
    </row>
    <row r="383" spans="1:2" x14ac:dyDescent="0.4">
      <c r="A383" t="s">
        <v>1476</v>
      </c>
      <c r="B383" t="s">
        <v>1487</v>
      </c>
    </row>
    <row r="384" spans="1:2" x14ac:dyDescent="0.4">
      <c r="A384" t="s">
        <v>1476</v>
      </c>
      <c r="B384" t="s">
        <v>1487</v>
      </c>
    </row>
    <row r="385" spans="1:2" x14ac:dyDescent="0.4">
      <c r="A385" t="s">
        <v>1489</v>
      </c>
      <c r="B385" t="s">
        <v>1499</v>
      </c>
    </row>
    <row r="386" spans="1:2" x14ac:dyDescent="0.4">
      <c r="A386" t="s">
        <v>1489</v>
      </c>
      <c r="B386" t="s">
        <v>1499</v>
      </c>
    </row>
    <row r="387" spans="1:2" x14ac:dyDescent="0.4">
      <c r="A387" t="s">
        <v>1489</v>
      </c>
      <c r="B387" t="s">
        <v>1499</v>
      </c>
    </row>
    <row r="388" spans="1:2" x14ac:dyDescent="0.4">
      <c r="A388" t="s">
        <v>1489</v>
      </c>
      <c r="B388" t="s">
        <v>1499</v>
      </c>
    </row>
    <row r="389" spans="1:2" x14ac:dyDescent="0.4">
      <c r="A389" t="s">
        <v>1489</v>
      </c>
      <c r="B389" t="s">
        <v>1501</v>
      </c>
    </row>
    <row r="390" spans="1:2" x14ac:dyDescent="0.4">
      <c r="A390" t="s">
        <v>1489</v>
      </c>
      <c r="B390" t="s">
        <v>1501</v>
      </c>
    </row>
    <row r="391" spans="1:2" x14ac:dyDescent="0.4">
      <c r="A391" t="s">
        <v>1489</v>
      </c>
      <c r="B391" t="s">
        <v>1501</v>
      </c>
    </row>
    <row r="392" spans="1:2" x14ac:dyDescent="0.4">
      <c r="A392" t="s">
        <v>1489</v>
      </c>
      <c r="B392" t="s">
        <v>1501</v>
      </c>
    </row>
    <row r="393" spans="1:2" x14ac:dyDescent="0.4">
      <c r="A393" t="s">
        <v>1504</v>
      </c>
      <c r="B393" t="s">
        <v>1508</v>
      </c>
    </row>
    <row r="394" spans="1:2" x14ac:dyDescent="0.4">
      <c r="A394" t="s">
        <v>1504</v>
      </c>
      <c r="B394" t="s">
        <v>1508</v>
      </c>
    </row>
    <row r="395" spans="1:2" x14ac:dyDescent="0.4">
      <c r="A395" t="s">
        <v>1504</v>
      </c>
      <c r="B395" t="s">
        <v>1508</v>
      </c>
    </row>
    <row r="396" spans="1:2" x14ac:dyDescent="0.4">
      <c r="A396" t="s">
        <v>1511</v>
      </c>
      <c r="B396" t="s">
        <v>1517</v>
      </c>
    </row>
    <row r="397" spans="1:2" x14ac:dyDescent="0.4">
      <c r="A397" t="s">
        <v>1511</v>
      </c>
      <c r="B397" t="s">
        <v>1517</v>
      </c>
    </row>
    <row r="398" spans="1:2" x14ac:dyDescent="0.4">
      <c r="A398" t="s">
        <v>1511</v>
      </c>
      <c r="B398" t="s">
        <v>1517</v>
      </c>
    </row>
    <row r="399" spans="1:2" x14ac:dyDescent="0.4">
      <c r="A399" t="s">
        <v>1511</v>
      </c>
      <c r="B399" t="s">
        <v>1517</v>
      </c>
    </row>
    <row r="400" spans="1:2" x14ac:dyDescent="0.4">
      <c r="A400" t="s">
        <v>1511</v>
      </c>
      <c r="B400" t="s">
        <v>1517</v>
      </c>
    </row>
    <row r="401" spans="1:2" x14ac:dyDescent="0.4">
      <c r="A401" t="s">
        <v>1511</v>
      </c>
      <c r="B401" t="s">
        <v>1517</v>
      </c>
    </row>
    <row r="402" spans="1:2" x14ac:dyDescent="0.4">
      <c r="A402" t="s">
        <v>1519</v>
      </c>
      <c r="B402" t="s">
        <v>1525</v>
      </c>
    </row>
    <row r="403" spans="1:2" x14ac:dyDescent="0.4">
      <c r="A403" t="s">
        <v>1519</v>
      </c>
      <c r="B403" t="s">
        <v>1525</v>
      </c>
    </row>
    <row r="404" spans="1:2" x14ac:dyDescent="0.4">
      <c r="A404" t="s">
        <v>1519</v>
      </c>
      <c r="B404" t="s">
        <v>1525</v>
      </c>
    </row>
    <row r="405" spans="1:2" x14ac:dyDescent="0.4">
      <c r="A405" t="s">
        <v>1519</v>
      </c>
      <c r="B405" t="s">
        <v>1525</v>
      </c>
    </row>
    <row r="406" spans="1:2" x14ac:dyDescent="0.4">
      <c r="A406" t="s">
        <v>1529</v>
      </c>
      <c r="B406" t="s">
        <v>1535</v>
      </c>
    </row>
    <row r="407" spans="1:2" x14ac:dyDescent="0.4">
      <c r="A407" t="s">
        <v>1529</v>
      </c>
      <c r="B407" t="s">
        <v>1535</v>
      </c>
    </row>
    <row r="408" spans="1:2" x14ac:dyDescent="0.4">
      <c r="A408" t="s">
        <v>1529</v>
      </c>
      <c r="B408" t="s">
        <v>1535</v>
      </c>
    </row>
    <row r="409" spans="1:2" x14ac:dyDescent="0.4">
      <c r="A409" t="s">
        <v>1529</v>
      </c>
      <c r="B409" t="s">
        <v>1535</v>
      </c>
    </row>
    <row r="410" spans="1:2" x14ac:dyDescent="0.4">
      <c r="A410" t="s">
        <v>1540</v>
      </c>
      <c r="B410" t="s">
        <v>1545</v>
      </c>
    </row>
    <row r="411" spans="1:2" x14ac:dyDescent="0.4">
      <c r="A411" t="s">
        <v>1540</v>
      </c>
      <c r="B411" t="s">
        <v>1545</v>
      </c>
    </row>
    <row r="412" spans="1:2" x14ac:dyDescent="0.4">
      <c r="A412" t="s">
        <v>1548</v>
      </c>
      <c r="B412" t="s">
        <v>1556</v>
      </c>
    </row>
    <row r="413" spans="1:2" x14ac:dyDescent="0.4">
      <c r="A413" t="s">
        <v>1548</v>
      </c>
      <c r="B413" t="s">
        <v>1556</v>
      </c>
    </row>
    <row r="414" spans="1:2" x14ac:dyDescent="0.4">
      <c r="A414" t="s">
        <v>1559</v>
      </c>
      <c r="B414" t="s">
        <v>1564</v>
      </c>
    </row>
    <row r="415" spans="1:2" x14ac:dyDescent="0.4">
      <c r="A415" t="s">
        <v>1559</v>
      </c>
      <c r="B415" t="s">
        <v>1564</v>
      </c>
    </row>
    <row r="416" spans="1:2" x14ac:dyDescent="0.4">
      <c r="A416" t="s">
        <v>1566</v>
      </c>
      <c r="B416" t="s">
        <v>1573</v>
      </c>
    </row>
    <row r="417" spans="1:2" x14ac:dyDescent="0.4">
      <c r="A417" t="s">
        <v>1566</v>
      </c>
      <c r="B417" t="s">
        <v>1573</v>
      </c>
    </row>
    <row r="418" spans="1:2" x14ac:dyDescent="0.4">
      <c r="A418" t="s">
        <v>1566</v>
      </c>
      <c r="B418" t="s">
        <v>1593</v>
      </c>
    </row>
    <row r="419" spans="1:2" x14ac:dyDescent="0.4">
      <c r="A419" t="s">
        <v>1566</v>
      </c>
      <c r="B419" t="s">
        <v>1585</v>
      </c>
    </row>
    <row r="420" spans="1:2" x14ac:dyDescent="0.4">
      <c r="A420" t="s">
        <v>1566</v>
      </c>
      <c r="B420" t="s">
        <v>1585</v>
      </c>
    </row>
    <row r="421" spans="1:2" x14ac:dyDescent="0.4">
      <c r="A421" t="s">
        <v>1566</v>
      </c>
      <c r="B421" t="s">
        <v>1575</v>
      </c>
    </row>
    <row r="422" spans="1:2" x14ac:dyDescent="0.4">
      <c r="A422" t="s">
        <v>1566</v>
      </c>
      <c r="B422" t="s">
        <v>1575</v>
      </c>
    </row>
    <row r="423" spans="1:2" x14ac:dyDescent="0.4">
      <c r="A423" t="s">
        <v>1605</v>
      </c>
      <c r="B423" t="s">
        <v>1610</v>
      </c>
    </row>
    <row r="424" spans="1:2" x14ac:dyDescent="0.4">
      <c r="A424" t="s">
        <v>1605</v>
      </c>
      <c r="B424" t="s">
        <v>1610</v>
      </c>
    </row>
    <row r="425" spans="1:2" x14ac:dyDescent="0.4">
      <c r="A425" t="s">
        <v>1605</v>
      </c>
      <c r="B425" t="s">
        <v>1610</v>
      </c>
    </row>
    <row r="426" spans="1:2" x14ac:dyDescent="0.4">
      <c r="A426" t="s">
        <v>1605</v>
      </c>
      <c r="B426" t="s">
        <v>1610</v>
      </c>
    </row>
    <row r="427" spans="1:2" x14ac:dyDescent="0.4">
      <c r="A427" t="s">
        <v>1605</v>
      </c>
      <c r="B427" t="s">
        <v>1610</v>
      </c>
    </row>
    <row r="428" spans="1:2" x14ac:dyDescent="0.4">
      <c r="A428" t="s">
        <v>1605</v>
      </c>
      <c r="B428" t="s">
        <v>1610</v>
      </c>
    </row>
    <row r="429" spans="1:2" x14ac:dyDescent="0.4">
      <c r="A429" t="s">
        <v>1612</v>
      </c>
      <c r="B429" t="s">
        <v>1622</v>
      </c>
    </row>
    <row r="430" spans="1:2" x14ac:dyDescent="0.4">
      <c r="A430" t="s">
        <v>1612</v>
      </c>
      <c r="B430" t="s">
        <v>1622</v>
      </c>
    </row>
    <row r="431" spans="1:2" x14ac:dyDescent="0.4">
      <c r="A431" t="s">
        <v>1612</v>
      </c>
      <c r="B431" t="s">
        <v>1622</v>
      </c>
    </row>
    <row r="432" spans="1:2" x14ac:dyDescent="0.4">
      <c r="A432" t="s">
        <v>1612</v>
      </c>
      <c r="B432" t="s">
        <v>1619</v>
      </c>
    </row>
    <row r="433" spans="1:2" x14ac:dyDescent="0.4">
      <c r="A433" t="s">
        <v>1625</v>
      </c>
      <c r="B433" t="s">
        <v>1632</v>
      </c>
    </row>
    <row r="434" spans="1:2" x14ac:dyDescent="0.4">
      <c r="A434" t="s">
        <v>1625</v>
      </c>
      <c r="B434" t="s">
        <v>1632</v>
      </c>
    </row>
    <row r="435" spans="1:2" x14ac:dyDescent="0.4">
      <c r="A435" t="s">
        <v>1625</v>
      </c>
      <c r="B435" t="s">
        <v>1632</v>
      </c>
    </row>
    <row r="436" spans="1:2" x14ac:dyDescent="0.4">
      <c r="A436" t="s">
        <v>1625</v>
      </c>
      <c r="B436" t="s">
        <v>1632</v>
      </c>
    </row>
    <row r="437" spans="1:2" x14ac:dyDescent="0.4">
      <c r="A437" t="s">
        <v>1625</v>
      </c>
      <c r="B437" t="s">
        <v>1634</v>
      </c>
    </row>
    <row r="438" spans="1:2" x14ac:dyDescent="0.4">
      <c r="A438" t="s">
        <v>1625</v>
      </c>
      <c r="B438" t="s">
        <v>1634</v>
      </c>
    </row>
    <row r="439" spans="1:2" x14ac:dyDescent="0.4">
      <c r="A439" t="s">
        <v>1625</v>
      </c>
      <c r="B439" t="s">
        <v>1634</v>
      </c>
    </row>
    <row r="440" spans="1:2" x14ac:dyDescent="0.4">
      <c r="A440" t="s">
        <v>1625</v>
      </c>
      <c r="B440" t="s">
        <v>1634</v>
      </c>
    </row>
    <row r="441" spans="1:2" x14ac:dyDescent="0.4">
      <c r="A441" t="s">
        <v>1625</v>
      </c>
      <c r="B441" t="s">
        <v>1646</v>
      </c>
    </row>
    <row r="442" spans="1:2" x14ac:dyDescent="0.4">
      <c r="A442" t="s">
        <v>1625</v>
      </c>
      <c r="B442" t="s">
        <v>1650</v>
      </c>
    </row>
    <row r="443" spans="1:2" x14ac:dyDescent="0.4">
      <c r="A443" t="s">
        <v>1652</v>
      </c>
      <c r="B443" t="s">
        <v>1658</v>
      </c>
    </row>
    <row r="444" spans="1:2" x14ac:dyDescent="0.4">
      <c r="A444" t="s">
        <v>1652</v>
      </c>
      <c r="B444" t="s">
        <v>1658</v>
      </c>
    </row>
    <row r="445" spans="1:2" x14ac:dyDescent="0.4">
      <c r="A445" t="s">
        <v>1652</v>
      </c>
      <c r="B445" t="s">
        <v>1660</v>
      </c>
    </row>
    <row r="446" spans="1:2" x14ac:dyDescent="0.4">
      <c r="A446" t="s">
        <v>1652</v>
      </c>
      <c r="B446" t="s">
        <v>1660</v>
      </c>
    </row>
    <row r="447" spans="1:2" x14ac:dyDescent="0.4">
      <c r="A447" t="s">
        <v>1662</v>
      </c>
      <c r="B447" t="s">
        <v>1670</v>
      </c>
    </row>
    <row r="448" spans="1:2" x14ac:dyDescent="0.4">
      <c r="A448" t="s">
        <v>1673</v>
      </c>
      <c r="B448" t="s">
        <v>1680</v>
      </c>
    </row>
    <row r="449" spans="1:2" x14ac:dyDescent="0.4">
      <c r="A449" t="s">
        <v>1673</v>
      </c>
      <c r="B449" t="s">
        <v>1680</v>
      </c>
    </row>
    <row r="450" spans="1:2" x14ac:dyDescent="0.4">
      <c r="A450" t="s">
        <v>1692</v>
      </c>
      <c r="B450" t="s">
        <v>1701</v>
      </c>
    </row>
    <row r="451" spans="1:2" x14ac:dyDescent="0.4">
      <c r="A451" t="s">
        <v>1692</v>
      </c>
      <c r="B451" t="s">
        <v>1701</v>
      </c>
    </row>
    <row r="452" spans="1:2" x14ac:dyDescent="0.4">
      <c r="A452" t="s">
        <v>1703</v>
      </c>
      <c r="B452" t="s">
        <v>1714</v>
      </c>
    </row>
    <row r="453" spans="1:2" x14ac:dyDescent="0.4">
      <c r="A453" t="s">
        <v>1703</v>
      </c>
      <c r="B453" t="s">
        <v>1714</v>
      </c>
    </row>
    <row r="454" spans="1:2" x14ac:dyDescent="0.4">
      <c r="A454" t="s">
        <v>1716</v>
      </c>
      <c r="B454" t="s">
        <v>1722</v>
      </c>
    </row>
    <row r="455" spans="1:2" x14ac:dyDescent="0.4">
      <c r="A455" t="s">
        <v>1716</v>
      </c>
      <c r="B455" t="s">
        <v>1722</v>
      </c>
    </row>
    <row r="456" spans="1:2" x14ac:dyDescent="0.4">
      <c r="A456" t="s">
        <v>1716</v>
      </c>
      <c r="B456" t="s">
        <v>1724</v>
      </c>
    </row>
    <row r="457" spans="1:2" x14ac:dyDescent="0.4">
      <c r="A457" t="s">
        <v>1716</v>
      </c>
      <c r="B457" t="s">
        <v>1724</v>
      </c>
    </row>
    <row r="458" spans="1:2" x14ac:dyDescent="0.4">
      <c r="A458" t="s">
        <v>1727</v>
      </c>
      <c r="B458" t="s">
        <v>1728</v>
      </c>
    </row>
    <row r="459" spans="1:2" x14ac:dyDescent="0.4">
      <c r="A459" t="s">
        <v>1727</v>
      </c>
      <c r="B459" t="s">
        <v>1728</v>
      </c>
    </row>
    <row r="460" spans="1:2" x14ac:dyDescent="0.4">
      <c r="A460" t="s">
        <v>1727</v>
      </c>
      <c r="B460" t="s">
        <v>1728</v>
      </c>
    </row>
    <row r="461" spans="1:2" x14ac:dyDescent="0.4">
      <c r="A461" t="s">
        <v>1727</v>
      </c>
      <c r="B461" t="s">
        <v>1728</v>
      </c>
    </row>
    <row r="462" spans="1:2" x14ac:dyDescent="0.4">
      <c r="A462" t="s">
        <v>1730</v>
      </c>
      <c r="B462" t="s">
        <v>1736</v>
      </c>
    </row>
    <row r="463" spans="1:2" x14ac:dyDescent="0.4">
      <c r="A463" t="s">
        <v>1730</v>
      </c>
      <c r="B463" t="s">
        <v>1736</v>
      </c>
    </row>
    <row r="464" spans="1:2" x14ac:dyDescent="0.4">
      <c r="A464" t="s">
        <v>1730</v>
      </c>
      <c r="B464" t="s">
        <v>1736</v>
      </c>
    </row>
    <row r="465" spans="1:2" x14ac:dyDescent="0.4">
      <c r="A465" t="s">
        <v>1730</v>
      </c>
      <c r="B465" t="s">
        <v>1736</v>
      </c>
    </row>
    <row r="466" spans="1:2" x14ac:dyDescent="0.4">
      <c r="A466" t="s">
        <v>1738</v>
      </c>
      <c r="B466" t="s">
        <v>1745</v>
      </c>
    </row>
    <row r="467" spans="1:2" x14ac:dyDescent="0.4">
      <c r="A467" t="s">
        <v>1749</v>
      </c>
      <c r="B467" t="s">
        <v>1757</v>
      </c>
    </row>
    <row r="468" spans="1:2" x14ac:dyDescent="0.4">
      <c r="A468" t="s">
        <v>1749</v>
      </c>
      <c r="B468" t="s">
        <v>1757</v>
      </c>
    </row>
    <row r="469" spans="1:2" x14ac:dyDescent="0.4">
      <c r="A469" t="s">
        <v>1770</v>
      </c>
      <c r="B469" t="s">
        <v>1783</v>
      </c>
    </row>
    <row r="470" spans="1:2" x14ac:dyDescent="0.4">
      <c r="A470" t="s">
        <v>1770</v>
      </c>
      <c r="B470" t="s">
        <v>1783</v>
      </c>
    </row>
    <row r="471" spans="1:2" x14ac:dyDescent="0.4">
      <c r="A471" t="s">
        <v>1770</v>
      </c>
      <c r="B471" t="s">
        <v>1777</v>
      </c>
    </row>
    <row r="472" spans="1:2" x14ac:dyDescent="0.4">
      <c r="A472" t="s">
        <v>1770</v>
      </c>
      <c r="B472" t="s">
        <v>1777</v>
      </c>
    </row>
    <row r="473" spans="1:2" x14ac:dyDescent="0.4">
      <c r="A473" t="s">
        <v>1770</v>
      </c>
      <c r="B473" t="s">
        <v>1779</v>
      </c>
    </row>
    <row r="474" spans="1:2" x14ac:dyDescent="0.4">
      <c r="A474" t="s">
        <v>1770</v>
      </c>
      <c r="B474" t="s">
        <v>1779</v>
      </c>
    </row>
    <row r="475" spans="1:2" x14ac:dyDescent="0.4">
      <c r="A475" t="s">
        <v>1770</v>
      </c>
      <c r="B475" t="s">
        <v>1781</v>
      </c>
    </row>
    <row r="476" spans="1:2" x14ac:dyDescent="0.4">
      <c r="A476" t="s">
        <v>1770</v>
      </c>
      <c r="B476" t="s">
        <v>1781</v>
      </c>
    </row>
    <row r="477" spans="1:2" x14ac:dyDescent="0.4">
      <c r="A477" t="s">
        <v>1786</v>
      </c>
      <c r="B477" t="s">
        <v>1791</v>
      </c>
    </row>
    <row r="478" spans="1:2" x14ac:dyDescent="0.4">
      <c r="A478" t="s">
        <v>1786</v>
      </c>
      <c r="B478" t="s">
        <v>1791</v>
      </c>
    </row>
    <row r="479" spans="1:2" x14ac:dyDescent="0.4">
      <c r="A479" t="s">
        <v>1786</v>
      </c>
      <c r="B479" t="s">
        <v>1791</v>
      </c>
    </row>
    <row r="480" spans="1:2" x14ac:dyDescent="0.4">
      <c r="A480" t="s">
        <v>2805</v>
      </c>
      <c r="B480" t="s">
        <v>2812</v>
      </c>
    </row>
    <row r="481" spans="1:2" x14ac:dyDescent="0.4">
      <c r="A481" t="s">
        <v>2805</v>
      </c>
      <c r="B481" t="s">
        <v>2812</v>
      </c>
    </row>
    <row r="482" spans="1:2" x14ac:dyDescent="0.4">
      <c r="A482" t="s">
        <v>2805</v>
      </c>
      <c r="B482" t="s">
        <v>2812</v>
      </c>
    </row>
    <row r="483" spans="1:2" x14ac:dyDescent="0.4">
      <c r="A483" t="s">
        <v>1794</v>
      </c>
      <c r="B483" t="s">
        <v>1799</v>
      </c>
    </row>
    <row r="484" spans="1:2" x14ac:dyDescent="0.4">
      <c r="A484" t="s">
        <v>1794</v>
      </c>
      <c r="B484" t="s">
        <v>1799</v>
      </c>
    </row>
    <row r="485" spans="1:2" x14ac:dyDescent="0.4">
      <c r="A485" t="s">
        <v>1794</v>
      </c>
      <c r="B485" t="s">
        <v>1799</v>
      </c>
    </row>
    <row r="486" spans="1:2" x14ac:dyDescent="0.4">
      <c r="A486" t="s">
        <v>1794</v>
      </c>
      <c r="B486" t="s">
        <v>1799</v>
      </c>
    </row>
    <row r="487" spans="1:2" x14ac:dyDescent="0.4">
      <c r="A487" t="s">
        <v>1801</v>
      </c>
      <c r="B487" t="s">
        <v>1808</v>
      </c>
    </row>
    <row r="488" spans="1:2" x14ac:dyDescent="0.4">
      <c r="A488" t="s">
        <v>1801</v>
      </c>
      <c r="B488" t="s">
        <v>1808</v>
      </c>
    </row>
    <row r="489" spans="1:2" x14ac:dyDescent="0.4">
      <c r="A489" t="s">
        <v>1812</v>
      </c>
      <c r="B489" t="s">
        <v>1816</v>
      </c>
    </row>
    <row r="490" spans="1:2" x14ac:dyDescent="0.4">
      <c r="A490" t="s">
        <v>1812</v>
      </c>
      <c r="B490" t="s">
        <v>1816</v>
      </c>
    </row>
    <row r="491" spans="1:2" x14ac:dyDescent="0.4">
      <c r="A491" t="s">
        <v>1819</v>
      </c>
      <c r="B491" t="s">
        <v>1825</v>
      </c>
    </row>
    <row r="492" spans="1:2" x14ac:dyDescent="0.4">
      <c r="A492" t="s">
        <v>1819</v>
      </c>
      <c r="B492" t="s">
        <v>1825</v>
      </c>
    </row>
    <row r="493" spans="1:2" x14ac:dyDescent="0.4">
      <c r="A493" t="s">
        <v>1819</v>
      </c>
      <c r="B493" t="s">
        <v>1828</v>
      </c>
    </row>
    <row r="494" spans="1:2" x14ac:dyDescent="0.4">
      <c r="A494" t="s">
        <v>1831</v>
      </c>
      <c r="B494" t="s">
        <v>1838</v>
      </c>
    </row>
    <row r="495" spans="1:2" x14ac:dyDescent="0.4">
      <c r="A495" t="s">
        <v>1831</v>
      </c>
      <c r="B495" t="s">
        <v>1838</v>
      </c>
    </row>
    <row r="496" spans="1:2" x14ac:dyDescent="0.4">
      <c r="A496" t="s">
        <v>1841</v>
      </c>
      <c r="B496" t="s">
        <v>1847</v>
      </c>
    </row>
    <row r="497" spans="1:2" x14ac:dyDescent="0.4">
      <c r="A497" t="s">
        <v>1841</v>
      </c>
      <c r="B497" t="s">
        <v>1847</v>
      </c>
    </row>
    <row r="498" spans="1:2" x14ac:dyDescent="0.4">
      <c r="A498" t="s">
        <v>1841</v>
      </c>
      <c r="B498" t="s">
        <v>1847</v>
      </c>
    </row>
    <row r="499" spans="1:2" x14ac:dyDescent="0.4">
      <c r="A499" t="s">
        <v>1841</v>
      </c>
      <c r="B499" t="s">
        <v>1847</v>
      </c>
    </row>
    <row r="500" spans="1:2" x14ac:dyDescent="0.4">
      <c r="A500" t="s">
        <v>1850</v>
      </c>
      <c r="B500" t="s">
        <v>1855</v>
      </c>
    </row>
    <row r="501" spans="1:2" x14ac:dyDescent="0.4">
      <c r="A501" t="s">
        <v>1850</v>
      </c>
      <c r="B501" t="s">
        <v>1855</v>
      </c>
    </row>
    <row r="502" spans="1:2" x14ac:dyDescent="0.4">
      <c r="A502" t="s">
        <v>1858</v>
      </c>
      <c r="B502" t="s">
        <v>1864</v>
      </c>
    </row>
    <row r="503" spans="1:2" x14ac:dyDescent="0.4">
      <c r="A503" t="s">
        <v>1858</v>
      </c>
      <c r="B503" t="s">
        <v>1866</v>
      </c>
    </row>
    <row r="504" spans="1:2" x14ac:dyDescent="0.4">
      <c r="A504" t="s">
        <v>1868</v>
      </c>
      <c r="B504" t="s">
        <v>1875</v>
      </c>
    </row>
    <row r="505" spans="1:2" x14ac:dyDescent="0.4">
      <c r="A505" t="s">
        <v>1868</v>
      </c>
      <c r="B505" t="s">
        <v>1875</v>
      </c>
    </row>
    <row r="506" spans="1:2" x14ac:dyDescent="0.4">
      <c r="A506" t="s">
        <v>1868</v>
      </c>
      <c r="B506" t="s">
        <v>1875</v>
      </c>
    </row>
    <row r="507" spans="1:2" x14ac:dyDescent="0.4">
      <c r="A507" t="s">
        <v>1868</v>
      </c>
      <c r="B507" t="s">
        <v>1875</v>
      </c>
    </row>
    <row r="508" spans="1:2" x14ac:dyDescent="0.4">
      <c r="A508" t="s">
        <v>1882</v>
      </c>
      <c r="B508" t="s">
        <v>1890</v>
      </c>
    </row>
    <row r="509" spans="1:2" x14ac:dyDescent="0.4">
      <c r="A509" t="s">
        <v>1016</v>
      </c>
      <c r="B509" t="s">
        <v>1901</v>
      </c>
    </row>
    <row r="510" spans="1:2" x14ac:dyDescent="0.4">
      <c r="A510" t="s">
        <v>1016</v>
      </c>
      <c r="B510" t="s">
        <v>1901</v>
      </c>
    </row>
    <row r="511" spans="1:2" x14ac:dyDescent="0.4">
      <c r="A511" t="s">
        <v>1016</v>
      </c>
      <c r="B511" t="s">
        <v>1901</v>
      </c>
    </row>
    <row r="512" spans="1:2" x14ac:dyDescent="0.4">
      <c r="A512" t="s">
        <v>1016</v>
      </c>
      <c r="B512" t="s">
        <v>1904</v>
      </c>
    </row>
    <row r="513" spans="1:2" x14ac:dyDescent="0.4">
      <c r="A513" t="s">
        <v>1016</v>
      </c>
      <c r="B513" t="s">
        <v>1904</v>
      </c>
    </row>
    <row r="514" spans="1:2" x14ac:dyDescent="0.4">
      <c r="A514" t="s">
        <v>1016</v>
      </c>
      <c r="B514" t="s">
        <v>1904</v>
      </c>
    </row>
    <row r="515" spans="1:2" x14ac:dyDescent="0.4">
      <c r="A515" t="s">
        <v>1906</v>
      </c>
      <c r="B515" t="s">
        <v>1911</v>
      </c>
    </row>
    <row r="516" spans="1:2" x14ac:dyDescent="0.4">
      <c r="A516" t="s">
        <v>1906</v>
      </c>
      <c r="B516" t="s">
        <v>1911</v>
      </c>
    </row>
    <row r="517" spans="1:2" x14ac:dyDescent="0.4">
      <c r="A517" t="s">
        <v>1914</v>
      </c>
      <c r="B517" t="s">
        <v>1921</v>
      </c>
    </row>
    <row r="518" spans="1:2" x14ac:dyDescent="0.4">
      <c r="A518" t="s">
        <v>1914</v>
      </c>
      <c r="B518" t="s">
        <v>1921</v>
      </c>
    </row>
    <row r="519" spans="1:2" x14ac:dyDescent="0.4">
      <c r="A519" t="s">
        <v>1914</v>
      </c>
      <c r="B519" t="s">
        <v>1919</v>
      </c>
    </row>
    <row r="520" spans="1:2" x14ac:dyDescent="0.4">
      <c r="A520" t="s">
        <v>1914</v>
      </c>
      <c r="B520" t="s">
        <v>1919</v>
      </c>
    </row>
    <row r="521" spans="1:2" x14ac:dyDescent="0.4">
      <c r="A521" t="s">
        <v>1914</v>
      </c>
      <c r="B521" t="s">
        <v>1919</v>
      </c>
    </row>
    <row r="522" spans="1:2" x14ac:dyDescent="0.4">
      <c r="A522" t="s">
        <v>1914</v>
      </c>
      <c r="B522" t="s">
        <v>1919</v>
      </c>
    </row>
    <row r="523" spans="1:2" x14ac:dyDescent="0.4">
      <c r="A523" t="s">
        <v>1914</v>
      </c>
      <c r="B523" t="s">
        <v>1923</v>
      </c>
    </row>
    <row r="524" spans="1:2" x14ac:dyDescent="0.4">
      <c r="A524" t="s">
        <v>1914</v>
      </c>
      <c r="B524" t="s">
        <v>1923</v>
      </c>
    </row>
    <row r="525" spans="1:2" x14ac:dyDescent="0.4">
      <c r="A525" t="s">
        <v>1935</v>
      </c>
      <c r="B525" t="s">
        <v>1940</v>
      </c>
    </row>
    <row r="526" spans="1:2" x14ac:dyDescent="0.4">
      <c r="A526" t="s">
        <v>1935</v>
      </c>
      <c r="B526" t="s">
        <v>1940</v>
      </c>
    </row>
    <row r="527" spans="1:2" x14ac:dyDescent="0.4">
      <c r="A527" t="s">
        <v>1935</v>
      </c>
      <c r="B527" t="s">
        <v>1940</v>
      </c>
    </row>
    <row r="528" spans="1:2" x14ac:dyDescent="0.4">
      <c r="A528" t="s">
        <v>1935</v>
      </c>
      <c r="B528" t="s">
        <v>1940</v>
      </c>
    </row>
    <row r="529" spans="1:2" x14ac:dyDescent="0.4">
      <c r="A529" t="s">
        <v>1935</v>
      </c>
      <c r="B529" t="s">
        <v>1948</v>
      </c>
    </row>
    <row r="530" spans="1:2" x14ac:dyDescent="0.4">
      <c r="A530" t="s">
        <v>1935</v>
      </c>
      <c r="B530" t="s">
        <v>1948</v>
      </c>
    </row>
    <row r="531" spans="1:2" x14ac:dyDescent="0.4">
      <c r="A531" t="s">
        <v>1935</v>
      </c>
      <c r="B531" t="s">
        <v>1950</v>
      </c>
    </row>
    <row r="532" spans="1:2" x14ac:dyDescent="0.4">
      <c r="A532" t="s">
        <v>1935</v>
      </c>
      <c r="B532" t="s">
        <v>1950</v>
      </c>
    </row>
    <row r="533" spans="1:2" x14ac:dyDescent="0.4">
      <c r="A533" t="s">
        <v>1925</v>
      </c>
      <c r="B533" t="s">
        <v>1933</v>
      </c>
    </row>
    <row r="534" spans="1:2" x14ac:dyDescent="0.4">
      <c r="A534" t="s">
        <v>1925</v>
      </c>
      <c r="B534" t="s">
        <v>1933</v>
      </c>
    </row>
    <row r="535" spans="1:2" x14ac:dyDescent="0.4">
      <c r="A535" t="s">
        <v>1925</v>
      </c>
      <c r="B535" t="s">
        <v>1933</v>
      </c>
    </row>
    <row r="536" spans="1:2" x14ac:dyDescent="0.4">
      <c r="A536" t="s">
        <v>1925</v>
      </c>
      <c r="B536" t="s">
        <v>1933</v>
      </c>
    </row>
    <row r="537" spans="1:2" x14ac:dyDescent="0.4">
      <c r="A537" t="s">
        <v>1925</v>
      </c>
      <c r="B537" t="s">
        <v>1933</v>
      </c>
    </row>
    <row r="538" spans="1:2" x14ac:dyDescent="0.4">
      <c r="A538" t="s">
        <v>1952</v>
      </c>
      <c r="B538" t="s">
        <v>1956</v>
      </c>
    </row>
    <row r="539" spans="1:2" x14ac:dyDescent="0.4">
      <c r="A539" t="s">
        <v>1952</v>
      </c>
      <c r="B539" t="s">
        <v>1958</v>
      </c>
    </row>
    <row r="540" spans="1:2" x14ac:dyDescent="0.4">
      <c r="A540" t="s">
        <v>1973</v>
      </c>
      <c r="B540" t="s">
        <v>1979</v>
      </c>
    </row>
    <row r="541" spans="1:2" x14ac:dyDescent="0.4">
      <c r="A541" t="s">
        <v>1973</v>
      </c>
      <c r="B541" t="s">
        <v>1979</v>
      </c>
    </row>
    <row r="542" spans="1:2" x14ac:dyDescent="0.4">
      <c r="A542" t="s">
        <v>1973</v>
      </c>
      <c r="B542" t="s">
        <v>1979</v>
      </c>
    </row>
    <row r="543" spans="1:2" x14ac:dyDescent="0.4">
      <c r="A543" t="s">
        <v>1960</v>
      </c>
      <c r="B543" t="s">
        <v>1966</v>
      </c>
    </row>
    <row r="544" spans="1:2" x14ac:dyDescent="0.4">
      <c r="A544" t="s">
        <v>1960</v>
      </c>
      <c r="B544" t="s">
        <v>1971</v>
      </c>
    </row>
    <row r="545" spans="1:2" x14ac:dyDescent="0.4">
      <c r="A545" t="s">
        <v>1960</v>
      </c>
      <c r="B545" t="s">
        <v>1971</v>
      </c>
    </row>
    <row r="546" spans="1:2" x14ac:dyDescent="0.4">
      <c r="A546" t="s">
        <v>1981</v>
      </c>
      <c r="B546" t="s">
        <v>1992</v>
      </c>
    </row>
    <row r="547" spans="1:2" x14ac:dyDescent="0.4">
      <c r="A547" t="s">
        <v>1981</v>
      </c>
      <c r="B547" t="s">
        <v>1992</v>
      </c>
    </row>
    <row r="548" spans="1:2" x14ac:dyDescent="0.4">
      <c r="A548" t="s">
        <v>1981</v>
      </c>
      <c r="B548" t="s">
        <v>1990</v>
      </c>
    </row>
    <row r="549" spans="1:2" x14ac:dyDescent="0.4">
      <c r="A549" t="s">
        <v>1981</v>
      </c>
      <c r="B549" t="s">
        <v>1990</v>
      </c>
    </row>
    <row r="550" spans="1:2" x14ac:dyDescent="0.4">
      <c r="A550" t="s">
        <v>1995</v>
      </c>
      <c r="B550" t="s">
        <v>2000</v>
      </c>
    </row>
    <row r="551" spans="1:2" x14ac:dyDescent="0.4">
      <c r="A551" t="s">
        <v>1995</v>
      </c>
      <c r="B551" t="s">
        <v>2000</v>
      </c>
    </row>
    <row r="552" spans="1:2" x14ac:dyDescent="0.4">
      <c r="A552" t="s">
        <v>2007</v>
      </c>
      <c r="B552" t="s">
        <v>2014</v>
      </c>
    </row>
    <row r="553" spans="1:2" x14ac:dyDescent="0.4">
      <c r="A553" t="s">
        <v>2007</v>
      </c>
      <c r="B553" t="s">
        <v>2014</v>
      </c>
    </row>
    <row r="554" spans="1:2" x14ac:dyDescent="0.4">
      <c r="A554" t="s">
        <v>2007</v>
      </c>
      <c r="B554" t="s">
        <v>2014</v>
      </c>
    </row>
    <row r="555" spans="1:2" x14ac:dyDescent="0.4">
      <c r="A555" t="s">
        <v>2007</v>
      </c>
      <c r="B555" t="s">
        <v>2014</v>
      </c>
    </row>
    <row r="556" spans="1:2" x14ac:dyDescent="0.4">
      <c r="A556" t="s">
        <v>2030</v>
      </c>
      <c r="B556" t="s">
        <v>2037</v>
      </c>
    </row>
    <row r="557" spans="1:2" x14ac:dyDescent="0.4">
      <c r="A557" t="s">
        <v>2039</v>
      </c>
      <c r="B557" t="s">
        <v>2046</v>
      </c>
    </row>
    <row r="558" spans="1:2" x14ac:dyDescent="0.4">
      <c r="A558" t="s">
        <v>2039</v>
      </c>
      <c r="B558" t="s">
        <v>2046</v>
      </c>
    </row>
    <row r="559" spans="1:2" x14ac:dyDescent="0.4">
      <c r="A559" t="s">
        <v>2053</v>
      </c>
      <c r="B559" t="s">
        <v>2059</v>
      </c>
    </row>
    <row r="560" spans="1:2" x14ac:dyDescent="0.4">
      <c r="A560" t="s">
        <v>2053</v>
      </c>
      <c r="B560" t="s">
        <v>2059</v>
      </c>
    </row>
    <row r="561" spans="1:2" x14ac:dyDescent="0.4">
      <c r="A561" t="s">
        <v>2053</v>
      </c>
      <c r="B561" t="s">
        <v>2059</v>
      </c>
    </row>
    <row r="562" spans="1:2" x14ac:dyDescent="0.4">
      <c r="A562" t="s">
        <v>2053</v>
      </c>
      <c r="B562" t="s">
        <v>2059</v>
      </c>
    </row>
    <row r="563" spans="1:2" x14ac:dyDescent="0.4">
      <c r="A563" t="s">
        <v>2062</v>
      </c>
      <c r="B563" t="s">
        <v>2069</v>
      </c>
    </row>
    <row r="564" spans="1:2" x14ac:dyDescent="0.4">
      <c r="A564" t="s">
        <v>2062</v>
      </c>
      <c r="B564" t="s">
        <v>2069</v>
      </c>
    </row>
    <row r="565" spans="1:2" x14ac:dyDescent="0.4">
      <c r="A565" t="s">
        <v>2062</v>
      </c>
      <c r="B565" t="s">
        <v>2069</v>
      </c>
    </row>
    <row r="566" spans="1:2" x14ac:dyDescent="0.4">
      <c r="A566" t="s">
        <v>2072</v>
      </c>
      <c r="B566" t="s">
        <v>2077</v>
      </c>
    </row>
    <row r="567" spans="1:2" x14ac:dyDescent="0.4">
      <c r="A567" t="s">
        <v>2072</v>
      </c>
      <c r="B567" t="s">
        <v>2077</v>
      </c>
    </row>
    <row r="568" spans="1:2" x14ac:dyDescent="0.4">
      <c r="A568" t="s">
        <v>2072</v>
      </c>
      <c r="B568" t="s">
        <v>2077</v>
      </c>
    </row>
    <row r="569" spans="1:2" x14ac:dyDescent="0.4">
      <c r="A569" t="s">
        <v>2072</v>
      </c>
      <c r="B569" t="s">
        <v>2077</v>
      </c>
    </row>
    <row r="570" spans="1:2" x14ac:dyDescent="0.4">
      <c r="A570" t="s">
        <v>2080</v>
      </c>
      <c r="B570" t="s">
        <v>2085</v>
      </c>
    </row>
    <row r="571" spans="1:2" x14ac:dyDescent="0.4">
      <c r="A571" t="s">
        <v>2080</v>
      </c>
      <c r="B571" t="s">
        <v>2085</v>
      </c>
    </row>
    <row r="572" spans="1:2" x14ac:dyDescent="0.4">
      <c r="A572" t="s">
        <v>2080</v>
      </c>
      <c r="B572" t="s">
        <v>2085</v>
      </c>
    </row>
    <row r="573" spans="1:2" x14ac:dyDescent="0.4">
      <c r="A573" t="s">
        <v>2080</v>
      </c>
      <c r="B573" t="s">
        <v>2085</v>
      </c>
    </row>
    <row r="574" spans="1:2" x14ac:dyDescent="0.4">
      <c r="A574" t="s">
        <v>2088</v>
      </c>
      <c r="B574" t="s">
        <v>2095</v>
      </c>
    </row>
    <row r="575" spans="1:2" x14ac:dyDescent="0.4">
      <c r="A575" t="s">
        <v>2088</v>
      </c>
      <c r="B575" t="s">
        <v>2100</v>
      </c>
    </row>
    <row r="576" spans="1:2" x14ac:dyDescent="0.4">
      <c r="A576" t="s">
        <v>2088</v>
      </c>
      <c r="B576" t="s">
        <v>2100</v>
      </c>
    </row>
    <row r="577" spans="1:2" x14ac:dyDescent="0.4">
      <c r="A577" t="s">
        <v>2088</v>
      </c>
      <c r="B577" t="s">
        <v>2102</v>
      </c>
    </row>
    <row r="578" spans="1:2" x14ac:dyDescent="0.4">
      <c r="A578" t="s">
        <v>2088</v>
      </c>
      <c r="B578" t="s">
        <v>2102</v>
      </c>
    </row>
    <row r="579" spans="1:2" x14ac:dyDescent="0.4">
      <c r="A579" t="s">
        <v>2105</v>
      </c>
      <c r="B579" t="s">
        <v>2111</v>
      </c>
    </row>
    <row r="580" spans="1:2" x14ac:dyDescent="0.4">
      <c r="A580" t="s">
        <v>2105</v>
      </c>
      <c r="B580" t="s">
        <v>2111</v>
      </c>
    </row>
    <row r="581" spans="1:2" x14ac:dyDescent="0.4">
      <c r="A581" t="s">
        <v>2119</v>
      </c>
      <c r="B581" t="s">
        <v>2125</v>
      </c>
    </row>
    <row r="582" spans="1:2" x14ac:dyDescent="0.4">
      <c r="A582" t="s">
        <v>2119</v>
      </c>
      <c r="B582" t="s">
        <v>2125</v>
      </c>
    </row>
    <row r="583" spans="1:2" x14ac:dyDescent="0.4">
      <c r="A583" t="s">
        <v>2119</v>
      </c>
      <c r="B583" t="s">
        <v>2125</v>
      </c>
    </row>
    <row r="584" spans="1:2" x14ac:dyDescent="0.4">
      <c r="A584" t="s">
        <v>2119</v>
      </c>
      <c r="B584" t="s">
        <v>2129</v>
      </c>
    </row>
    <row r="585" spans="1:2" x14ac:dyDescent="0.4">
      <c r="A585" t="s">
        <v>2119</v>
      </c>
      <c r="B585" t="s">
        <v>2129</v>
      </c>
    </row>
    <row r="586" spans="1:2" x14ac:dyDescent="0.4">
      <c r="A586" t="s">
        <v>2119</v>
      </c>
      <c r="B586" t="s">
        <v>2129</v>
      </c>
    </row>
    <row r="587" spans="1:2" x14ac:dyDescent="0.4">
      <c r="A587" t="s">
        <v>2131</v>
      </c>
      <c r="B587" t="s">
        <v>2137</v>
      </c>
    </row>
    <row r="588" spans="1:2" x14ac:dyDescent="0.4">
      <c r="A588" t="s">
        <v>2131</v>
      </c>
      <c r="B588" t="s">
        <v>2137</v>
      </c>
    </row>
    <row r="589" spans="1:2" x14ac:dyDescent="0.4">
      <c r="A589" t="s">
        <v>2141</v>
      </c>
      <c r="B589" t="s">
        <v>2149</v>
      </c>
    </row>
    <row r="590" spans="1:2" x14ac:dyDescent="0.4">
      <c r="A590" t="s">
        <v>2141</v>
      </c>
      <c r="B590" t="s">
        <v>2149</v>
      </c>
    </row>
    <row r="591" spans="1:2" x14ac:dyDescent="0.4">
      <c r="A591" t="s">
        <v>2141</v>
      </c>
      <c r="B591" t="s">
        <v>2149</v>
      </c>
    </row>
    <row r="592" spans="1:2" x14ac:dyDescent="0.4">
      <c r="A592" t="s">
        <v>2141</v>
      </c>
      <c r="B592" t="s">
        <v>2149</v>
      </c>
    </row>
    <row r="593" spans="1:2" x14ac:dyDescent="0.4">
      <c r="A593" t="s">
        <v>2141</v>
      </c>
      <c r="B593" t="s">
        <v>2151</v>
      </c>
    </row>
    <row r="594" spans="1:2" x14ac:dyDescent="0.4">
      <c r="A594" t="s">
        <v>2141</v>
      </c>
      <c r="B594" t="s">
        <v>2155</v>
      </c>
    </row>
    <row r="595" spans="1:2" x14ac:dyDescent="0.4">
      <c r="A595" t="s">
        <v>2141</v>
      </c>
      <c r="B595" t="s">
        <v>2155</v>
      </c>
    </row>
    <row r="596" spans="1:2" x14ac:dyDescent="0.4">
      <c r="A596" t="s">
        <v>2141</v>
      </c>
      <c r="B596" t="s">
        <v>2155</v>
      </c>
    </row>
    <row r="597" spans="1:2" x14ac:dyDescent="0.4">
      <c r="A597" t="s">
        <v>2158</v>
      </c>
      <c r="B597" t="s">
        <v>2165</v>
      </c>
    </row>
    <row r="598" spans="1:2" x14ac:dyDescent="0.4">
      <c r="A598" t="s">
        <v>2158</v>
      </c>
      <c r="B598" t="s">
        <v>2163</v>
      </c>
    </row>
    <row r="599" spans="1:2" x14ac:dyDescent="0.4">
      <c r="A599" t="s">
        <v>2168</v>
      </c>
      <c r="B599" t="s">
        <v>2175</v>
      </c>
    </row>
    <row r="600" spans="1:2" x14ac:dyDescent="0.4">
      <c r="A600" t="s">
        <v>2168</v>
      </c>
      <c r="B600" t="s">
        <v>2175</v>
      </c>
    </row>
    <row r="601" spans="1:2" x14ac:dyDescent="0.4">
      <c r="A601" t="s">
        <v>2182</v>
      </c>
      <c r="B601" t="s">
        <v>2189</v>
      </c>
    </row>
    <row r="602" spans="1:2" x14ac:dyDescent="0.4">
      <c r="A602" t="s">
        <v>2182</v>
      </c>
      <c r="B602" t="s">
        <v>2189</v>
      </c>
    </row>
    <row r="603" spans="1:2" x14ac:dyDescent="0.4">
      <c r="A603" t="s">
        <v>2196</v>
      </c>
      <c r="B603" t="s">
        <v>2204</v>
      </c>
    </row>
    <row r="604" spans="1:2" x14ac:dyDescent="0.4">
      <c r="A604" t="s">
        <v>2196</v>
      </c>
      <c r="B604" t="s">
        <v>2204</v>
      </c>
    </row>
    <row r="605" spans="1:2" x14ac:dyDescent="0.4">
      <c r="A605" t="s">
        <v>2196</v>
      </c>
      <c r="B605" t="s">
        <v>2206</v>
      </c>
    </row>
    <row r="606" spans="1:2" x14ac:dyDescent="0.4">
      <c r="A606" t="s">
        <v>2196</v>
      </c>
      <c r="B606" t="s">
        <v>2201</v>
      </c>
    </row>
    <row r="607" spans="1:2" x14ac:dyDescent="0.4">
      <c r="A607" t="s">
        <v>2196</v>
      </c>
      <c r="B607" t="s">
        <v>2201</v>
      </c>
    </row>
    <row r="608" spans="1:2" x14ac:dyDescent="0.4">
      <c r="A608" t="s">
        <v>2209</v>
      </c>
      <c r="B608" t="s">
        <v>2218</v>
      </c>
    </row>
    <row r="609" spans="1:2" x14ac:dyDescent="0.4">
      <c r="A609" t="s">
        <v>2209</v>
      </c>
      <c r="B609" t="s">
        <v>2218</v>
      </c>
    </row>
    <row r="610" spans="1:2" x14ac:dyDescent="0.4">
      <c r="A610" t="s">
        <v>2209</v>
      </c>
      <c r="B610" t="s">
        <v>2215</v>
      </c>
    </row>
    <row r="611" spans="1:2" x14ac:dyDescent="0.4">
      <c r="A611" t="s">
        <v>2209</v>
      </c>
      <c r="B611" t="s">
        <v>2215</v>
      </c>
    </row>
    <row r="612" spans="1:2" x14ac:dyDescent="0.4">
      <c r="A612" t="s">
        <v>2221</v>
      </c>
      <c r="B612" t="s">
        <v>2232</v>
      </c>
    </row>
    <row r="613" spans="1:2" x14ac:dyDescent="0.4">
      <c r="A613" t="s">
        <v>2221</v>
      </c>
      <c r="B613" t="s">
        <v>2234</v>
      </c>
    </row>
    <row r="614" spans="1:2" x14ac:dyDescent="0.4">
      <c r="A614" t="s">
        <v>2221</v>
      </c>
      <c r="B614" t="s">
        <v>2230</v>
      </c>
    </row>
    <row r="615" spans="1:2" x14ac:dyDescent="0.4">
      <c r="A615" t="s">
        <v>2221</v>
      </c>
      <c r="B615" t="s">
        <v>2230</v>
      </c>
    </row>
    <row r="616" spans="1:2" x14ac:dyDescent="0.4">
      <c r="A616" t="s">
        <v>258</v>
      </c>
      <c r="B616" t="s">
        <v>2242</v>
      </c>
    </row>
    <row r="617" spans="1:2" x14ac:dyDescent="0.4">
      <c r="A617" t="s">
        <v>258</v>
      </c>
      <c r="B617" t="s">
        <v>2242</v>
      </c>
    </row>
    <row r="618" spans="1:2" x14ac:dyDescent="0.4">
      <c r="A618" t="s">
        <v>258</v>
      </c>
      <c r="B618" t="s">
        <v>2242</v>
      </c>
    </row>
    <row r="619" spans="1:2" x14ac:dyDescent="0.4">
      <c r="A619" t="s">
        <v>258</v>
      </c>
      <c r="B619" t="s">
        <v>2242</v>
      </c>
    </row>
    <row r="620" spans="1:2" x14ac:dyDescent="0.4">
      <c r="A620" t="s">
        <v>2245</v>
      </c>
      <c r="B620" t="s">
        <v>2253</v>
      </c>
    </row>
    <row r="621" spans="1:2" x14ac:dyDescent="0.4">
      <c r="A621" t="s">
        <v>2245</v>
      </c>
      <c r="B621" t="s">
        <v>2253</v>
      </c>
    </row>
    <row r="622" spans="1:2" x14ac:dyDescent="0.4">
      <c r="A622" t="s">
        <v>2245</v>
      </c>
      <c r="B622" t="s">
        <v>2255</v>
      </c>
    </row>
    <row r="623" spans="1:2" x14ac:dyDescent="0.4">
      <c r="A623" t="s">
        <v>2258</v>
      </c>
      <c r="B623" t="s">
        <v>2265</v>
      </c>
    </row>
    <row r="624" spans="1:2" x14ac:dyDescent="0.4">
      <c r="A624" t="s">
        <v>2258</v>
      </c>
      <c r="B624" t="s">
        <v>2265</v>
      </c>
    </row>
    <row r="625" spans="1:2" x14ac:dyDescent="0.4">
      <c r="A625" t="s">
        <v>2258</v>
      </c>
      <c r="B625" t="s">
        <v>2267</v>
      </c>
    </row>
    <row r="626" spans="1:2" x14ac:dyDescent="0.4">
      <c r="A626" t="s">
        <v>2258</v>
      </c>
      <c r="B626" t="s">
        <v>2267</v>
      </c>
    </row>
    <row r="627" spans="1:2" x14ac:dyDescent="0.4">
      <c r="A627" t="s">
        <v>2269</v>
      </c>
      <c r="B627" t="s">
        <v>2276</v>
      </c>
    </row>
    <row r="628" spans="1:2" x14ac:dyDescent="0.4">
      <c r="A628" t="s">
        <v>2269</v>
      </c>
      <c r="B628" t="s">
        <v>2278</v>
      </c>
    </row>
    <row r="629" spans="1:2" x14ac:dyDescent="0.4">
      <c r="A629" t="s">
        <v>2281</v>
      </c>
      <c r="B629" t="s">
        <v>2288</v>
      </c>
    </row>
    <row r="630" spans="1:2" x14ac:dyDescent="0.4">
      <c r="A630" t="s">
        <v>2281</v>
      </c>
      <c r="B630" t="s">
        <v>2288</v>
      </c>
    </row>
    <row r="631" spans="1:2" x14ac:dyDescent="0.4">
      <c r="A631" t="s">
        <v>2281</v>
      </c>
      <c r="B631" t="s">
        <v>2286</v>
      </c>
    </row>
    <row r="632" spans="1:2" x14ac:dyDescent="0.4">
      <c r="A632" t="s">
        <v>2281</v>
      </c>
      <c r="B632" t="s">
        <v>2286</v>
      </c>
    </row>
    <row r="633" spans="1:2" x14ac:dyDescent="0.4">
      <c r="A633" t="s">
        <v>2281</v>
      </c>
      <c r="B633" t="s">
        <v>2286</v>
      </c>
    </row>
    <row r="634" spans="1:2" x14ac:dyDescent="0.4">
      <c r="A634" t="s">
        <v>2281</v>
      </c>
      <c r="B634" t="s">
        <v>2286</v>
      </c>
    </row>
    <row r="635" spans="1:2" x14ac:dyDescent="0.4">
      <c r="A635" t="s">
        <v>2291</v>
      </c>
      <c r="B635" t="s">
        <v>2297</v>
      </c>
    </row>
    <row r="636" spans="1:2" x14ac:dyDescent="0.4">
      <c r="A636" t="s">
        <v>2291</v>
      </c>
      <c r="B636" t="s">
        <v>2299</v>
      </c>
    </row>
    <row r="637" spans="1:2" x14ac:dyDescent="0.4">
      <c r="A637" t="s">
        <v>2291</v>
      </c>
      <c r="B637" t="s">
        <v>2299</v>
      </c>
    </row>
    <row r="638" spans="1:2" x14ac:dyDescent="0.4">
      <c r="A638" t="s">
        <v>2302</v>
      </c>
      <c r="B638" t="s">
        <v>2309</v>
      </c>
    </row>
    <row r="639" spans="1:2" x14ac:dyDescent="0.4">
      <c r="A639" t="s">
        <v>2302</v>
      </c>
      <c r="B639" t="s">
        <v>2309</v>
      </c>
    </row>
    <row r="640" spans="1:2" x14ac:dyDescent="0.4">
      <c r="A640" t="s">
        <v>2302</v>
      </c>
      <c r="B640" t="s">
        <v>2309</v>
      </c>
    </row>
    <row r="641" spans="1:2" x14ac:dyDescent="0.4">
      <c r="A641" t="s">
        <v>2302</v>
      </c>
      <c r="B641" t="s">
        <v>2312</v>
      </c>
    </row>
    <row r="642" spans="1:2" x14ac:dyDescent="0.4">
      <c r="A642" t="s">
        <v>2302</v>
      </c>
      <c r="B642" t="s">
        <v>2312</v>
      </c>
    </row>
    <row r="643" spans="1:2" x14ac:dyDescent="0.4">
      <c r="A643" t="s">
        <v>2302</v>
      </c>
      <c r="B643" t="s">
        <v>2312</v>
      </c>
    </row>
    <row r="644" spans="1:2" x14ac:dyDescent="0.4">
      <c r="A644" t="s">
        <v>2302</v>
      </c>
      <c r="B644" t="s">
        <v>2312</v>
      </c>
    </row>
    <row r="645" spans="1:2" x14ac:dyDescent="0.4">
      <c r="A645" t="s">
        <v>2318</v>
      </c>
      <c r="B645" t="s">
        <v>2324</v>
      </c>
    </row>
    <row r="646" spans="1:2" x14ac:dyDescent="0.4">
      <c r="A646" t="s">
        <v>2318</v>
      </c>
      <c r="B646" t="s">
        <v>2324</v>
      </c>
    </row>
    <row r="647" spans="1:2" x14ac:dyDescent="0.4">
      <c r="A647" t="s">
        <v>2318</v>
      </c>
      <c r="B647" t="s">
        <v>2324</v>
      </c>
    </row>
    <row r="648" spans="1:2" x14ac:dyDescent="0.4">
      <c r="A648" t="s">
        <v>2318</v>
      </c>
      <c r="B648" t="s">
        <v>2324</v>
      </c>
    </row>
    <row r="649" spans="1:2" x14ac:dyDescent="0.4">
      <c r="A649" t="s">
        <v>2318</v>
      </c>
      <c r="B649" t="s">
        <v>2326</v>
      </c>
    </row>
    <row r="650" spans="1:2" x14ac:dyDescent="0.4">
      <c r="A650" t="s">
        <v>2318</v>
      </c>
      <c r="B650" t="s">
        <v>2326</v>
      </c>
    </row>
    <row r="651" spans="1:2" x14ac:dyDescent="0.4">
      <c r="A651" t="s">
        <v>2318</v>
      </c>
      <c r="B651" t="s">
        <v>2326</v>
      </c>
    </row>
    <row r="652" spans="1:2" x14ac:dyDescent="0.4">
      <c r="A652" t="s">
        <v>2318</v>
      </c>
      <c r="B652" t="s">
        <v>2326</v>
      </c>
    </row>
    <row r="653" spans="1:2" x14ac:dyDescent="0.4">
      <c r="A653" t="s">
        <v>2333</v>
      </c>
      <c r="B653" t="s">
        <v>2339</v>
      </c>
    </row>
    <row r="654" spans="1:2" x14ac:dyDescent="0.4">
      <c r="A654" t="s">
        <v>2333</v>
      </c>
      <c r="B654" t="s">
        <v>2339</v>
      </c>
    </row>
    <row r="655" spans="1:2" x14ac:dyDescent="0.4">
      <c r="A655" t="s">
        <v>2333</v>
      </c>
      <c r="B655" t="s">
        <v>2339</v>
      </c>
    </row>
    <row r="656" spans="1:2" x14ac:dyDescent="0.4">
      <c r="A656" t="s">
        <v>2333</v>
      </c>
      <c r="B656" t="s">
        <v>2349</v>
      </c>
    </row>
    <row r="657" spans="1:2" x14ac:dyDescent="0.4">
      <c r="A657" t="s">
        <v>2333</v>
      </c>
      <c r="B657" t="s">
        <v>2349</v>
      </c>
    </row>
    <row r="658" spans="1:2" x14ac:dyDescent="0.4">
      <c r="A658" t="s">
        <v>2333</v>
      </c>
      <c r="B658" t="s">
        <v>2351</v>
      </c>
    </row>
    <row r="659" spans="1:2" x14ac:dyDescent="0.4">
      <c r="A659" t="s">
        <v>2333</v>
      </c>
      <c r="B659" t="s">
        <v>2341</v>
      </c>
    </row>
    <row r="660" spans="1:2" x14ac:dyDescent="0.4">
      <c r="A660" t="s">
        <v>2333</v>
      </c>
      <c r="B660" t="s">
        <v>2341</v>
      </c>
    </row>
    <row r="661" spans="1:2" x14ac:dyDescent="0.4">
      <c r="A661" t="s">
        <v>2354</v>
      </c>
      <c r="B661" t="s">
        <v>2360</v>
      </c>
    </row>
    <row r="662" spans="1:2" x14ac:dyDescent="0.4">
      <c r="A662" t="s">
        <v>2354</v>
      </c>
      <c r="B662" t="s">
        <v>2360</v>
      </c>
    </row>
    <row r="663" spans="1:2" x14ac:dyDescent="0.4">
      <c r="A663" t="s">
        <v>2363</v>
      </c>
      <c r="B663" t="s">
        <v>2369</v>
      </c>
    </row>
    <row r="664" spans="1:2" x14ac:dyDescent="0.4">
      <c r="A664" t="s">
        <v>2363</v>
      </c>
      <c r="B664" t="s">
        <v>2369</v>
      </c>
    </row>
    <row r="665" spans="1:2" x14ac:dyDescent="0.4">
      <c r="A665" t="s">
        <v>2363</v>
      </c>
      <c r="B665" t="s">
        <v>2369</v>
      </c>
    </row>
    <row r="666" spans="1:2" x14ac:dyDescent="0.4">
      <c r="A666" t="s">
        <v>2363</v>
      </c>
      <c r="B666" t="s">
        <v>2376</v>
      </c>
    </row>
    <row r="667" spans="1:2" x14ac:dyDescent="0.4">
      <c r="A667" t="s">
        <v>2378</v>
      </c>
      <c r="B667" t="s">
        <v>2386</v>
      </c>
    </row>
    <row r="668" spans="1:2" x14ac:dyDescent="0.4">
      <c r="A668" t="s">
        <v>2378</v>
      </c>
      <c r="B668" t="s">
        <v>2386</v>
      </c>
    </row>
    <row r="669" spans="1:2" x14ac:dyDescent="0.4">
      <c r="A669" t="s">
        <v>2378</v>
      </c>
      <c r="B669" t="s">
        <v>2388</v>
      </c>
    </row>
    <row r="670" spans="1:2" x14ac:dyDescent="0.4">
      <c r="A670" t="s">
        <v>2391</v>
      </c>
      <c r="B670" t="s">
        <v>2397</v>
      </c>
    </row>
    <row r="671" spans="1:2" x14ac:dyDescent="0.4">
      <c r="A671" t="s">
        <v>2391</v>
      </c>
      <c r="B671" t="s">
        <v>2397</v>
      </c>
    </row>
    <row r="672" spans="1:2" x14ac:dyDescent="0.4">
      <c r="A672" t="s">
        <v>2401</v>
      </c>
      <c r="B672" t="s">
        <v>2409</v>
      </c>
    </row>
    <row r="673" spans="1:2" x14ac:dyDescent="0.4">
      <c r="A673" t="s">
        <v>2401</v>
      </c>
      <c r="B673" t="s">
        <v>2409</v>
      </c>
    </row>
    <row r="674" spans="1:2" x14ac:dyDescent="0.4">
      <c r="A674" t="s">
        <v>2412</v>
      </c>
      <c r="B674" t="s">
        <v>2416</v>
      </c>
    </row>
    <row r="675" spans="1:2" x14ac:dyDescent="0.4">
      <c r="A675" t="s">
        <v>2412</v>
      </c>
      <c r="B675" t="s">
        <v>2416</v>
      </c>
    </row>
    <row r="676" spans="1:2" x14ac:dyDescent="0.4">
      <c r="A676" t="s">
        <v>2412</v>
      </c>
      <c r="B676" t="s">
        <v>2416</v>
      </c>
    </row>
    <row r="677" spans="1:2" x14ac:dyDescent="0.4">
      <c r="A677" t="s">
        <v>2412</v>
      </c>
      <c r="B677" t="s">
        <v>2416</v>
      </c>
    </row>
    <row r="678" spans="1:2" x14ac:dyDescent="0.4">
      <c r="A678" t="s">
        <v>2418</v>
      </c>
      <c r="B678" t="s">
        <v>2428</v>
      </c>
    </row>
    <row r="679" spans="1:2" x14ac:dyDescent="0.4">
      <c r="A679" t="s">
        <v>2418</v>
      </c>
      <c r="B679" t="s">
        <v>2428</v>
      </c>
    </row>
    <row r="680" spans="1:2" x14ac:dyDescent="0.4">
      <c r="A680" t="s">
        <v>2418</v>
      </c>
      <c r="B680" t="s">
        <v>2428</v>
      </c>
    </row>
    <row r="681" spans="1:2" x14ac:dyDescent="0.4">
      <c r="A681" t="s">
        <v>2418</v>
      </c>
      <c r="B681" t="s">
        <v>2428</v>
      </c>
    </row>
    <row r="682" spans="1:2" x14ac:dyDescent="0.4">
      <c r="A682" t="s">
        <v>2431</v>
      </c>
      <c r="B682" t="s">
        <v>2438</v>
      </c>
    </row>
    <row r="683" spans="1:2" x14ac:dyDescent="0.4">
      <c r="A683" t="s">
        <v>2431</v>
      </c>
      <c r="B683" t="s">
        <v>2438</v>
      </c>
    </row>
    <row r="684" spans="1:2" x14ac:dyDescent="0.4">
      <c r="A684" t="s">
        <v>2441</v>
      </c>
      <c r="B684" t="s">
        <v>2450</v>
      </c>
    </row>
    <row r="685" spans="1:2" x14ac:dyDescent="0.4">
      <c r="A685" t="s">
        <v>2441</v>
      </c>
      <c r="B685" t="s">
        <v>2450</v>
      </c>
    </row>
    <row r="686" spans="1:2" x14ac:dyDescent="0.4">
      <c r="A686" t="s">
        <v>2453</v>
      </c>
      <c r="B686" t="s">
        <v>2459</v>
      </c>
    </row>
    <row r="687" spans="1:2" x14ac:dyDescent="0.4">
      <c r="A687" t="s">
        <v>2453</v>
      </c>
      <c r="B687" t="s">
        <v>2459</v>
      </c>
    </row>
    <row r="688" spans="1:2" x14ac:dyDescent="0.4">
      <c r="A688" t="s">
        <v>2453</v>
      </c>
      <c r="B688" t="s">
        <v>2459</v>
      </c>
    </row>
    <row r="689" spans="1:2" x14ac:dyDescent="0.4">
      <c r="A689" t="s">
        <v>2453</v>
      </c>
      <c r="B689" t="s">
        <v>2459</v>
      </c>
    </row>
    <row r="690" spans="1:2" x14ac:dyDescent="0.4">
      <c r="A690" t="s">
        <v>2462</v>
      </c>
      <c r="B690" t="s">
        <v>2468</v>
      </c>
    </row>
    <row r="691" spans="1:2" x14ac:dyDescent="0.4">
      <c r="A691" t="s">
        <v>2462</v>
      </c>
      <c r="B691" t="s">
        <v>2468</v>
      </c>
    </row>
    <row r="692" spans="1:2" x14ac:dyDescent="0.4">
      <c r="A692" t="s">
        <v>2462</v>
      </c>
      <c r="B692" t="s">
        <v>2468</v>
      </c>
    </row>
    <row r="693" spans="1:2" x14ac:dyDescent="0.4">
      <c r="A693" t="s">
        <v>2462</v>
      </c>
      <c r="B693" t="s">
        <v>2468</v>
      </c>
    </row>
    <row r="694" spans="1:2" x14ac:dyDescent="0.4">
      <c r="A694" t="s">
        <v>2471</v>
      </c>
      <c r="B694" t="s">
        <v>2477</v>
      </c>
    </row>
    <row r="695" spans="1:2" x14ac:dyDescent="0.4">
      <c r="A695" t="s">
        <v>2471</v>
      </c>
      <c r="B695" t="s">
        <v>2477</v>
      </c>
    </row>
    <row r="696" spans="1:2" x14ac:dyDescent="0.4">
      <c r="A696" t="s">
        <v>2471</v>
      </c>
      <c r="B696" t="s">
        <v>2479</v>
      </c>
    </row>
    <row r="697" spans="1:2" x14ac:dyDescent="0.4">
      <c r="A697" t="s">
        <v>2471</v>
      </c>
      <c r="B697" t="s">
        <v>2479</v>
      </c>
    </row>
    <row r="698" spans="1:2" x14ac:dyDescent="0.4">
      <c r="A698" t="s">
        <v>2481</v>
      </c>
      <c r="B698" t="s">
        <v>2505</v>
      </c>
    </row>
    <row r="699" spans="1:2" x14ac:dyDescent="0.4">
      <c r="A699" t="s">
        <v>2481</v>
      </c>
      <c r="B699" t="s">
        <v>2488</v>
      </c>
    </row>
    <row r="700" spans="1:2" x14ac:dyDescent="0.4">
      <c r="A700" t="s">
        <v>2481</v>
      </c>
      <c r="B700" t="s">
        <v>2488</v>
      </c>
    </row>
    <row r="701" spans="1:2" x14ac:dyDescent="0.4">
      <c r="A701" t="s">
        <v>2481</v>
      </c>
      <c r="B701" t="s">
        <v>2488</v>
      </c>
    </row>
    <row r="702" spans="1:2" x14ac:dyDescent="0.4">
      <c r="A702" t="s">
        <v>2481</v>
      </c>
      <c r="B702" t="s">
        <v>2488</v>
      </c>
    </row>
    <row r="703" spans="1:2" x14ac:dyDescent="0.4">
      <c r="A703" t="s">
        <v>2481</v>
      </c>
      <c r="B703" t="s">
        <v>2490</v>
      </c>
    </row>
    <row r="704" spans="1:2" x14ac:dyDescent="0.4">
      <c r="A704" t="s">
        <v>2481</v>
      </c>
      <c r="B704" t="s">
        <v>2490</v>
      </c>
    </row>
    <row r="705" spans="1:2" x14ac:dyDescent="0.4">
      <c r="A705" t="s">
        <v>2508</v>
      </c>
      <c r="B705" t="s">
        <v>2517</v>
      </c>
    </row>
    <row r="706" spans="1:2" x14ac:dyDescent="0.4">
      <c r="A706" t="s">
        <v>2508</v>
      </c>
      <c r="B706" t="s">
        <v>2514</v>
      </c>
    </row>
    <row r="707" spans="1:2" x14ac:dyDescent="0.4">
      <c r="A707" t="s">
        <v>2520</v>
      </c>
      <c r="B707" t="s">
        <v>2525</v>
      </c>
    </row>
    <row r="708" spans="1:2" x14ac:dyDescent="0.4">
      <c r="A708" t="s">
        <v>2527</v>
      </c>
      <c r="B708" t="s">
        <v>2532</v>
      </c>
    </row>
    <row r="709" spans="1:2" x14ac:dyDescent="0.4">
      <c r="A709" t="s">
        <v>2527</v>
      </c>
      <c r="B709" t="s">
        <v>2532</v>
      </c>
    </row>
    <row r="710" spans="1:2" x14ac:dyDescent="0.4">
      <c r="A710" t="s">
        <v>2535</v>
      </c>
      <c r="B710" t="s">
        <v>2546</v>
      </c>
    </row>
    <row r="711" spans="1:2" x14ac:dyDescent="0.4">
      <c r="A711" t="s">
        <v>2535</v>
      </c>
      <c r="B711" t="s">
        <v>2546</v>
      </c>
    </row>
    <row r="712" spans="1:2" x14ac:dyDescent="0.4">
      <c r="A712" t="s">
        <v>2535</v>
      </c>
      <c r="B712" t="s">
        <v>2544</v>
      </c>
    </row>
    <row r="713" spans="1:2" x14ac:dyDescent="0.4">
      <c r="A713" t="s">
        <v>2535</v>
      </c>
      <c r="B713" t="s">
        <v>2544</v>
      </c>
    </row>
    <row r="714" spans="1:2" x14ac:dyDescent="0.4">
      <c r="A714" t="s">
        <v>2535</v>
      </c>
      <c r="B714" t="s">
        <v>2544</v>
      </c>
    </row>
    <row r="715" spans="1:2" x14ac:dyDescent="0.4">
      <c r="A715" t="s">
        <v>2535</v>
      </c>
      <c r="B715" t="s">
        <v>2544</v>
      </c>
    </row>
    <row r="716" spans="1:2" x14ac:dyDescent="0.4">
      <c r="A716" t="s">
        <v>2535</v>
      </c>
      <c r="B716" t="s">
        <v>2542</v>
      </c>
    </row>
    <row r="717" spans="1:2" x14ac:dyDescent="0.4">
      <c r="A717" t="s">
        <v>2535</v>
      </c>
      <c r="B717" t="s">
        <v>2542</v>
      </c>
    </row>
    <row r="718" spans="1:2" x14ac:dyDescent="0.4">
      <c r="A718" t="s">
        <v>2549</v>
      </c>
      <c r="B718" t="s">
        <v>2555</v>
      </c>
    </row>
    <row r="719" spans="1:2" x14ac:dyDescent="0.4">
      <c r="A719" t="s">
        <v>2558</v>
      </c>
      <c r="B719" t="s">
        <v>2563</v>
      </c>
    </row>
    <row r="720" spans="1:2" x14ac:dyDescent="0.4">
      <c r="A720" t="s">
        <v>2558</v>
      </c>
      <c r="B720" t="s">
        <v>2563</v>
      </c>
    </row>
    <row r="721" spans="1:2" x14ac:dyDescent="0.4">
      <c r="A721" t="s">
        <v>2558</v>
      </c>
      <c r="B721" t="s">
        <v>2565</v>
      </c>
    </row>
    <row r="722" spans="1:2" x14ac:dyDescent="0.4">
      <c r="A722" t="s">
        <v>2558</v>
      </c>
      <c r="B722" t="s">
        <v>2565</v>
      </c>
    </row>
    <row r="723" spans="1:2" x14ac:dyDescent="0.4">
      <c r="A723" t="s">
        <v>2567</v>
      </c>
      <c r="B723" t="s">
        <v>2577</v>
      </c>
    </row>
    <row r="724" spans="1:2" x14ac:dyDescent="0.4">
      <c r="A724" t="s">
        <v>2567</v>
      </c>
      <c r="B724" t="s">
        <v>2581</v>
      </c>
    </row>
    <row r="725" spans="1:2" x14ac:dyDescent="0.4">
      <c r="A725" t="s">
        <v>2567</v>
      </c>
      <c r="B725" t="s">
        <v>2583</v>
      </c>
    </row>
    <row r="726" spans="1:2" x14ac:dyDescent="0.4">
      <c r="A726" t="s">
        <v>2586</v>
      </c>
      <c r="B726" t="s">
        <v>2591</v>
      </c>
    </row>
    <row r="727" spans="1:2" x14ac:dyDescent="0.4">
      <c r="A727" t="s">
        <v>2586</v>
      </c>
      <c r="B727" t="s">
        <v>2591</v>
      </c>
    </row>
    <row r="728" spans="1:2" x14ac:dyDescent="0.4">
      <c r="A728" t="s">
        <v>2594</v>
      </c>
      <c r="B728" t="s">
        <v>2604</v>
      </c>
    </row>
    <row r="729" spans="1:2" x14ac:dyDescent="0.4">
      <c r="A729" t="s">
        <v>2594</v>
      </c>
      <c r="B729" t="s">
        <v>2604</v>
      </c>
    </row>
    <row r="730" spans="1:2" x14ac:dyDescent="0.4">
      <c r="A730" t="s">
        <v>2594</v>
      </c>
      <c r="B730" t="s">
        <v>2604</v>
      </c>
    </row>
    <row r="731" spans="1:2" x14ac:dyDescent="0.4">
      <c r="A731" t="s">
        <v>2594</v>
      </c>
      <c r="B731" t="s">
        <v>2604</v>
      </c>
    </row>
    <row r="732" spans="1:2" x14ac:dyDescent="0.4">
      <c r="A732" t="s">
        <v>2594</v>
      </c>
      <c r="B732" t="s">
        <v>2601</v>
      </c>
    </row>
    <row r="733" spans="1:2" x14ac:dyDescent="0.4">
      <c r="A733" t="s">
        <v>2594</v>
      </c>
      <c r="B733" t="s">
        <v>2601</v>
      </c>
    </row>
    <row r="734" spans="1:2" x14ac:dyDescent="0.4">
      <c r="A734" t="s">
        <v>2606</v>
      </c>
      <c r="B734" t="s">
        <v>2619</v>
      </c>
    </row>
    <row r="735" spans="1:2" x14ac:dyDescent="0.4">
      <c r="A735" t="s">
        <v>2606</v>
      </c>
      <c r="B735" t="s">
        <v>2619</v>
      </c>
    </row>
    <row r="736" spans="1:2" x14ac:dyDescent="0.4">
      <c r="A736" t="s">
        <v>2606</v>
      </c>
      <c r="B736" t="s">
        <v>2619</v>
      </c>
    </row>
    <row r="737" spans="1:2" x14ac:dyDescent="0.4">
      <c r="A737" t="s">
        <v>2606</v>
      </c>
      <c r="B737" t="s">
        <v>2619</v>
      </c>
    </row>
    <row r="738" spans="1:2" x14ac:dyDescent="0.4">
      <c r="A738" t="s">
        <v>2606</v>
      </c>
      <c r="B738" t="s">
        <v>2612</v>
      </c>
    </row>
    <row r="739" spans="1:2" x14ac:dyDescent="0.4">
      <c r="A739" t="s">
        <v>2606</v>
      </c>
      <c r="B739" t="s">
        <v>2612</v>
      </c>
    </row>
    <row r="740" spans="1:2" x14ac:dyDescent="0.4">
      <c r="A740" t="s">
        <v>2606</v>
      </c>
      <c r="B740" t="s">
        <v>2627</v>
      </c>
    </row>
    <row r="741" spans="1:2" x14ac:dyDescent="0.4">
      <c r="A741" t="s">
        <v>2606</v>
      </c>
      <c r="B741" t="s">
        <v>2627</v>
      </c>
    </row>
    <row r="742" spans="1:2" x14ac:dyDescent="0.4">
      <c r="A742" t="s">
        <v>2606</v>
      </c>
      <c r="B742" t="s">
        <v>2627</v>
      </c>
    </row>
    <row r="743" spans="1:2" x14ac:dyDescent="0.4">
      <c r="A743" t="s">
        <v>2606</v>
      </c>
      <c r="B743" t="s">
        <v>2629</v>
      </c>
    </row>
    <row r="744" spans="1:2" x14ac:dyDescent="0.4">
      <c r="A744" t="s">
        <v>2606</v>
      </c>
      <c r="B744" t="s">
        <v>2629</v>
      </c>
    </row>
    <row r="745" spans="1:2" x14ac:dyDescent="0.4">
      <c r="A745" t="s">
        <v>2631</v>
      </c>
      <c r="B745" t="s">
        <v>2641</v>
      </c>
    </row>
    <row r="746" spans="1:2" x14ac:dyDescent="0.4">
      <c r="A746" t="s">
        <v>2631</v>
      </c>
      <c r="B746" t="s">
        <v>2641</v>
      </c>
    </row>
    <row r="747" spans="1:2" x14ac:dyDescent="0.4">
      <c r="A747" t="s">
        <v>2643</v>
      </c>
      <c r="B747" t="s">
        <v>2647</v>
      </c>
    </row>
    <row r="748" spans="1:2" x14ac:dyDescent="0.4">
      <c r="A748" t="s">
        <v>2643</v>
      </c>
      <c r="B748" t="s">
        <v>2647</v>
      </c>
    </row>
    <row r="749" spans="1:2" x14ac:dyDescent="0.4">
      <c r="A749" t="s">
        <v>2643</v>
      </c>
      <c r="B749" t="s">
        <v>2647</v>
      </c>
    </row>
    <row r="750" spans="1:2" x14ac:dyDescent="0.4">
      <c r="A750" t="s">
        <v>2643</v>
      </c>
      <c r="B750" t="s">
        <v>2647</v>
      </c>
    </row>
    <row r="751" spans="1:2" x14ac:dyDescent="0.4">
      <c r="A751" t="s">
        <v>2643</v>
      </c>
      <c r="B751" t="s">
        <v>2649</v>
      </c>
    </row>
    <row r="752" spans="1:2" x14ac:dyDescent="0.4">
      <c r="A752" t="s">
        <v>2643</v>
      </c>
      <c r="B752" t="s">
        <v>2649</v>
      </c>
    </row>
    <row r="753" spans="1:2" x14ac:dyDescent="0.4">
      <c r="A753" t="s">
        <v>2643</v>
      </c>
      <c r="B753" t="s">
        <v>2649</v>
      </c>
    </row>
    <row r="754" spans="1:2" x14ac:dyDescent="0.4">
      <c r="A754" t="s">
        <v>2643</v>
      </c>
      <c r="B754" t="s">
        <v>2649</v>
      </c>
    </row>
    <row r="755" spans="1:2" x14ac:dyDescent="0.4">
      <c r="A755" t="s">
        <v>2651</v>
      </c>
      <c r="B755" t="s">
        <v>2664</v>
      </c>
    </row>
    <row r="756" spans="1:2" x14ac:dyDescent="0.4">
      <c r="A756" t="s">
        <v>2651</v>
      </c>
      <c r="B756" t="s">
        <v>2664</v>
      </c>
    </row>
    <row r="757" spans="1:2" x14ac:dyDescent="0.4">
      <c r="A757" t="s">
        <v>2651</v>
      </c>
      <c r="B757" t="s">
        <v>2664</v>
      </c>
    </row>
    <row r="758" spans="1:2" x14ac:dyDescent="0.4">
      <c r="A758" t="s">
        <v>2651</v>
      </c>
      <c r="B758" t="s">
        <v>2664</v>
      </c>
    </row>
    <row r="759" spans="1:2" x14ac:dyDescent="0.4">
      <c r="A759" t="s">
        <v>2651</v>
      </c>
      <c r="B759" t="s">
        <v>2656</v>
      </c>
    </row>
    <row r="760" spans="1:2" x14ac:dyDescent="0.4">
      <c r="A760" t="s">
        <v>2651</v>
      </c>
      <c r="B760" t="s">
        <v>2658</v>
      </c>
    </row>
    <row r="761" spans="1:2" x14ac:dyDescent="0.4">
      <c r="A761" t="s">
        <v>2651</v>
      </c>
      <c r="B761" t="s">
        <v>2658</v>
      </c>
    </row>
    <row r="762" spans="1:2" x14ac:dyDescent="0.4">
      <c r="A762" t="s">
        <v>2667</v>
      </c>
      <c r="B762" t="s">
        <v>2672</v>
      </c>
    </row>
    <row r="763" spans="1:2" x14ac:dyDescent="0.4">
      <c r="A763" t="s">
        <v>2667</v>
      </c>
      <c r="B763" t="s">
        <v>2672</v>
      </c>
    </row>
    <row r="764" spans="1:2" x14ac:dyDescent="0.4">
      <c r="A764" t="s">
        <v>2667</v>
      </c>
      <c r="B764" t="s">
        <v>2672</v>
      </c>
    </row>
    <row r="765" spans="1:2" x14ac:dyDescent="0.4">
      <c r="A765" t="s">
        <v>2667</v>
      </c>
      <c r="B765" t="s">
        <v>2672</v>
      </c>
    </row>
    <row r="766" spans="1:2" x14ac:dyDescent="0.4">
      <c r="A766" t="s">
        <v>2675</v>
      </c>
      <c r="B766" t="s">
        <v>2683</v>
      </c>
    </row>
    <row r="767" spans="1:2" x14ac:dyDescent="0.4">
      <c r="A767" t="s">
        <v>2685</v>
      </c>
      <c r="B767" t="s">
        <v>2698</v>
      </c>
    </row>
    <row r="768" spans="1:2" x14ac:dyDescent="0.4">
      <c r="A768" t="s">
        <v>2685</v>
      </c>
      <c r="B768" t="s">
        <v>2698</v>
      </c>
    </row>
    <row r="769" spans="1:2" x14ac:dyDescent="0.4">
      <c r="A769" t="s">
        <v>2685</v>
      </c>
      <c r="B769" t="s">
        <v>2698</v>
      </c>
    </row>
    <row r="770" spans="1:2" x14ac:dyDescent="0.4">
      <c r="A770" t="s">
        <v>2685</v>
      </c>
      <c r="B770" t="s">
        <v>2698</v>
      </c>
    </row>
    <row r="771" spans="1:2" x14ac:dyDescent="0.4">
      <c r="A771" t="s">
        <v>2700</v>
      </c>
      <c r="B771" t="s">
        <v>2710</v>
      </c>
    </row>
    <row r="772" spans="1:2" x14ac:dyDescent="0.4">
      <c r="A772" t="s">
        <v>2700</v>
      </c>
      <c r="B772" t="s">
        <v>2710</v>
      </c>
    </row>
    <row r="773" spans="1:2" x14ac:dyDescent="0.4">
      <c r="A773" t="s">
        <v>2700</v>
      </c>
      <c r="B773" t="s">
        <v>2714</v>
      </c>
    </row>
    <row r="774" spans="1:2" x14ac:dyDescent="0.4">
      <c r="A774" t="s">
        <v>2700</v>
      </c>
      <c r="B774" t="s">
        <v>2714</v>
      </c>
    </row>
    <row r="775" spans="1:2" x14ac:dyDescent="0.4">
      <c r="A775" t="s">
        <v>2700</v>
      </c>
      <c r="B775" t="s">
        <v>2714</v>
      </c>
    </row>
    <row r="776" spans="1:2" x14ac:dyDescent="0.4">
      <c r="A776" t="s">
        <v>2700</v>
      </c>
      <c r="B776" t="s">
        <v>2714</v>
      </c>
    </row>
    <row r="777" spans="1:2" x14ac:dyDescent="0.4">
      <c r="A777" t="s">
        <v>2700</v>
      </c>
      <c r="B777" t="s">
        <v>2712</v>
      </c>
    </row>
    <row r="778" spans="1:2" x14ac:dyDescent="0.4">
      <c r="A778" t="s">
        <v>2700</v>
      </c>
      <c r="B778" t="s">
        <v>2712</v>
      </c>
    </row>
    <row r="779" spans="1:2" x14ac:dyDescent="0.4">
      <c r="A779" t="s">
        <v>2700</v>
      </c>
      <c r="B779" t="s">
        <v>2906</v>
      </c>
    </row>
    <row r="780" spans="1:2" x14ac:dyDescent="0.4">
      <c r="A780" t="s">
        <v>2700</v>
      </c>
      <c r="B780" t="s">
        <v>2704</v>
      </c>
    </row>
    <row r="781" spans="1:2" x14ac:dyDescent="0.4">
      <c r="A781" t="s">
        <v>2700</v>
      </c>
      <c r="B781" t="s">
        <v>2704</v>
      </c>
    </row>
    <row r="782" spans="1:2" x14ac:dyDescent="0.4">
      <c r="A782" t="s">
        <v>2700</v>
      </c>
      <c r="B782" t="s">
        <v>2704</v>
      </c>
    </row>
    <row r="783" spans="1:2" x14ac:dyDescent="0.4">
      <c r="A783" t="s">
        <v>242</v>
      </c>
      <c r="B783" t="s">
        <v>2722</v>
      </c>
    </row>
    <row r="784" spans="1:2" x14ac:dyDescent="0.4">
      <c r="A784" t="s">
        <v>242</v>
      </c>
      <c r="B784" t="s">
        <v>2722</v>
      </c>
    </row>
    <row r="785" spans="1:2" x14ac:dyDescent="0.4">
      <c r="A785" t="s">
        <v>242</v>
      </c>
      <c r="B785" t="s">
        <v>2729</v>
      </c>
    </row>
    <row r="786" spans="1:2" x14ac:dyDescent="0.4">
      <c r="A786" t="s">
        <v>242</v>
      </c>
      <c r="B786" t="s">
        <v>2729</v>
      </c>
    </row>
    <row r="787" spans="1:2" x14ac:dyDescent="0.4">
      <c r="A787" t="s">
        <v>242</v>
      </c>
      <c r="B787" t="s">
        <v>2724</v>
      </c>
    </row>
    <row r="788" spans="1:2" x14ac:dyDescent="0.4">
      <c r="A788" t="s">
        <v>2732</v>
      </c>
      <c r="B788" t="s">
        <v>2739</v>
      </c>
    </row>
    <row r="789" spans="1:2" x14ac:dyDescent="0.4">
      <c r="A789" t="s">
        <v>2732</v>
      </c>
      <c r="B789" t="s">
        <v>2739</v>
      </c>
    </row>
    <row r="790" spans="1:2" x14ac:dyDescent="0.4">
      <c r="A790" t="s">
        <v>2732</v>
      </c>
      <c r="B790" t="s">
        <v>2737</v>
      </c>
    </row>
    <row r="791" spans="1:2" x14ac:dyDescent="0.4">
      <c r="A791" t="s">
        <v>2732</v>
      </c>
      <c r="B791" t="s">
        <v>2737</v>
      </c>
    </row>
    <row r="792" spans="1:2" x14ac:dyDescent="0.4">
      <c r="A792" t="s">
        <v>2742</v>
      </c>
      <c r="B792" t="s">
        <v>2752</v>
      </c>
    </row>
    <row r="793" spans="1:2" x14ac:dyDescent="0.4">
      <c r="A793" t="s">
        <v>2742</v>
      </c>
      <c r="B793" t="s">
        <v>2750</v>
      </c>
    </row>
    <row r="794" spans="1:2" x14ac:dyDescent="0.4">
      <c r="A794" t="s">
        <v>2755</v>
      </c>
      <c r="B794" t="s">
        <v>2762</v>
      </c>
    </row>
    <row r="795" spans="1:2" x14ac:dyDescent="0.4">
      <c r="A795" t="s">
        <v>2755</v>
      </c>
      <c r="B795" t="s">
        <v>2762</v>
      </c>
    </row>
    <row r="796" spans="1:2" x14ac:dyDescent="0.4">
      <c r="A796" t="s">
        <v>2755</v>
      </c>
      <c r="B796" t="s">
        <v>2762</v>
      </c>
    </row>
    <row r="797" spans="1:2" x14ac:dyDescent="0.4">
      <c r="A797" t="s">
        <v>2755</v>
      </c>
      <c r="B797" t="s">
        <v>2765</v>
      </c>
    </row>
    <row r="798" spans="1:2" x14ac:dyDescent="0.4">
      <c r="A798" t="s">
        <v>2755</v>
      </c>
      <c r="B798" t="s">
        <v>2765</v>
      </c>
    </row>
    <row r="799" spans="1:2" x14ac:dyDescent="0.4">
      <c r="A799" t="s">
        <v>2772</v>
      </c>
      <c r="B799" t="s">
        <v>2784</v>
      </c>
    </row>
    <row r="800" spans="1:2" x14ac:dyDescent="0.4">
      <c r="A800" t="s">
        <v>2772</v>
      </c>
      <c r="B800" t="s">
        <v>2784</v>
      </c>
    </row>
    <row r="801" spans="1:2" x14ac:dyDescent="0.4">
      <c r="A801" t="s">
        <v>2772</v>
      </c>
      <c r="B801" t="s">
        <v>2782</v>
      </c>
    </row>
    <row r="802" spans="1:2" x14ac:dyDescent="0.4">
      <c r="A802" t="s">
        <v>2787</v>
      </c>
      <c r="B802" t="s">
        <v>2792</v>
      </c>
    </row>
    <row r="803" spans="1:2" x14ac:dyDescent="0.4">
      <c r="A803" t="s">
        <v>2787</v>
      </c>
      <c r="B803" t="s">
        <v>2792</v>
      </c>
    </row>
    <row r="804" spans="1:2" x14ac:dyDescent="0.4">
      <c r="A804" t="s">
        <v>2795</v>
      </c>
      <c r="B804" t="s">
        <v>2801</v>
      </c>
    </row>
    <row r="805" spans="1:2" x14ac:dyDescent="0.4">
      <c r="A805" t="s">
        <v>2795</v>
      </c>
      <c r="B805" t="s">
        <v>2801</v>
      </c>
    </row>
  </sheetData>
  <sortState xmlns:xlrd2="http://schemas.microsoft.com/office/spreadsheetml/2017/richdata2" ref="A2:B805">
    <sortCondition ref="A2:A805"/>
    <sortCondition ref="B2:B8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6A3B-2A4C-4573-A1DA-4B68A9E39926}">
  <dimension ref="A1:G60"/>
  <sheetViews>
    <sheetView topLeftCell="A31" workbookViewId="0">
      <selection activeCell="E36" sqref="E36"/>
    </sheetView>
  </sheetViews>
  <sheetFormatPr defaultRowHeight="16" x14ac:dyDescent="0.4"/>
  <cols>
    <col min="1" max="1" width="20.08203125" bestFit="1" customWidth="1"/>
    <col min="2" max="2" width="13.5" style="7" bestFit="1" customWidth="1"/>
    <col min="3" max="3" width="30.75" bestFit="1" customWidth="1"/>
    <col min="6" max="6" width="9"/>
    <col min="7" max="7" width="36.33203125" bestFit="1" customWidth="1"/>
  </cols>
  <sheetData>
    <row r="1" spans="1:7" x14ac:dyDescent="0.4">
      <c r="D1" t="s">
        <v>2880</v>
      </c>
      <c r="E1" t="s">
        <v>2881</v>
      </c>
      <c r="F1" t="s">
        <v>2883</v>
      </c>
    </row>
    <row r="2" spans="1:7" x14ac:dyDescent="0.4">
      <c r="A2" t="s">
        <v>2847</v>
      </c>
      <c r="B2" s="7">
        <v>1933353038</v>
      </c>
      <c r="C2" t="s">
        <v>131</v>
      </c>
      <c r="D2">
        <v>1</v>
      </c>
      <c r="E2">
        <v>1</v>
      </c>
    </row>
    <row r="3" spans="1:7" x14ac:dyDescent="0.4">
      <c r="A3" t="s">
        <v>2848</v>
      </c>
      <c r="B3" s="7">
        <v>1784246235</v>
      </c>
      <c r="C3" t="s">
        <v>228</v>
      </c>
      <c r="D3">
        <v>1</v>
      </c>
      <c r="E3">
        <v>1</v>
      </c>
    </row>
    <row r="4" spans="1:7" x14ac:dyDescent="0.4">
      <c r="A4" t="s">
        <v>2849</v>
      </c>
      <c r="B4" s="7">
        <v>7941875227</v>
      </c>
      <c r="C4" t="s">
        <v>280</v>
      </c>
      <c r="D4">
        <v>1</v>
      </c>
      <c r="E4">
        <v>1</v>
      </c>
    </row>
    <row r="5" spans="1:7" x14ac:dyDescent="0.4">
      <c r="A5" t="s">
        <v>351</v>
      </c>
      <c r="B5" s="7">
        <v>1932761191</v>
      </c>
      <c r="C5" t="s">
        <v>350</v>
      </c>
      <c r="D5">
        <v>1</v>
      </c>
      <c r="E5">
        <v>1</v>
      </c>
    </row>
    <row r="6" spans="1:7" x14ac:dyDescent="0.4">
      <c r="A6" t="s">
        <v>2850</v>
      </c>
      <c r="B6" s="7">
        <v>1980629343</v>
      </c>
      <c r="C6" t="s">
        <v>389</v>
      </c>
      <c r="D6">
        <v>1</v>
      </c>
      <c r="E6">
        <v>1</v>
      </c>
      <c r="F6">
        <v>1</v>
      </c>
    </row>
    <row r="7" spans="1:7" x14ac:dyDescent="0.4">
      <c r="A7" t="s">
        <v>95</v>
      </c>
      <c r="B7" s="7">
        <v>7799071166</v>
      </c>
      <c r="C7" t="s">
        <v>404</v>
      </c>
      <c r="D7">
        <v>1</v>
      </c>
      <c r="E7" t="s">
        <v>2882</v>
      </c>
      <c r="G7" t="s">
        <v>2888</v>
      </c>
    </row>
    <row r="8" spans="1:7" x14ac:dyDescent="0.4">
      <c r="A8" t="s">
        <v>461</v>
      </c>
      <c r="B8" s="7">
        <v>1737765745</v>
      </c>
      <c r="C8" t="s">
        <v>460</v>
      </c>
      <c r="E8">
        <v>1</v>
      </c>
    </row>
    <row r="9" spans="1:7" x14ac:dyDescent="0.4">
      <c r="A9" t="s">
        <v>2851</v>
      </c>
      <c r="B9" s="7">
        <v>7527058454</v>
      </c>
      <c r="C9" t="s">
        <v>486</v>
      </c>
      <c r="D9">
        <v>1</v>
      </c>
    </row>
    <row r="10" spans="1:7" x14ac:dyDescent="0.4">
      <c r="A10" t="s">
        <v>2852</v>
      </c>
      <c r="B10" s="7">
        <v>1273696474</v>
      </c>
      <c r="C10" t="s">
        <v>497</v>
      </c>
      <c r="D10">
        <v>1</v>
      </c>
      <c r="E10">
        <v>1</v>
      </c>
    </row>
    <row r="11" spans="1:7" x14ac:dyDescent="0.4">
      <c r="A11" t="s">
        <v>2853</v>
      </c>
      <c r="B11" s="7">
        <v>1993844805</v>
      </c>
      <c r="C11" t="s">
        <v>600</v>
      </c>
      <c r="D11">
        <v>1</v>
      </c>
      <c r="E11">
        <v>1</v>
      </c>
      <c r="F11">
        <v>1</v>
      </c>
    </row>
    <row r="12" spans="1:7" x14ac:dyDescent="0.4">
      <c r="A12" t="s">
        <v>638</v>
      </c>
      <c r="B12" s="7" t="s">
        <v>636</v>
      </c>
      <c r="C12" t="s">
        <v>637</v>
      </c>
      <c r="D12">
        <v>1</v>
      </c>
      <c r="E12">
        <v>1</v>
      </c>
      <c r="F12">
        <v>1</v>
      </c>
    </row>
    <row r="13" spans="1:7" x14ac:dyDescent="0.4">
      <c r="A13" t="s">
        <v>2854</v>
      </c>
      <c r="B13" s="7" t="s">
        <v>662</v>
      </c>
      <c r="C13" t="s">
        <v>663</v>
      </c>
      <c r="D13">
        <v>1</v>
      </c>
      <c r="E13">
        <v>1</v>
      </c>
      <c r="F13">
        <v>1</v>
      </c>
    </row>
    <row r="14" spans="1:7" x14ac:dyDescent="0.4">
      <c r="A14" t="s">
        <v>2855</v>
      </c>
      <c r="B14" s="7" t="s">
        <v>718</v>
      </c>
      <c r="C14" t="s">
        <v>719</v>
      </c>
      <c r="D14">
        <v>1</v>
      </c>
      <c r="E14">
        <v>1</v>
      </c>
    </row>
    <row r="15" spans="1:7" x14ac:dyDescent="0.4">
      <c r="A15" t="s">
        <v>734</v>
      </c>
      <c r="B15" s="7">
        <v>7979120188</v>
      </c>
      <c r="C15" t="s">
        <v>733</v>
      </c>
      <c r="D15">
        <v>1</v>
      </c>
      <c r="E15">
        <v>1</v>
      </c>
    </row>
    <row r="16" spans="1:7" x14ac:dyDescent="0.4">
      <c r="A16" t="s">
        <v>2856</v>
      </c>
      <c r="B16" s="7">
        <v>1628664403</v>
      </c>
      <c r="C16" t="s">
        <v>754</v>
      </c>
      <c r="D16">
        <v>1</v>
      </c>
      <c r="E16">
        <v>1</v>
      </c>
      <c r="F16">
        <v>1</v>
      </c>
    </row>
    <row r="17" spans="1:7" x14ac:dyDescent="0.4">
      <c r="A17" t="s">
        <v>2857</v>
      </c>
      <c r="B17" s="7" t="s">
        <v>815</v>
      </c>
      <c r="C17" t="s">
        <v>816</v>
      </c>
      <c r="D17">
        <v>1</v>
      </c>
      <c r="E17">
        <v>1</v>
      </c>
    </row>
    <row r="18" spans="1:7" x14ac:dyDescent="0.4">
      <c r="A18" t="s">
        <v>2858</v>
      </c>
      <c r="B18" s="7">
        <v>1483824780</v>
      </c>
      <c r="C18" t="s">
        <v>841</v>
      </c>
      <c r="D18">
        <v>1</v>
      </c>
      <c r="E18" t="s">
        <v>2882</v>
      </c>
      <c r="G18" t="s">
        <v>2887</v>
      </c>
    </row>
    <row r="19" spans="1:7" x14ac:dyDescent="0.4">
      <c r="A19" t="s">
        <v>2859</v>
      </c>
      <c r="B19" s="7">
        <v>1235831578</v>
      </c>
      <c r="C19" t="s">
        <v>945</v>
      </c>
      <c r="D19">
        <v>1</v>
      </c>
      <c r="E19">
        <v>1</v>
      </c>
      <c r="F19">
        <v>1</v>
      </c>
    </row>
    <row r="20" spans="1:7" x14ac:dyDescent="0.4">
      <c r="A20" t="s">
        <v>2860</v>
      </c>
      <c r="B20" s="7">
        <v>7825669139</v>
      </c>
      <c r="C20" t="s">
        <v>1056</v>
      </c>
      <c r="D20">
        <v>1</v>
      </c>
      <c r="E20">
        <v>1</v>
      </c>
    </row>
    <row r="21" spans="1:7" x14ac:dyDescent="0.4">
      <c r="A21" t="s">
        <v>2861</v>
      </c>
      <c r="B21" s="7">
        <v>7845904898</v>
      </c>
      <c r="C21" t="s">
        <v>1087</v>
      </c>
      <c r="D21">
        <v>1</v>
      </c>
      <c r="E21">
        <v>1</v>
      </c>
    </row>
    <row r="22" spans="1:7" x14ac:dyDescent="0.4">
      <c r="A22" t="s">
        <v>2862</v>
      </c>
      <c r="B22" s="7">
        <v>1945428737</v>
      </c>
      <c r="C22" t="s">
        <v>1103</v>
      </c>
      <c r="D22">
        <v>1</v>
      </c>
      <c r="E22">
        <v>1</v>
      </c>
    </row>
    <row r="23" spans="1:7" x14ac:dyDescent="0.4">
      <c r="A23" t="s">
        <v>2863</v>
      </c>
      <c r="B23" s="7">
        <v>1277210228</v>
      </c>
      <c r="C23" t="s">
        <v>1152</v>
      </c>
      <c r="D23">
        <v>1</v>
      </c>
      <c r="E23" t="s">
        <v>2882</v>
      </c>
      <c r="F23">
        <v>1</v>
      </c>
      <c r="G23" t="s">
        <v>2889</v>
      </c>
    </row>
    <row r="24" spans="1:7" x14ac:dyDescent="0.4">
      <c r="A24" t="s">
        <v>2864</v>
      </c>
      <c r="B24" s="7">
        <v>1375847083</v>
      </c>
      <c r="C24" t="s">
        <v>1201</v>
      </c>
      <c r="D24">
        <v>1</v>
      </c>
      <c r="E24">
        <v>1</v>
      </c>
    </row>
    <row r="25" spans="1:7" x14ac:dyDescent="0.4">
      <c r="A25" t="s">
        <v>2865</v>
      </c>
      <c r="B25" s="7" t="s">
        <v>1272</v>
      </c>
      <c r="C25" t="s">
        <v>1273</v>
      </c>
      <c r="D25">
        <v>1</v>
      </c>
      <c r="E25">
        <v>1</v>
      </c>
    </row>
    <row r="26" spans="1:7" x14ac:dyDescent="0.4">
      <c r="A26" t="s">
        <v>2866</v>
      </c>
      <c r="B26" s="7" t="s">
        <v>1366</v>
      </c>
      <c r="C26" t="s">
        <v>1367</v>
      </c>
      <c r="E26">
        <v>1</v>
      </c>
    </row>
    <row r="27" spans="1:7" x14ac:dyDescent="0.4">
      <c r="A27" t="s">
        <v>2867</v>
      </c>
      <c r="B27" s="7">
        <v>7734031945</v>
      </c>
      <c r="C27" t="s">
        <v>1385</v>
      </c>
      <c r="D27">
        <v>1</v>
      </c>
      <c r="E27">
        <v>1</v>
      </c>
    </row>
    <row r="28" spans="1:7" x14ac:dyDescent="0.4">
      <c r="A28" t="s">
        <v>2868</v>
      </c>
      <c r="B28" s="7">
        <v>1787228204</v>
      </c>
      <c r="C28" t="s">
        <v>1494</v>
      </c>
      <c r="D28">
        <v>1</v>
      </c>
      <c r="E28">
        <v>1</v>
      </c>
    </row>
    <row r="29" spans="1:7" x14ac:dyDescent="0.4">
      <c r="A29" t="s">
        <v>2869</v>
      </c>
      <c r="B29" s="7">
        <v>7724748246</v>
      </c>
      <c r="C29" t="s">
        <v>1599</v>
      </c>
      <c r="F29">
        <v>1</v>
      </c>
    </row>
    <row r="30" spans="1:7" x14ac:dyDescent="0.4">
      <c r="A30" t="s">
        <v>2870</v>
      </c>
      <c r="B30" s="7">
        <v>1922452976</v>
      </c>
      <c r="C30" t="s">
        <v>1708</v>
      </c>
      <c r="D30">
        <v>1</v>
      </c>
      <c r="E30">
        <v>1</v>
      </c>
    </row>
    <row r="31" spans="1:7" x14ac:dyDescent="0.4">
      <c r="A31" t="s">
        <v>2871</v>
      </c>
      <c r="B31" s="7" t="s">
        <v>1720</v>
      </c>
      <c r="C31" t="s">
        <v>1721</v>
      </c>
      <c r="D31">
        <v>1</v>
      </c>
      <c r="E31">
        <v>1</v>
      </c>
    </row>
    <row r="32" spans="1:7" x14ac:dyDescent="0.4">
      <c r="A32" t="s">
        <v>2872</v>
      </c>
      <c r="B32" s="7">
        <v>7842075908</v>
      </c>
      <c r="C32" t="s">
        <v>1735</v>
      </c>
      <c r="D32">
        <v>1</v>
      </c>
      <c r="E32">
        <v>1</v>
      </c>
    </row>
    <row r="33" spans="1:7" x14ac:dyDescent="0.4">
      <c r="A33" t="s">
        <v>2873</v>
      </c>
      <c r="B33" s="7">
        <v>1494445004</v>
      </c>
      <c r="C33" t="s">
        <v>1984</v>
      </c>
      <c r="E33">
        <v>1</v>
      </c>
    </row>
    <row r="34" spans="1:7" x14ac:dyDescent="0.4">
      <c r="A34" t="s">
        <v>2066</v>
      </c>
      <c r="B34" s="7">
        <v>7803365872</v>
      </c>
      <c r="C34" t="s">
        <v>2065</v>
      </c>
      <c r="D34">
        <v>1</v>
      </c>
      <c r="E34">
        <v>1</v>
      </c>
    </row>
    <row r="35" spans="1:7" x14ac:dyDescent="0.4">
      <c r="A35" t="s">
        <v>3002</v>
      </c>
      <c r="D35" t="s">
        <v>2882</v>
      </c>
      <c r="E35" t="s">
        <v>2882</v>
      </c>
    </row>
    <row r="36" spans="1:7" x14ac:dyDescent="0.4">
      <c r="A36" t="s">
        <v>2264</v>
      </c>
      <c r="B36" s="7" t="s">
        <v>2262</v>
      </c>
      <c r="C36" t="s">
        <v>2263</v>
      </c>
      <c r="D36">
        <v>1</v>
      </c>
      <c r="E36">
        <v>1</v>
      </c>
    </row>
    <row r="37" spans="1:7" x14ac:dyDescent="0.4">
      <c r="A37" t="s">
        <v>2308</v>
      </c>
      <c r="B37" s="7">
        <v>1883347721</v>
      </c>
      <c r="C37" t="s">
        <v>2307</v>
      </c>
      <c r="D37">
        <v>1</v>
      </c>
      <c r="E37">
        <v>1</v>
      </c>
    </row>
    <row r="38" spans="1:7" x14ac:dyDescent="0.4">
      <c r="A38" t="s">
        <v>2874</v>
      </c>
      <c r="B38" s="7" t="s">
        <v>2358</v>
      </c>
      <c r="C38" t="s">
        <v>2359</v>
      </c>
      <c r="D38">
        <v>1</v>
      </c>
      <c r="E38">
        <v>1</v>
      </c>
    </row>
    <row r="39" spans="1:7" x14ac:dyDescent="0.4">
      <c r="A39" t="s">
        <v>2406</v>
      </c>
      <c r="B39" s="7">
        <v>7891477539</v>
      </c>
      <c r="C39" t="s">
        <v>2405</v>
      </c>
      <c r="D39">
        <v>1</v>
      </c>
      <c r="E39">
        <v>1</v>
      </c>
    </row>
    <row r="40" spans="1:7" x14ac:dyDescent="0.4">
      <c r="A40" t="s">
        <v>2875</v>
      </c>
      <c r="B40" s="7" t="s">
        <v>2422</v>
      </c>
      <c r="C40" t="s">
        <v>2423</v>
      </c>
      <c r="E40">
        <v>1</v>
      </c>
    </row>
    <row r="41" spans="1:7" x14ac:dyDescent="0.4">
      <c r="A41" t="s">
        <v>2876</v>
      </c>
      <c r="B41" s="7">
        <v>7581693165</v>
      </c>
      <c r="C41" t="s">
        <v>2445</v>
      </c>
      <c r="D41">
        <v>1</v>
      </c>
      <c r="E41">
        <v>1</v>
      </c>
    </row>
    <row r="42" spans="1:7" x14ac:dyDescent="0.4">
      <c r="A42" t="s">
        <v>2877</v>
      </c>
      <c r="B42" s="7" t="s">
        <v>2466</v>
      </c>
      <c r="C42" t="s">
        <v>2467</v>
      </c>
      <c r="D42">
        <v>1</v>
      </c>
      <c r="E42">
        <v>1</v>
      </c>
    </row>
    <row r="43" spans="1:7" x14ac:dyDescent="0.4">
      <c r="A43" t="s">
        <v>2878</v>
      </c>
      <c r="B43" s="7">
        <v>1525719311</v>
      </c>
      <c r="C43" t="s">
        <v>2476</v>
      </c>
      <c r="D43">
        <v>1</v>
      </c>
      <c r="E43">
        <v>1</v>
      </c>
    </row>
    <row r="44" spans="1:7" x14ac:dyDescent="0.4">
      <c r="A44" t="s">
        <v>2498</v>
      </c>
      <c r="B44" s="7" t="s">
        <v>2496</v>
      </c>
      <c r="C44" t="s">
        <v>2497</v>
      </c>
      <c r="D44">
        <v>1</v>
      </c>
      <c r="E44">
        <v>1</v>
      </c>
      <c r="G44" s="5" t="s">
        <v>2502</v>
      </c>
    </row>
    <row r="45" spans="1:7" x14ac:dyDescent="0.4">
      <c r="A45" t="s">
        <v>2541</v>
      </c>
      <c r="B45" s="7">
        <v>7790465184</v>
      </c>
      <c r="C45" t="s">
        <v>2540</v>
      </c>
      <c r="D45">
        <v>1</v>
      </c>
      <c r="E45">
        <v>1</v>
      </c>
    </row>
    <row r="46" spans="1:7" x14ac:dyDescent="0.4">
      <c r="A46" t="s">
        <v>2879</v>
      </c>
      <c r="B46" s="7">
        <v>1295711363</v>
      </c>
      <c r="C46" t="s">
        <v>2611</v>
      </c>
      <c r="D46">
        <v>1</v>
      </c>
      <c r="E46">
        <v>1</v>
      </c>
      <c r="F46">
        <v>1</v>
      </c>
    </row>
    <row r="48" spans="1:7" x14ac:dyDescent="0.4">
      <c r="D48">
        <f>SUM(D1:D46)</f>
        <v>39</v>
      </c>
      <c r="E48">
        <f>SUM(E1:E46)</f>
        <v>39</v>
      </c>
      <c r="F48">
        <f>SUM(F1:F46)</f>
        <v>9</v>
      </c>
      <c r="G48" s="6">
        <f>D48+E48+F48</f>
        <v>87</v>
      </c>
    </row>
    <row r="50" spans="1:7" x14ac:dyDescent="0.4">
      <c r="A50" t="s">
        <v>2882</v>
      </c>
      <c r="D50">
        <f>COUNTIF(D$1:D$46,$A50)</f>
        <v>1</v>
      </c>
      <c r="E50">
        <f>COUNTIF(E$1:E$46,$A50)</f>
        <v>4</v>
      </c>
      <c r="F50">
        <f>COUNTIF(F$1:F$46,$A50)</f>
        <v>0</v>
      </c>
      <c r="G50" s="6">
        <f>D50+E50+F50</f>
        <v>5</v>
      </c>
    </row>
    <row r="51" spans="1:7" ht="16.5" thickBot="1" x14ac:dyDescent="0.45"/>
    <row r="52" spans="1:7" ht="16.5" thickBot="1" x14ac:dyDescent="0.45">
      <c r="A52" s="8" t="s">
        <v>2884</v>
      </c>
      <c r="D52" s="9">
        <v>1</v>
      </c>
      <c r="E52" s="10">
        <v>1</v>
      </c>
    </row>
    <row r="53" spans="1:7" ht="16.5" thickBot="1" x14ac:dyDescent="0.45">
      <c r="A53" s="11" t="s">
        <v>83</v>
      </c>
      <c r="C53" s="4" t="s">
        <v>1863</v>
      </c>
      <c r="D53" s="9">
        <v>2</v>
      </c>
      <c r="E53" s="12">
        <v>2</v>
      </c>
    </row>
    <row r="54" spans="1:7" ht="16.5" thickBot="1" x14ac:dyDescent="0.45">
      <c r="A54" s="8" t="s">
        <v>104</v>
      </c>
      <c r="C54" s="4" t="s">
        <v>2885</v>
      </c>
      <c r="D54" s="9">
        <v>1</v>
      </c>
      <c r="E54" s="9">
        <v>1</v>
      </c>
    </row>
    <row r="55" spans="1:7" ht="16.5" thickBot="1" x14ac:dyDescent="0.45">
      <c r="A55" s="8" t="s">
        <v>323</v>
      </c>
      <c r="B55" s="4" t="s">
        <v>2892</v>
      </c>
      <c r="C55" s="4" t="s">
        <v>2886</v>
      </c>
      <c r="D55" s="8"/>
      <c r="E55" s="9">
        <v>1</v>
      </c>
    </row>
    <row r="56" spans="1:7" ht="16.5" thickBot="1" x14ac:dyDescent="0.45">
      <c r="A56" s="8" t="s">
        <v>67</v>
      </c>
      <c r="B56" s="4" t="s">
        <v>2891</v>
      </c>
      <c r="C56" s="4" t="s">
        <v>1138</v>
      </c>
      <c r="D56" s="9">
        <v>1</v>
      </c>
      <c r="E56" s="9">
        <v>1</v>
      </c>
    </row>
    <row r="57" spans="1:7" ht="16.5" thickBot="1" x14ac:dyDescent="0.45">
      <c r="A57" s="8" t="s">
        <v>113</v>
      </c>
      <c r="B57" s="4" t="s">
        <v>2890</v>
      </c>
      <c r="C57" s="4" t="s">
        <v>112</v>
      </c>
      <c r="D57" s="9">
        <v>1</v>
      </c>
      <c r="E57" s="9">
        <v>1</v>
      </c>
    </row>
    <row r="60" spans="1:7" x14ac:dyDescent="0.4">
      <c r="D60">
        <f>D48+SUM(D50:D57)</f>
        <v>46</v>
      </c>
      <c r="E60" s="6">
        <f>E48+SUM(E50:E57)</f>
        <v>50</v>
      </c>
      <c r="F60">
        <f>F48+SUM(F50:F57)</f>
        <v>9</v>
      </c>
      <c r="G60" s="6">
        <f>D60+E60+F60</f>
        <v>105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6311-769D-4370-8E48-0B3B22F81A12}">
  <dimension ref="A1:G14"/>
  <sheetViews>
    <sheetView workbookViewId="0">
      <selection activeCell="A15" sqref="A15"/>
    </sheetView>
  </sheetViews>
  <sheetFormatPr defaultRowHeight="16" x14ac:dyDescent="0.4"/>
  <cols>
    <col min="1" max="1" width="11.33203125" bestFit="1" customWidth="1"/>
    <col min="3" max="3" width="9" style="13"/>
  </cols>
  <sheetData>
    <row r="1" spans="1:7" x14ac:dyDescent="0.4">
      <c r="A1" t="s">
        <v>2894</v>
      </c>
    </row>
    <row r="2" spans="1:7" x14ac:dyDescent="0.4">
      <c r="A2" t="s">
        <v>2895</v>
      </c>
    </row>
    <row r="3" spans="1:7" x14ac:dyDescent="0.4">
      <c r="A3" t="s">
        <v>2896</v>
      </c>
      <c r="B3">
        <f>'Petersfield_&amp;_District_DTS_2025'!X1100-6</f>
        <v>798</v>
      </c>
      <c r="C3" s="13">
        <f>B3*7.5</f>
        <v>5985</v>
      </c>
      <c r="G3" s="13"/>
    </row>
    <row r="4" spans="1:7" x14ac:dyDescent="0.4">
      <c r="A4" t="s">
        <v>2897</v>
      </c>
      <c r="B4">
        <f>'Camping summary'!D48</f>
        <v>39</v>
      </c>
      <c r="C4" s="13">
        <f>B4*5</f>
        <v>195</v>
      </c>
    </row>
    <row r="5" spans="1:7" x14ac:dyDescent="0.4">
      <c r="B5">
        <f>'Camping summary'!E48</f>
        <v>39</v>
      </c>
      <c r="C5" s="13">
        <f>B5*15</f>
        <v>585</v>
      </c>
    </row>
    <row r="6" spans="1:7" x14ac:dyDescent="0.4">
      <c r="B6">
        <f>'Camping summary'!F48</f>
        <v>9</v>
      </c>
      <c r="C6" s="13">
        <f>B6*5</f>
        <v>45</v>
      </c>
    </row>
    <row r="8" spans="1:7" x14ac:dyDescent="0.4">
      <c r="C8" s="14">
        <f>SUM(C3:C6)</f>
        <v>6810</v>
      </c>
    </row>
    <row r="10" spans="1:7" x14ac:dyDescent="0.4">
      <c r="A10" t="s">
        <v>2898</v>
      </c>
    </row>
    <row r="11" spans="1:7" x14ac:dyDescent="0.4">
      <c r="A11" t="s">
        <v>2896</v>
      </c>
      <c r="B11">
        <v>6</v>
      </c>
      <c r="C11" s="14">
        <f>B11*7.5</f>
        <v>45</v>
      </c>
    </row>
    <row r="14" spans="1:7" x14ac:dyDescent="0.4">
      <c r="A14" t="s">
        <v>2899</v>
      </c>
      <c r="C14" s="14">
        <f>C8+C11</f>
        <v>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Petersfield_&amp;_District_DTS_2025</vt:lpstr>
      <vt:lpstr>Petersfield_&amp;_District_DTS_ (2)</vt:lpstr>
      <vt:lpstr>For import</vt:lpstr>
      <vt:lpstr>Ring numbers</vt:lpstr>
      <vt:lpstr>Camping summary</vt:lpstr>
      <vt:lpstr>Income</vt:lpstr>
      <vt:lpstr>'Ring numbers'!Extract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Brown</dc:creator>
  <cp:lastModifiedBy>Daren Cantrell</cp:lastModifiedBy>
  <dcterms:created xsi:type="dcterms:W3CDTF">2025-05-07T09:39:13Z</dcterms:created>
  <dcterms:modified xsi:type="dcterms:W3CDTF">2025-05-07T19:38:19Z</dcterms:modified>
</cp:coreProperties>
</file>