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DSM\Data\2026\"/>
    </mc:Choice>
  </mc:AlternateContent>
  <xr:revisionPtr revIDLastSave="0" documentId="13_ncr:1_{3848A2CF-401D-4F5D-BA6F-3B528EF32ED4}" xr6:coauthVersionLast="47" xr6:coauthVersionMax="47" xr10:uidLastSave="{00000000-0000-0000-0000-000000000000}"/>
  <bookViews>
    <workbookView xWindow="57480" yWindow="-120" windowWidth="38640" windowHeight="21120" xr2:uid="{ECC227CA-C7CE-4843-8BEE-8608539BE937}"/>
  </bookViews>
  <sheets>
    <sheet name="Entries" sheetId="4" r:id="rId1"/>
    <sheet name="Checks" sheetId="3" r:id="rId2"/>
    <sheet name="Camping" sheetId="5" r:id="rId3"/>
    <sheet name="NFC" sheetId="6" r:id="rId4"/>
  </sheets>
  <definedNames>
    <definedName name="_xlnm._FilterDatabase" localSheetId="0" hidden="1">Entries!$A$1:$AB$744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9" i="5" l="1"/>
  <c r="F61" i="5"/>
  <c r="E61" i="5"/>
  <c r="D61" i="5"/>
  <c r="F60" i="5"/>
  <c r="E60" i="5"/>
  <c r="D60" i="5"/>
  <c r="F59" i="5"/>
  <c r="E59" i="5"/>
  <c r="D59" i="5"/>
  <c r="K3" i="3"/>
  <c r="K4" i="3"/>
  <c r="K5" i="3"/>
  <c r="K6" i="3"/>
  <c r="K7" i="3"/>
  <c r="K8" i="3"/>
  <c r="K9" i="3"/>
  <c r="K10" i="3"/>
  <c r="K11" i="3"/>
  <c r="K12" i="3"/>
  <c r="K13" i="3"/>
  <c r="K14" i="3"/>
  <c r="K15" i="3"/>
  <c r="K2" i="3"/>
  <c r="C3" i="3"/>
  <c r="C4" i="3"/>
  <c r="C5" i="3"/>
  <c r="D5" i="3" s="1"/>
  <c r="E5" i="3" s="1"/>
  <c r="C6" i="3"/>
  <c r="D6" i="3" s="1"/>
  <c r="E6" i="3" s="1"/>
  <c r="C7" i="3"/>
  <c r="D7" i="3" s="1"/>
  <c r="E7" i="3" s="1"/>
  <c r="C8" i="3"/>
  <c r="C9" i="3"/>
  <c r="C10" i="3"/>
  <c r="C11" i="3"/>
  <c r="D11" i="3" s="1"/>
  <c r="E11" i="3" s="1"/>
  <c r="C12" i="3"/>
  <c r="D12" i="3" s="1"/>
  <c r="E12" i="3" s="1"/>
  <c r="C13" i="3"/>
  <c r="D13" i="3" s="1"/>
  <c r="E13" i="3" s="1"/>
  <c r="C14" i="3"/>
  <c r="C15" i="3"/>
  <c r="C2" i="3"/>
  <c r="C17" i="3" l="1"/>
  <c r="C19" i="3" s="1"/>
</calcChain>
</file>

<file path=xl/sharedStrings.xml><?xml version="1.0" encoding="utf-8"?>
<sst xmlns="http://schemas.openxmlformats.org/spreadsheetml/2006/main" count="20813" uniqueCount="2925">
  <si>
    <t>Show name</t>
  </si>
  <si>
    <t>Owner Id</t>
  </si>
  <si>
    <t>Owner title</t>
  </si>
  <si>
    <t>Owner first name</t>
  </si>
  <si>
    <t>Owner last name</t>
  </si>
  <si>
    <t>Owner address 1</t>
  </si>
  <si>
    <t>Owner address 2</t>
  </si>
  <si>
    <t>Owner town</t>
  </si>
  <si>
    <t>Owner county</t>
  </si>
  <si>
    <t>Owner postcode</t>
  </si>
  <si>
    <t>Owner country</t>
  </si>
  <si>
    <t>Owner phone</t>
  </si>
  <si>
    <t>Owner email address</t>
  </si>
  <si>
    <t>Owner registered name</t>
  </si>
  <si>
    <t>Vehicle registration</t>
  </si>
  <si>
    <t>Registered name</t>
  </si>
  <si>
    <t>Registered number</t>
  </si>
  <si>
    <t>Breed</t>
  </si>
  <si>
    <t>Sex</t>
  </si>
  <si>
    <t>Date of birth</t>
  </si>
  <si>
    <t>Merit points</t>
  </si>
  <si>
    <t>Entered classes</t>
  </si>
  <si>
    <t>Preferred judge</t>
  </si>
  <si>
    <t>Extras</t>
  </si>
  <si>
    <t>Confirmed acceptance of declaration</t>
  </si>
  <si>
    <t>Withdraw all entries if balloted out of Championship C</t>
  </si>
  <si>
    <t>Show address in catalogue</t>
  </si>
  <si>
    <t>Notes to organiser</t>
  </si>
  <si>
    <t>Kent</t>
  </si>
  <si>
    <t>Sarah</t>
  </si>
  <si>
    <t>Herts</t>
  </si>
  <si>
    <t>WS</t>
  </si>
  <si>
    <t>GSD</t>
  </si>
  <si>
    <t>Chatham</t>
  </si>
  <si>
    <t>Essex</t>
  </si>
  <si>
    <t>Anne</t>
  </si>
  <si>
    <t>Northfield</t>
  </si>
  <si>
    <t>Dartford</t>
  </si>
  <si>
    <t>DA1 3HP</t>
  </si>
  <si>
    <t>01322 226067</t>
  </si>
  <si>
    <t>northfielda@yahoo.co.uk</t>
  </si>
  <si>
    <t>Dodgin Iatka New Moon O.W.</t>
  </si>
  <si>
    <t>AW01507105</t>
  </si>
  <si>
    <t>Chris</t>
  </si>
  <si>
    <t>Andrew</t>
  </si>
  <si>
    <t>Bird</t>
  </si>
  <si>
    <t>7a Friars Avenue</t>
  </si>
  <si>
    <t>Walderslade</t>
  </si>
  <si>
    <t>ME5 9PA</t>
  </si>
  <si>
    <t>01634 670396</t>
  </si>
  <si>
    <t>apbird0012@gmail.com</t>
  </si>
  <si>
    <t>Deeann Doing it for Devon</t>
  </si>
  <si>
    <t>AX00053707</t>
  </si>
  <si>
    <t>BC</t>
  </si>
  <si>
    <t>D</t>
  </si>
  <si>
    <t>Time Teo Rise and Shine</t>
  </si>
  <si>
    <t>KX0266846</t>
  </si>
  <si>
    <t>Fri Sat Sun camping</t>
  </si>
  <si>
    <t>Connell</t>
  </si>
  <si>
    <t>9 Hickling Drive</t>
  </si>
  <si>
    <t>Bury St Edmunds</t>
  </si>
  <si>
    <t>IP33 2PU</t>
  </si>
  <si>
    <t>Sarian Top Notch of Valgrays</t>
  </si>
  <si>
    <t>K0264455</t>
  </si>
  <si>
    <t>NZ Huntaway</t>
  </si>
  <si>
    <t>No r/o - helper</t>
  </si>
  <si>
    <t>Collins</t>
  </si>
  <si>
    <t>Kings</t>
  </si>
  <si>
    <t>Furneus Pelham</t>
  </si>
  <si>
    <t>Buntingford</t>
  </si>
  <si>
    <t>SG9 0LR</t>
  </si>
  <si>
    <t>07732 184930</t>
  </si>
  <si>
    <t>Sachemic's Phoenix from Ash at Kurlyking</t>
  </si>
  <si>
    <t>Std Poodle</t>
  </si>
  <si>
    <t>Fri Sat camping</t>
  </si>
  <si>
    <t>Shirley</t>
  </si>
  <si>
    <t>Clowes</t>
  </si>
  <si>
    <t>Rose Cottage</t>
  </si>
  <si>
    <t>Bankside</t>
  </si>
  <si>
    <t>Meaford, Stone</t>
  </si>
  <si>
    <t>Staffs</t>
  </si>
  <si>
    <t>ST15 0QT</t>
  </si>
  <si>
    <t>0781652866</t>
  </si>
  <si>
    <t>shrlclws@aol.com</t>
  </si>
  <si>
    <t>Jeplong Soul Seeker</t>
  </si>
  <si>
    <t>JC0901591</t>
  </si>
  <si>
    <t>Forevermagic Soul Watcher</t>
  </si>
  <si>
    <t>K0273804</t>
  </si>
  <si>
    <t>Julie</t>
  </si>
  <si>
    <t>Enright</t>
  </si>
  <si>
    <t>28 Langford Crescent</t>
  </si>
  <si>
    <t>Benfleet</t>
  </si>
  <si>
    <t>SS7 3JP</t>
  </si>
  <si>
    <t>07769712493</t>
  </si>
  <si>
    <t>enrightjulie@gmail.com</t>
  </si>
  <si>
    <t>Brechfa Twist and Shout</t>
  </si>
  <si>
    <t>AV02414201</t>
  </si>
  <si>
    <t>Suzanne Walker</t>
  </si>
  <si>
    <t>Brechfa Neon Moon</t>
  </si>
  <si>
    <t>A101370104</t>
  </si>
  <si>
    <t>B</t>
  </si>
  <si>
    <t>Happy to help on the day</t>
  </si>
  <si>
    <t>Fri Sat Sun camping - overpaid?</t>
  </si>
  <si>
    <t>Sheila</t>
  </si>
  <si>
    <t>Flight</t>
  </si>
  <si>
    <t>19 Oakdene Avenue</t>
  </si>
  <si>
    <t>DA8 1EJ</t>
  </si>
  <si>
    <t>07752 371535</t>
  </si>
  <si>
    <t>sheila.flight@hotmail.com</t>
  </si>
  <si>
    <t>Stagridge Blueberry</t>
  </si>
  <si>
    <t>AV02591806</t>
  </si>
  <si>
    <t>Labrador</t>
  </si>
  <si>
    <t>Mrs MJ</t>
  </si>
  <si>
    <t>Kevis</t>
  </si>
  <si>
    <t>Foxmead</t>
  </si>
  <si>
    <t>School Road</t>
  </si>
  <si>
    <t>Little Totham Maloon</t>
  </si>
  <si>
    <t>CM9 8JJ</t>
  </si>
  <si>
    <t>01621 893058</t>
  </si>
  <si>
    <t>jill.kevis@btinternet.com</t>
  </si>
  <si>
    <t>Nukarellys Michelangela</t>
  </si>
  <si>
    <t>BA22071504</t>
  </si>
  <si>
    <t>Dawn</t>
  </si>
  <si>
    <t>Mason</t>
  </si>
  <si>
    <t>68 Mereview</t>
  </si>
  <si>
    <t>Yaxley</t>
  </si>
  <si>
    <t>Peterborough</t>
  </si>
  <si>
    <t>PE7 3HF</t>
  </si>
  <si>
    <t>07778401484</t>
  </si>
  <si>
    <t>ASD</t>
  </si>
  <si>
    <t>Birkcross Fire's Lad</t>
  </si>
  <si>
    <t>AW00344405</t>
  </si>
  <si>
    <t>Claire Jameson</t>
  </si>
  <si>
    <t>If drawn, in A please</t>
  </si>
  <si>
    <t>Accra Midnight Duel</t>
  </si>
  <si>
    <t>BA18745503</t>
  </si>
  <si>
    <t>173 Princes Road</t>
  </si>
  <si>
    <t>Nevsehir Midnight Velvet</t>
  </si>
  <si>
    <t>BC29293101</t>
  </si>
  <si>
    <t>Plant</t>
  </si>
  <si>
    <t>67 High Road</t>
  </si>
  <si>
    <t>Wortwell</t>
  </si>
  <si>
    <t>Harleston</t>
  </si>
  <si>
    <t>Norfolk</t>
  </si>
  <si>
    <t>IP20 0EF</t>
  </si>
  <si>
    <t>07521 067821</t>
  </si>
  <si>
    <t>chrisplant222@btinternet.com</t>
  </si>
  <si>
    <t>Applebel Juniper</t>
  </si>
  <si>
    <t>AT04075003</t>
  </si>
  <si>
    <t>Golden Ret</t>
  </si>
  <si>
    <t>Averil</t>
  </si>
  <si>
    <t>Robbins</t>
  </si>
  <si>
    <t>11 Paget Close</t>
  </si>
  <si>
    <t>Needham Markeet</t>
  </si>
  <si>
    <t>Suffolk</t>
  </si>
  <si>
    <t>IP6 8XF</t>
  </si>
  <si>
    <t>01449 723181</t>
  </si>
  <si>
    <t>Asterlily Zeus of Harrob</t>
  </si>
  <si>
    <t>AV03364302</t>
  </si>
  <si>
    <t>NSDTR</t>
  </si>
  <si>
    <t>Karen</t>
  </si>
  <si>
    <t>Russell</t>
  </si>
  <si>
    <t>8 Clover Way</t>
  </si>
  <si>
    <t>Thetford</t>
  </si>
  <si>
    <t>IP24 1LQ</t>
  </si>
  <si>
    <t>07770 605243</t>
  </si>
  <si>
    <t>jampix@talktalk.net</t>
  </si>
  <si>
    <t>Arkens Cosmos</t>
  </si>
  <si>
    <t>Mudi</t>
  </si>
  <si>
    <t>Watson</t>
  </si>
  <si>
    <t>8 Vicarage Close</t>
  </si>
  <si>
    <t>Holme</t>
  </si>
  <si>
    <t>PE7 3PQ</t>
  </si>
  <si>
    <t>01487 830696</t>
  </si>
  <si>
    <t>Sheltysham Shrouded in Mist</t>
  </si>
  <si>
    <t>AU02846904</t>
  </si>
  <si>
    <t>Gina Zantboer</t>
  </si>
  <si>
    <t>Mrs N</t>
  </si>
  <si>
    <t>Linda</t>
  </si>
  <si>
    <t>Plows</t>
  </si>
  <si>
    <t>53 Crewes Avenue</t>
  </si>
  <si>
    <t>Warlingham</t>
  </si>
  <si>
    <t>CR6 9NZ</t>
  </si>
  <si>
    <t>07803 365872</t>
  </si>
  <si>
    <t>linda.plows@hotmail.co.uk</t>
  </si>
  <si>
    <t>K0266526</t>
  </si>
  <si>
    <t>BA18431701</t>
  </si>
  <si>
    <t>West Suffolk Obedience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</si>
  <si>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</si>
  <si>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</si>
  <si>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</si>
  <si>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</si>
  <si>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</si>
  <si>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</si>
  <si>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</si>
  <si>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</si>
  <si>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</si>
  <si>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</si>
  <si>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</si>
  <si>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</si>
  <si>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</si>
  <si>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P15</t>
  </si>
  <si>
    <t>Jenny</t>
  </si>
  <si>
    <t>Gould</t>
  </si>
  <si>
    <t xml:space="preserve"> Zakanja Bees Knees</t>
  </si>
  <si>
    <t>AW00583901</t>
  </si>
  <si>
    <t>112 Westerleigh Road</t>
  </si>
  <si>
    <t>Bristol</t>
  </si>
  <si>
    <t>BS16 9PX</t>
  </si>
  <si>
    <t>07818 674808</t>
  </si>
  <si>
    <t xml:space="preserve">krazyk9s@hotmail.com </t>
  </si>
  <si>
    <t>Zakanja Funky Monkey</t>
  </si>
  <si>
    <t>AZ12009205</t>
  </si>
  <si>
    <t>Zakanja Gold Leap</t>
  </si>
  <si>
    <t>BB23902810</t>
  </si>
  <si>
    <t>Different part to Sarah Connell</t>
  </si>
  <si>
    <t>WEST SUFFOLK OBEDIENCE - Sat 30th and Sun 31st May 2026</t>
  </si>
  <si>
    <t>Miss</t>
  </si>
  <si>
    <t>Yvonne</t>
  </si>
  <si>
    <t>Abra</t>
  </si>
  <si>
    <t>Kiln Farm</t>
  </si>
  <si>
    <t>Lower Road, Cavendish</t>
  </si>
  <si>
    <t>Sudbury</t>
  </si>
  <si>
    <t>CO107QU</t>
  </si>
  <si>
    <t>United Kingdom</t>
  </si>
  <si>
    <t>07885581115</t>
  </si>
  <si>
    <t>yvonne_abra@hotmail.com</t>
  </si>
  <si>
    <t>Yvonne Abra</t>
  </si>
  <si>
    <t>Austmans Goody two Shoes</t>
  </si>
  <si>
    <t>BA21468502</t>
  </si>
  <si>
    <t>Australian Cattle Dog</t>
  </si>
  <si>
    <t>Bitch</t>
  </si>
  <si>
    <t>Not applicable</t>
  </si>
  <si>
    <t>Yes</t>
  </si>
  <si>
    <t>No</t>
  </si>
  <si>
    <t>Austmans Sirius Blue (A Ex)</t>
  </si>
  <si>
    <t>AW04518001</t>
  </si>
  <si>
    <t>Georgie Riches</t>
  </si>
  <si>
    <t>Julie Sheldrake</t>
  </si>
  <si>
    <t>Victoria Cook</t>
  </si>
  <si>
    <t>Ruth Britton</t>
  </si>
  <si>
    <t>Sandra Barnes</t>
  </si>
  <si>
    <t>Mrs</t>
  </si>
  <si>
    <t>Ainsworth</t>
  </si>
  <si>
    <t>21 Orchard Croft</t>
  </si>
  <si>
    <t>Lowestoft</t>
  </si>
  <si>
    <t>NR33 9JL</t>
  </si>
  <si>
    <t>07710593802</t>
  </si>
  <si>
    <t>sheezalady86@aol.com</t>
  </si>
  <si>
    <t>Julie Ainsworth</t>
  </si>
  <si>
    <t>Fyndd Sodor for Soxettt</t>
  </si>
  <si>
    <t>AY09135541</t>
  </si>
  <si>
    <t>Border Collie</t>
  </si>
  <si>
    <t>Bridgette Cameron</t>
  </si>
  <si>
    <t>Claire Williams</t>
  </si>
  <si>
    <t>K0274232</t>
  </si>
  <si>
    <t>Working Sheepdog</t>
  </si>
  <si>
    <t>Dog</t>
  </si>
  <si>
    <t>Janet Stewart Baldry</t>
  </si>
  <si>
    <t>Una</t>
  </si>
  <si>
    <t>Alexander</t>
  </si>
  <si>
    <t>Fairways Middle Green</t>
  </si>
  <si>
    <t>Wakes Colne</t>
  </si>
  <si>
    <t>Colechester</t>
  </si>
  <si>
    <t>CO6 2BN</t>
  </si>
  <si>
    <t>07954440355</t>
  </si>
  <si>
    <t>una.a81@gmail.com</t>
  </si>
  <si>
    <t>Mrs UP &amp; Mr MJ Alexander</t>
  </si>
  <si>
    <t>Chestnut Victor</t>
  </si>
  <si>
    <t>K0267280</t>
  </si>
  <si>
    <t>Cockapoo</t>
  </si>
  <si>
    <t>Angie</t>
  </si>
  <si>
    <t>Allen</t>
  </si>
  <si>
    <t>10 Ashfield Crescent</t>
  </si>
  <si>
    <t>NR33 9BE</t>
  </si>
  <si>
    <t>07717774722</t>
  </si>
  <si>
    <t>angela-allen1@sky.com</t>
  </si>
  <si>
    <t>Mrs A Allen</t>
  </si>
  <si>
    <t>Qimugta Malfy</t>
  </si>
  <si>
    <t>BA18318101</t>
  </si>
  <si>
    <t>Canadian Eskimo Fog</t>
  </si>
  <si>
    <t>Alex Berry</t>
  </si>
  <si>
    <t>Tracy</t>
  </si>
  <si>
    <t>Ansell</t>
  </si>
  <si>
    <t>9 Bates close</t>
  </si>
  <si>
    <t>HIGHAM FERRES</t>
  </si>
  <si>
    <t>NORTHANTS</t>
  </si>
  <si>
    <t>NN10 8HF</t>
  </si>
  <si>
    <t>01933353038</t>
  </si>
  <si>
    <t>srallebone9@gmail.com</t>
  </si>
  <si>
    <t>Mrs Tracy Ansell</t>
  </si>
  <si>
    <t>Buskru Go With the Flo</t>
  </si>
  <si>
    <t>K0269947</t>
  </si>
  <si>
    <t>1. Camping Friday Night (from Friday mid-day),2. Camping Sat Night</t>
  </si>
  <si>
    <t>Tazziemin Strike a Pose for Chalkwell</t>
  </si>
  <si>
    <t>AZ15444205</t>
  </si>
  <si>
    <t>Standard Poodle</t>
  </si>
  <si>
    <t>Christine Richardson</t>
  </si>
  <si>
    <t>Chalkwell Worth a Shot</t>
  </si>
  <si>
    <t>AU00900601</t>
  </si>
  <si>
    <t>Sue Parmiter</t>
  </si>
  <si>
    <t>Appleton</t>
  </si>
  <si>
    <t>10 Belchamps Way</t>
  </si>
  <si>
    <t>Hockley</t>
  </si>
  <si>
    <t>SS5 4NT</t>
  </si>
  <si>
    <t>01702 201346</t>
  </si>
  <si>
    <t>appleton.julie@btinternet.com</t>
  </si>
  <si>
    <t>Mrs Julie Appleton</t>
  </si>
  <si>
    <t>BB24610206</t>
  </si>
  <si>
    <t>GOLDEN RETRIEVER</t>
  </si>
  <si>
    <t>Jude Stone</t>
  </si>
  <si>
    <t>Applebel Tamarind</t>
  </si>
  <si>
    <t>AT04075001</t>
  </si>
  <si>
    <t>Golden Retriever</t>
  </si>
  <si>
    <t>No preference</t>
  </si>
  <si>
    <t>Mr</t>
  </si>
  <si>
    <t>Ian</t>
  </si>
  <si>
    <t>appleton.ian@btinternet.com</t>
  </si>
  <si>
    <t>Mr Ian Appleton</t>
  </si>
  <si>
    <t>Applebel Tomatin</t>
  </si>
  <si>
    <t>AY05276601</t>
  </si>
  <si>
    <t>Applebel Merlot</t>
  </si>
  <si>
    <t>AS00342901</t>
  </si>
  <si>
    <t>Angela</t>
  </si>
  <si>
    <t>Armstrong</t>
  </si>
  <si>
    <t>10 Holt Farm Way</t>
  </si>
  <si>
    <t>Rochford</t>
  </si>
  <si>
    <t>SS4 1SA</t>
  </si>
  <si>
    <t>07779236870</t>
  </si>
  <si>
    <t>angie.armstrong1954@gmail.com</t>
  </si>
  <si>
    <t>Mrs V &amp; Mr K Walker</t>
  </si>
  <si>
    <t>Black Melanite (AY1)</t>
  </si>
  <si>
    <t>AY06397805</t>
  </si>
  <si>
    <t>Spaniel (Cocker)</t>
  </si>
  <si>
    <t>Katrina</t>
  </si>
  <si>
    <t>Arnold</t>
  </si>
  <si>
    <t>17 Eden Way</t>
  </si>
  <si>
    <t>Surrey</t>
  </si>
  <si>
    <t>CR6 9DP</t>
  </si>
  <si>
    <t>07778388879</t>
  </si>
  <si>
    <t>katrina.arnold@btinternet.com</t>
  </si>
  <si>
    <t>Miss K Arnold</t>
  </si>
  <si>
    <t>Tilemash Just In Time</t>
  </si>
  <si>
    <t>KO275197</t>
  </si>
  <si>
    <t>DeeAnn Reckless Eric</t>
  </si>
  <si>
    <t>AV03405102</t>
  </si>
  <si>
    <t>Isobel</t>
  </si>
  <si>
    <t>Ashbey</t>
  </si>
  <si>
    <t>3 Pound Farm Barns</t>
  </si>
  <si>
    <t>Weston Colville</t>
  </si>
  <si>
    <t>CAMBRIDGE</t>
  </si>
  <si>
    <t>Cambridgeshire</t>
  </si>
  <si>
    <t>CB21 5NZ</t>
  </si>
  <si>
    <t>07889686588</t>
  </si>
  <si>
    <t>isobelashbey@gmail.com</t>
  </si>
  <si>
    <t>Isobel Ashbey</t>
  </si>
  <si>
    <t>Miles Buddlington</t>
  </si>
  <si>
    <t>K0280619</t>
  </si>
  <si>
    <t>Pam Durham</t>
  </si>
  <si>
    <t>CAROL</t>
  </si>
  <si>
    <t>ASHBY</t>
  </si>
  <si>
    <t>12 RAYNHAM VILLAS, HUNTON ROAD,</t>
  </si>
  <si>
    <t>MARDEN, TONBRIDGE</t>
  </si>
  <si>
    <t>kent</t>
  </si>
  <si>
    <t>TN129SZ</t>
  </si>
  <si>
    <t>01622 820791</t>
  </si>
  <si>
    <t>invicta2@hotmail.co.uk</t>
  </si>
  <si>
    <t>Carol Ashby</t>
  </si>
  <si>
    <t>k0270418</t>
  </si>
  <si>
    <t>jackapoo</t>
  </si>
  <si>
    <t>Luna lux</t>
  </si>
  <si>
    <t>k0266318</t>
  </si>
  <si>
    <t>german shepherd</t>
  </si>
  <si>
    <t>Debbie</t>
  </si>
  <si>
    <t>Back</t>
  </si>
  <si>
    <t>68 Albert Street</t>
  </si>
  <si>
    <t>Spalding</t>
  </si>
  <si>
    <t>Lincs</t>
  </si>
  <si>
    <t>PE11 2LD</t>
  </si>
  <si>
    <t>07979962230</t>
  </si>
  <si>
    <t>debzdoggz@gmail.com</t>
  </si>
  <si>
    <t>Miss Debbie Back</t>
  </si>
  <si>
    <t>DEBAKS NOTAFF AHKENKOLLI</t>
  </si>
  <si>
    <t>K149598</t>
  </si>
  <si>
    <t>CROSSBREED</t>
  </si>
  <si>
    <t>DEBAKS PHAYKIT TILYA MAYKIT</t>
  </si>
  <si>
    <t>K0276438</t>
  </si>
  <si>
    <t>LURCHER</t>
  </si>
  <si>
    <t>LYNZENSU HOT TO TROT</t>
  </si>
  <si>
    <t>AU04035701</t>
  </si>
  <si>
    <t>STANDARD POODLE</t>
  </si>
  <si>
    <t>TAYKTHA BAYTE</t>
  </si>
  <si>
    <t>K162830</t>
  </si>
  <si>
    <t>K0269113</t>
  </si>
  <si>
    <t>Anita</t>
  </si>
  <si>
    <t>Bagge</t>
  </si>
  <si>
    <t>Chapel Cottage, Church Street</t>
  </si>
  <si>
    <t>Horsham St. Faith</t>
  </si>
  <si>
    <t>Norwich</t>
  </si>
  <si>
    <t>NR10 3JJ</t>
  </si>
  <si>
    <t>01603 890871</t>
  </si>
  <si>
    <t>anitabagge@live.com</t>
  </si>
  <si>
    <t>Anita Bagge</t>
  </si>
  <si>
    <t>Saverni Bora</t>
  </si>
  <si>
    <t>BB26418406</t>
  </si>
  <si>
    <t>Border collie</t>
  </si>
  <si>
    <t>Bartram</t>
  </si>
  <si>
    <t>Bromptons Cottage</t>
  </si>
  <si>
    <t>Colne Engaine</t>
  </si>
  <si>
    <t>Colchester</t>
  </si>
  <si>
    <t>CO6 2HN</t>
  </si>
  <si>
    <t>07921452558</t>
  </si>
  <si>
    <t>katebartam21@gmail.com</t>
  </si>
  <si>
    <t>Mrs C and Mr I J Bartram</t>
  </si>
  <si>
    <t>Glorioso Rey De Reyes</t>
  </si>
  <si>
    <t>F5-11065-2023</t>
  </si>
  <si>
    <t>BSD</t>
  </si>
  <si>
    <t>Ms</t>
  </si>
  <si>
    <t>Donna</t>
  </si>
  <si>
    <t>Bastin</t>
  </si>
  <si>
    <t>9 William Court</t>
  </si>
  <si>
    <t>Aspley</t>
  </si>
  <si>
    <t>Hemel Hempstead</t>
  </si>
  <si>
    <t>HP3 0AY</t>
  </si>
  <si>
    <t>01442 405387</t>
  </si>
  <si>
    <t>donna.bastin@ntlworld.com</t>
  </si>
  <si>
    <t>Donna Bastin</t>
  </si>
  <si>
    <t>Landini Rex</t>
  </si>
  <si>
    <t>K0278260</t>
  </si>
  <si>
    <t>Kethinna My John Deere** B EX</t>
  </si>
  <si>
    <t>AW0903477</t>
  </si>
  <si>
    <t>Landini New Vision Nov Ex</t>
  </si>
  <si>
    <t>K154303</t>
  </si>
  <si>
    <t>Tina Keene</t>
  </si>
  <si>
    <t>Rosemary</t>
  </si>
  <si>
    <t>Bate</t>
  </si>
  <si>
    <t>Corner Farm, Sibton</t>
  </si>
  <si>
    <t>Sibton</t>
  </si>
  <si>
    <t>Saxmundham</t>
  </si>
  <si>
    <t>Please select a region, state or province.</t>
  </si>
  <si>
    <t>IP17 2NE</t>
  </si>
  <si>
    <t>rosemary.bate@googlemail.com</t>
  </si>
  <si>
    <t>Rose Bate</t>
  </si>
  <si>
    <t>Chasing The Wind Around Robate</t>
  </si>
  <si>
    <t>AZ12386103</t>
  </si>
  <si>
    <t>English Springer Spaniel</t>
  </si>
  <si>
    <t>Gipping Valley Flame Robate</t>
  </si>
  <si>
    <t>BB0924942</t>
  </si>
  <si>
    <t>Mago Barker Conquers Robate</t>
  </si>
  <si>
    <t>K165544</t>
  </si>
  <si>
    <t>Crossbreed</t>
  </si>
  <si>
    <t>Gipping Valley Iolaire of Robate</t>
  </si>
  <si>
    <t>AZ0918989</t>
  </si>
  <si>
    <t>Sue</t>
  </si>
  <si>
    <t>Benstock</t>
  </si>
  <si>
    <t>6 Hunger Hill</t>
  </si>
  <si>
    <t>Dursley</t>
  </si>
  <si>
    <t>Gloucestershire</t>
  </si>
  <si>
    <t>GL11 4JR</t>
  </si>
  <si>
    <t>07806 923568</t>
  </si>
  <si>
    <t>lizajim@googlemail.com</t>
  </si>
  <si>
    <t>Sue Benstock</t>
  </si>
  <si>
    <t>Buddy Bug</t>
  </si>
  <si>
    <t>K0261621</t>
  </si>
  <si>
    <t>1. Camping Friday Night (from Friday mid-day),2. Camping Sat Night,3. Camping Sunday Night (must be gone by 11:00 am)</t>
  </si>
  <si>
    <t>If drawn please could it be in Class C with Glennie Glen. Tia</t>
  </si>
  <si>
    <t>Glennie Glen</t>
  </si>
  <si>
    <t>k164560</t>
  </si>
  <si>
    <t>Jill</t>
  </si>
  <si>
    <t>Berry</t>
  </si>
  <si>
    <t>15 Pinfold lane</t>
  </si>
  <si>
    <t>Northwold</t>
  </si>
  <si>
    <t>IP26 5LH</t>
  </si>
  <si>
    <t>01366727177</t>
  </si>
  <si>
    <t>jillberryiow@gmail.com</t>
  </si>
  <si>
    <t>Jill Berry</t>
  </si>
  <si>
    <t>BC28194906</t>
  </si>
  <si>
    <t>AV04883302</t>
  </si>
  <si>
    <t>Alex</t>
  </si>
  <si>
    <t>91 Church Street</t>
  </si>
  <si>
    <t>Great Harwood</t>
  </si>
  <si>
    <t>Lancashire</t>
  </si>
  <si>
    <t>BB6 7QB</t>
  </si>
  <si>
    <t>07514421698</t>
  </si>
  <si>
    <t>alexjberry83@gmail.com</t>
  </si>
  <si>
    <t>Mr Alexander J Berry</t>
  </si>
  <si>
    <t>Bat Ears</t>
  </si>
  <si>
    <t>K166783</t>
  </si>
  <si>
    <t>Chihuahua cross Miniature Pinscher</t>
  </si>
  <si>
    <t>Villensia Visage</t>
  </si>
  <si>
    <t>BB23736706</t>
  </si>
  <si>
    <t>English Bull Terrier</t>
  </si>
  <si>
    <t>MorgansR Arnold the Shark</t>
  </si>
  <si>
    <t>K166554</t>
  </si>
  <si>
    <t>KO264551</t>
  </si>
  <si>
    <t>Patterdale</t>
  </si>
  <si>
    <t>Lynn</t>
  </si>
  <si>
    <t>Bevis</t>
  </si>
  <si>
    <t>28 high street</t>
  </si>
  <si>
    <t>Haddenham</t>
  </si>
  <si>
    <t>Ely</t>
  </si>
  <si>
    <t>Cambs</t>
  </si>
  <si>
    <t>CB63XA</t>
  </si>
  <si>
    <t>07847604614</t>
  </si>
  <si>
    <t>beabeardies@gmail.com</t>
  </si>
  <si>
    <t>Mr N and Mrs L Bevis</t>
  </si>
  <si>
    <t>Ramsgrove Sunshine at Beabeardies</t>
  </si>
  <si>
    <t>AU02251205</t>
  </si>
  <si>
    <t>Bearded Collie</t>
  </si>
  <si>
    <t>Wendy</t>
  </si>
  <si>
    <t>Birch</t>
  </si>
  <si>
    <t>2 Merrow Drive</t>
  </si>
  <si>
    <t>Warners End</t>
  </si>
  <si>
    <t>Hertfordshire</t>
  </si>
  <si>
    <t>HP1 2LZ</t>
  </si>
  <si>
    <t>01442 396498</t>
  </si>
  <si>
    <t>wendyandian@ntlworld.com</t>
  </si>
  <si>
    <t>Mrs W Birch</t>
  </si>
  <si>
    <t>Westoning Just Krystie of Greyvalley</t>
  </si>
  <si>
    <t>K0266802</t>
  </si>
  <si>
    <t>Goytre Helter Skelter of Greyvalley</t>
  </si>
  <si>
    <t>AW03773506</t>
  </si>
  <si>
    <t>Coolpawz Just Joey of Greyvalley</t>
  </si>
  <si>
    <t>AS01113204</t>
  </si>
  <si>
    <t>Miranda Humphries</t>
  </si>
  <si>
    <t>Gillian</t>
  </si>
  <si>
    <t>Street Farm</t>
  </si>
  <si>
    <t>The street</t>
  </si>
  <si>
    <t>Scole</t>
  </si>
  <si>
    <t>IP214DR</t>
  </si>
  <si>
    <t>07917342508</t>
  </si>
  <si>
    <t>scolecabs@outlook.com</t>
  </si>
  <si>
    <t>Mrs G BLAKESLEY</t>
  </si>
  <si>
    <t>Clifford of Diss</t>
  </si>
  <si>
    <t>K0265605</t>
  </si>
  <si>
    <t>Dennisjesterson of Diss</t>
  </si>
  <si>
    <t>F5-15989-2024</t>
  </si>
  <si>
    <t>Juliette</t>
  </si>
  <si>
    <t>Bloomfield</t>
  </si>
  <si>
    <t>1 The Spinney</t>
  </si>
  <si>
    <t>Broome Close</t>
  </si>
  <si>
    <t>Headley</t>
  </si>
  <si>
    <t>KY18 6LY</t>
  </si>
  <si>
    <t>01372 372229</t>
  </si>
  <si>
    <t>jwettern@btinternet.com</t>
  </si>
  <si>
    <t>J Wettern</t>
  </si>
  <si>
    <t>Alpana Summer Storm</t>
  </si>
  <si>
    <t>BA19528501</t>
  </si>
  <si>
    <t>Alpana A Statement Of Style</t>
  </si>
  <si>
    <t>AX03766702</t>
  </si>
  <si>
    <t>Alpana Strike A Pose</t>
  </si>
  <si>
    <t>AT01028401</t>
  </si>
  <si>
    <t>Christine</t>
  </si>
  <si>
    <t>Bowles</t>
  </si>
  <si>
    <t>42 Oxfield Drive</t>
  </si>
  <si>
    <t>Gorefield</t>
  </si>
  <si>
    <t>Wisbech</t>
  </si>
  <si>
    <t>PE13 4LX</t>
  </si>
  <si>
    <t>01945 870525</t>
  </si>
  <si>
    <t>christinebowles21@googlemail.com</t>
  </si>
  <si>
    <t>Mrs C Bowles</t>
  </si>
  <si>
    <t>Hellene Wish Upon A Star</t>
  </si>
  <si>
    <t>AY11384603</t>
  </si>
  <si>
    <t>If required for a draw can it please be in C with Hellene Wish Upon A Star. Many thanks üòä</t>
  </si>
  <si>
    <t>Maccadale Izzy</t>
  </si>
  <si>
    <t>AT0000101</t>
  </si>
  <si>
    <t>Jane</t>
  </si>
  <si>
    <t>Bowman</t>
  </si>
  <si>
    <t>Colne View</t>
  </si>
  <si>
    <t>Brightlingsea Road</t>
  </si>
  <si>
    <t>Thorrington</t>
  </si>
  <si>
    <t>CO7 8JJ</t>
  </si>
  <si>
    <t>01206 302 309</t>
  </si>
  <si>
    <t>tecwyn85@gmail.com</t>
  </si>
  <si>
    <t>Mrs Jane Bowman</t>
  </si>
  <si>
    <t>Tri again Katie</t>
  </si>
  <si>
    <t>K153597</t>
  </si>
  <si>
    <t>Happy to have a running order with Westoning Omen if convenient to you.</t>
  </si>
  <si>
    <t>Westoning Omen</t>
  </si>
  <si>
    <t>KO278922</t>
  </si>
  <si>
    <t>Westoning Code</t>
  </si>
  <si>
    <t>KO26780</t>
  </si>
  <si>
    <t>Deeann Dream On</t>
  </si>
  <si>
    <t>AV03405103</t>
  </si>
  <si>
    <t>Gill</t>
  </si>
  <si>
    <t>Brereton</t>
  </si>
  <si>
    <t>19 Hillcrest Gardens</t>
  </si>
  <si>
    <t>NR32 4DA</t>
  </si>
  <si>
    <t>01502514993</t>
  </si>
  <si>
    <t>lynandy@sky.com</t>
  </si>
  <si>
    <t>Gill Brereton</t>
  </si>
  <si>
    <t>Chaos Cassie</t>
  </si>
  <si>
    <t>K02648282</t>
  </si>
  <si>
    <t>BC27655104</t>
  </si>
  <si>
    <t>Sharon</t>
  </si>
  <si>
    <t>Briggs</t>
  </si>
  <si>
    <t>41 Fen Road</t>
  </si>
  <si>
    <t>Watlington</t>
  </si>
  <si>
    <t>Kings lynn</t>
  </si>
  <si>
    <t>PE33 0JA</t>
  </si>
  <si>
    <t>07790506088</t>
  </si>
  <si>
    <t>sharon_briggs@hotmail.co.uk</t>
  </si>
  <si>
    <t>Mes S Briggs</t>
  </si>
  <si>
    <t>Aliola Rebel Rebel</t>
  </si>
  <si>
    <t>AX02047202</t>
  </si>
  <si>
    <t>Ruth</t>
  </si>
  <si>
    <t>Britton</t>
  </si>
  <si>
    <t>14 Shrubwood Close</t>
  </si>
  <si>
    <t>Heckington</t>
  </si>
  <si>
    <t>Sleaford</t>
  </si>
  <si>
    <t>Lincolnshire</t>
  </si>
  <si>
    <t>NG34 9QH</t>
  </si>
  <si>
    <t>01529461583</t>
  </si>
  <si>
    <t>ruth.britton@btinternet.com</t>
  </si>
  <si>
    <t>Dodgin' Here Comes The Sun (O.W.)</t>
  </si>
  <si>
    <t>AX02265306</t>
  </si>
  <si>
    <t>Summertime Remror Delight</t>
  </si>
  <si>
    <t>K143791</t>
  </si>
  <si>
    <t>Catherine</t>
  </si>
  <si>
    <t>Buecheler</t>
  </si>
  <si>
    <t>2 West Lodge Cottages</t>
  </si>
  <si>
    <t>Lilford</t>
  </si>
  <si>
    <t>PE8 5SB</t>
  </si>
  <si>
    <t>01832 720363</t>
  </si>
  <si>
    <t>cat.buecheler@outlook.com</t>
  </si>
  <si>
    <t>Mrs C I Buecheler</t>
  </si>
  <si>
    <t>Raital Perfect Storm</t>
  </si>
  <si>
    <t>K162114</t>
  </si>
  <si>
    <t>Working sheepdog</t>
  </si>
  <si>
    <t>Lucy</t>
  </si>
  <si>
    <t>Bull</t>
  </si>
  <si>
    <t>Blacksmiths Piece, Tilbury Road</t>
  </si>
  <si>
    <t>Ovington, Braintree</t>
  </si>
  <si>
    <t>England</t>
  </si>
  <si>
    <t>CO10 8JZ</t>
  </si>
  <si>
    <t>07840 424426</t>
  </si>
  <si>
    <t>lulubull@hotmail.co.uk</t>
  </si>
  <si>
    <t>Anna Bull</t>
  </si>
  <si>
    <t>Chalkney Princess Leia</t>
  </si>
  <si>
    <t>AXO3859401</t>
  </si>
  <si>
    <t>Dachshund Wirehaired</t>
  </si>
  <si>
    <t>Camilla</t>
  </si>
  <si>
    <t>Burge</t>
  </si>
  <si>
    <t>2, Dukes Barn</t>
  </si>
  <si>
    <t>Lower Pond Street</t>
  </si>
  <si>
    <t>Saffron Walden</t>
  </si>
  <si>
    <t>CB11 4UPO</t>
  </si>
  <si>
    <t>07713945317</t>
  </si>
  <si>
    <t>camilla.burge@icloud.com</t>
  </si>
  <si>
    <t>Camilla Burge</t>
  </si>
  <si>
    <t>Trijem Fit for a King</t>
  </si>
  <si>
    <t>BA20489204</t>
  </si>
  <si>
    <t>Australian Shepherd</t>
  </si>
  <si>
    <t>Trijem Snowbell</t>
  </si>
  <si>
    <t>AV02397605</t>
  </si>
  <si>
    <t>Lynnette</t>
  </si>
  <si>
    <t>Burwood</t>
  </si>
  <si>
    <t>18 Cutler road</t>
  </si>
  <si>
    <t>Oulton</t>
  </si>
  <si>
    <t>NR32 3QD</t>
  </si>
  <si>
    <t>07522800227</t>
  </si>
  <si>
    <t>lynnetteburwood@gmail.com</t>
  </si>
  <si>
    <t>Mr &amp; mrs Burwood</t>
  </si>
  <si>
    <t>Bluecap Bank on the Nine</t>
  </si>
  <si>
    <t>AZ15855304</t>
  </si>
  <si>
    <t>German shepherd dog</t>
  </si>
  <si>
    <t>Bluecap‚Äôs Nico twist of fate</t>
  </si>
  <si>
    <t>AW02706907</t>
  </si>
  <si>
    <t>Bridgette</t>
  </si>
  <si>
    <t>Cameron</t>
  </si>
  <si>
    <t>31 Mill Lane</t>
  </si>
  <si>
    <t>Bassingbourn</t>
  </si>
  <si>
    <t>Nr Royston</t>
  </si>
  <si>
    <t>SG8 5PP</t>
  </si>
  <si>
    <t>07764 183541</t>
  </si>
  <si>
    <t>bcameron@alpine.eu.com</t>
  </si>
  <si>
    <t>B Cameron</t>
  </si>
  <si>
    <t>Viadua Stratus Fractus</t>
  </si>
  <si>
    <t>BB23661904</t>
  </si>
  <si>
    <t>FULL Camping Friday Night (from Friday mid-day),FULL Camping Sunday Night must be gone by 11:00</t>
  </si>
  <si>
    <t>Maria</t>
  </si>
  <si>
    <t>Carr</t>
  </si>
  <si>
    <t>76 Dell Road</t>
  </si>
  <si>
    <t>LOWESTOFT</t>
  </si>
  <si>
    <t>NR33 9NS</t>
  </si>
  <si>
    <t>07818052600</t>
  </si>
  <si>
    <t>carrmaria69@gmail.com</t>
  </si>
  <si>
    <t>Maria Carr</t>
  </si>
  <si>
    <t>Tobias Brownstone</t>
  </si>
  <si>
    <t>AY08637905</t>
  </si>
  <si>
    <t>Emma</t>
  </si>
  <si>
    <t>Chapman</t>
  </si>
  <si>
    <t>1Wilby Road</t>
  </si>
  <si>
    <t>Stradbroke</t>
  </si>
  <si>
    <t>Eye</t>
  </si>
  <si>
    <t>IP21 5JN</t>
  </si>
  <si>
    <t>07547666443</t>
  </si>
  <si>
    <t>em761@hotmail.co.uk</t>
  </si>
  <si>
    <t>Emma Chapman</t>
  </si>
  <si>
    <t>K0279857</t>
  </si>
  <si>
    <t>Sprocker spaniel</t>
  </si>
  <si>
    <t>Helen</t>
  </si>
  <si>
    <t>Clarence</t>
  </si>
  <si>
    <t>Bolham Farm</t>
  </si>
  <si>
    <t>Smeath Road</t>
  </si>
  <si>
    <t>Retford</t>
  </si>
  <si>
    <t>Nottinghamshire</t>
  </si>
  <si>
    <t>DN22 9 JL</t>
  </si>
  <si>
    <t>01777 710321</t>
  </si>
  <si>
    <t>helen.clarence@hotmail.co.uk</t>
  </si>
  <si>
    <t>Mrs H L Clarence</t>
  </si>
  <si>
    <t>Borderbrook Fire To My Soul</t>
  </si>
  <si>
    <t>AU01446508</t>
  </si>
  <si>
    <t>Dianne</t>
  </si>
  <si>
    <t>Cobon</t>
  </si>
  <si>
    <t>6 Church View</t>
  </si>
  <si>
    <t>Back Road</t>
  </si>
  <si>
    <t>Pentney</t>
  </si>
  <si>
    <t>Kings Lynn</t>
  </si>
  <si>
    <t>PE32 1JW</t>
  </si>
  <si>
    <t>01760 337927</t>
  </si>
  <si>
    <t>diannecobon@gmail.com</t>
  </si>
  <si>
    <t>Ms D Cobon</t>
  </si>
  <si>
    <t>Bordaquest Muneco de Nieve</t>
  </si>
  <si>
    <t>AS03663206</t>
  </si>
  <si>
    <t>Country Bugg</t>
  </si>
  <si>
    <t>K167363</t>
  </si>
  <si>
    <t>Top Farm Bungalow,Shrubbery Lane</t>
  </si>
  <si>
    <t>shrubbery lane</t>
  </si>
  <si>
    <t>wilden</t>
  </si>
  <si>
    <t>beds</t>
  </si>
  <si>
    <t>MK44 2PH</t>
  </si>
  <si>
    <t>01234772685</t>
  </si>
  <si>
    <t>bates2013.wc@gmail.com</t>
  </si>
  <si>
    <t>Mrs Wendy J Coles</t>
  </si>
  <si>
    <t>Janbell Love In The Dark</t>
  </si>
  <si>
    <t>AW03570204</t>
  </si>
  <si>
    <t>Philippa</t>
  </si>
  <si>
    <t>Colledge</t>
  </si>
  <si>
    <t>154 Hinckley Road</t>
  </si>
  <si>
    <t>Burbage</t>
  </si>
  <si>
    <t>Leics</t>
  </si>
  <si>
    <t>LE10 2AH</t>
  </si>
  <si>
    <t>01455 635318</t>
  </si>
  <si>
    <t>pipc88@btinternet.com</t>
  </si>
  <si>
    <t>P Colledge</t>
  </si>
  <si>
    <t>Vamp Sage</t>
  </si>
  <si>
    <t>AX04342505</t>
  </si>
  <si>
    <t>Rosie</t>
  </si>
  <si>
    <t>Colwood</t>
  </si>
  <si>
    <t>32 the Crescent</t>
  </si>
  <si>
    <t>Altofts</t>
  </si>
  <si>
    <t>Normanton</t>
  </si>
  <si>
    <t>West Yorkshire</t>
  </si>
  <si>
    <t>WF6 2QE</t>
  </si>
  <si>
    <t>01924897723</t>
  </si>
  <si>
    <t>r.c.colwood@gmail.com</t>
  </si>
  <si>
    <t>Rosie Colwood</t>
  </si>
  <si>
    <t>Vivacious Buni Galore</t>
  </si>
  <si>
    <t>K0261313</t>
  </si>
  <si>
    <t>If possible, if drawn, please use Dobbys little helper, class C</t>
  </si>
  <si>
    <t>Au00309203</t>
  </si>
  <si>
    <t>Jan</t>
  </si>
  <si>
    <t>Corr</t>
  </si>
  <si>
    <t>Hampton Close</t>
  </si>
  <si>
    <t>Stevenage</t>
  </si>
  <si>
    <t>SG2 8SP</t>
  </si>
  <si>
    <t>07881564577</t>
  </si>
  <si>
    <t>janetecorr@aol.com</t>
  </si>
  <si>
    <t>Mrs J E Corr</t>
  </si>
  <si>
    <t>Harco's Axi</t>
  </si>
  <si>
    <t>AT01194106</t>
  </si>
  <si>
    <t>Harco's Dali</t>
  </si>
  <si>
    <t>AY06878901</t>
  </si>
  <si>
    <t>Jennifer</t>
  </si>
  <si>
    <t>Costello</t>
  </si>
  <si>
    <t>South Barn, Crostwight Hall</t>
  </si>
  <si>
    <t>Heath Road</t>
  </si>
  <si>
    <t>North Walsham</t>
  </si>
  <si>
    <t>NR28 9PA</t>
  </si>
  <si>
    <t>07776415620</t>
  </si>
  <si>
    <t>jennie.costello@yahoo.com</t>
  </si>
  <si>
    <t>Dig in Dashing Dexter</t>
  </si>
  <si>
    <t>Dig In Dashing Dexter</t>
  </si>
  <si>
    <t>K0261077</t>
  </si>
  <si>
    <t>Palmanda Jump for me Django</t>
  </si>
  <si>
    <t>BB26685703</t>
  </si>
  <si>
    <t>Cottingham</t>
  </si>
  <si>
    <t>7 Woodlands Close</t>
  </si>
  <si>
    <t>Heathfield</t>
  </si>
  <si>
    <t>East Sussex</t>
  </si>
  <si>
    <t>TN21 8BH</t>
  </si>
  <si>
    <t>01435 866402</t>
  </si>
  <si>
    <t>sharoncottingham@live.co.uk</t>
  </si>
  <si>
    <t>Mrs S Cottingham</t>
  </si>
  <si>
    <t>Chipper Schaduw</t>
  </si>
  <si>
    <t>K160440</t>
  </si>
  <si>
    <t>Chipper Schaduw will be handled by my sister Emelye Snowdon in both classes</t>
  </si>
  <si>
    <t>Chipper Bailey</t>
  </si>
  <si>
    <t>K0264083</t>
  </si>
  <si>
    <t>Tippivale Rumba Alot</t>
  </si>
  <si>
    <t>BB27138203</t>
  </si>
  <si>
    <t>Nicola</t>
  </si>
  <si>
    <t>Cracknell</t>
  </si>
  <si>
    <t>75 Dennis Estate</t>
  </si>
  <si>
    <t>Kirton</t>
  </si>
  <si>
    <t>Boston Lincolnshire</t>
  </si>
  <si>
    <t>PE20 1HB</t>
  </si>
  <si>
    <t>07884011920</t>
  </si>
  <si>
    <t>nicolacracknell@hotmail.co.uk</t>
  </si>
  <si>
    <t>Mrs NL Cracknell</t>
  </si>
  <si>
    <t>KO269480</t>
  </si>
  <si>
    <t>If required for running order class B preferred please</t>
  </si>
  <si>
    <t>Av01299307</t>
  </si>
  <si>
    <t>Lauren</t>
  </si>
  <si>
    <t>Daines</t>
  </si>
  <si>
    <t>4 Blackbird Way</t>
  </si>
  <si>
    <t>IP20 9GA</t>
  </si>
  <si>
    <t>07885656371</t>
  </si>
  <si>
    <t>rymer_lauren@hotmail.co.uk</t>
  </si>
  <si>
    <t>Lauren Daines</t>
  </si>
  <si>
    <t>Cottage Pugs Angel</t>
  </si>
  <si>
    <t>AU01432802</t>
  </si>
  <si>
    <t>Pug</t>
  </si>
  <si>
    <t>Laura Kathryn</t>
  </si>
  <si>
    <t>Danks</t>
  </si>
  <si>
    <t>3 Barley Close</t>
  </si>
  <si>
    <t>HARLESTON</t>
  </si>
  <si>
    <t>IP209GB</t>
  </si>
  <si>
    <t>07985655433</t>
  </si>
  <si>
    <t>laura.k.danks@gmail.com</t>
  </si>
  <si>
    <t>Laura Danks</t>
  </si>
  <si>
    <t>Leeabbie Toodie's Delight at Alsidewood VW</t>
  </si>
  <si>
    <t>AV00244701</t>
  </si>
  <si>
    <t>Cavalier King Charles Spaniel</t>
  </si>
  <si>
    <t>Lux Jr Ch Rabymar Prince William at Alsidewood JW</t>
  </si>
  <si>
    <t>BB24781502</t>
  </si>
  <si>
    <t>Lynne</t>
  </si>
  <si>
    <t>Darby</t>
  </si>
  <si>
    <t>34 Offenham Close</t>
  </si>
  <si>
    <t>Church Hill North</t>
  </si>
  <si>
    <t>Redditch</t>
  </si>
  <si>
    <t>Worcester</t>
  </si>
  <si>
    <t>B98 8RJ</t>
  </si>
  <si>
    <t>01527 452562</t>
  </si>
  <si>
    <t>lynnedarby@blueyonder.co.uk</t>
  </si>
  <si>
    <t>Lynne Darby</t>
  </si>
  <si>
    <t>Mae Eegi Project A EX</t>
  </si>
  <si>
    <t>AQ03962203</t>
  </si>
  <si>
    <t>Sarkam You Gottahavefaith Nov Ex</t>
  </si>
  <si>
    <t>AX02309806</t>
  </si>
  <si>
    <t>Anna</t>
  </si>
  <si>
    <t>Dawson</t>
  </si>
  <si>
    <t>5 the green</t>
  </si>
  <si>
    <t>Fornham all saints</t>
  </si>
  <si>
    <t>Bury st edmunds</t>
  </si>
  <si>
    <t>IP28 6JX</t>
  </si>
  <si>
    <t>07734216351</t>
  </si>
  <si>
    <t>aedawson4@gmail.com</t>
  </si>
  <si>
    <t>Anna Dawson</t>
  </si>
  <si>
    <t>Queen Guinevere</t>
  </si>
  <si>
    <t>F5-21323-2026</t>
  </si>
  <si>
    <t>New Zealand huntaway x</t>
  </si>
  <si>
    <t>Marlyford Livvys Lady</t>
  </si>
  <si>
    <t>BB24303702</t>
  </si>
  <si>
    <t>Charlie</t>
  </si>
  <si>
    <t>Day</t>
  </si>
  <si>
    <t>Weggs Barn</t>
  </si>
  <si>
    <t>Common Road</t>
  </si>
  <si>
    <t>Dickleburgh</t>
  </si>
  <si>
    <t>IP21 4PJ</t>
  </si>
  <si>
    <t>07732432702</t>
  </si>
  <si>
    <t>teamadlam@gmail.com</t>
  </si>
  <si>
    <t>Alice Adlam</t>
  </si>
  <si>
    <t>application number : F5-22082-2026</t>
  </si>
  <si>
    <t>I have only just applied to the kennel club for registration - apologies! _x000D_
This will be our first competition, we visited the Diss &amp; Harleston show as we are part of their DTC.</t>
  </si>
  <si>
    <t>De Klerk</t>
  </si>
  <si>
    <t>9 Allington Terrace</t>
  </si>
  <si>
    <t>Cardinals Green.</t>
  </si>
  <si>
    <t>Cambridge</t>
  </si>
  <si>
    <t>CB21 4RF</t>
  </si>
  <si>
    <t>07774213939</t>
  </si>
  <si>
    <t>anita.deklerk@btinternet.com</t>
  </si>
  <si>
    <t>Anita de Klerk</t>
  </si>
  <si>
    <t>Ashlindt Enya</t>
  </si>
  <si>
    <t>AR0902938</t>
  </si>
  <si>
    <t>Mazzara Hotter Than July</t>
  </si>
  <si>
    <t>AV02575503</t>
  </si>
  <si>
    <t>Irish Terrier</t>
  </si>
  <si>
    <t>Meisiekind</t>
  </si>
  <si>
    <t>K153037</t>
  </si>
  <si>
    <t>The Soup Dragon</t>
  </si>
  <si>
    <t>AZ14315306</t>
  </si>
  <si>
    <t>The Hufflepuff</t>
  </si>
  <si>
    <t>K167749</t>
  </si>
  <si>
    <t>Mr &amp; Mrs</t>
  </si>
  <si>
    <t>Douglas</t>
  </si>
  <si>
    <t>Deadman</t>
  </si>
  <si>
    <t>1 Billy English Way</t>
  </si>
  <si>
    <t>Horncastle</t>
  </si>
  <si>
    <t>Lincolnsjire</t>
  </si>
  <si>
    <t>LN9 5UB</t>
  </si>
  <si>
    <t>01507 522603</t>
  </si>
  <si>
    <t>teddeadman48@btinternet.com</t>
  </si>
  <si>
    <t>Mr D E &amp; Mrs S B Deadman</t>
  </si>
  <si>
    <t>Bazentills Another Hotfooter (AI) (IKC)</t>
  </si>
  <si>
    <t>BB0925692</t>
  </si>
  <si>
    <t>Quintopia Paperback Writer</t>
  </si>
  <si>
    <t>AW02392202</t>
  </si>
  <si>
    <t>Clair</t>
  </si>
  <si>
    <t>Dick</t>
  </si>
  <si>
    <t>Hunters Moon The Street</t>
  </si>
  <si>
    <t>Bredfield</t>
  </si>
  <si>
    <t>Woodbridge</t>
  </si>
  <si>
    <t>IP136AX</t>
  </si>
  <si>
    <t>01394385872</t>
  </si>
  <si>
    <t>clairhelen@googlemail.com</t>
  </si>
  <si>
    <t>MRS C H and MR MG DICK</t>
  </si>
  <si>
    <t>JOEVANESS MCLAREN (BC2)</t>
  </si>
  <si>
    <t>BC28914703</t>
  </si>
  <si>
    <t>German Shepherd Dog</t>
  </si>
  <si>
    <t>WYWYLWYND BIRYANI (AT3)</t>
  </si>
  <si>
    <t>AT02421401</t>
  </si>
  <si>
    <t>Poodle Standard</t>
  </si>
  <si>
    <t>WYWYLWYND RANA     (ARI)</t>
  </si>
  <si>
    <t>AR00407404</t>
  </si>
  <si>
    <t>AZ13080709</t>
  </si>
  <si>
    <t>AV03663405</t>
  </si>
  <si>
    <t>Monika</t>
  </si>
  <si>
    <t>Dobbs</t>
  </si>
  <si>
    <t>The Bungalow,Brickhill Pastures</t>
  </si>
  <si>
    <t>Limbersey Lane</t>
  </si>
  <si>
    <t>Maulden</t>
  </si>
  <si>
    <t>Beds</t>
  </si>
  <si>
    <t>MK45 2EB</t>
  </si>
  <si>
    <t>01525 643734</t>
  </si>
  <si>
    <t>monikadobbs@hotmail.co.uk</t>
  </si>
  <si>
    <t>Mrs Monika Dobbs</t>
  </si>
  <si>
    <t>Vis Et Gloria Ade</t>
  </si>
  <si>
    <t>Ax0901409</t>
  </si>
  <si>
    <t>Finnish lapphund</t>
  </si>
  <si>
    <t>Dorothy</t>
  </si>
  <si>
    <t>Doggett</t>
  </si>
  <si>
    <t>1 Stockmers End</t>
  </si>
  <si>
    <t>Capel St. Mary</t>
  </si>
  <si>
    <t>Ipswich</t>
  </si>
  <si>
    <t>IP9 2HQ</t>
  </si>
  <si>
    <t>01473 310684</t>
  </si>
  <si>
    <t>stdpoodlelady@yahoo.com</t>
  </si>
  <si>
    <t>Mrs D Doggett</t>
  </si>
  <si>
    <t>Tailor-made for me</t>
  </si>
  <si>
    <t>KO273434</t>
  </si>
  <si>
    <t>Pamela</t>
  </si>
  <si>
    <t>Durham</t>
  </si>
  <si>
    <t>12 Chandlers Way</t>
  </si>
  <si>
    <t>Aldringham</t>
  </si>
  <si>
    <t>Leiston</t>
  </si>
  <si>
    <t>IP16 4WA</t>
  </si>
  <si>
    <t>01728 635065</t>
  </si>
  <si>
    <t>pam.durham@hotmail.co.uk</t>
  </si>
  <si>
    <t>Mrs P A Durahm</t>
  </si>
  <si>
    <t>Delanor Here Comes The Sun</t>
  </si>
  <si>
    <t>AP03218502</t>
  </si>
  <si>
    <t>As I am judging at this show on Sunday I would be grateful not to be drawn on Saturday. Thank you.</t>
  </si>
  <si>
    <t>Majacabus Working On A Dream</t>
  </si>
  <si>
    <t>AT01298607</t>
  </si>
  <si>
    <t>Sparky Dancing In The Dark</t>
  </si>
  <si>
    <t>KO261524</t>
  </si>
  <si>
    <t>Working sheep dog</t>
  </si>
  <si>
    <t>Joanna</t>
  </si>
  <si>
    <t>Dyas</t>
  </si>
  <si>
    <t>Meadow Cottage</t>
  </si>
  <si>
    <t>Whelpley Hill</t>
  </si>
  <si>
    <t>Chesham</t>
  </si>
  <si>
    <t>Bucks</t>
  </si>
  <si>
    <t>HP 5 3RL</t>
  </si>
  <si>
    <t>01442833321</t>
  </si>
  <si>
    <t>alandjodyas@aol.com</t>
  </si>
  <si>
    <t>Mrs J M Dyas</t>
  </si>
  <si>
    <t>Bee's Red Label</t>
  </si>
  <si>
    <t>K166052</t>
  </si>
  <si>
    <t>GRAHAM</t>
  </si>
  <si>
    <t>DYKE</t>
  </si>
  <si>
    <t>68 ALBERT STREET</t>
  </si>
  <si>
    <t>SPALDING</t>
  </si>
  <si>
    <t>LINCOLNSHRE</t>
  </si>
  <si>
    <t>07736693937</t>
  </si>
  <si>
    <t>grahamdyke1@hotmail.co.uk</t>
  </si>
  <si>
    <t>MR G P DYKE</t>
  </si>
  <si>
    <t>TWOSTEP'S MINI ME</t>
  </si>
  <si>
    <t>K150819</t>
  </si>
  <si>
    <t>Kevin</t>
  </si>
  <si>
    <t>Edwardson</t>
  </si>
  <si>
    <t>48 Brook lane</t>
  </si>
  <si>
    <t>Snodland</t>
  </si>
  <si>
    <t>ME6 5JY</t>
  </si>
  <si>
    <t>07771913768</t>
  </si>
  <si>
    <t>kevin.edwardson@ianwilliams.co.uk</t>
  </si>
  <si>
    <t>Mr K Edwardson</t>
  </si>
  <si>
    <t>AV04766104</t>
  </si>
  <si>
    <t>Hi, for the B entries Saturday and Sunday could I have the alternative judge please as I have heard the class has been split.</t>
  </si>
  <si>
    <t>Grandver Eternal Quest</t>
  </si>
  <si>
    <t>BC28338901</t>
  </si>
  <si>
    <t>Ellis</t>
  </si>
  <si>
    <t>2 Thomas Bell Road</t>
  </si>
  <si>
    <t>Earls Colne</t>
  </si>
  <si>
    <t>CO6 2PF</t>
  </si>
  <si>
    <t>07798785560</t>
  </si>
  <si>
    <t>chris_ellis7@icloud.com</t>
  </si>
  <si>
    <t>Mrs G Ellis</t>
  </si>
  <si>
    <t>Lindcoly Wreck it Ralph</t>
  </si>
  <si>
    <t>AU03161002</t>
  </si>
  <si>
    <t>Cairn Terrier</t>
  </si>
  <si>
    <t>Sonia</t>
  </si>
  <si>
    <t>Elvin</t>
  </si>
  <si>
    <t>19 Pearmain Road</t>
  </si>
  <si>
    <t>Diss</t>
  </si>
  <si>
    <t>IP22 4LZ</t>
  </si>
  <si>
    <t>01379644063</t>
  </si>
  <si>
    <t>soniaelvin19@gmail.com</t>
  </si>
  <si>
    <t>Mrs S Elvin</t>
  </si>
  <si>
    <t>Mr Midnightblue</t>
  </si>
  <si>
    <t>KO273442</t>
  </si>
  <si>
    <t>Labradoodle</t>
  </si>
  <si>
    <t xml:space="preserve">I will have a puppy with me when I come to your show, he‚Äôs not registered with the kennel club yet but will be when it‚Äôs your show. Thanks </t>
  </si>
  <si>
    <t>Bernice</t>
  </si>
  <si>
    <t>Emanuel</t>
  </si>
  <si>
    <t>46 All Saints Road</t>
  </si>
  <si>
    <t>Newmarket</t>
  </si>
  <si>
    <t>CB8 8ET</t>
  </si>
  <si>
    <t>07795296626</t>
  </si>
  <si>
    <t>puppies105@hotmail.com</t>
  </si>
  <si>
    <t>Miss Bernice Emanuel</t>
  </si>
  <si>
    <t>Foxbarton Kings Minstrel</t>
  </si>
  <si>
    <t>AR03270804</t>
  </si>
  <si>
    <t>Foxbarton Noble Quest</t>
  </si>
  <si>
    <t>AW00573203</t>
  </si>
  <si>
    <t>Fairman</t>
  </si>
  <si>
    <t>8 The Hawthorns,Pinchbeck</t>
  </si>
  <si>
    <t>PE113QP</t>
  </si>
  <si>
    <t>01775 725151</t>
  </si>
  <si>
    <t>wendyterriers@gmail.com</t>
  </si>
  <si>
    <t>K160866</t>
  </si>
  <si>
    <t>Cheeky Red Terra</t>
  </si>
  <si>
    <t>Terrier x</t>
  </si>
  <si>
    <t>Jeanette</t>
  </si>
  <si>
    <t>Fenn</t>
  </si>
  <si>
    <t>Woodside</t>
  </si>
  <si>
    <t>The Heath</t>
  </si>
  <si>
    <t>Woolpit</t>
  </si>
  <si>
    <t>IP30 (RN</t>
  </si>
  <si>
    <t>01359 242336</t>
  </si>
  <si>
    <t>jandjgeordies@hotmail.com</t>
  </si>
  <si>
    <t>Mr &amp;Mrs Jr Fenn</t>
  </si>
  <si>
    <t>Martha Mayormaynot</t>
  </si>
  <si>
    <t>KO273710</t>
  </si>
  <si>
    <t>Cross</t>
  </si>
  <si>
    <t>June</t>
  </si>
  <si>
    <t>Fillingham</t>
  </si>
  <si>
    <t>4 Oram Court,London Road</t>
  </si>
  <si>
    <t>Spellbrook,</t>
  </si>
  <si>
    <t>Bishop Stortford</t>
  </si>
  <si>
    <t>CM23 4RB</t>
  </si>
  <si>
    <t>01279 721112</t>
  </si>
  <si>
    <t>jcraymond0007@hotmail.co.uk</t>
  </si>
  <si>
    <t>Mrs J C Fillingham</t>
  </si>
  <si>
    <t>AZ14861613</t>
  </si>
  <si>
    <t>Gloria</t>
  </si>
  <si>
    <t>Fountain</t>
  </si>
  <si>
    <t>12 Foxglade</t>
  </si>
  <si>
    <t>Oulton Broad</t>
  </si>
  <si>
    <t>NR32 3JJ</t>
  </si>
  <si>
    <t>07917035568</t>
  </si>
  <si>
    <t>gloriafountain076@gmail.com</t>
  </si>
  <si>
    <t>Mrs G Fountain</t>
  </si>
  <si>
    <t>Step Up For Shantilly</t>
  </si>
  <si>
    <t>K163683</t>
  </si>
  <si>
    <t>FULL Camping Friday Night (from Friday mid-day),FULL Camping Sat Night,FULL Camping Sunday Night must be gone by 11:00</t>
  </si>
  <si>
    <t>Audrey</t>
  </si>
  <si>
    <t>Frost</t>
  </si>
  <si>
    <t>Lesleyville</t>
  </si>
  <si>
    <t>Culford Road, Ingham,</t>
  </si>
  <si>
    <t>Bury St Edmunds,</t>
  </si>
  <si>
    <t>Suffolk,</t>
  </si>
  <si>
    <t>IP31 1NP</t>
  </si>
  <si>
    <t>01284 728691</t>
  </si>
  <si>
    <t>buzzie88@hotmail.co.uk</t>
  </si>
  <si>
    <t>Miss A K Frost</t>
  </si>
  <si>
    <t>My Mexican Lion</t>
  </si>
  <si>
    <t>K0279941</t>
  </si>
  <si>
    <t>Patricia</t>
  </si>
  <si>
    <t>Gage</t>
  </si>
  <si>
    <t>2 Mill House Villas</t>
  </si>
  <si>
    <t>Chelmsford Road, Barnston</t>
  </si>
  <si>
    <t>Dunmow</t>
  </si>
  <si>
    <t>CM6 1LS</t>
  </si>
  <si>
    <t>01371873412</t>
  </si>
  <si>
    <t>snowtaggy@hotmail.com</t>
  </si>
  <si>
    <t>Mrs P Gage</t>
  </si>
  <si>
    <t>Sarn Faen Flint ISDS</t>
  </si>
  <si>
    <t>BB0923909</t>
  </si>
  <si>
    <t>Oakwood Moss</t>
  </si>
  <si>
    <t>K0263237</t>
  </si>
  <si>
    <t>Joe</t>
  </si>
  <si>
    <t>Game</t>
  </si>
  <si>
    <t>The Boundary,16 Kings Way</t>
  </si>
  <si>
    <t>Walsoken</t>
  </si>
  <si>
    <t>cambs</t>
  </si>
  <si>
    <t>PE13 3DU</t>
  </si>
  <si>
    <t>01945428737</t>
  </si>
  <si>
    <t>joedemi@virginmedia.com</t>
  </si>
  <si>
    <t>Mr J W Game</t>
  </si>
  <si>
    <t>AW01677904</t>
  </si>
  <si>
    <t>AY11384604</t>
  </si>
  <si>
    <t>BORDER COLLIE</t>
  </si>
  <si>
    <t>STOCKYARD MITY BLUE MINI ME OF RETHYMNI</t>
  </si>
  <si>
    <t>BA19598804</t>
  </si>
  <si>
    <t>CORBIELODGE CONSTANCE OF RETHYMNI</t>
  </si>
  <si>
    <t>BC28617303</t>
  </si>
  <si>
    <t>STILLMOOR FIRE COMET OF RETHYMNI</t>
  </si>
  <si>
    <t>AS04095507</t>
  </si>
  <si>
    <t>Part one Christine Bowles please</t>
  </si>
  <si>
    <t>Christine Anne</t>
  </si>
  <si>
    <t>Gardner</t>
  </si>
  <si>
    <t>6 Fishermans Way</t>
  </si>
  <si>
    <t>Kessingland</t>
  </si>
  <si>
    <t>NR33 7NY</t>
  </si>
  <si>
    <t>07947090890</t>
  </si>
  <si>
    <t>christinegardner1@live.co.uk</t>
  </si>
  <si>
    <t>Mrs C A Gardner</t>
  </si>
  <si>
    <t>K0271296</t>
  </si>
  <si>
    <t>Jacko of all Trades (AS2)</t>
  </si>
  <si>
    <t>K150607</t>
  </si>
  <si>
    <t>Garraway</t>
  </si>
  <si>
    <t>43 Hillside Crescent</t>
  </si>
  <si>
    <t>Weldon</t>
  </si>
  <si>
    <t>Corby</t>
  </si>
  <si>
    <t>Northants</t>
  </si>
  <si>
    <t>NN17 3HF</t>
  </si>
  <si>
    <t>07805190544</t>
  </si>
  <si>
    <t>gill.underwood1978@gmail.com</t>
  </si>
  <si>
    <t>Gill Garraway</t>
  </si>
  <si>
    <t>Just Bailey</t>
  </si>
  <si>
    <t>K0278438</t>
  </si>
  <si>
    <t>Chihuahua</t>
  </si>
  <si>
    <t>Malaridge Here Comes The Sun</t>
  </si>
  <si>
    <t>K0264847</t>
  </si>
  <si>
    <t>Raital See Me Shine</t>
  </si>
  <si>
    <t>K154109</t>
  </si>
  <si>
    <t>Caroline</t>
  </si>
  <si>
    <t>Gebbie</t>
  </si>
  <si>
    <t>6 Basil Avenue</t>
  </si>
  <si>
    <t>Armthorpe</t>
  </si>
  <si>
    <t>Doncaster</t>
  </si>
  <si>
    <t>South Yorkshire</t>
  </si>
  <si>
    <t>DN3 2AT</t>
  </si>
  <si>
    <t>07739714787</t>
  </si>
  <si>
    <t>caroline@ukpet.com</t>
  </si>
  <si>
    <t>Mrs C &amp; Nr N J Gebbie</t>
  </si>
  <si>
    <t>Kenynten Cariad</t>
  </si>
  <si>
    <t>AW03208002</t>
  </si>
  <si>
    <t>French Bulldog</t>
  </si>
  <si>
    <t>Verdendo Lucky Louie</t>
  </si>
  <si>
    <t>AT02447504</t>
  </si>
  <si>
    <t>Boxer</t>
  </si>
  <si>
    <t>Jet European K9 Training Base</t>
  </si>
  <si>
    <t>AZ0916337</t>
  </si>
  <si>
    <t>Susan</t>
  </si>
  <si>
    <t>Graham</t>
  </si>
  <si>
    <t>9 Cherry Tree Close</t>
  </si>
  <si>
    <t>Wortham</t>
  </si>
  <si>
    <t>IP22 1QR</t>
  </si>
  <si>
    <t>01379 783087</t>
  </si>
  <si>
    <t>susan.2.graham@me.com</t>
  </si>
  <si>
    <t>Mrs Susan Graham</t>
  </si>
  <si>
    <t>Pandapaws Fable</t>
  </si>
  <si>
    <t>AU03733303</t>
  </si>
  <si>
    <t>If drawn, I would prefer a running order with Pandapaws Fable (and I am stewarding on Sunday)</t>
  </si>
  <si>
    <t>Sampsford Nya</t>
  </si>
  <si>
    <t>AZ16051003</t>
  </si>
  <si>
    <t>Grant</t>
  </si>
  <si>
    <t>11 Southgate Street</t>
  </si>
  <si>
    <t>Long Melford</t>
  </si>
  <si>
    <t>CO10 9HU</t>
  </si>
  <si>
    <t>07919351738</t>
  </si>
  <si>
    <t>donnajgrant@outlook.com</t>
  </si>
  <si>
    <t>Ms D Grant</t>
  </si>
  <si>
    <t>K0272937</t>
  </si>
  <si>
    <t>Jann</t>
  </si>
  <si>
    <t>The Finches</t>
  </si>
  <si>
    <t>Cake Street, Old Buckenham</t>
  </si>
  <si>
    <t>Attleborough</t>
  </si>
  <si>
    <t>NR17 1RU</t>
  </si>
  <si>
    <t>01953861407</t>
  </si>
  <si>
    <t>jann.grant27@btinternet.com</t>
  </si>
  <si>
    <t>Mrs Janice Grant</t>
  </si>
  <si>
    <t>F5-11156-3023</t>
  </si>
  <si>
    <t>Ousevale Maidens Blush</t>
  </si>
  <si>
    <t>AZ14540411</t>
  </si>
  <si>
    <t>Grattidge</t>
  </si>
  <si>
    <t>19 Church Street</t>
  </si>
  <si>
    <t>Olney</t>
  </si>
  <si>
    <t>Buckinghamshire</t>
  </si>
  <si>
    <t>MK46 4AD</t>
  </si>
  <si>
    <t>01234 711878</t>
  </si>
  <si>
    <t>jegrattidge@gmail.com</t>
  </si>
  <si>
    <t>J.E.Grattidge</t>
  </si>
  <si>
    <t>Sixela Spindrift at Bisquet OW</t>
  </si>
  <si>
    <t>AT01009202</t>
  </si>
  <si>
    <t>Draw in C if possible please</t>
  </si>
  <si>
    <t>Xandras Finale at Bisquet</t>
  </si>
  <si>
    <t>K0263912</t>
  </si>
  <si>
    <t>Green</t>
  </si>
  <si>
    <t>High Meadow</t>
  </si>
  <si>
    <t>Biggin Lane</t>
  </si>
  <si>
    <t>Chadwell St Mary</t>
  </si>
  <si>
    <t>RM16 4LT</t>
  </si>
  <si>
    <t>01375847083</t>
  </si>
  <si>
    <t>northstifforddtc@msn.com</t>
  </si>
  <si>
    <t>Mrs J E Green</t>
  </si>
  <si>
    <t>K0269510</t>
  </si>
  <si>
    <t>Zanyway Huckleberry Finn</t>
  </si>
  <si>
    <t>AW02826803</t>
  </si>
  <si>
    <t>Clare</t>
  </si>
  <si>
    <t>Grimsey</t>
  </si>
  <si>
    <t>43 Kings Road,</t>
  </si>
  <si>
    <t>Glemsford</t>
  </si>
  <si>
    <t>CO10 7QY</t>
  </si>
  <si>
    <t>clare.schneider@btopenworld.com</t>
  </si>
  <si>
    <t>Mrs C Grimsey</t>
  </si>
  <si>
    <t>Barleycourt Diana</t>
  </si>
  <si>
    <t>AS01384402</t>
  </si>
  <si>
    <t>Working Cocker</t>
  </si>
  <si>
    <t>Breakdance Boy</t>
  </si>
  <si>
    <t>AY11436104</t>
  </si>
  <si>
    <t>Syncerus Slippery at Arizevel</t>
  </si>
  <si>
    <t>AY07929906</t>
  </si>
  <si>
    <t>Hagger</t>
  </si>
  <si>
    <t>Gainsborough</t>
  </si>
  <si>
    <t>Alderton rd</t>
  </si>
  <si>
    <t>Hollesley</t>
  </si>
  <si>
    <t>Woodbridge, Suffolk</t>
  </si>
  <si>
    <t>IP123RH</t>
  </si>
  <si>
    <t>01394411856</t>
  </si>
  <si>
    <t>wagger007@btinternet.com</t>
  </si>
  <si>
    <t>Wendy Hagger</t>
  </si>
  <si>
    <t>Rockerdar Trigger</t>
  </si>
  <si>
    <t>BB25445002</t>
  </si>
  <si>
    <t>Alan</t>
  </si>
  <si>
    <t>Alderton Road</t>
  </si>
  <si>
    <t>Hollseley, WOODBRIDGE</t>
  </si>
  <si>
    <t>IP12 3RH</t>
  </si>
  <si>
    <t>07507734571</t>
  </si>
  <si>
    <t>Mr Alan Hagger</t>
  </si>
  <si>
    <t>Bowbek Bright Spark</t>
  </si>
  <si>
    <t>K0272750</t>
  </si>
  <si>
    <t>Golden Retriever crossbreed</t>
  </si>
  <si>
    <t>Knight of thunder</t>
  </si>
  <si>
    <t>K148124</t>
  </si>
  <si>
    <t>Goldie X</t>
  </si>
  <si>
    <t>This is an additional entry to my previous camping and  one class entry.</t>
  </si>
  <si>
    <t>Tiny Star</t>
  </si>
  <si>
    <t>AQ02424002</t>
  </si>
  <si>
    <t>Min Poodle</t>
  </si>
  <si>
    <t>Bowbek Swagger</t>
  </si>
  <si>
    <t>K0278416</t>
  </si>
  <si>
    <t>Suzanne</t>
  </si>
  <si>
    <t>Hall</t>
  </si>
  <si>
    <t>82 Quinton Dr</t>
  </si>
  <si>
    <t>Bradwell</t>
  </si>
  <si>
    <t>Milton Keynes</t>
  </si>
  <si>
    <t>MK139ER</t>
  </si>
  <si>
    <t>07946542953</t>
  </si>
  <si>
    <t>hall.suzanne@yahoo.co.uk</t>
  </si>
  <si>
    <t>Suzanne Hall</t>
  </si>
  <si>
    <t>Twaithlake Pop the Prosecco</t>
  </si>
  <si>
    <t>AW00550508</t>
  </si>
  <si>
    <t>Pottery Barn</t>
  </si>
  <si>
    <t>Church Road</t>
  </si>
  <si>
    <t>Wilby, Eye</t>
  </si>
  <si>
    <t>IP21 5LE</t>
  </si>
  <si>
    <t>07428 199564</t>
  </si>
  <si>
    <t>janehall114@gmail.com</t>
  </si>
  <si>
    <t>Jane Hall</t>
  </si>
  <si>
    <t>Gladgold Blakesley</t>
  </si>
  <si>
    <t>AZ15373604</t>
  </si>
  <si>
    <t>Rodney IndependentTraders</t>
  </si>
  <si>
    <t>KO276856</t>
  </si>
  <si>
    <t>GoldenDoodle</t>
  </si>
  <si>
    <t>Pauline</t>
  </si>
  <si>
    <t>Hamilton</t>
  </si>
  <si>
    <t>The Coach House</t>
  </si>
  <si>
    <t>Trimley St Martin</t>
  </si>
  <si>
    <t>IP11 0UF</t>
  </si>
  <si>
    <t>01394 246511</t>
  </si>
  <si>
    <t>hamiltonpa@outlook.com</t>
  </si>
  <si>
    <t>Mrs Pauline A Hamilton</t>
  </si>
  <si>
    <t>Lateo Billie</t>
  </si>
  <si>
    <t>AZ16051905</t>
  </si>
  <si>
    <t>Belgian Malinois</t>
  </si>
  <si>
    <t>4 main street</t>
  </si>
  <si>
    <t>lt harrowden</t>
  </si>
  <si>
    <t>wellingborough</t>
  </si>
  <si>
    <t>northants</t>
  </si>
  <si>
    <t>NN9 5BB</t>
  </si>
  <si>
    <t>01933 675 249</t>
  </si>
  <si>
    <t>carolehanney@gmail.com</t>
  </si>
  <si>
    <t>carole hanney</t>
  </si>
  <si>
    <t>Lollipups Raven Black</t>
  </si>
  <si>
    <t>KO279104</t>
  </si>
  <si>
    <t>W/S</t>
  </si>
  <si>
    <t>Stockyard Mity Black Kiowa</t>
  </si>
  <si>
    <t>BA19598805</t>
  </si>
  <si>
    <t>Harbord</t>
  </si>
  <si>
    <t>127 Town Street</t>
  </si>
  <si>
    <t>Newton</t>
  </si>
  <si>
    <t>CB22 7PE</t>
  </si>
  <si>
    <t>01223624880</t>
  </si>
  <si>
    <t>je.harbord@btinternet.com</t>
  </si>
  <si>
    <t>James Harbord</t>
  </si>
  <si>
    <t>Longwaves Opus Tigris</t>
  </si>
  <si>
    <t>AZ13080702</t>
  </si>
  <si>
    <t>Havastorm Opus Hypernova</t>
  </si>
  <si>
    <t>BC30431306</t>
  </si>
  <si>
    <t>Virginia</t>
  </si>
  <si>
    <t>01223 874043</t>
  </si>
  <si>
    <t>Virginia Harbord</t>
  </si>
  <si>
    <t>Tillychance Magnum Opus</t>
  </si>
  <si>
    <t>AW04368505</t>
  </si>
  <si>
    <t>Harris</t>
  </si>
  <si>
    <t>68 Marine Parade</t>
  </si>
  <si>
    <t>Gorleston-on-Ses</t>
  </si>
  <si>
    <t>NR31 6EZ</t>
  </si>
  <si>
    <t>07805393959</t>
  </si>
  <si>
    <t>donnahar@gmail.com</t>
  </si>
  <si>
    <t>Miss Donna Jane Harris</t>
  </si>
  <si>
    <t>AY10227301</t>
  </si>
  <si>
    <t>Miniature Schnauzer</t>
  </si>
  <si>
    <t>Jean</t>
  </si>
  <si>
    <t>Hayes</t>
  </si>
  <si>
    <t>The Croft</t>
  </si>
  <si>
    <t>Holdens Lane, Sweffling</t>
  </si>
  <si>
    <t>IP17 2BW</t>
  </si>
  <si>
    <t>01728 663334</t>
  </si>
  <si>
    <t>jeanhayesk9@gmail.com</t>
  </si>
  <si>
    <t>Jean Hayes</t>
  </si>
  <si>
    <t>Shanowl Needer Tristar</t>
  </si>
  <si>
    <t>AW03471104</t>
  </si>
  <si>
    <t>Louise</t>
  </si>
  <si>
    <t>Healey</t>
  </si>
  <si>
    <t>31 Belton Lane</t>
  </si>
  <si>
    <t>Great Gonerby</t>
  </si>
  <si>
    <t>Grantham</t>
  </si>
  <si>
    <t>NG31 8NB</t>
  </si>
  <si>
    <t>lou.healey@gmail.com</t>
  </si>
  <si>
    <t>Louise Healey</t>
  </si>
  <si>
    <t>Halshimoor Hedgehog</t>
  </si>
  <si>
    <t>AX02967104</t>
  </si>
  <si>
    <t>Parson Russell Terrier</t>
  </si>
  <si>
    <t>Sara</t>
  </si>
  <si>
    <t>Hemsworth</t>
  </si>
  <si>
    <t>Secret Garden</t>
  </si>
  <si>
    <t>Waldingfield Road</t>
  </si>
  <si>
    <t>Acton</t>
  </si>
  <si>
    <t>CO10 0AH</t>
  </si>
  <si>
    <t>07913872203</t>
  </si>
  <si>
    <t>kittyhemsworth@outlook.com</t>
  </si>
  <si>
    <t>Sara Hemsworth</t>
  </si>
  <si>
    <t>Hightimbers Travel Tickets</t>
  </si>
  <si>
    <t>AV01010505</t>
  </si>
  <si>
    <t>Hovawart</t>
  </si>
  <si>
    <t>Hightimbers Ticket to Evita</t>
  </si>
  <si>
    <t>AX01103601</t>
  </si>
  <si>
    <t>Hennessey</t>
  </si>
  <si>
    <t>Linford Close</t>
  </si>
  <si>
    <t>Harlow</t>
  </si>
  <si>
    <t>CM19 4LR</t>
  </si>
  <si>
    <t>07758250969</t>
  </si>
  <si>
    <t>louiseoxford123@gmail.com</t>
  </si>
  <si>
    <t>Mrs L Hennessey</t>
  </si>
  <si>
    <t>AZ15818808</t>
  </si>
  <si>
    <t>German Shepherd</t>
  </si>
  <si>
    <t>John</t>
  </si>
  <si>
    <t>Higgins</t>
  </si>
  <si>
    <t>9 Elm Terrace</t>
  </si>
  <si>
    <t>Harrow</t>
  </si>
  <si>
    <t>Middx</t>
  </si>
  <si>
    <t>HA3 6HW</t>
  </si>
  <si>
    <t>07701044616</t>
  </si>
  <si>
    <t>higgins.john@talk21.com</t>
  </si>
  <si>
    <t>John Higgins</t>
  </si>
  <si>
    <t>Lupitoonz All That Jazz</t>
  </si>
  <si>
    <t>K0264509</t>
  </si>
  <si>
    <t>'LONGACRE'  92 UNDLEY COMMON</t>
  </si>
  <si>
    <t>LAKENHEATH</t>
  </si>
  <si>
    <t>BRANDON</t>
  </si>
  <si>
    <t>SUFFOLK</t>
  </si>
  <si>
    <t>IP27 9BZ</t>
  </si>
  <si>
    <t>01842 861189</t>
  </si>
  <si>
    <t>k9magic@btinternet.com</t>
  </si>
  <si>
    <t>MRS SUZANNA J HOUGH</t>
  </si>
  <si>
    <t>AV00392503</t>
  </si>
  <si>
    <t>Bridge Farm,</t>
  </si>
  <si>
    <t>Green Lane</t>
  </si>
  <si>
    <t>Great Moulton</t>
  </si>
  <si>
    <t>NR15 2JB</t>
  </si>
  <si>
    <t>07599277542</t>
  </si>
  <si>
    <t>valeriehowse77@gmail.com</t>
  </si>
  <si>
    <t>Mrs V J Howse</t>
  </si>
  <si>
    <t>Borderlair Kiss and Tell</t>
  </si>
  <si>
    <t>BC0927626</t>
  </si>
  <si>
    <t>Foxtwist Touch of Ice</t>
  </si>
  <si>
    <t>au00669008</t>
  </si>
  <si>
    <t>Hughes</t>
  </si>
  <si>
    <t>Foxhall, The Croft</t>
  </si>
  <si>
    <t>Bures</t>
  </si>
  <si>
    <t>CO8 5JB</t>
  </si>
  <si>
    <t>01787228204</t>
  </si>
  <si>
    <t>linda@foxhallsolutions.com</t>
  </si>
  <si>
    <t>Mrs Linda hughes</t>
  </si>
  <si>
    <t>Eronel Fireside Treats</t>
  </si>
  <si>
    <t>BB26934903</t>
  </si>
  <si>
    <t>Toy Poodle</t>
  </si>
  <si>
    <t>Firetouch He'zz Old Spot</t>
  </si>
  <si>
    <t>K0279954</t>
  </si>
  <si>
    <t>Longwaves Hang Five*</t>
  </si>
  <si>
    <t>AZ13080705</t>
  </si>
  <si>
    <t>Miranda</t>
  </si>
  <si>
    <t>Humphreys</t>
  </si>
  <si>
    <t>Verona</t>
  </si>
  <si>
    <t>Straight Road</t>
  </si>
  <si>
    <t>Bradfield</t>
  </si>
  <si>
    <t>CO11 2RA</t>
  </si>
  <si>
    <t>miranda.3labs@gmail.com</t>
  </si>
  <si>
    <t>Miranda Humphreys</t>
  </si>
  <si>
    <t>Gursten Lady of Broadchalke</t>
  </si>
  <si>
    <t>AW00820103</t>
  </si>
  <si>
    <t>Retriever Labrador</t>
  </si>
  <si>
    <t>She's Busy Lizzie</t>
  </si>
  <si>
    <t>AR04409603</t>
  </si>
  <si>
    <t>Black Labrador</t>
  </si>
  <si>
    <t>Corner Oak Golden Noble</t>
  </si>
  <si>
    <t>AZ17182006</t>
  </si>
  <si>
    <t>Elizabeth</t>
  </si>
  <si>
    <t>Hunter</t>
  </si>
  <si>
    <t>41 Bately Avenue</t>
  </si>
  <si>
    <t>Gorleston</t>
  </si>
  <si>
    <t>Gt Yarmouth</t>
  </si>
  <si>
    <t>NR31 6HN</t>
  </si>
  <si>
    <t>07922016231</t>
  </si>
  <si>
    <t>lhuntet41@googlemail.com</t>
  </si>
  <si>
    <t>Mrs E A and Mr D D Hunter</t>
  </si>
  <si>
    <t>Palmanda in it to Flynn it</t>
  </si>
  <si>
    <t>AZ13839303</t>
  </si>
  <si>
    <t>Happy to be drawn in A</t>
  </si>
  <si>
    <t>32 STOCKSMOOR ROAD</t>
  </si>
  <si>
    <t>MIDGLEY</t>
  </si>
  <si>
    <t>WAKEFIELD</t>
  </si>
  <si>
    <t>WEST YORKSHIRE</t>
  </si>
  <si>
    <t>WF4 4JQ</t>
  </si>
  <si>
    <t>01924 830853</t>
  </si>
  <si>
    <t>trudos1970@gmail.com</t>
  </si>
  <si>
    <t>TRUDY HYMAN</t>
  </si>
  <si>
    <t>KO277918</t>
  </si>
  <si>
    <t>AU0906328</t>
  </si>
  <si>
    <t>Kim</t>
  </si>
  <si>
    <t>Innes</t>
  </si>
  <si>
    <t>Hawthorns, Nedging Road,</t>
  </si>
  <si>
    <t>Nedging Tye</t>
  </si>
  <si>
    <t>IP[7 7HW</t>
  </si>
  <si>
    <t>01449 744216</t>
  </si>
  <si>
    <t>kiminnes@btinternet.com</t>
  </si>
  <si>
    <t>Kim Innes</t>
  </si>
  <si>
    <t>Hawksflight Going Dutch</t>
  </si>
  <si>
    <t>AZ13965804</t>
  </si>
  <si>
    <t>Domburg Just Saying</t>
  </si>
  <si>
    <t>BC28495902</t>
  </si>
  <si>
    <t>Belgian Sheperd Dog (Tervueren)</t>
  </si>
  <si>
    <t>Jackaman</t>
  </si>
  <si>
    <t>93a Chilburn Road</t>
  </si>
  <si>
    <t>Clacton on Sea</t>
  </si>
  <si>
    <t>CO15 4PE</t>
  </si>
  <si>
    <t>07599183342</t>
  </si>
  <si>
    <t>tracy.jackaman@outlook.com</t>
  </si>
  <si>
    <t>Tracy Jackaman</t>
  </si>
  <si>
    <t>Kebulak Spring Fling</t>
  </si>
  <si>
    <t>AS03686903</t>
  </si>
  <si>
    <t>Welsh Terrier</t>
  </si>
  <si>
    <t>2. Camping Sat Night</t>
  </si>
  <si>
    <t>Waspy Wilbur</t>
  </si>
  <si>
    <t>K0270393</t>
  </si>
  <si>
    <t>Jackson</t>
  </si>
  <si>
    <t>Montgomery Avenue</t>
  </si>
  <si>
    <t>ME5 0HA</t>
  </si>
  <si>
    <t>07912360524</t>
  </si>
  <si>
    <t>lollyk03@hotmail.com</t>
  </si>
  <si>
    <t>Miss L L Jackson</t>
  </si>
  <si>
    <t>Moptopia's Urizon</t>
  </si>
  <si>
    <t>AY01912293</t>
  </si>
  <si>
    <t>Jaggers</t>
  </si>
  <si>
    <t>churchill corner</t>
  </si>
  <si>
    <t>stansted</t>
  </si>
  <si>
    <t>CM24 8UA</t>
  </si>
  <si>
    <t>01279812785</t>
  </si>
  <si>
    <t>jim.jaggers@btinternet.com</t>
  </si>
  <si>
    <t>Susan Jaggers</t>
  </si>
  <si>
    <t>ko268664</t>
  </si>
  <si>
    <t>AV00392507</t>
  </si>
  <si>
    <t>Claire</t>
  </si>
  <si>
    <t>Jameson</t>
  </si>
  <si>
    <t>5 Marne Close</t>
  </si>
  <si>
    <t>Warfield</t>
  </si>
  <si>
    <t>Bracknell</t>
  </si>
  <si>
    <t>Berkshire</t>
  </si>
  <si>
    <t>RG42 6EW</t>
  </si>
  <si>
    <t>07733214095</t>
  </si>
  <si>
    <t>claire.jameson001@gmail.com</t>
  </si>
  <si>
    <t>Mrs C Jameson</t>
  </si>
  <si>
    <t>Tailtastic No Trouble At All</t>
  </si>
  <si>
    <t>K152517</t>
  </si>
  <si>
    <t>Stockyard Sandys Stream</t>
  </si>
  <si>
    <t>K0264941</t>
  </si>
  <si>
    <t>Bridget</t>
  </si>
  <si>
    <t>Jamieson</t>
  </si>
  <si>
    <t>Fir Tree Cottage</t>
  </si>
  <si>
    <t>Little Hormead</t>
  </si>
  <si>
    <t>SG9 0LU</t>
  </si>
  <si>
    <t>01763289543</t>
  </si>
  <si>
    <t>bridgetjamieson@icloud.com</t>
  </si>
  <si>
    <t>Bridget Jamieson</t>
  </si>
  <si>
    <t>Torinska Sky Full of Song</t>
  </si>
  <si>
    <t>AZ12190901</t>
  </si>
  <si>
    <t>Shetland Sheepdog</t>
  </si>
  <si>
    <t>Jermy</t>
  </si>
  <si>
    <t>Maylyn</t>
  </si>
  <si>
    <t>Lound Road</t>
  </si>
  <si>
    <t>Blundeston</t>
  </si>
  <si>
    <t>NR32 5AT</t>
  </si>
  <si>
    <t>01502733270</t>
  </si>
  <si>
    <t>c.jermy@tiscali.co.uk</t>
  </si>
  <si>
    <t>Helen Jermy</t>
  </si>
  <si>
    <t>Bedazzle Bedeckered</t>
  </si>
  <si>
    <t>KO265496</t>
  </si>
  <si>
    <t>Spot the Revel</t>
  </si>
  <si>
    <t>K0280216</t>
  </si>
  <si>
    <t>lynda</t>
  </si>
  <si>
    <t>johnson</t>
  </si>
  <si>
    <t>bramley lodge</t>
  </si>
  <si>
    <t>ashill</t>
  </si>
  <si>
    <t>norfolk</t>
  </si>
  <si>
    <t>IP25 7BL</t>
  </si>
  <si>
    <t>01760622421</t>
  </si>
  <si>
    <t>lyn.kavanagh@live.co.uk</t>
  </si>
  <si>
    <t>lynda johnson</t>
  </si>
  <si>
    <t>Applebel Chivas Regal</t>
  </si>
  <si>
    <t>AY05276602</t>
  </si>
  <si>
    <t>Golden retriever</t>
  </si>
  <si>
    <t>Applebel rioja</t>
  </si>
  <si>
    <t>AS00342902</t>
  </si>
  <si>
    <t>joevaness fast and furious</t>
  </si>
  <si>
    <t>BB24391101</t>
  </si>
  <si>
    <t>58 Springfield Avenue</t>
  </si>
  <si>
    <t>Thrapston</t>
  </si>
  <si>
    <t>NN14 4TN</t>
  </si>
  <si>
    <t>01832734186</t>
  </si>
  <si>
    <t>carjohn7818@gmail.com</t>
  </si>
  <si>
    <t>MRS CAROLINE JOHNSON</t>
  </si>
  <si>
    <t>Westoning Simply Shady  (BA2)</t>
  </si>
  <si>
    <t>K0271221</t>
  </si>
  <si>
    <t>Jones</t>
  </si>
  <si>
    <t>33 Lancaster Avenue</t>
  </si>
  <si>
    <t>Bury St. Edmunds</t>
  </si>
  <si>
    <t>IP32 6LW</t>
  </si>
  <si>
    <t>07876614452</t>
  </si>
  <si>
    <t>keltiklan@gmail.com</t>
  </si>
  <si>
    <t>Miss Susan Jones</t>
  </si>
  <si>
    <t>Sianworth Rustic Flame for Keltiklan</t>
  </si>
  <si>
    <t>AY10638103</t>
  </si>
  <si>
    <t>120 Church Road</t>
  </si>
  <si>
    <t>HANWELL</t>
  </si>
  <si>
    <t>Greater London</t>
  </si>
  <si>
    <t>W7 3BE</t>
  </si>
  <si>
    <t>07724748246</t>
  </si>
  <si>
    <t>gizmo6187@gmail.com</t>
  </si>
  <si>
    <t>Emleas Gizmo's Moonlight</t>
  </si>
  <si>
    <t>Ax 01067601</t>
  </si>
  <si>
    <t>Seaposer Water Nymph</t>
  </si>
  <si>
    <t>BB24339806</t>
  </si>
  <si>
    <t>30 Christie Road</t>
  </si>
  <si>
    <t>Stevensge</t>
  </si>
  <si>
    <t>SG2 0NG</t>
  </si>
  <si>
    <t>01438 517894</t>
  </si>
  <si>
    <t>juliejonesy2k@hotmail.com</t>
  </si>
  <si>
    <t>Mrs J A Jones</t>
  </si>
  <si>
    <t>Zebedee Zia</t>
  </si>
  <si>
    <t>AZ14747303</t>
  </si>
  <si>
    <t>Fran</t>
  </si>
  <si>
    <t>Kavanagh</t>
  </si>
  <si>
    <t>21 Compton avenue</t>
  </si>
  <si>
    <t>Leagrave</t>
  </si>
  <si>
    <t>Bedfordshire</t>
  </si>
  <si>
    <t>LU49AX</t>
  </si>
  <si>
    <t>07951226127</t>
  </si>
  <si>
    <t>frances.kavanagh@hotmail.com</t>
  </si>
  <si>
    <t>Kenquince Duchess</t>
  </si>
  <si>
    <t>NAF</t>
  </si>
  <si>
    <t>Tina</t>
  </si>
  <si>
    <t>Keene</t>
  </si>
  <si>
    <t>Suffield Road</t>
  </si>
  <si>
    <t>NR31 7AN</t>
  </si>
  <si>
    <t>07929528810</t>
  </si>
  <si>
    <t>t.keene@hotmail.co.uk</t>
  </si>
  <si>
    <t>Mrs T Keene</t>
  </si>
  <si>
    <t>Hessonite Secret Agent</t>
  </si>
  <si>
    <t>AX04737503</t>
  </si>
  <si>
    <t>Please see Sarah Connell re camping for 3 nights (Fri, Sat. Sun)</t>
  </si>
  <si>
    <t>Marshonelle Willow the Wisp</t>
  </si>
  <si>
    <t>AP04298505</t>
  </si>
  <si>
    <t>Naturally Jeykll and Hyde</t>
  </si>
  <si>
    <t>K166067</t>
  </si>
  <si>
    <t>WSD</t>
  </si>
  <si>
    <t>Tilemash Master of Mischief</t>
  </si>
  <si>
    <t>K152230</t>
  </si>
  <si>
    <t>King</t>
  </si>
  <si>
    <t>78 Connegar Leys</t>
  </si>
  <si>
    <t>Blisworth</t>
  </si>
  <si>
    <t>Northampton</t>
  </si>
  <si>
    <t>NN7 3DF</t>
  </si>
  <si>
    <t>07973384966</t>
  </si>
  <si>
    <t>sueking0262@gmail.com</t>
  </si>
  <si>
    <t>Miss S King</t>
  </si>
  <si>
    <t>Malaridge Co Star</t>
  </si>
  <si>
    <t>KO278275</t>
  </si>
  <si>
    <t>Kingdom</t>
  </si>
  <si>
    <t>53 Westhall</t>
  </si>
  <si>
    <t>IP21 5HP</t>
  </si>
  <si>
    <t>07969530557</t>
  </si>
  <si>
    <t>sarajkingdom@gmail.com</t>
  </si>
  <si>
    <t>Sara Kingdom</t>
  </si>
  <si>
    <t>Fallohide Nori</t>
  </si>
  <si>
    <t>BC29174106</t>
  </si>
  <si>
    <t>Kisko</t>
  </si>
  <si>
    <t>The Gate House</t>
  </si>
  <si>
    <t>Rushbrooke Lane</t>
  </si>
  <si>
    <t>IP33 2RR</t>
  </si>
  <si>
    <t>07718896492</t>
  </si>
  <si>
    <t>carolinekisko@btinternet.com</t>
  </si>
  <si>
    <t>Mr &amp; Mrs C Kisko</t>
  </si>
  <si>
    <t>Pantycelyn Maisie</t>
  </si>
  <si>
    <t>AW01763401</t>
  </si>
  <si>
    <t>Jack Russell Terrier</t>
  </si>
  <si>
    <t>Natalie</t>
  </si>
  <si>
    <t>Knaack-Enkelmann</t>
  </si>
  <si>
    <t>Im Walpurgistal 18</t>
  </si>
  <si>
    <t>Essen</t>
  </si>
  <si>
    <t>Nordrhein-Westfalen</t>
  </si>
  <si>
    <t>Germany</t>
  </si>
  <si>
    <t>0049 201 1892741</t>
  </si>
  <si>
    <t>info@studydogs.de</t>
  </si>
  <si>
    <t>Natalie Knaack-Enkelmann</t>
  </si>
  <si>
    <t>I am the One von Malihattan</t>
  </si>
  <si>
    <t>ATCAV01764DEU</t>
  </si>
  <si>
    <t>Malinois Belgian Shepherd</t>
  </si>
  <si>
    <t>See below</t>
  </si>
  <si>
    <t>Ebonie</t>
  </si>
  <si>
    <t>Lambo-hills</t>
  </si>
  <si>
    <t>12 Wingfield Avenue</t>
  </si>
  <si>
    <t>Lakenheath</t>
  </si>
  <si>
    <t>Brandon</t>
  </si>
  <si>
    <t>IP27 9HS</t>
  </si>
  <si>
    <t>07432540866</t>
  </si>
  <si>
    <t>ebonielambohills@yahoo.com</t>
  </si>
  <si>
    <t>Jerome Owen</t>
  </si>
  <si>
    <t>Silvestre Duck Duck Goose</t>
  </si>
  <si>
    <t>BA20884403</t>
  </si>
  <si>
    <t>Janet</t>
  </si>
  <si>
    <t>Ledger</t>
  </si>
  <si>
    <t>69 Kingsway</t>
  </si>
  <si>
    <t>Boston</t>
  </si>
  <si>
    <t>PE21 0AR</t>
  </si>
  <si>
    <t>01205367065</t>
  </si>
  <si>
    <t>jledger2006@aol.com</t>
  </si>
  <si>
    <t>Mrs J A &amp; Mr K N Ledger</t>
  </si>
  <si>
    <t>Edlake Harris Tweed</t>
  </si>
  <si>
    <t>BC27266809</t>
  </si>
  <si>
    <t>69 KINGSWAY</t>
  </si>
  <si>
    <t>BOSTON</t>
  </si>
  <si>
    <t>LINCS</t>
  </si>
  <si>
    <t>PE210AR</t>
  </si>
  <si>
    <t>knledger2006@aol.com</t>
  </si>
  <si>
    <t>mrs J A &amp; mr K N LEDGER</t>
  </si>
  <si>
    <t>Palharvest Helter Skelter</t>
  </si>
  <si>
    <t>AT4369604</t>
  </si>
  <si>
    <t>Leverell</t>
  </si>
  <si>
    <t>The old exchange, ubbeston</t>
  </si>
  <si>
    <t>Halesworth</t>
  </si>
  <si>
    <t>IP19OEY</t>
  </si>
  <si>
    <t>01986798555</t>
  </si>
  <si>
    <t>suzileverell@hotmail.co.uk</t>
  </si>
  <si>
    <t>Suzanne Leverell</t>
  </si>
  <si>
    <t>River Styx</t>
  </si>
  <si>
    <t>K166744</t>
  </si>
  <si>
    <t>Dutch Shepherd</t>
  </si>
  <si>
    <t>Be peaceful</t>
  </si>
  <si>
    <t>F5-14894-2014</t>
  </si>
  <si>
    <t>Jessica</t>
  </si>
  <si>
    <t>Lewis</t>
  </si>
  <si>
    <t>The Paddocks</t>
  </si>
  <si>
    <t>84 Burbages Lane</t>
  </si>
  <si>
    <t>Longford</t>
  </si>
  <si>
    <t>Coventry</t>
  </si>
  <si>
    <t>CV6 6AY</t>
  </si>
  <si>
    <t>02475017046</t>
  </si>
  <si>
    <t>jess.l@sky.com</t>
  </si>
  <si>
    <t>Miss Jessica Lewis</t>
  </si>
  <si>
    <t>K0271662</t>
  </si>
  <si>
    <t>Aussie x</t>
  </si>
  <si>
    <t>AW0901746</t>
  </si>
  <si>
    <t>BRIABAR BEACH BOY</t>
  </si>
  <si>
    <t>AS01452303</t>
  </si>
  <si>
    <t>Dodgin the Blues</t>
  </si>
  <si>
    <t>BC28933601</t>
  </si>
  <si>
    <t>JOSTELLA ACES HIGH</t>
  </si>
  <si>
    <t>AT03523906</t>
  </si>
  <si>
    <t>MUTLEY DASTARDLY</t>
  </si>
  <si>
    <t>K0266019</t>
  </si>
  <si>
    <t>Gwynne</t>
  </si>
  <si>
    <t>Lyons</t>
  </si>
  <si>
    <t>The Avenues</t>
  </si>
  <si>
    <t>NR23PH</t>
  </si>
  <si>
    <t>07944422898</t>
  </si>
  <si>
    <t>lyonsgwynne@gmail.com</t>
  </si>
  <si>
    <t>Ms G P Lyons</t>
  </si>
  <si>
    <t>Firetouch Hot Shot Zen</t>
  </si>
  <si>
    <t>BA21581304</t>
  </si>
  <si>
    <t>Borderpops Buzz Light Paw</t>
  </si>
  <si>
    <t>ARO3666504</t>
  </si>
  <si>
    <t>Mandy</t>
  </si>
  <si>
    <t>Maddams</t>
  </si>
  <si>
    <t>39A Park Lane</t>
  </si>
  <si>
    <t>Long Sutton</t>
  </si>
  <si>
    <t>PE12 9DH</t>
  </si>
  <si>
    <t>07539746503</t>
  </si>
  <si>
    <t>mandy_maddams@hotmail.co.uk</t>
  </si>
  <si>
    <t>Ms M Maddams</t>
  </si>
  <si>
    <t>Seaposer Indian Ocean</t>
  </si>
  <si>
    <t>AZ13077694</t>
  </si>
  <si>
    <t>If in running order B preferably please</t>
  </si>
  <si>
    <t>ParkLanes Echo</t>
  </si>
  <si>
    <t>K164650</t>
  </si>
  <si>
    <t>Victoria</t>
  </si>
  <si>
    <t>Main</t>
  </si>
  <si>
    <t>68 Highfield</t>
  </si>
  <si>
    <t>Woodford</t>
  </si>
  <si>
    <t>Kettering</t>
  </si>
  <si>
    <t>Northamptonshire</t>
  </si>
  <si>
    <t>NN14 4HD</t>
  </si>
  <si>
    <t>07988 604447</t>
  </si>
  <si>
    <t>vmain72@googlemail.com</t>
  </si>
  <si>
    <t>Miss V L Main</t>
  </si>
  <si>
    <t>Buskru by Invitation</t>
  </si>
  <si>
    <t>K0270445</t>
  </si>
  <si>
    <t>Chalkwell Happy Hour</t>
  </si>
  <si>
    <t>AU00900602</t>
  </si>
  <si>
    <t>A</t>
  </si>
  <si>
    <t>Mann</t>
  </si>
  <si>
    <t>9 Highfield Road</t>
  </si>
  <si>
    <t>Netherton</t>
  </si>
  <si>
    <t>Wakefield</t>
  </si>
  <si>
    <t>WF4 4NB</t>
  </si>
  <si>
    <t>01924272344</t>
  </si>
  <si>
    <t>k9ufd@yahoo.co.uk</t>
  </si>
  <si>
    <t>Mrs A Mann</t>
  </si>
  <si>
    <t>Mum's Little Ralph</t>
  </si>
  <si>
    <t>K162781</t>
  </si>
  <si>
    <t>Chihuahua x</t>
  </si>
  <si>
    <t>Could we camp near the rings please due to me being an amputee and on oxygen, thank you_x000D_
I'm not sure if you need my hubby Alistair as your first aider,</t>
  </si>
  <si>
    <t>Tollerice English BegEx, Rl2ex</t>
  </si>
  <si>
    <t>AX03090103</t>
  </si>
  <si>
    <t>Nova Scotia Duck Tolling Retriever</t>
  </si>
  <si>
    <t>Elaine</t>
  </si>
  <si>
    <t>Marchant</t>
  </si>
  <si>
    <t>86 collingwood road</t>
  </si>
  <si>
    <t>Lexden</t>
  </si>
  <si>
    <t>CO3 9BB</t>
  </si>
  <si>
    <t>01206523251</t>
  </si>
  <si>
    <t>elaine_fookes@yahoo.co.uk</t>
  </si>
  <si>
    <t>Mrs elaine marchant</t>
  </si>
  <si>
    <t>Westoning Fiesty Ziva</t>
  </si>
  <si>
    <t>K153938</t>
  </si>
  <si>
    <t>Westoning Moonlight Ride</t>
  </si>
  <si>
    <t>K0261302</t>
  </si>
  <si>
    <t>Marriott</t>
  </si>
  <si>
    <t>86 Mill Road</t>
  </si>
  <si>
    <t>Bozeat</t>
  </si>
  <si>
    <t>NN29 7JA</t>
  </si>
  <si>
    <t>07798894991</t>
  </si>
  <si>
    <t>ifermarriott@yahoo.co.uk</t>
  </si>
  <si>
    <t>Miss J Marriott</t>
  </si>
  <si>
    <t>Deriolet Apollo</t>
  </si>
  <si>
    <t>AZ15605401</t>
  </si>
  <si>
    <t>4 Marlborough Avenue</t>
  </si>
  <si>
    <t>Wellingborough</t>
  </si>
  <si>
    <t>NN8 5YN</t>
  </si>
  <si>
    <t>01933770394</t>
  </si>
  <si>
    <t>pamelamarriott79@gmail.com</t>
  </si>
  <si>
    <t>Mrs P Marriott &amp; Ms Jennifer Marriott</t>
  </si>
  <si>
    <t>Honey Bunny Bunch</t>
  </si>
  <si>
    <t>KK164593</t>
  </si>
  <si>
    <t>Marsham</t>
  </si>
  <si>
    <t>17 Wensum Way</t>
  </si>
  <si>
    <t>Belton</t>
  </si>
  <si>
    <t>Great Yarmouth</t>
  </si>
  <si>
    <t>NR31 9 NY</t>
  </si>
  <si>
    <t>01493780655</t>
  </si>
  <si>
    <t>trinamarsham@hotmail.com</t>
  </si>
  <si>
    <t>Katrina Marsham</t>
  </si>
  <si>
    <t>Chelsasa Fleetwood</t>
  </si>
  <si>
    <t>K165822</t>
  </si>
  <si>
    <t>David</t>
  </si>
  <si>
    <t>Mayes</t>
  </si>
  <si>
    <t>4 Mayda Close</t>
  </si>
  <si>
    <t>Halstead</t>
  </si>
  <si>
    <t>CO91EQ</t>
  </si>
  <si>
    <t>07931 336177</t>
  </si>
  <si>
    <t>davidwmayes@aol.com</t>
  </si>
  <si>
    <t>David Mayes</t>
  </si>
  <si>
    <t>Fenton Black</t>
  </si>
  <si>
    <t>AT03766102</t>
  </si>
  <si>
    <t>Labrador Retreiver</t>
  </si>
  <si>
    <t>Im very happy to have running orders._x000D_
If possible though could this be for the higher class?_x000D_
Many thanks</t>
  </si>
  <si>
    <t>Rayburn Deep River Mayes</t>
  </si>
  <si>
    <t>AY07098404</t>
  </si>
  <si>
    <t>Ria</t>
  </si>
  <si>
    <t>McGovern</t>
  </si>
  <si>
    <t>3 Trailly Close</t>
  </si>
  <si>
    <t>Yelden</t>
  </si>
  <si>
    <t>MK44 1JH</t>
  </si>
  <si>
    <t>07843287594</t>
  </si>
  <si>
    <t>riamcgovern2@icloud.com</t>
  </si>
  <si>
    <t>Mrs R McGovern</t>
  </si>
  <si>
    <t>Rustix Rebuttal</t>
  </si>
  <si>
    <t>AS00065105</t>
  </si>
  <si>
    <t>Jitter Juice Genie</t>
  </si>
  <si>
    <t>K0265411</t>
  </si>
  <si>
    <t>133 Chiltern Road</t>
  </si>
  <si>
    <t>Dunstable</t>
  </si>
  <si>
    <t>LU6 1ET</t>
  </si>
  <si>
    <t>01582 663009</t>
  </si>
  <si>
    <t>susan_mcmanus_03@hotmail.com</t>
  </si>
  <si>
    <t>susan mcmanus</t>
  </si>
  <si>
    <t>Mezzscoo Maverick</t>
  </si>
  <si>
    <t>AZ14575505</t>
  </si>
  <si>
    <t>Jacqui</t>
  </si>
  <si>
    <t>Mee</t>
  </si>
  <si>
    <t>Kent House</t>
  </si>
  <si>
    <t>Church Street</t>
  </si>
  <si>
    <t>Great Maplestead</t>
  </si>
  <si>
    <t>CO9 2RQ</t>
  </si>
  <si>
    <t>01787 461002</t>
  </si>
  <si>
    <t>jacqui.mee62@gmail.com</t>
  </si>
  <si>
    <t>Pepsi Pocket Rocket</t>
  </si>
  <si>
    <t>K0270829</t>
  </si>
  <si>
    <t>0000-00-00</t>
  </si>
  <si>
    <t>If possible no running order in Novice._x000D_
Thank you</t>
  </si>
  <si>
    <t>laurel bank farm</t>
  </si>
  <si>
    <t>woodway lane,</t>
  </si>
  <si>
    <t>claybrooke parva, lutterworth</t>
  </si>
  <si>
    <t>leics</t>
  </si>
  <si>
    <t>LE17 5BH</t>
  </si>
  <si>
    <t>01455209210</t>
  </si>
  <si>
    <t>laurelbankfarm@yahoo.co.uk</t>
  </si>
  <si>
    <t>mrs. lynda middlemas</t>
  </si>
  <si>
    <t>Malaridge Flamin Star</t>
  </si>
  <si>
    <t>Ko272865</t>
  </si>
  <si>
    <t>av00165705</t>
  </si>
  <si>
    <t>Nancy</t>
  </si>
  <si>
    <t>Middleton</t>
  </si>
  <si>
    <t>79 Grantham Road</t>
  </si>
  <si>
    <t>Bottesford</t>
  </si>
  <si>
    <t>Nottingham</t>
  </si>
  <si>
    <t>NG13 0EG</t>
  </si>
  <si>
    <t>07968625048</t>
  </si>
  <si>
    <t>nancyrignall@yahoo.co.uk</t>
  </si>
  <si>
    <t>Nancy Middleton</t>
  </si>
  <si>
    <t>Zico Bestboy (BC2)</t>
  </si>
  <si>
    <t>K0277901</t>
  </si>
  <si>
    <t>Glynis</t>
  </si>
  <si>
    <t>Moloney</t>
  </si>
  <si>
    <t>10 Stanwell Way</t>
  </si>
  <si>
    <t>NN8 3DQ</t>
  </si>
  <si>
    <t>01933 384489</t>
  </si>
  <si>
    <t>glynis.moloney@hotmail.co.uk</t>
  </si>
  <si>
    <t>Mrs. G Moloney</t>
  </si>
  <si>
    <t>Xandras Monty is Glyns Boy</t>
  </si>
  <si>
    <t>KO263011</t>
  </si>
  <si>
    <t>Morris</t>
  </si>
  <si>
    <t>13 Austen Close</t>
  </si>
  <si>
    <t>Winchester</t>
  </si>
  <si>
    <t>Hants</t>
  </si>
  <si>
    <t>SO23 7HS</t>
  </si>
  <si>
    <t>07549 991003</t>
  </si>
  <si>
    <t>karenm_morris@yahoo.com</t>
  </si>
  <si>
    <t>Ms Karen Morris</t>
  </si>
  <si>
    <t>Buskru Tayktu</t>
  </si>
  <si>
    <t>K0277096</t>
  </si>
  <si>
    <t>Belleazure Maribelle</t>
  </si>
  <si>
    <t>AY07504708</t>
  </si>
  <si>
    <t>Little Princess Lockenspiel</t>
  </si>
  <si>
    <t>AQ00949105</t>
  </si>
  <si>
    <t>Tereza</t>
  </si>
  <si>
    <t>Murphy</t>
  </si>
  <si>
    <t>Hall Farm</t>
  </si>
  <si>
    <t>High Street</t>
  </si>
  <si>
    <t>Sproughton</t>
  </si>
  <si>
    <t>IP8 3AN</t>
  </si>
  <si>
    <t>07973 281534</t>
  </si>
  <si>
    <t>tereza1@live.com</t>
  </si>
  <si>
    <t>Tereza Murphy</t>
  </si>
  <si>
    <t>Raven Roulette</t>
  </si>
  <si>
    <t>K0279771</t>
  </si>
  <si>
    <t>PapiPoo</t>
  </si>
  <si>
    <t>Nankivell-Long</t>
  </si>
  <si>
    <t>Shanklin</t>
  </si>
  <si>
    <t>London Road</t>
  </si>
  <si>
    <t>Swanley</t>
  </si>
  <si>
    <t>BR8 7AW</t>
  </si>
  <si>
    <t>01322669812</t>
  </si>
  <si>
    <t>julie.nl@hotmail.co.uk</t>
  </si>
  <si>
    <t>Julie Nankivell-Long</t>
  </si>
  <si>
    <t>One Winter Snow Angel</t>
  </si>
  <si>
    <t>K0269257</t>
  </si>
  <si>
    <t>Westoning Barbie Girl</t>
  </si>
  <si>
    <t>K0278921</t>
  </si>
  <si>
    <t>One Angel In Disguise</t>
  </si>
  <si>
    <t>K0260853</t>
  </si>
  <si>
    <t>Michelle</t>
  </si>
  <si>
    <t>Newman</t>
  </si>
  <si>
    <t>10 Aylets Field</t>
  </si>
  <si>
    <t>CM18 7LW</t>
  </si>
  <si>
    <t>01279 620496</t>
  </si>
  <si>
    <t>nwmmic@aol.com</t>
  </si>
  <si>
    <t>Miss Michelle Newman</t>
  </si>
  <si>
    <t>Under Raps V.D. Vaardekenshoeve</t>
  </si>
  <si>
    <t>AY0914904</t>
  </si>
  <si>
    <t>Malinois</t>
  </si>
  <si>
    <t>Richard</t>
  </si>
  <si>
    <t>Nicholls</t>
  </si>
  <si>
    <t>14 Lidgate Court</t>
  </si>
  <si>
    <t>Felixstowe</t>
  </si>
  <si>
    <t>IP11 2XX</t>
  </si>
  <si>
    <t>01394273289</t>
  </si>
  <si>
    <t>rnicho2034@aol.com</t>
  </si>
  <si>
    <t>Mr R Nicholls</t>
  </si>
  <si>
    <t>Tonlynor David</t>
  </si>
  <si>
    <t>AT03366302</t>
  </si>
  <si>
    <t>01394 273289</t>
  </si>
  <si>
    <t>p1errot@aol.com</t>
  </si>
  <si>
    <t>Mrs J M Nicholls</t>
  </si>
  <si>
    <t>Golden Ollie Ocean</t>
  </si>
  <si>
    <t>K146329</t>
  </si>
  <si>
    <t>Lurcher</t>
  </si>
  <si>
    <t>Manderain Starman</t>
  </si>
  <si>
    <t>AS01060904</t>
  </si>
  <si>
    <t>Anadune Lidgate Star</t>
  </si>
  <si>
    <t>AZ16882804</t>
  </si>
  <si>
    <t>The Bell</t>
  </si>
  <si>
    <t>Bell rd.</t>
  </si>
  <si>
    <t>Barnham Broom</t>
  </si>
  <si>
    <t>NR9 4AA</t>
  </si>
  <si>
    <t>07539289398</t>
  </si>
  <si>
    <t>viv0akey@aol.com</t>
  </si>
  <si>
    <t>K138239</t>
  </si>
  <si>
    <t>AX04576104</t>
  </si>
  <si>
    <t>35 selsdon road</t>
  </si>
  <si>
    <t>addlestone</t>
  </si>
  <si>
    <t>surrey</t>
  </si>
  <si>
    <t>KT153HP</t>
  </si>
  <si>
    <t>01932348810</t>
  </si>
  <si>
    <t>geoff.painting@gmail.com</t>
  </si>
  <si>
    <t>Geoff Painting</t>
  </si>
  <si>
    <t>Lanlwyd Garwen Nov Ex</t>
  </si>
  <si>
    <t>AX03707106</t>
  </si>
  <si>
    <t>Parmiter</t>
  </si>
  <si>
    <t>11 Pipwell Gate</t>
  </si>
  <si>
    <t>Moulton Seas End</t>
  </si>
  <si>
    <t>PE12 6LU</t>
  </si>
  <si>
    <t>01406478422</t>
  </si>
  <si>
    <t>sgparmiter@icloud.com</t>
  </si>
  <si>
    <t>Susan parmiter</t>
  </si>
  <si>
    <t>Kelcasana Midnight Wolf</t>
  </si>
  <si>
    <t>BC30835901</t>
  </si>
  <si>
    <t>1. Camping Friday Night (from Friday mid-day)</t>
  </si>
  <si>
    <t>Free camping night Sat plz .</t>
  </si>
  <si>
    <t>Lydeardlea Unforgettable</t>
  </si>
  <si>
    <t>Am02077001</t>
  </si>
  <si>
    <t>Stormlake Penny Lane</t>
  </si>
  <si>
    <t>At04479702</t>
  </si>
  <si>
    <t>Gsd</t>
  </si>
  <si>
    <t>Stormlake‚Äôs It‚Äôs So Easy</t>
  </si>
  <si>
    <t>AX04889101</t>
  </si>
  <si>
    <t>Naomi</t>
  </si>
  <si>
    <t>Passenger</t>
  </si>
  <si>
    <t>69 Vardon Road</t>
  </si>
  <si>
    <t>SG1 5PT</t>
  </si>
  <si>
    <t>01438 237368</t>
  </si>
  <si>
    <t>apuldora@ntlworld.com</t>
  </si>
  <si>
    <t>Miss N M Passenger</t>
  </si>
  <si>
    <t>Sunwolf Tipperary with Apuldora</t>
  </si>
  <si>
    <t>BB24468605</t>
  </si>
  <si>
    <t>Petchell</t>
  </si>
  <si>
    <t>69 high street,</t>
  </si>
  <si>
    <t>Cherry Hinton,</t>
  </si>
  <si>
    <t>Cambridge,</t>
  </si>
  <si>
    <t>Cambridgeshire,</t>
  </si>
  <si>
    <t>CB1 9LU</t>
  </si>
  <si>
    <t>07903722665</t>
  </si>
  <si>
    <t>louisepetchell@outlook.com</t>
  </si>
  <si>
    <t>Mrs L A Petchell</t>
  </si>
  <si>
    <t>Stormlakes High Flyer</t>
  </si>
  <si>
    <t>AX03662902</t>
  </si>
  <si>
    <t>Denise</t>
  </si>
  <si>
    <t>Platts</t>
  </si>
  <si>
    <t>79 Bowmandale</t>
  </si>
  <si>
    <t>Barton upon Humber</t>
  </si>
  <si>
    <t>North Lincolnshire</t>
  </si>
  <si>
    <t>DN18 5EE</t>
  </si>
  <si>
    <t>07702740809</t>
  </si>
  <si>
    <t>deniseplatts1@icloud.com</t>
  </si>
  <si>
    <t>Mrs D J Platts</t>
  </si>
  <si>
    <t>Anadune Lottie</t>
  </si>
  <si>
    <t>AZ16882802</t>
  </si>
  <si>
    <t>Littlethorn Leaf RW</t>
  </si>
  <si>
    <t>AU01854301</t>
  </si>
  <si>
    <t>07803365872</t>
  </si>
  <si>
    <t>Linda Plows</t>
  </si>
  <si>
    <t>Kejezda Moss</t>
  </si>
  <si>
    <t>K0279679</t>
  </si>
  <si>
    <t>Tilemash Kyp</t>
  </si>
  <si>
    <t>K142450</t>
  </si>
  <si>
    <t>Tilemash Mr Quiz</t>
  </si>
  <si>
    <t>K0267043</t>
  </si>
  <si>
    <t>Portch</t>
  </si>
  <si>
    <t>330 Panfield Lane</t>
  </si>
  <si>
    <t>Braintree</t>
  </si>
  <si>
    <t>CM75RQ</t>
  </si>
  <si>
    <t>01376528011</t>
  </si>
  <si>
    <t>lindaportch@hotmail.com</t>
  </si>
  <si>
    <t>Mrs Linda Portch</t>
  </si>
  <si>
    <t>Lambfair Stolen Cherries</t>
  </si>
  <si>
    <t>K139595</t>
  </si>
  <si>
    <t>If running order with Seaposer dog please</t>
  </si>
  <si>
    <t>IT‚ÄôS A KINDA SUNNIE MAGIC DAY</t>
  </si>
  <si>
    <t>KO277945</t>
  </si>
  <si>
    <t>Seaposer Sandcastle</t>
  </si>
  <si>
    <t>K157258</t>
  </si>
  <si>
    <t>K0274855</t>
  </si>
  <si>
    <t>K0261910</t>
  </si>
  <si>
    <t>Jo</t>
  </si>
  <si>
    <t>Powis</t>
  </si>
  <si>
    <t>07763133528</t>
  </si>
  <si>
    <t>jo.powis@sjpp.co.uk</t>
  </si>
  <si>
    <t>Miss J Powis</t>
  </si>
  <si>
    <t>Pemba Pickpocket</t>
  </si>
  <si>
    <t>K0271745</t>
  </si>
  <si>
    <t>Samantha</t>
  </si>
  <si>
    <t>Ragus</t>
  </si>
  <si>
    <t>Daisy Close</t>
  </si>
  <si>
    <t>CO91GU</t>
  </si>
  <si>
    <t>07990830321</t>
  </si>
  <si>
    <t>sugarmas1997@gmail.com</t>
  </si>
  <si>
    <t>Samantha Ragus</t>
  </si>
  <si>
    <t>Kynigos Freddie Rocks You</t>
  </si>
  <si>
    <t>AW03689008</t>
  </si>
  <si>
    <t>If running order is needed can it not be with my A dog please</t>
  </si>
  <si>
    <t>Mediterranean Jet</t>
  </si>
  <si>
    <t>AT03187402</t>
  </si>
  <si>
    <t>Amy</t>
  </si>
  <si>
    <t>Rapin</t>
  </si>
  <si>
    <t>52 Lodge Road</t>
  </si>
  <si>
    <t>Feltwell</t>
  </si>
  <si>
    <t>IP26 4DL</t>
  </si>
  <si>
    <t>01842827337</t>
  </si>
  <si>
    <t>amycble@aol.co.uk</t>
  </si>
  <si>
    <t>Mrs A L &amp; Mr S J Rapin</t>
  </si>
  <si>
    <t>Louie The Dude</t>
  </si>
  <si>
    <t>K0264028</t>
  </si>
  <si>
    <t>Eileen</t>
  </si>
  <si>
    <t>Restell</t>
  </si>
  <si>
    <t>The Woodlands</t>
  </si>
  <si>
    <t>Sevenoaks Way</t>
  </si>
  <si>
    <t>Orpington</t>
  </si>
  <si>
    <t>BR5 3JE</t>
  </si>
  <si>
    <t>0208 3026041</t>
  </si>
  <si>
    <t>troykai1@msn.com</t>
  </si>
  <si>
    <t>Mrs Eileen Restell</t>
  </si>
  <si>
    <t>Birkcross Ghost Rider</t>
  </si>
  <si>
    <t>AT00728903</t>
  </si>
  <si>
    <t>FULL Camping Friday Night (from Friday mid-day),FULL Camping Sat Night</t>
  </si>
  <si>
    <t>Chocha Moose</t>
  </si>
  <si>
    <t>K158779</t>
  </si>
  <si>
    <t>BC GSD X</t>
  </si>
  <si>
    <t>Buskru Deja Vu</t>
  </si>
  <si>
    <t>K0276308</t>
  </si>
  <si>
    <t>Richardson</t>
  </si>
  <si>
    <t>The Herons,</t>
  </si>
  <si>
    <t>Forge Lane</t>
  </si>
  <si>
    <t>High Halstow</t>
  </si>
  <si>
    <t>ME3 8SL</t>
  </si>
  <si>
    <t>07775 728708</t>
  </si>
  <si>
    <t>crichardson@hotmail.co.uk</t>
  </si>
  <si>
    <t>Mrs C Richardson</t>
  </si>
  <si>
    <t>Stillmoor Chase the Storm</t>
  </si>
  <si>
    <t>AR04100602</t>
  </si>
  <si>
    <t>Claiming Saturday night as judging</t>
  </si>
  <si>
    <t>Colliewood Optimist</t>
  </si>
  <si>
    <t>K0277890</t>
  </si>
  <si>
    <t>Georgie</t>
  </si>
  <si>
    <t>Riches</t>
  </si>
  <si>
    <t>1 crossways</t>
  </si>
  <si>
    <t>CO6 2JA</t>
  </si>
  <si>
    <t>07515639480</t>
  </si>
  <si>
    <t>georgieriches@hotmail.co.uk</t>
  </si>
  <si>
    <t>Ms G riches</t>
  </si>
  <si>
    <t>Duncletts Devil in Disguise</t>
  </si>
  <si>
    <t>K0279792</t>
  </si>
  <si>
    <t>AZ17182007</t>
  </si>
  <si>
    <t>9 the banks</t>
  </si>
  <si>
    <t>hackleton</t>
  </si>
  <si>
    <t>northampton</t>
  </si>
  <si>
    <t>NN7 2AF</t>
  </si>
  <si>
    <t>01604 870518</t>
  </si>
  <si>
    <t>val.ridgers@gmail.com</t>
  </si>
  <si>
    <t>valerie ridgers</t>
  </si>
  <si>
    <t>AY06475201</t>
  </si>
  <si>
    <t>352 HRENE ROAD</t>
  </si>
  <si>
    <t>RAMSEY ST MARYS</t>
  </si>
  <si>
    <t>HUNTINGDON</t>
  </si>
  <si>
    <t>CAMBRIDGESHIRE</t>
  </si>
  <si>
    <t>PE26 2TJ</t>
  </si>
  <si>
    <t>01733844123</t>
  </si>
  <si>
    <t>suerrobbo@yahoo.co.uk</t>
  </si>
  <si>
    <t>MRS S J ROBINSON</t>
  </si>
  <si>
    <t>AW01047801</t>
  </si>
  <si>
    <t>It would be apreciated if possible for Alnmac Dont stop me now to be placed in the running order of the A Class. Many thanks</t>
  </si>
  <si>
    <t>AV02342803</t>
  </si>
  <si>
    <t>AU04392901</t>
  </si>
  <si>
    <t>AT02222001</t>
  </si>
  <si>
    <t>Roddick</t>
  </si>
  <si>
    <t>old barn</t>
  </si>
  <si>
    <t>the street</t>
  </si>
  <si>
    <t>wramplingham, wymondham</t>
  </si>
  <si>
    <t>NR18 0RU</t>
  </si>
  <si>
    <t>07831883083</t>
  </si>
  <si>
    <t>jacky.roddick@sky.com</t>
  </si>
  <si>
    <t>jacky roddick</t>
  </si>
  <si>
    <t>Malaridge Bright Star</t>
  </si>
  <si>
    <t>K0272939</t>
  </si>
  <si>
    <t>Ob Ch Tigrys Golden Starlight</t>
  </si>
  <si>
    <t>K0260062</t>
  </si>
  <si>
    <t>Sophie</t>
  </si>
  <si>
    <t>Rolf</t>
  </si>
  <si>
    <t>Hill crest</t>
  </si>
  <si>
    <t>Harleston Rd</t>
  </si>
  <si>
    <t>Fressingfield</t>
  </si>
  <si>
    <t>IP21 5TE</t>
  </si>
  <si>
    <t>07733264046</t>
  </si>
  <si>
    <t>sophie.e.williams@gmail.com</t>
  </si>
  <si>
    <t>Sophie Rolf</t>
  </si>
  <si>
    <t>Fressinghill Mr Yogi Bear</t>
  </si>
  <si>
    <t>F5-03904-2021</t>
  </si>
  <si>
    <t>Pippilotta and Perfect Trend handled by Beatrice Rolf (age 14)</t>
  </si>
  <si>
    <t>Galafazia Perfect Orbit</t>
  </si>
  <si>
    <t>K0278078</t>
  </si>
  <si>
    <t>Galafazia Perfect Trend</t>
  </si>
  <si>
    <t>K0278074</t>
  </si>
  <si>
    <t>Mixed</t>
  </si>
  <si>
    <t>Pippilotta Starflight of Galafazia</t>
  </si>
  <si>
    <t>KO265017</t>
  </si>
  <si>
    <t>Runge</t>
  </si>
  <si>
    <t>Sachsenring 113</t>
  </si>
  <si>
    <t>NRW</t>
  </si>
  <si>
    <t>00491632497972</t>
  </si>
  <si>
    <t>jenny.runge@gmx.net</t>
  </si>
  <si>
    <t>Jennifer Runge</t>
  </si>
  <si>
    <t>Leeloo Dallas</t>
  </si>
  <si>
    <t>K0265448</t>
  </si>
  <si>
    <t>Sandra</t>
  </si>
  <si>
    <t>Samways</t>
  </si>
  <si>
    <t>5 Wayland Walk</t>
  </si>
  <si>
    <t>Downham Market</t>
  </si>
  <si>
    <t>PE38 9TE</t>
  </si>
  <si>
    <t>01945430651</t>
  </si>
  <si>
    <t>samways237@btinternet.com</t>
  </si>
  <si>
    <t>Sandra Samways</t>
  </si>
  <si>
    <t>AW02826806</t>
  </si>
  <si>
    <t>KO276234</t>
  </si>
  <si>
    <t>Searby</t>
  </si>
  <si>
    <t>34 Townsend Way</t>
  </si>
  <si>
    <t>NR324GF</t>
  </si>
  <si>
    <t>07766563377</t>
  </si>
  <si>
    <t>sue.mxr@live.co.uk</t>
  </si>
  <si>
    <t>Susan Searby</t>
  </si>
  <si>
    <t>Alpana White Lightning</t>
  </si>
  <si>
    <t>BA19528504</t>
  </si>
  <si>
    <t>Stewarding on Saturday _x000D_
If drawn Sunday please be with Novice dog. Thank you</t>
  </si>
  <si>
    <t>AW01586007</t>
  </si>
  <si>
    <t>Tiny Rascal</t>
  </si>
  <si>
    <t>K139512</t>
  </si>
  <si>
    <t>Sheldrake</t>
  </si>
  <si>
    <t>colindeep lane</t>
  </si>
  <si>
    <t>norwich</t>
  </si>
  <si>
    <t>NR78EQ</t>
  </si>
  <si>
    <t>07975509533</t>
  </si>
  <si>
    <t>vegrun@gmail.com</t>
  </si>
  <si>
    <t>julie dawn sheldrake</t>
  </si>
  <si>
    <t>K0272157</t>
  </si>
  <si>
    <t>k164585</t>
  </si>
  <si>
    <t>Bev</t>
  </si>
  <si>
    <t>Shiplee</t>
  </si>
  <si>
    <t>293 Gorleston Road</t>
  </si>
  <si>
    <t>NR32 3AF</t>
  </si>
  <si>
    <t>07881401911</t>
  </si>
  <si>
    <t>bevelbear@hotmail.co.uk</t>
  </si>
  <si>
    <t>Beverley Shiplee</t>
  </si>
  <si>
    <t>(Pending in post)</t>
  </si>
  <si>
    <t>Tim</t>
  </si>
  <si>
    <t>Smith</t>
  </si>
  <si>
    <t>Tanglewood</t>
  </si>
  <si>
    <t>Church Lane</t>
  </si>
  <si>
    <t>Alpheton</t>
  </si>
  <si>
    <t>CO10 9BL</t>
  </si>
  <si>
    <t>07885971835</t>
  </si>
  <si>
    <t>sbant@hotmail.co.uk</t>
  </si>
  <si>
    <t>Tim Smith</t>
  </si>
  <si>
    <t>Tanglewood Effie</t>
  </si>
  <si>
    <t>K0270916</t>
  </si>
  <si>
    <t>Happy to be in running order for Novice</t>
  </si>
  <si>
    <t>Lynda</t>
  </si>
  <si>
    <t>Snowling</t>
  </si>
  <si>
    <t>Terrae Filius</t>
  </si>
  <si>
    <t>Hall Lane, Blundeston</t>
  </si>
  <si>
    <t>NR32 5BL</t>
  </si>
  <si>
    <t>01502 731480</t>
  </si>
  <si>
    <t>colinsnowling@btinternet.com</t>
  </si>
  <si>
    <t>Mrs L.Snowling</t>
  </si>
  <si>
    <t>Rosmak Ptarmigan</t>
  </si>
  <si>
    <t>AP00955201</t>
  </si>
  <si>
    <t>Rosmarinus classical Jazz</t>
  </si>
  <si>
    <t>Lyncol Shivers</t>
  </si>
  <si>
    <t>K0267934</t>
  </si>
  <si>
    <t>AV01349703</t>
  </si>
  <si>
    <t>Solomon</t>
  </si>
  <si>
    <t>28 Lansbury Road</t>
  </si>
  <si>
    <t>Lansbury Road</t>
  </si>
  <si>
    <t>IP19 8SA</t>
  </si>
  <si>
    <t>01986874662</t>
  </si>
  <si>
    <t>solomoncat93@hotmail.com</t>
  </si>
  <si>
    <t>Ms H M Solomon</t>
  </si>
  <si>
    <t>Mists Of Time O'Islay</t>
  </si>
  <si>
    <t>K165986</t>
  </si>
  <si>
    <t>Carol</t>
  </si>
  <si>
    <t>Spencer</t>
  </si>
  <si>
    <t>Ashton Gate</t>
  </si>
  <si>
    <t>4 Ridgeway View</t>
  </si>
  <si>
    <t>Pitstone</t>
  </si>
  <si>
    <t>LU7 9AR</t>
  </si>
  <si>
    <t>01296 662399</t>
  </si>
  <si>
    <t>carolspencer54@gmail.com</t>
  </si>
  <si>
    <t>Carol Spencer</t>
  </si>
  <si>
    <t>Och Aye The Goose</t>
  </si>
  <si>
    <t>K166390</t>
  </si>
  <si>
    <t>Darkbeck Falcon</t>
  </si>
  <si>
    <t>BA18364201</t>
  </si>
  <si>
    <t>Gemma</t>
  </si>
  <si>
    <t>Sprague</t>
  </si>
  <si>
    <t>Oak Lodge</t>
  </si>
  <si>
    <t>Upton Snodsbury</t>
  </si>
  <si>
    <t>Worcestershire</t>
  </si>
  <si>
    <t>WR7 4NH</t>
  </si>
  <si>
    <t>07730455350</t>
  </si>
  <si>
    <t>gemmaspraguezane@gmail.com</t>
  </si>
  <si>
    <t>Mrs Gemma Sprague</t>
  </si>
  <si>
    <t>BA18413704</t>
  </si>
  <si>
    <t>Geraldine</t>
  </si>
  <si>
    <t>Steadman</t>
  </si>
  <si>
    <t>27 Holly Walk</t>
  </si>
  <si>
    <t>Silsoe</t>
  </si>
  <si>
    <t>MK45 4EB</t>
  </si>
  <si>
    <t>07891477539</t>
  </si>
  <si>
    <t>geraldinesteadman@hotmail.com</t>
  </si>
  <si>
    <t>Geraldine Steadman</t>
  </si>
  <si>
    <t>Stubleywood Tantivy Tam</t>
  </si>
  <si>
    <t>AT02194304</t>
  </si>
  <si>
    <t>Lollipups Simply Fab</t>
  </si>
  <si>
    <t>KO279105</t>
  </si>
  <si>
    <t>OB. CH. Firetouch Great Xpectation</t>
  </si>
  <si>
    <t>K0261995</t>
  </si>
  <si>
    <t>Steele</t>
  </si>
  <si>
    <t>57 Church Street</t>
  </si>
  <si>
    <t>Digby</t>
  </si>
  <si>
    <t>Lincoln</t>
  </si>
  <si>
    <t>LN4 3LZ</t>
  </si>
  <si>
    <t>jazzollie57@gmail.com</t>
  </si>
  <si>
    <t>Mrs S Steele</t>
  </si>
  <si>
    <t>Sheltysham Slim Roadie</t>
  </si>
  <si>
    <t>AT03621503</t>
  </si>
  <si>
    <t>Sheltysham Spring Surprise</t>
  </si>
  <si>
    <t>BA21399701</t>
  </si>
  <si>
    <t>Stewart</t>
  </si>
  <si>
    <t>11 First Avenue</t>
  </si>
  <si>
    <t>Queenborough</t>
  </si>
  <si>
    <t>ME11 5JF</t>
  </si>
  <si>
    <t>01795 585401</t>
  </si>
  <si>
    <t>carol@mojucabordercollies.com</t>
  </si>
  <si>
    <t>Mrs C A Stewart</t>
  </si>
  <si>
    <t>Mojuca Whoopsadazy</t>
  </si>
  <si>
    <t>K0280063</t>
  </si>
  <si>
    <t>Mojuca Halfblud Prinz</t>
  </si>
  <si>
    <t>K0280061</t>
  </si>
  <si>
    <t>Stewart-Baldrey</t>
  </si>
  <si>
    <t>96 Edinburgh Ave</t>
  </si>
  <si>
    <t>NR31 7HE</t>
  </si>
  <si>
    <t>01493 604021</t>
  </si>
  <si>
    <t>jbaldrey40@gmail.com</t>
  </si>
  <si>
    <t>Janet Stewart-Baldrey</t>
  </si>
  <si>
    <t>Elystari Live the Dream</t>
  </si>
  <si>
    <t>BC28484204</t>
  </si>
  <si>
    <t>Tambuzi out of the blue</t>
  </si>
  <si>
    <t>AX04576102</t>
  </si>
  <si>
    <t>Tilemash to the moon and back</t>
  </si>
  <si>
    <t>K152631</t>
  </si>
  <si>
    <t>Rhonda</t>
  </si>
  <si>
    <t>Stokes</t>
  </si>
  <si>
    <t>5 Halls Drive</t>
  </si>
  <si>
    <t>Gressenhall</t>
  </si>
  <si>
    <t>DEREHAM</t>
  </si>
  <si>
    <t>NR20 4EJ</t>
  </si>
  <si>
    <t>07931706545</t>
  </si>
  <si>
    <t>rhonda.stokes@btinternet.com</t>
  </si>
  <si>
    <t>Rhonda Stokes</t>
  </si>
  <si>
    <t>A Bear Necessity</t>
  </si>
  <si>
    <t>K166547</t>
  </si>
  <si>
    <t>Collie/Retreiver cross</t>
  </si>
  <si>
    <t>Borderpride Laced in Love</t>
  </si>
  <si>
    <t>BB23509205</t>
  </si>
  <si>
    <t>Jude</t>
  </si>
  <si>
    <t>Stone</t>
  </si>
  <si>
    <t>3 Cyprus Cottages</t>
  </si>
  <si>
    <t>Camps Heath</t>
  </si>
  <si>
    <t>NR32 5DP</t>
  </si>
  <si>
    <t>01502393245</t>
  </si>
  <si>
    <t>judedoghouse@hotmail.co.uk</t>
  </si>
  <si>
    <t>Ms J Stone</t>
  </si>
  <si>
    <t>Alpana A Sense of Style</t>
  </si>
  <si>
    <t>Ax03766703</t>
  </si>
  <si>
    <t>Longsdale Itzditz</t>
  </si>
  <si>
    <t>AZ15501404</t>
  </si>
  <si>
    <t>German Spitz</t>
  </si>
  <si>
    <t>Tambuzi Fizz Factor</t>
  </si>
  <si>
    <t>BC27655105</t>
  </si>
  <si>
    <t>Andrea</t>
  </si>
  <si>
    <t>Stubbings</t>
  </si>
  <si>
    <t>East pightle,  free lane</t>
  </si>
  <si>
    <t>Ditchingham</t>
  </si>
  <si>
    <t>Bungay</t>
  </si>
  <si>
    <t>NR35 2DW</t>
  </si>
  <si>
    <t>01986 893308</t>
  </si>
  <si>
    <t>stubbingsandrea75@gmail.com</t>
  </si>
  <si>
    <t>Andrea Stubbings</t>
  </si>
  <si>
    <t>Janski Tamadeus</t>
  </si>
  <si>
    <t>AU04636904</t>
  </si>
  <si>
    <t>Cesky Terrier</t>
  </si>
  <si>
    <t>Komidion QuickSilver at Silak</t>
  </si>
  <si>
    <t>AW03946201</t>
  </si>
  <si>
    <t>Roberta</t>
  </si>
  <si>
    <t>Summerfield</t>
  </si>
  <si>
    <t>Willow Farm</t>
  </si>
  <si>
    <t>Mattishall Rd Garvestone</t>
  </si>
  <si>
    <t>NR9 4QP</t>
  </si>
  <si>
    <t>01362850266</t>
  </si>
  <si>
    <t>roberta.summerfield.0@gmail.com</t>
  </si>
  <si>
    <t>Mr M and Mrs R Summerfield</t>
  </si>
  <si>
    <t>Into The Storm Over Ranahan</t>
  </si>
  <si>
    <t>KO271997</t>
  </si>
  <si>
    <t>Alice</t>
  </si>
  <si>
    <t>Suttle</t>
  </si>
  <si>
    <t>56 Chitts Hill</t>
  </si>
  <si>
    <t>CO3 9ST</t>
  </si>
  <si>
    <t>07941946447</t>
  </si>
  <si>
    <t>sualice@seznam.cz</t>
  </si>
  <si>
    <t>Mrs A Suttle</t>
  </si>
  <si>
    <t>The Perfect Pickle</t>
  </si>
  <si>
    <t>K0265570</t>
  </si>
  <si>
    <t>Lesley</t>
  </si>
  <si>
    <t>Taylor</t>
  </si>
  <si>
    <t>Red Lodge Barn</t>
  </si>
  <si>
    <t>Middleton Moor</t>
  </si>
  <si>
    <t>IP17 3LN</t>
  </si>
  <si>
    <t>07970257329</t>
  </si>
  <si>
    <t>taylormadeflowers@yahoo.co.uk</t>
  </si>
  <si>
    <t>Mrs L J Taylor</t>
  </si>
  <si>
    <t>Mr Cole Rhealey</t>
  </si>
  <si>
    <t>K0264416</t>
  </si>
  <si>
    <t>Gwen</t>
  </si>
  <si>
    <t>Todd</t>
  </si>
  <si>
    <t>Low Grounds Farm, Huggin Carr Road</t>
  </si>
  <si>
    <t>Hatfield Woodhouse</t>
  </si>
  <si>
    <t>DN7 6BY</t>
  </si>
  <si>
    <t>07989234830</t>
  </si>
  <si>
    <t>gwentodd@hotmail.co.uk</t>
  </si>
  <si>
    <t>Mrs Gwen Todd</t>
  </si>
  <si>
    <t>Peakybonds Echo Saurus</t>
  </si>
  <si>
    <t>BC30783906</t>
  </si>
  <si>
    <t>Peakybonds Acer</t>
  </si>
  <si>
    <t>BA19706804</t>
  </si>
  <si>
    <t>Torlot</t>
  </si>
  <si>
    <t>2 Turnberry Close</t>
  </si>
  <si>
    <t>NR33 9JN</t>
  </si>
  <si>
    <t>01502518646</t>
  </si>
  <si>
    <t>m.torlot@talktalk.net</t>
  </si>
  <si>
    <t>Miss M Torlot</t>
  </si>
  <si>
    <t>Thelairs Little Ewok</t>
  </si>
  <si>
    <t>AT00030702</t>
  </si>
  <si>
    <t>WaveneneyRiver Moss</t>
  </si>
  <si>
    <t>AY08658402</t>
  </si>
  <si>
    <t>Retriever (Labrador)</t>
  </si>
  <si>
    <t>Ann</t>
  </si>
  <si>
    <t>Trodd</t>
  </si>
  <si>
    <t>23 Locks Road</t>
  </si>
  <si>
    <t>Westhall</t>
  </si>
  <si>
    <t>IP198RD</t>
  </si>
  <si>
    <t>07846384616</t>
  </si>
  <si>
    <t>ann@ukkiss.net</t>
  </si>
  <si>
    <t>Mrs A M Trodd</t>
  </si>
  <si>
    <t>Chelsasa Open Secret</t>
  </si>
  <si>
    <t>AZ13733301</t>
  </si>
  <si>
    <t>The Annexe at Haggle House, Scole Road</t>
  </si>
  <si>
    <t>Thorpe Abbotts</t>
  </si>
  <si>
    <t>IP21 4HS</t>
  </si>
  <si>
    <t>01379 669026</t>
  </si>
  <si>
    <t>norfolktroths@hotmail.com</t>
  </si>
  <si>
    <t>hazel elizabeth troth</t>
  </si>
  <si>
    <t>Tamar Rio De Ouro</t>
  </si>
  <si>
    <t>AT03048202</t>
  </si>
  <si>
    <t>Turberfield</t>
  </si>
  <si>
    <t>Black Pear House</t>
  </si>
  <si>
    <t>44 Mendham Lane</t>
  </si>
  <si>
    <t>IP20 9DN</t>
  </si>
  <si>
    <t>01379423585</t>
  </si>
  <si>
    <t>carolturberfield@sky.com</t>
  </si>
  <si>
    <t>Mrs Carol Turberfield</t>
  </si>
  <si>
    <t>Jessica of Black Pear House</t>
  </si>
  <si>
    <t>F5-00015-2020</t>
  </si>
  <si>
    <t>Tickle My Heart Princess</t>
  </si>
  <si>
    <t>K0277090</t>
  </si>
  <si>
    <t>Venus</t>
  </si>
  <si>
    <t>21 Blackthorn Road</t>
  </si>
  <si>
    <t>Witham</t>
  </si>
  <si>
    <t>CM8 2XZ</t>
  </si>
  <si>
    <t>01376 501687</t>
  </si>
  <si>
    <t>flynnstone2007@hotmail.co.uk</t>
  </si>
  <si>
    <t>Miss T A Venus</t>
  </si>
  <si>
    <t>Kiralytanyai Hakuna Matata A Ex AWB</t>
  </si>
  <si>
    <t>K155391</t>
  </si>
  <si>
    <t>Running order in class B dog and bitch with Riverspell SHES ON FIRE preferred please._x000D_
_x000D_
Unregistered NFC - Tala - bitch - Mudi - 22/08/2025</t>
  </si>
  <si>
    <t>Riverspell Red Hot Flier A EX. AWG</t>
  </si>
  <si>
    <t>AU03435604</t>
  </si>
  <si>
    <t>Riverspell Shes On Fire</t>
  </si>
  <si>
    <t>BB23264405</t>
  </si>
  <si>
    <t>Dentbros Jack Of Diamonds B Ex OW</t>
  </si>
  <si>
    <t>AP00325801</t>
  </si>
  <si>
    <t>I'm No Angel</t>
  </si>
  <si>
    <t>K145194</t>
  </si>
  <si>
    <t>Greyhound</t>
  </si>
  <si>
    <t>Kiralytanyai Hantaywee</t>
  </si>
  <si>
    <t>K157109</t>
  </si>
  <si>
    <t>Riverspell Beam Me Up A Ex AWS</t>
  </si>
  <si>
    <t>AR01302804</t>
  </si>
  <si>
    <t>Rooqui's Twisted Tea</t>
  </si>
  <si>
    <t>AZ16059508</t>
  </si>
  <si>
    <t>Walker</t>
  </si>
  <si>
    <t>Haggle House, Scole Road, Thorpe Abbotts, Thorpe Abbotts</t>
  </si>
  <si>
    <t>07956295625</t>
  </si>
  <si>
    <t>suzanne.weewar@gmail.com</t>
  </si>
  <si>
    <t>Westoning River Of Joy</t>
  </si>
  <si>
    <t>K0266808</t>
  </si>
  <si>
    <t>14 JERMYN AVENUE</t>
  </si>
  <si>
    <t>BURY ST EDMUNDS</t>
  </si>
  <si>
    <t>IP32 7LJ</t>
  </si>
  <si>
    <t>07899752539</t>
  </si>
  <si>
    <t>gpjwalker@gmail.com</t>
  </si>
  <si>
    <t>Mrs G Walker</t>
  </si>
  <si>
    <t>K0265018</t>
  </si>
  <si>
    <t>Birgit</t>
  </si>
  <si>
    <t>Werner-Dellar</t>
  </si>
  <si>
    <t>Danesridge</t>
  </si>
  <si>
    <t>The Ridge</t>
  </si>
  <si>
    <t>Little Baddow</t>
  </si>
  <si>
    <t>CM3 4RX</t>
  </si>
  <si>
    <t>07796267669</t>
  </si>
  <si>
    <t>birgitwernerdellar@gmail.com</t>
  </si>
  <si>
    <t>Birgit Werner-Dellar</t>
  </si>
  <si>
    <t>Hightimbers Ticket To Rock</t>
  </si>
  <si>
    <t>AX01103603</t>
  </si>
  <si>
    <t>19 LEYSIDE</t>
  </si>
  <si>
    <t>RAYNE</t>
  </si>
  <si>
    <t>BRAINTREE</t>
  </si>
  <si>
    <t>ESSEX</t>
  </si>
  <si>
    <t>CM776DE</t>
  </si>
  <si>
    <t>01376324372</t>
  </si>
  <si>
    <t>accounts@westofrayne.co.uk</t>
  </si>
  <si>
    <t>RAYNECHASER</t>
  </si>
  <si>
    <t>Raynechaser Luna Eclipse</t>
  </si>
  <si>
    <t>AW02877601</t>
  </si>
  <si>
    <t>Kath</t>
  </si>
  <si>
    <t>Westell</t>
  </si>
  <si>
    <t>4, Atherton Gdns.</t>
  </si>
  <si>
    <t>Linford Road</t>
  </si>
  <si>
    <t>Chadwell St. Mary</t>
  </si>
  <si>
    <t>RM16 4LF</t>
  </si>
  <si>
    <t>01375 846502</t>
  </si>
  <si>
    <t>ebbykajo@tiscali.co.uk</t>
  </si>
  <si>
    <t>Mrs. K. Westell</t>
  </si>
  <si>
    <t>Sarkam Sure Shot for Kajo</t>
  </si>
  <si>
    <t>AV0902149</t>
  </si>
  <si>
    <t>Borderlair Rafa What a Racket</t>
  </si>
  <si>
    <t>K0276451</t>
  </si>
  <si>
    <t>AWO1052801</t>
  </si>
  <si>
    <t>Wheatcroft</t>
  </si>
  <si>
    <t>20 Henderson Close</t>
  </si>
  <si>
    <t>St Albans</t>
  </si>
  <si>
    <t>AL3 6DY</t>
  </si>
  <si>
    <t>07779 577009</t>
  </si>
  <si>
    <t>wendy_wheatcroft@yahoo.co.uk</t>
  </si>
  <si>
    <t>Wendy Wheatcroft</t>
  </si>
  <si>
    <t>Moonwater Kiara</t>
  </si>
  <si>
    <t>AV03300803</t>
  </si>
  <si>
    <t>Wonderful Winnie</t>
  </si>
  <si>
    <t>AQ02758601</t>
  </si>
  <si>
    <t>Papillon</t>
  </si>
  <si>
    <t>BA21187306</t>
  </si>
  <si>
    <t>46 Chippendayle Drive</t>
  </si>
  <si>
    <t>Harrietsham</t>
  </si>
  <si>
    <t>ME17 1AD</t>
  </si>
  <si>
    <t>juleswheeler7@hotmail.com</t>
  </si>
  <si>
    <t>jules wheeler/kevin morris</t>
  </si>
  <si>
    <t>Dormouse Indahouse</t>
  </si>
  <si>
    <t>KO265149</t>
  </si>
  <si>
    <t>Whelan</t>
  </si>
  <si>
    <t>Elms</t>
  </si>
  <si>
    <t>Samsons Road</t>
  </si>
  <si>
    <t>Brightlingsea</t>
  </si>
  <si>
    <t>CO7 0RN</t>
  </si>
  <si>
    <t>07986531838</t>
  </si>
  <si>
    <t>whelan37@btinternet.com</t>
  </si>
  <si>
    <t>Julie Whelan</t>
  </si>
  <si>
    <t>Sualbyronete Life Of Byron</t>
  </si>
  <si>
    <t>AS00031001</t>
  </si>
  <si>
    <t>Yorkshire Terrier</t>
  </si>
  <si>
    <t>Sualbyronete Perfect Peony</t>
  </si>
  <si>
    <t>AX03796203</t>
  </si>
  <si>
    <t>41 hillie bunnies</t>
  </si>
  <si>
    <t>earls colne</t>
  </si>
  <si>
    <t>colchester</t>
  </si>
  <si>
    <t>essex</t>
  </si>
  <si>
    <t>CO6 2RX</t>
  </si>
  <si>
    <t>01787 223864</t>
  </si>
  <si>
    <t>angelawhitnell@yahoo.com</t>
  </si>
  <si>
    <t>angela whitnell</t>
  </si>
  <si>
    <t>AYO61421O6</t>
  </si>
  <si>
    <t>Paris</t>
  </si>
  <si>
    <t>Wilkie</t>
  </si>
  <si>
    <t>51 mendham lane</t>
  </si>
  <si>
    <t>IP209DW</t>
  </si>
  <si>
    <t>07932415807</t>
  </si>
  <si>
    <t>paris03kat@gmail.com</t>
  </si>
  <si>
    <t>Paris Wilkie</t>
  </si>
  <si>
    <t>KO279312</t>
  </si>
  <si>
    <t>Deborah</t>
  </si>
  <si>
    <t>Williams</t>
  </si>
  <si>
    <t>5 Lucas Court</t>
  </si>
  <si>
    <t>Biddenham</t>
  </si>
  <si>
    <t>MK40 4RN</t>
  </si>
  <si>
    <t>07775603758</t>
  </si>
  <si>
    <t>deb.williams@digitalquay.co.uk</t>
  </si>
  <si>
    <t>Mrs D M Williams</t>
  </si>
  <si>
    <t>Killiebrae Kazak</t>
  </si>
  <si>
    <t>AZ0916939</t>
  </si>
  <si>
    <t>Kate</t>
  </si>
  <si>
    <t>Lindavale, Methwold Road</t>
  </si>
  <si>
    <t>Whittington</t>
  </si>
  <si>
    <t>PE33 9RX</t>
  </si>
  <si>
    <t>01366 500768</t>
  </si>
  <si>
    <t>p.williams567@btinternet.com</t>
  </si>
  <si>
    <t>Kate Williams</t>
  </si>
  <si>
    <t>Bramleynest Redwood</t>
  </si>
  <si>
    <t>AZ17738301</t>
  </si>
  <si>
    <t>Catello Galaxy</t>
  </si>
  <si>
    <t>AY09508901</t>
  </si>
  <si>
    <t>Catello Tika</t>
  </si>
  <si>
    <t>AU02835903</t>
  </si>
  <si>
    <t>Lakatamia Gio</t>
  </si>
  <si>
    <t>AS03883403</t>
  </si>
  <si>
    <t>Lindavale</t>
  </si>
  <si>
    <t>Methwold road</t>
  </si>
  <si>
    <t>01366 500 768</t>
  </si>
  <si>
    <t>Mrs p Williams</t>
  </si>
  <si>
    <t>Catello Nessie</t>
  </si>
  <si>
    <t>AV02279702</t>
  </si>
  <si>
    <t>Delanor Just Jammin</t>
  </si>
  <si>
    <t>AP02113405</t>
  </si>
  <si>
    <t>3 Pudds Cross Cottages</t>
  </si>
  <si>
    <t>Pudds Cross</t>
  </si>
  <si>
    <t>Bovingdon</t>
  </si>
  <si>
    <t>HP3 0NJ</t>
  </si>
  <si>
    <t>07867 977382</t>
  </si>
  <si>
    <t>clare@puddscross.com</t>
  </si>
  <si>
    <t>Miss C F Williams</t>
  </si>
  <si>
    <t>Cauli Boli</t>
  </si>
  <si>
    <t>K167585</t>
  </si>
  <si>
    <t>Russell Sprout</t>
  </si>
  <si>
    <t>K144941</t>
  </si>
  <si>
    <t>Turnip Forthebooks</t>
  </si>
  <si>
    <t>K0276841</t>
  </si>
  <si>
    <t>Williamson</t>
  </si>
  <si>
    <t>4 Cross Road, Nether Hill</t>
  </si>
  <si>
    <t>Gestingthorpe</t>
  </si>
  <si>
    <t>CO9 3BE</t>
  </si>
  <si>
    <t>07543838175</t>
  </si>
  <si>
    <t>joannawilliamson1975@gmail.com</t>
  </si>
  <si>
    <t>Mr &amp; Mrs M Williamson</t>
  </si>
  <si>
    <t>Tilemash It's Now Or Never</t>
  </si>
  <si>
    <t>K0268953</t>
  </si>
  <si>
    <t>WORKING SHEEPDOG</t>
  </si>
  <si>
    <t>Amanda</t>
  </si>
  <si>
    <t>Winborne</t>
  </si>
  <si>
    <t>8 Beams Close</t>
  </si>
  <si>
    <t>Billericay</t>
  </si>
  <si>
    <t>CM112NW</t>
  </si>
  <si>
    <t>01277657769</t>
  </si>
  <si>
    <t>amanda_winborne@yahoo.co.uk</t>
  </si>
  <si>
    <t>Miss Amanda Winborne</t>
  </si>
  <si>
    <t>Moonseeker Usuriously Sky</t>
  </si>
  <si>
    <t>AV04227201</t>
  </si>
  <si>
    <t>Falkenwald Cinder</t>
  </si>
  <si>
    <t>AY06903703</t>
  </si>
  <si>
    <t>10 Easton end</t>
  </si>
  <si>
    <t>laindon west</t>
  </si>
  <si>
    <t>Basildon</t>
  </si>
  <si>
    <t>SS156QB</t>
  </si>
  <si>
    <t>01268 472139</t>
  </si>
  <si>
    <t>gill.winyard@yahoo.com</t>
  </si>
  <si>
    <t>gillian winyard</t>
  </si>
  <si>
    <t>Stockyard Final Tri</t>
  </si>
  <si>
    <t>KO2783886</t>
  </si>
  <si>
    <t>Stockyard Secret Stetson</t>
  </si>
  <si>
    <t>K0261024</t>
  </si>
  <si>
    <t>AZ12932402</t>
  </si>
  <si>
    <t>Withey</t>
  </si>
  <si>
    <t>The Harrow</t>
  </si>
  <si>
    <t>Tumbril Lane</t>
  </si>
  <si>
    <t>Brockdish</t>
  </si>
  <si>
    <t>IP214JU</t>
  </si>
  <si>
    <t>01379 852499</t>
  </si>
  <si>
    <t>helen.withey@btinternet.com</t>
  </si>
  <si>
    <t>Miss Helen Withey</t>
  </si>
  <si>
    <t>Decoymans Piper Kes</t>
  </si>
  <si>
    <t>BA19875307</t>
  </si>
  <si>
    <t>Decoymans Piper Day Dream</t>
  </si>
  <si>
    <t>BC28014811</t>
  </si>
  <si>
    <t>Kathy</t>
  </si>
  <si>
    <t>Woodgreaves</t>
  </si>
  <si>
    <t>66 Ship Road</t>
  </si>
  <si>
    <t>Pakefield</t>
  </si>
  <si>
    <t>NR33 7DP</t>
  </si>
  <si>
    <t>07745415909</t>
  </si>
  <si>
    <t>k.woodgreaves666@btinternet.com</t>
  </si>
  <si>
    <t>Miss K Woodgreaves</t>
  </si>
  <si>
    <t>Buskru Mixologist</t>
  </si>
  <si>
    <t>K0269053</t>
  </si>
  <si>
    <t>If classes split could I be in pt 1 both days please</t>
  </si>
  <si>
    <t>Barbara</t>
  </si>
  <si>
    <t>Wuidart</t>
  </si>
  <si>
    <t>Meadow View</t>
  </si>
  <si>
    <t>Keysoe Row West</t>
  </si>
  <si>
    <t>Keysoe</t>
  </si>
  <si>
    <t>MK44 2 JG</t>
  </si>
  <si>
    <t>01234 376234</t>
  </si>
  <si>
    <t>barbarawuidart@outlook.com</t>
  </si>
  <si>
    <t>Mrs B A Wuidart</t>
  </si>
  <si>
    <t>Borderlair Race for Life</t>
  </si>
  <si>
    <t>KO276446</t>
  </si>
  <si>
    <t>Ruskath Key Image</t>
  </si>
  <si>
    <t>K155792</t>
  </si>
  <si>
    <t>Sarkam Pi in the Sky OW</t>
  </si>
  <si>
    <t>K143701</t>
  </si>
  <si>
    <t>Annabel</t>
  </si>
  <si>
    <t>Wyatt</t>
  </si>
  <si>
    <t>65 Tilkey Road</t>
  </si>
  <si>
    <t>Coggeshall</t>
  </si>
  <si>
    <t>CO6 1PH</t>
  </si>
  <si>
    <t>01376561200</t>
  </si>
  <si>
    <t>annabel.wyatt@keme.co.uk</t>
  </si>
  <si>
    <t>Mrs Annabel Wyatt</t>
  </si>
  <si>
    <t>Kentwone Lucky Toffee</t>
  </si>
  <si>
    <t>AY05791008</t>
  </si>
  <si>
    <t>Gina</t>
  </si>
  <si>
    <t>Zantboer</t>
  </si>
  <si>
    <t>Stone Heaps</t>
  </si>
  <si>
    <t>Orwell Rise</t>
  </si>
  <si>
    <t>Chelmondiston</t>
  </si>
  <si>
    <t>IP9 1JL</t>
  </si>
  <si>
    <t>01473 780748</t>
  </si>
  <si>
    <t>gina@stoneheapspinmill.co.uk</t>
  </si>
  <si>
    <t>Miss R A Zantboer</t>
  </si>
  <si>
    <t>Bamboozle Zara (A EX.)</t>
  </si>
  <si>
    <t>K0372154</t>
  </si>
  <si>
    <t>As I am judging on Saturday I'd appreciate not having an early running order on Sunday. Thank You</t>
  </si>
  <si>
    <t>CALI IN FOR A PENNY. NOV EX</t>
  </si>
  <si>
    <t>K16773</t>
  </si>
  <si>
    <t>Spice It Up. AW (B) (C EX.) (OW)</t>
  </si>
  <si>
    <t>K154945</t>
  </si>
  <si>
    <t>Class Name</t>
  </si>
  <si>
    <t>Class Number</t>
  </si>
  <si>
    <t>Christine Bowles</t>
  </si>
  <si>
    <t>Kath Westell</t>
  </si>
  <si>
    <t>INTRODUCTORY (DOG &amp; BITCH)</t>
  </si>
  <si>
    <t>PRE-BEGINNER (DOG &amp; BITCH)</t>
  </si>
  <si>
    <t>BEGINNER (DOG &amp; BITCH)</t>
  </si>
  <si>
    <t>NOVICE (DOG &amp; BITCH)</t>
  </si>
  <si>
    <t>CLASS 'A' (DOG &amp; BITCH)</t>
  </si>
  <si>
    <t>CLASS 'B' (DOG &amp; BITCH)</t>
  </si>
  <si>
    <t>CLASS 'C' (DOG &amp; BITCH)</t>
  </si>
  <si>
    <t>Number in Part 1</t>
  </si>
  <si>
    <t>Number in Part 2</t>
  </si>
  <si>
    <t>Judge</t>
  </si>
  <si>
    <t>Judge Part 2</t>
  </si>
  <si>
    <t>SPECIAL FUN CLASS</t>
  </si>
  <si>
    <t>WYD</t>
  </si>
  <si>
    <t>Paper</t>
  </si>
  <si>
    <t>Name</t>
  </si>
  <si>
    <t>Email</t>
  </si>
  <si>
    <t>Phone</t>
  </si>
  <si>
    <t>Fri</t>
  </si>
  <si>
    <t>Sat</t>
  </si>
  <si>
    <t>Sun</t>
  </si>
  <si>
    <t>Notes</t>
  </si>
  <si>
    <t>Miss Gill Garraway</t>
  </si>
  <si>
    <t>Mrs Carol Stewart</t>
  </si>
  <si>
    <t>Mr GRAHAM DYKE</t>
  </si>
  <si>
    <t>Mrs TRUDY HYMAN</t>
  </si>
  <si>
    <t>Ms Natalie Knaack-Enkelmann</t>
  </si>
  <si>
    <t>Mrs Jennifer Runge</t>
  </si>
  <si>
    <t>Mr geoff painting</t>
  </si>
  <si>
    <t>Miss Kim Mercer</t>
  </si>
  <si>
    <t>kim.walkies@btinternet.com</t>
  </si>
  <si>
    <t>Mrs Sonia Elvin</t>
  </si>
  <si>
    <t>Mrs Lynda Snowling</t>
  </si>
  <si>
    <t>Mrs Lynne Darby</t>
  </si>
  <si>
    <t>Mrs Wendy Hagger</t>
  </si>
  <si>
    <t>Mrs Denise Platts</t>
  </si>
  <si>
    <t>Mrs Clair Dick</t>
  </si>
  <si>
    <t>Miss Miranda Humphreys</t>
  </si>
  <si>
    <t>Mrs Sue Jaggers</t>
  </si>
  <si>
    <t>Mrs Caroline Gebbie</t>
  </si>
  <si>
    <t>Miss Rosie Colwood</t>
  </si>
  <si>
    <t>Mrs Sandra Samways</t>
  </si>
  <si>
    <t>Mr Alex Berry</t>
  </si>
  <si>
    <t>Mrs Susan Parmiter</t>
  </si>
  <si>
    <t>Mr Sue Benstock</t>
  </si>
  <si>
    <t>Mrs LYNDA middlemas</t>
  </si>
  <si>
    <t>Mrs Christine Richardson</t>
  </si>
  <si>
    <t>Miss Victoria Main</t>
  </si>
  <si>
    <t>Mrs Helen Jermy</t>
  </si>
  <si>
    <t>Mrs Julie Sheldrake</t>
  </si>
  <si>
    <t>Mrs Wendy Birch</t>
  </si>
  <si>
    <t>Mrs Rhonda Stokes</t>
  </si>
  <si>
    <t>Ms Jan Corr</t>
  </si>
  <si>
    <t>Mrs Lesley Taylor</t>
  </si>
  <si>
    <t>Mrs vivian oakey</t>
  </si>
  <si>
    <t>Mrs Patricia Gage</t>
  </si>
  <si>
    <t>Ms Rosemary Bate</t>
  </si>
  <si>
    <t>Miss Kathy Woodgreaves</t>
  </si>
  <si>
    <t>Mrs Tracy Jackaman</t>
  </si>
  <si>
    <t>Mrs Helen Clarence</t>
  </si>
  <si>
    <t>Mrs angela whitnell</t>
  </si>
  <si>
    <t>Mrs Jane Hall</t>
  </si>
  <si>
    <t>Mrs Geraldine Steadman</t>
  </si>
  <si>
    <t>Miss Jennifer Marriott</t>
  </si>
  <si>
    <t>Mr Bridgette Cameron</t>
  </si>
  <si>
    <t>Mrs Gloria Fountain</t>
  </si>
  <si>
    <t>Y</t>
  </si>
  <si>
    <t>447587132666</t>
  </si>
  <si>
    <t>441728660244</t>
  </si>
  <si>
    <t/>
  </si>
  <si>
    <t>Andrew Bird</t>
  </si>
  <si>
    <t>Sarah Collins</t>
  </si>
  <si>
    <t>Julie Enright</t>
  </si>
  <si>
    <t>Dawn Mason</t>
  </si>
  <si>
    <t>£40 paid</t>
  </si>
  <si>
    <t>FREE</t>
  </si>
  <si>
    <t>Shown as FULL on WyD list</t>
  </si>
  <si>
    <t>Paid for:</t>
  </si>
  <si>
    <t>Free:</t>
  </si>
  <si>
    <t>Total:</t>
  </si>
  <si>
    <t>Totals</t>
  </si>
  <si>
    <t>Total Entries</t>
  </si>
  <si>
    <t>Chlosarian Phoenix</t>
  </si>
  <si>
    <t>K146399</t>
  </si>
  <si>
    <t>Ob Ch Sarkham Thunder Storm</t>
  </si>
  <si>
    <t>XB</t>
  </si>
  <si>
    <t>Jotars Riley's Design</t>
  </si>
  <si>
    <t>AQ00348101</t>
  </si>
  <si>
    <t>Sancroft Serendipity</t>
  </si>
  <si>
    <t>Arkens Dolly Mixture</t>
  </si>
  <si>
    <t>K162259</t>
  </si>
  <si>
    <t xml:space="preserve">I will have a puppy with me when I come to your show, he‚Äôs not registered with the kennel club yet but will be when it's your show. Thanks </t>
  </si>
  <si>
    <t>Ashby</t>
  </si>
  <si>
    <t>Blakesley</t>
  </si>
  <si>
    <t>Coles</t>
  </si>
  <si>
    <t>Carole</t>
  </si>
  <si>
    <t>Hanney</t>
  </si>
  <si>
    <t>James</t>
  </si>
  <si>
    <t>Suzanna</t>
  </si>
  <si>
    <t>Hough</t>
  </si>
  <si>
    <t>Howse</t>
  </si>
  <si>
    <t>Valerie</t>
  </si>
  <si>
    <t>Trudy</t>
  </si>
  <si>
    <t>Hyman</t>
  </si>
  <si>
    <t>Johnson</t>
  </si>
  <si>
    <t>Keith</t>
  </si>
  <si>
    <t>McManus</t>
  </si>
  <si>
    <t>Middlemas</t>
  </si>
  <si>
    <t>Oakey</t>
  </si>
  <si>
    <t>Vivian</t>
  </si>
  <si>
    <t>Geoff</t>
  </si>
  <si>
    <t>Painting</t>
  </si>
  <si>
    <t>Ridgers</t>
  </si>
  <si>
    <t>Robinson</t>
  </si>
  <si>
    <t>Jacky</t>
  </si>
  <si>
    <t>Hazel</t>
  </si>
  <si>
    <t>Troth</t>
  </si>
  <si>
    <t>West</t>
  </si>
  <si>
    <t>Jules</t>
  </si>
  <si>
    <t>Wheeler</t>
  </si>
  <si>
    <t>Whitnell</t>
  </si>
  <si>
    <t>Winyard</t>
  </si>
  <si>
    <t>Mischief a D'Lite at Soxette</t>
  </si>
  <si>
    <t>Purbarn Its Riders on a Storm at Applebel</t>
  </si>
  <si>
    <t>Lovely Dovelee</t>
  </si>
  <si>
    <t>Buskru Notaff Ahkenoodle</t>
  </si>
  <si>
    <t>Lynzensu Hot to Trot</t>
  </si>
  <si>
    <t>Aliola's Galway Girl</t>
  </si>
  <si>
    <t>Sixela Solstice</t>
  </si>
  <si>
    <t>Death Rode In on a Pale Horse</t>
  </si>
  <si>
    <t>Tambuzi Fizzy Pop</t>
  </si>
  <si>
    <t>Buddy Hero of my Heart</t>
  </si>
  <si>
    <t>Dobbys Little Helper</t>
  </si>
  <si>
    <t>Tilemash Blaydon Races</t>
  </si>
  <si>
    <t>Aniwahyas Degataga</t>
  </si>
  <si>
    <t>Sir Fudgerston the Third NAF</t>
  </si>
  <si>
    <t>Longwaves Light of the Moon</t>
  </si>
  <si>
    <t>Longwaves Spirit of the Moon</t>
  </si>
  <si>
    <t>Fayken Capone</t>
  </si>
  <si>
    <t>Nryeemas's Bomber</t>
  </si>
  <si>
    <t>Serenpursut Tomato of Rethymni</t>
  </si>
  <si>
    <t>Peloponnesus Sparta of Rethymni</t>
  </si>
  <si>
    <t>Stockyard Mity Blue Mini Me of Rethymni</t>
  </si>
  <si>
    <t>Fly by Night Kody (BA3)</t>
  </si>
  <si>
    <t>Queen of the Inyaht</t>
  </si>
  <si>
    <t>Him So Fancy Captain Kaos</t>
  </si>
  <si>
    <t>Mo Star of Ballina</t>
  </si>
  <si>
    <t>Rainbow Paws Madina of Mid</t>
  </si>
  <si>
    <t>Stormlake's Pioneer</t>
  </si>
  <si>
    <t>Stardell Hektor CDX UDX WDX TDX</t>
  </si>
  <si>
    <t>Malaridge Wishing on a Star</t>
  </si>
  <si>
    <t>They Call Him the Bandit</t>
  </si>
  <si>
    <t>Suzie Que's Izzy Wizzy</t>
  </si>
  <si>
    <t>Stardell  Izar</t>
  </si>
  <si>
    <t>Serpentine des Guerriers d'Hades</t>
  </si>
  <si>
    <t>Destiny Ex Mera Passio</t>
  </si>
  <si>
    <t>Isley Cool Connection</t>
  </si>
  <si>
    <t>Only Power de la Rouquine</t>
  </si>
  <si>
    <t>Sixela Flyin Comet</t>
  </si>
  <si>
    <t>Tambuzi Who Dares Wins</t>
  </si>
  <si>
    <t>Stormlake's It's So Easy</t>
  </si>
  <si>
    <t>And Jus Lik That</t>
  </si>
  <si>
    <t>Shoulda Woulda Coulda Win</t>
  </si>
  <si>
    <t>Corneroak Golden Ninja</t>
  </si>
  <si>
    <t>Elsanna Swipe Right</t>
  </si>
  <si>
    <t>Alnmac Don't Stop Me Now</t>
  </si>
  <si>
    <t>Sheltysham Fly by Night with Alnmac</t>
  </si>
  <si>
    <t>Alnmac Midnight Flyer</t>
  </si>
  <si>
    <t>Sheltysham Nut Box in Alnmac</t>
  </si>
  <si>
    <t>Zanyway The Great Gatsby</t>
  </si>
  <si>
    <t>Buskers Starting Over</t>
  </si>
  <si>
    <t>Arya Got a Light Girl</t>
  </si>
  <si>
    <t>Bamboozle Scandalous Rumor</t>
  </si>
  <si>
    <t>Westoning Major Scandal</t>
  </si>
  <si>
    <t>Duchess Dora (NAF)</t>
  </si>
  <si>
    <t>Rosmarinus Rock Symphony</t>
  </si>
  <si>
    <t>Devazuri Topaz Charlie</t>
  </si>
  <si>
    <t>Tedjermyn Fast N'Furious</t>
  </si>
  <si>
    <t>Seaposer Calmer Waters OW</t>
  </si>
  <si>
    <t>Holmecliffe's Call Me Al</t>
  </si>
  <si>
    <t>Teal Creek Ticket To The Moon</t>
  </si>
  <si>
    <t>Penelope Clementine</t>
  </si>
  <si>
    <t>Bonapartist Tricolore</t>
  </si>
  <si>
    <t>Cali In For A Penny Nov EX</t>
  </si>
  <si>
    <t>Patterdale cross BC</t>
  </si>
  <si>
    <t>BC x GSD</t>
  </si>
  <si>
    <t>Standard border x BC</t>
  </si>
  <si>
    <t>Golden retriever X BC</t>
  </si>
  <si>
    <t>Labrador X BC</t>
  </si>
  <si>
    <t>Shetland sheepdog</t>
  </si>
  <si>
    <t>Brittany</t>
  </si>
  <si>
    <t>BSD (Tervueren)</t>
  </si>
  <si>
    <t>BSD (Malinois)</t>
  </si>
  <si>
    <t>XB - Labradoodle</t>
  </si>
  <si>
    <t>XB - Sprocker Spaniel</t>
  </si>
  <si>
    <t>Spaniel (Springer)</t>
  </si>
  <si>
    <t>Date of Entry</t>
  </si>
  <si>
    <t>WyD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</si>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</sst>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####\ ######"/>
    <numFmt numFmtId="165" formatCode="&quot;£&quot;#,##0.00_);[Red]\(&quot;£&quot;#,##0.00\)"/>
    <numFmt numFmtId="166" formatCode="&quot;£&quot;#,##0.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quotePrefix="1"/>
    <xf numFmtId="14" fontId="0" fillId="0" borderId="0" xfId="0" applyNumberFormat="1"/>
    <xf numFmtId="0" fontId="18" fillId="0" borderId="0" xfId="42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quotePrefix="1" applyNumberFormat="1" applyAlignment="1">
      <alignment horizontal="left"/>
    </xf>
    <xf numFmtId="14" fontId="0" fillId="0" borderId="0" xfId="0" applyNumberFormat="1" applyAlignment="1">
      <alignment horizontal="left"/>
    </xf>
    <xf numFmtId="0" fontId="19" fillId="0" borderId="0" xfId="0" applyFont="1" applyAlignment="1">
      <alignment vertical="center" wrapText="1"/>
    </xf>
    <xf numFmtId="0" fontId="16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nrightjulie@gmail.com" TargetMode="External"/><Relationship Id="rId13" Type="http://schemas.openxmlformats.org/officeDocument/2006/relationships/hyperlink" Target="mailto:sheila.flight@hotmail.com" TargetMode="External"/><Relationship Id="rId18" Type="http://schemas.openxmlformats.org/officeDocument/2006/relationships/hyperlink" Target="mailto:northfielda@yahoo.co.uk" TargetMode="External"/><Relationship Id="rId3" Type="http://schemas.openxmlformats.org/officeDocument/2006/relationships/hyperlink" Target="mailto:shrlclws@aol.com" TargetMode="External"/><Relationship Id="rId21" Type="http://schemas.openxmlformats.org/officeDocument/2006/relationships/hyperlink" Target="mailto:chrisplant222@btinternet.com" TargetMode="External"/><Relationship Id="rId7" Type="http://schemas.openxmlformats.org/officeDocument/2006/relationships/hyperlink" Target="mailto:enrightjulie@gmail.com" TargetMode="External"/><Relationship Id="rId12" Type="http://schemas.openxmlformats.org/officeDocument/2006/relationships/hyperlink" Target="mailto:sheila.flight@hotmail.com" TargetMode="External"/><Relationship Id="rId17" Type="http://schemas.openxmlformats.org/officeDocument/2006/relationships/hyperlink" Target="mailto:northfielda@yahoo.co.uk" TargetMode="External"/><Relationship Id="rId25" Type="http://schemas.openxmlformats.org/officeDocument/2006/relationships/hyperlink" Target="mailto:jampix@talktalk.net" TargetMode="External"/><Relationship Id="rId2" Type="http://schemas.openxmlformats.org/officeDocument/2006/relationships/hyperlink" Target="mailto:shrlclws@aol.com" TargetMode="External"/><Relationship Id="rId16" Type="http://schemas.openxmlformats.org/officeDocument/2006/relationships/hyperlink" Target="mailto:northfielda@yahoo.co.uk" TargetMode="External"/><Relationship Id="rId20" Type="http://schemas.openxmlformats.org/officeDocument/2006/relationships/hyperlink" Target="mailto:chrisplant222@btinternet.com" TargetMode="External"/><Relationship Id="rId1" Type="http://schemas.openxmlformats.org/officeDocument/2006/relationships/hyperlink" Target="mailto:shrlclws@aol.com" TargetMode="External"/><Relationship Id="rId6" Type="http://schemas.openxmlformats.org/officeDocument/2006/relationships/hyperlink" Target="mailto:enrightjulie@gmail.com" TargetMode="External"/><Relationship Id="rId11" Type="http://schemas.openxmlformats.org/officeDocument/2006/relationships/hyperlink" Target="mailto:enrightjulie@gmail.com" TargetMode="External"/><Relationship Id="rId24" Type="http://schemas.openxmlformats.org/officeDocument/2006/relationships/hyperlink" Target="mailto:jampix@talktalk.net" TargetMode="External"/><Relationship Id="rId5" Type="http://schemas.openxmlformats.org/officeDocument/2006/relationships/hyperlink" Target="mailto:enrightjulie@gmail.com" TargetMode="External"/><Relationship Id="rId15" Type="http://schemas.openxmlformats.org/officeDocument/2006/relationships/hyperlink" Target="mailto:jill.kevis@btinternet.com" TargetMode="External"/><Relationship Id="rId23" Type="http://schemas.openxmlformats.org/officeDocument/2006/relationships/hyperlink" Target="mailto:chrisplant222@btinternet.com" TargetMode="External"/><Relationship Id="rId10" Type="http://schemas.openxmlformats.org/officeDocument/2006/relationships/hyperlink" Target="mailto:enrightjulie@gmail.com" TargetMode="External"/><Relationship Id="rId19" Type="http://schemas.openxmlformats.org/officeDocument/2006/relationships/hyperlink" Target="mailto:northfielda@yahoo.co.uk" TargetMode="External"/><Relationship Id="rId4" Type="http://schemas.openxmlformats.org/officeDocument/2006/relationships/hyperlink" Target="mailto:enrightjulie@gmail.com" TargetMode="External"/><Relationship Id="rId9" Type="http://schemas.openxmlformats.org/officeDocument/2006/relationships/hyperlink" Target="mailto:enrightjulie@gmail.com" TargetMode="External"/><Relationship Id="rId14" Type="http://schemas.openxmlformats.org/officeDocument/2006/relationships/hyperlink" Target="mailto:jill.kevis@btinternet.com" TargetMode="External"/><Relationship Id="rId22" Type="http://schemas.openxmlformats.org/officeDocument/2006/relationships/hyperlink" Target="mailto:chrisplant222@btinternet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jampix@talktalk.net" TargetMode="External"/><Relationship Id="rId1" Type="http://schemas.openxmlformats.org/officeDocument/2006/relationships/hyperlink" Target="mailto:chrisplant222@btintern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D803-957F-4A49-A695-FE038DE67FC0}">
  <sheetPr filterMode="1"/>
  <dimension ref="A1:AD744"/>
  <sheetViews>
    <sheetView tabSelected="1" topLeftCell="X1" workbookViewId="0">
      <selection activeCell="AE1" sqref="AE1"/>
    </sheetView>
  </sheetViews>
  <sheetFormatPr defaultColWidth="10.83203125" defaultRowHeight="16" x14ac:dyDescent="0.4"/>
  <cols>
    <col min="1" max="1" width="50.1640625" style="4" bestFit="1" customWidth="1"/>
    <col min="2" max="3" width="10.83203125" style="4"/>
    <col min="4" max="4" width="17" style="4" bestFit="1" customWidth="1"/>
    <col min="5" max="5" width="16.83203125" style="4" bestFit="1" customWidth="1"/>
    <col min="6" max="6" width="48.83203125" style="4" bestFit="1" customWidth="1"/>
    <col min="7" max="7" width="24.33203125" style="4" bestFit="1" customWidth="1"/>
    <col min="8" max="8" width="24.83203125" style="4" bestFit="1" customWidth="1"/>
    <col min="9" max="9" width="34" style="4" bestFit="1" customWidth="1"/>
    <col min="10" max="10" width="16.33203125" style="4" bestFit="1" customWidth="1"/>
    <col min="11" max="11" width="14.83203125" style="4" bestFit="1" customWidth="1"/>
    <col min="12" max="12" width="15.75" style="5" bestFit="1" customWidth="1"/>
    <col min="13" max="13" width="31" style="4" bestFit="1" customWidth="1"/>
    <col min="14" max="14" width="30.5" style="4" bestFit="1" customWidth="1"/>
    <col min="15" max="15" width="18.83203125" style="4" hidden="1" customWidth="1"/>
    <col min="16" max="16" width="43" style="4" hidden="1" customWidth="1"/>
    <col min="17" max="17" width="30.75" style="4" hidden="1" customWidth="1"/>
    <col min="18" max="18" width="24.75" style="4" hidden="1" customWidth="1"/>
    <col min="19" max="19" width="5.83203125" style="4" hidden="1" customWidth="1"/>
    <col min="20" max="20" width="12.83203125" style="4" hidden="1" customWidth="1"/>
    <col min="21" max="21" width="12.58203125" style="4" hidden="1" customWidth="1"/>
    <col min="22" max="22" width="15.83203125" style="4" bestFit="1" customWidth="1"/>
    <col min="23" max="23" width="18" style="4" bestFit="1" customWidth="1"/>
    <col min="24" max="24" width="104.08203125" style="4" bestFit="1" customWidth="1"/>
    <col min="25" max="25" width="33.58203125" style="4" bestFit="1" customWidth="1"/>
    <col min="26" max="26" width="47.08203125" style="4" bestFit="1" customWidth="1"/>
    <col min="27" max="27" width="24.75" style="4" bestFit="1" customWidth="1"/>
    <col min="28" max="28" width="138.5" style="4" bestFit="1" customWidth="1"/>
    <col min="29" max="16384" width="10.83203125" style="4"/>
  </cols>
  <sheetData>
    <row r="1" spans="1:30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2922</v>
      </c>
      <c r="AD1" s="4" t="s">
        <v>2924</v>
      </c>
    </row>
    <row r="2" spans="1:30" hidden="1" x14ac:dyDescent="0.4">
      <c r="A2" s="4" t="s">
        <v>216</v>
      </c>
      <c r="B2" s="4">
        <v>677</v>
      </c>
      <c r="C2" s="4" t="s">
        <v>217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154</v>
      </c>
      <c r="J2" s="4" t="s">
        <v>223</v>
      </c>
      <c r="K2" s="4" t="s">
        <v>224</v>
      </c>
      <c r="L2" s="6" t="s">
        <v>225</v>
      </c>
      <c r="M2" s="4" t="s">
        <v>226</v>
      </c>
      <c r="N2" s="4" t="s">
        <v>227</v>
      </c>
      <c r="P2" s="4" t="s">
        <v>235</v>
      </c>
      <c r="Q2" s="4" t="s">
        <v>236</v>
      </c>
      <c r="R2" s="4" t="s">
        <v>230</v>
      </c>
      <c r="S2" s="4" t="s">
        <v>231</v>
      </c>
      <c r="T2" s="7">
        <v>43784</v>
      </c>
      <c r="U2" s="4">
        <v>0</v>
      </c>
      <c r="V2" s="4">
        <v>6</v>
      </c>
      <c r="Y2" s="4" t="s">
        <v>233</v>
      </c>
      <c r="Z2" s="4" t="s">
        <v>234</v>
      </c>
      <c r="AA2" s="4" t="s">
        <v>234</v>
      </c>
      <c r="AC2" s="4" t="s">
        <v>2923</v>
      </c>
    </row>
    <row r="3" spans="1:30" hidden="1" x14ac:dyDescent="0.4">
      <c r="A3" s="4" t="s">
        <v>216</v>
      </c>
      <c r="B3" s="4">
        <v>677</v>
      </c>
      <c r="C3" s="4" t="s">
        <v>217</v>
      </c>
      <c r="D3" s="4" t="s">
        <v>218</v>
      </c>
      <c r="E3" s="4" t="s">
        <v>219</v>
      </c>
      <c r="F3" s="4" t="s">
        <v>220</v>
      </c>
      <c r="G3" s="4" t="s">
        <v>221</v>
      </c>
      <c r="H3" s="4" t="s">
        <v>222</v>
      </c>
      <c r="I3" s="4" t="s">
        <v>154</v>
      </c>
      <c r="J3" s="4" t="s">
        <v>223</v>
      </c>
      <c r="K3" s="4" t="s">
        <v>224</v>
      </c>
      <c r="L3" s="6" t="s">
        <v>225</v>
      </c>
      <c r="M3" s="4" t="s">
        <v>226</v>
      </c>
      <c r="N3" s="4" t="s">
        <v>227</v>
      </c>
      <c r="P3" s="4" t="s">
        <v>235</v>
      </c>
      <c r="Q3" s="4" t="s">
        <v>236</v>
      </c>
      <c r="R3" s="4" t="s">
        <v>230</v>
      </c>
      <c r="S3" s="4" t="s">
        <v>231</v>
      </c>
      <c r="T3" s="7">
        <v>43784</v>
      </c>
      <c r="U3" s="4">
        <v>0</v>
      </c>
      <c r="V3" s="4">
        <v>7</v>
      </c>
      <c r="W3" s="4" t="s">
        <v>238</v>
      </c>
      <c r="Y3" s="4" t="s">
        <v>233</v>
      </c>
      <c r="Z3" s="4" t="s">
        <v>234</v>
      </c>
      <c r="AA3" s="4" t="s">
        <v>234</v>
      </c>
      <c r="AC3" s="4" t="s">
        <v>2923</v>
      </c>
    </row>
    <row r="4" spans="1:30" hidden="1" x14ac:dyDescent="0.4">
      <c r="A4" s="4" t="s">
        <v>216</v>
      </c>
      <c r="B4" s="4">
        <v>677</v>
      </c>
      <c r="C4" s="4" t="s">
        <v>217</v>
      </c>
      <c r="D4" s="4" t="s">
        <v>218</v>
      </c>
      <c r="E4" s="4" t="s">
        <v>219</v>
      </c>
      <c r="F4" s="4" t="s">
        <v>220</v>
      </c>
      <c r="G4" s="4" t="s">
        <v>221</v>
      </c>
      <c r="H4" s="4" t="s">
        <v>222</v>
      </c>
      <c r="I4" s="4" t="s">
        <v>154</v>
      </c>
      <c r="J4" s="4" t="s">
        <v>223</v>
      </c>
      <c r="K4" s="4" t="s">
        <v>224</v>
      </c>
      <c r="L4" s="6" t="s">
        <v>225</v>
      </c>
      <c r="M4" s="4" t="s">
        <v>226</v>
      </c>
      <c r="N4" s="4" t="s">
        <v>227</v>
      </c>
      <c r="P4" s="4" t="s">
        <v>235</v>
      </c>
      <c r="Q4" s="4" t="s">
        <v>236</v>
      </c>
      <c r="R4" s="4" t="s">
        <v>230</v>
      </c>
      <c r="S4" s="4" t="s">
        <v>231</v>
      </c>
      <c r="T4" s="7">
        <v>43784</v>
      </c>
      <c r="U4" s="4">
        <v>0</v>
      </c>
      <c r="V4" s="4">
        <v>12</v>
      </c>
      <c r="Y4" s="4" t="s">
        <v>233</v>
      </c>
      <c r="Z4" s="4" t="s">
        <v>234</v>
      </c>
      <c r="AA4" s="4" t="s">
        <v>234</v>
      </c>
      <c r="AC4" s="4" t="s">
        <v>2923</v>
      </c>
    </row>
    <row r="5" spans="1:30" hidden="1" x14ac:dyDescent="0.4">
      <c r="A5" s="4" t="s">
        <v>216</v>
      </c>
      <c r="B5" s="4">
        <v>677</v>
      </c>
      <c r="C5" s="4" t="s">
        <v>217</v>
      </c>
      <c r="D5" s="4" t="s">
        <v>218</v>
      </c>
      <c r="E5" s="4" t="s">
        <v>219</v>
      </c>
      <c r="F5" s="4" t="s">
        <v>220</v>
      </c>
      <c r="G5" s="4" t="s">
        <v>221</v>
      </c>
      <c r="H5" s="4" t="s">
        <v>222</v>
      </c>
      <c r="I5" s="4" t="s">
        <v>154</v>
      </c>
      <c r="J5" s="4" t="s">
        <v>223</v>
      </c>
      <c r="K5" s="4" t="s">
        <v>224</v>
      </c>
      <c r="L5" s="6" t="s">
        <v>225</v>
      </c>
      <c r="M5" s="4" t="s">
        <v>226</v>
      </c>
      <c r="N5" s="4" t="s">
        <v>227</v>
      </c>
      <c r="P5" s="4" t="s">
        <v>235</v>
      </c>
      <c r="Q5" s="4" t="s">
        <v>236</v>
      </c>
      <c r="R5" s="4" t="s">
        <v>230</v>
      </c>
      <c r="S5" s="4" t="s">
        <v>231</v>
      </c>
      <c r="T5" s="7">
        <v>43784</v>
      </c>
      <c r="U5" s="4">
        <v>0</v>
      </c>
      <c r="V5" s="4">
        <v>13</v>
      </c>
      <c r="W5" s="4" t="s">
        <v>240</v>
      </c>
      <c r="Y5" s="4" t="s">
        <v>233</v>
      </c>
      <c r="Z5" s="4" t="s">
        <v>234</v>
      </c>
      <c r="AA5" s="4" t="s">
        <v>234</v>
      </c>
      <c r="AC5" s="4" t="s">
        <v>2923</v>
      </c>
    </row>
    <row r="6" spans="1:30" hidden="1" x14ac:dyDescent="0.4">
      <c r="A6" s="4" t="s">
        <v>216</v>
      </c>
      <c r="B6" s="4">
        <v>677</v>
      </c>
      <c r="C6" s="4" t="s">
        <v>217</v>
      </c>
      <c r="D6" s="4" t="s">
        <v>218</v>
      </c>
      <c r="E6" s="4" t="s">
        <v>219</v>
      </c>
      <c r="F6" s="4" t="s">
        <v>220</v>
      </c>
      <c r="G6" s="4" t="s">
        <v>221</v>
      </c>
      <c r="H6" s="4" t="s">
        <v>222</v>
      </c>
      <c r="I6" s="4" t="s">
        <v>154</v>
      </c>
      <c r="J6" s="4" t="s">
        <v>223</v>
      </c>
      <c r="K6" s="4" t="s">
        <v>224</v>
      </c>
      <c r="L6" s="6" t="s">
        <v>225</v>
      </c>
      <c r="M6" s="4" t="s">
        <v>226</v>
      </c>
      <c r="N6" s="4" t="s">
        <v>227</v>
      </c>
      <c r="P6" s="4" t="s">
        <v>235</v>
      </c>
      <c r="Q6" s="4" t="s">
        <v>236</v>
      </c>
      <c r="R6" s="4" t="s">
        <v>230</v>
      </c>
      <c r="S6" s="4" t="s">
        <v>231</v>
      </c>
      <c r="T6" s="7">
        <v>43784</v>
      </c>
      <c r="U6" s="4">
        <v>0</v>
      </c>
      <c r="V6" s="4">
        <v>14</v>
      </c>
      <c r="W6" s="4" t="s">
        <v>241</v>
      </c>
      <c r="Y6" s="4" t="s">
        <v>233</v>
      </c>
      <c r="Z6" s="4" t="s">
        <v>234</v>
      </c>
      <c r="AA6" s="4" t="s">
        <v>234</v>
      </c>
      <c r="AC6" s="4" t="s">
        <v>2923</v>
      </c>
    </row>
    <row r="7" spans="1:30" hidden="1" x14ac:dyDescent="0.4">
      <c r="A7" s="4" t="s">
        <v>216</v>
      </c>
      <c r="B7" s="4">
        <v>6318</v>
      </c>
      <c r="C7" s="4" t="s">
        <v>242</v>
      </c>
      <c r="D7" s="4" t="s">
        <v>88</v>
      </c>
      <c r="E7" s="4" t="s">
        <v>243</v>
      </c>
      <c r="F7" s="4" t="s">
        <v>244</v>
      </c>
      <c r="H7" s="4" t="s">
        <v>245</v>
      </c>
      <c r="I7" s="4" t="s">
        <v>154</v>
      </c>
      <c r="J7" s="4" t="s">
        <v>246</v>
      </c>
      <c r="K7" s="4" t="s">
        <v>224</v>
      </c>
      <c r="L7" s="6" t="s">
        <v>247</v>
      </c>
      <c r="M7" s="4" t="s">
        <v>248</v>
      </c>
      <c r="N7" s="4" t="s">
        <v>249</v>
      </c>
      <c r="P7" s="4" t="s">
        <v>250</v>
      </c>
      <c r="Q7" s="4" t="s">
        <v>251</v>
      </c>
      <c r="R7" s="4" t="s">
        <v>53</v>
      </c>
      <c r="S7" s="4" t="s">
        <v>231</v>
      </c>
      <c r="T7" s="7">
        <v>44076</v>
      </c>
      <c r="U7" s="4">
        <v>0</v>
      </c>
      <c r="V7" s="4">
        <v>1</v>
      </c>
      <c r="W7" s="4" t="s">
        <v>253</v>
      </c>
      <c r="Y7" s="4" t="s">
        <v>233</v>
      </c>
      <c r="Z7" s="4" t="s">
        <v>234</v>
      </c>
      <c r="AA7" s="4" t="s">
        <v>234</v>
      </c>
      <c r="AC7" s="4" t="s">
        <v>2923</v>
      </c>
    </row>
    <row r="8" spans="1:30" hidden="1" x14ac:dyDescent="0.4">
      <c r="A8" s="4" t="s">
        <v>216</v>
      </c>
      <c r="B8" s="4">
        <v>6318</v>
      </c>
      <c r="C8" s="4" t="s">
        <v>242</v>
      </c>
      <c r="D8" s="4" t="s">
        <v>88</v>
      </c>
      <c r="E8" s="4" t="s">
        <v>243</v>
      </c>
      <c r="F8" s="4" t="s">
        <v>244</v>
      </c>
      <c r="H8" s="4" t="s">
        <v>245</v>
      </c>
      <c r="I8" s="4" t="s">
        <v>154</v>
      </c>
      <c r="J8" s="4" t="s">
        <v>246</v>
      </c>
      <c r="K8" s="4" t="s">
        <v>224</v>
      </c>
      <c r="L8" s="6" t="s">
        <v>247</v>
      </c>
      <c r="M8" s="4" t="s">
        <v>248</v>
      </c>
      <c r="N8" s="4" t="s">
        <v>249</v>
      </c>
      <c r="P8" s="4" t="s">
        <v>250</v>
      </c>
      <c r="Q8" s="4" t="s">
        <v>251</v>
      </c>
      <c r="R8" s="4" t="s">
        <v>53</v>
      </c>
      <c r="S8" s="4" t="s">
        <v>231</v>
      </c>
      <c r="T8" s="7">
        <v>44076</v>
      </c>
      <c r="U8" s="4">
        <v>0</v>
      </c>
      <c r="V8" s="4">
        <v>2</v>
      </c>
      <c r="W8" s="4" t="s">
        <v>254</v>
      </c>
      <c r="Y8" s="4" t="s">
        <v>233</v>
      </c>
      <c r="Z8" s="4" t="s">
        <v>234</v>
      </c>
      <c r="AA8" s="4" t="s">
        <v>234</v>
      </c>
      <c r="AC8" s="4" t="s">
        <v>2923</v>
      </c>
    </row>
    <row r="9" spans="1:30" hidden="1" x14ac:dyDescent="0.4">
      <c r="A9" s="4" t="s">
        <v>216</v>
      </c>
      <c r="B9" s="4">
        <v>6318</v>
      </c>
      <c r="C9" s="4" t="s">
        <v>242</v>
      </c>
      <c r="D9" s="4" t="s">
        <v>88</v>
      </c>
      <c r="E9" s="4" t="s">
        <v>243</v>
      </c>
      <c r="F9" s="4" t="s">
        <v>244</v>
      </c>
      <c r="H9" s="4" t="s">
        <v>245</v>
      </c>
      <c r="I9" s="4" t="s">
        <v>154</v>
      </c>
      <c r="J9" s="4" t="s">
        <v>246</v>
      </c>
      <c r="K9" s="4" t="s">
        <v>224</v>
      </c>
      <c r="L9" s="6" t="s">
        <v>247</v>
      </c>
      <c r="M9" s="4" t="s">
        <v>248</v>
      </c>
      <c r="N9" s="4" t="s">
        <v>249</v>
      </c>
      <c r="P9" s="4" t="s">
        <v>2848</v>
      </c>
      <c r="Q9" s="4" t="s">
        <v>255</v>
      </c>
      <c r="R9" s="4" t="s">
        <v>31</v>
      </c>
      <c r="S9" s="4" t="s">
        <v>257</v>
      </c>
      <c r="T9" s="7">
        <v>45277</v>
      </c>
      <c r="U9" s="4">
        <v>0</v>
      </c>
      <c r="V9" s="4">
        <v>1</v>
      </c>
      <c r="W9" s="4" t="s">
        <v>253</v>
      </c>
      <c r="Y9" s="4" t="s">
        <v>233</v>
      </c>
      <c r="Z9" s="4" t="s">
        <v>234</v>
      </c>
      <c r="AA9" s="4" t="s">
        <v>234</v>
      </c>
      <c r="AC9" s="4" t="s">
        <v>2923</v>
      </c>
    </row>
    <row r="10" spans="1:30" hidden="1" x14ac:dyDescent="0.4">
      <c r="A10" s="4" t="s">
        <v>216</v>
      </c>
      <c r="B10" s="4">
        <v>6318</v>
      </c>
      <c r="C10" s="4" t="s">
        <v>242</v>
      </c>
      <c r="D10" s="4" t="s">
        <v>88</v>
      </c>
      <c r="E10" s="4" t="s">
        <v>243</v>
      </c>
      <c r="F10" s="4" t="s">
        <v>244</v>
      </c>
      <c r="H10" s="4" t="s">
        <v>245</v>
      </c>
      <c r="I10" s="4" t="s">
        <v>154</v>
      </c>
      <c r="J10" s="4" t="s">
        <v>246</v>
      </c>
      <c r="K10" s="4" t="s">
        <v>224</v>
      </c>
      <c r="L10" s="6" t="s">
        <v>247</v>
      </c>
      <c r="M10" s="4" t="s">
        <v>248</v>
      </c>
      <c r="N10" s="4" t="s">
        <v>249</v>
      </c>
      <c r="P10" s="4" t="s">
        <v>2848</v>
      </c>
      <c r="Q10" s="4" t="s">
        <v>255</v>
      </c>
      <c r="R10" s="4" t="s">
        <v>31</v>
      </c>
      <c r="S10" s="4" t="s">
        <v>257</v>
      </c>
      <c r="T10" s="7">
        <v>45277</v>
      </c>
      <c r="U10" s="4">
        <v>0</v>
      </c>
      <c r="V10" s="4">
        <v>2</v>
      </c>
      <c r="W10" s="4" t="s">
        <v>254</v>
      </c>
      <c r="Y10" s="4" t="s">
        <v>233</v>
      </c>
      <c r="Z10" s="4" t="s">
        <v>234</v>
      </c>
      <c r="AA10" s="4" t="s">
        <v>234</v>
      </c>
      <c r="AC10" s="4" t="s">
        <v>2923</v>
      </c>
    </row>
    <row r="11" spans="1:30" hidden="1" x14ac:dyDescent="0.4">
      <c r="A11" s="4" t="s">
        <v>216</v>
      </c>
      <c r="B11" s="4">
        <v>6318</v>
      </c>
      <c r="C11" s="4" t="s">
        <v>242</v>
      </c>
      <c r="D11" s="4" t="s">
        <v>88</v>
      </c>
      <c r="E11" s="4" t="s">
        <v>243</v>
      </c>
      <c r="F11" s="4" t="s">
        <v>244</v>
      </c>
      <c r="H11" s="4" t="s">
        <v>245</v>
      </c>
      <c r="I11" s="4" t="s">
        <v>154</v>
      </c>
      <c r="J11" s="4" t="s">
        <v>246</v>
      </c>
      <c r="K11" s="4" t="s">
        <v>224</v>
      </c>
      <c r="L11" s="6" t="s">
        <v>247</v>
      </c>
      <c r="M11" s="4" t="s">
        <v>248</v>
      </c>
      <c r="N11" s="4" t="s">
        <v>249</v>
      </c>
      <c r="P11" s="4" t="s">
        <v>2848</v>
      </c>
      <c r="Q11" s="4" t="s">
        <v>255</v>
      </c>
      <c r="R11" s="4" t="s">
        <v>31</v>
      </c>
      <c r="S11" s="4" t="s">
        <v>257</v>
      </c>
      <c r="T11" s="7">
        <v>45277</v>
      </c>
      <c r="U11" s="4">
        <v>0</v>
      </c>
      <c r="V11" s="4">
        <v>3</v>
      </c>
      <c r="W11" s="4" t="s">
        <v>258</v>
      </c>
      <c r="Y11" s="4" t="s">
        <v>233</v>
      </c>
      <c r="Z11" s="4" t="s">
        <v>234</v>
      </c>
      <c r="AA11" s="4" t="s">
        <v>234</v>
      </c>
      <c r="AC11" s="4" t="s">
        <v>2923</v>
      </c>
    </row>
    <row r="12" spans="1:30" hidden="1" x14ac:dyDescent="0.4">
      <c r="A12" s="4" t="s">
        <v>216</v>
      </c>
      <c r="B12" s="4">
        <v>5307</v>
      </c>
      <c r="C12" s="4" t="s">
        <v>242</v>
      </c>
      <c r="D12" s="4" t="s">
        <v>259</v>
      </c>
      <c r="E12" s="4" t="s">
        <v>260</v>
      </c>
      <c r="F12" s="4" t="s">
        <v>261</v>
      </c>
      <c r="G12" s="4" t="s">
        <v>262</v>
      </c>
      <c r="H12" s="4" t="s">
        <v>263</v>
      </c>
      <c r="I12" s="4" t="s">
        <v>34</v>
      </c>
      <c r="J12" s="4" t="s">
        <v>264</v>
      </c>
      <c r="K12" s="4" t="s">
        <v>224</v>
      </c>
      <c r="L12" s="6" t="s">
        <v>265</v>
      </c>
      <c r="M12" s="4" t="s">
        <v>266</v>
      </c>
      <c r="N12" s="4" t="s">
        <v>267</v>
      </c>
      <c r="P12" s="4" t="s">
        <v>268</v>
      </c>
      <c r="Q12" s="4" t="s">
        <v>269</v>
      </c>
      <c r="R12" s="4" t="s">
        <v>270</v>
      </c>
      <c r="S12" s="4" t="s">
        <v>257</v>
      </c>
      <c r="T12" s="7">
        <v>44147</v>
      </c>
      <c r="U12" s="4">
        <v>0</v>
      </c>
      <c r="V12" s="4">
        <v>1</v>
      </c>
      <c r="W12" s="4" t="s">
        <v>253</v>
      </c>
      <c r="Y12" s="4" t="s">
        <v>233</v>
      </c>
      <c r="Z12" s="4" t="s">
        <v>234</v>
      </c>
      <c r="AA12" s="4" t="s">
        <v>234</v>
      </c>
      <c r="AC12" s="4" t="s">
        <v>2923</v>
      </c>
    </row>
    <row r="13" spans="1:30" hidden="1" x14ac:dyDescent="0.4">
      <c r="A13" s="4" t="s">
        <v>216</v>
      </c>
      <c r="B13" s="4">
        <v>5307</v>
      </c>
      <c r="C13" s="4" t="s">
        <v>242</v>
      </c>
      <c r="D13" s="4" t="s">
        <v>259</v>
      </c>
      <c r="E13" s="4" t="s">
        <v>260</v>
      </c>
      <c r="F13" s="4" t="s">
        <v>261</v>
      </c>
      <c r="G13" s="4" t="s">
        <v>262</v>
      </c>
      <c r="H13" s="4" t="s">
        <v>263</v>
      </c>
      <c r="I13" s="4" t="s">
        <v>34</v>
      </c>
      <c r="J13" s="4" t="s">
        <v>264</v>
      </c>
      <c r="K13" s="4" t="s">
        <v>224</v>
      </c>
      <c r="L13" s="6" t="s">
        <v>265</v>
      </c>
      <c r="M13" s="4" t="s">
        <v>266</v>
      </c>
      <c r="N13" s="4" t="s">
        <v>267</v>
      </c>
      <c r="P13" s="4" t="s">
        <v>268</v>
      </c>
      <c r="Q13" s="4" t="s">
        <v>269</v>
      </c>
      <c r="R13" s="4" t="s">
        <v>270</v>
      </c>
      <c r="S13" s="4" t="s">
        <v>257</v>
      </c>
      <c r="T13" s="7">
        <v>44147</v>
      </c>
      <c r="U13" s="4">
        <v>0</v>
      </c>
      <c r="V13" s="4">
        <v>2</v>
      </c>
      <c r="W13" s="4" t="s">
        <v>254</v>
      </c>
      <c r="Y13" s="4" t="s">
        <v>233</v>
      </c>
      <c r="Z13" s="4" t="s">
        <v>234</v>
      </c>
      <c r="AA13" s="4" t="s">
        <v>234</v>
      </c>
      <c r="AC13" s="4" t="s">
        <v>2923</v>
      </c>
    </row>
    <row r="14" spans="1:30" hidden="1" x14ac:dyDescent="0.4">
      <c r="A14" s="4" t="s">
        <v>216</v>
      </c>
      <c r="B14" s="4">
        <v>3874</v>
      </c>
      <c r="C14" s="4" t="s">
        <v>242</v>
      </c>
      <c r="D14" s="4" t="s">
        <v>271</v>
      </c>
      <c r="E14" s="4" t="s">
        <v>272</v>
      </c>
      <c r="F14" s="4" t="s">
        <v>273</v>
      </c>
      <c r="H14" s="4" t="s">
        <v>245</v>
      </c>
      <c r="I14" s="4" t="s">
        <v>154</v>
      </c>
      <c r="J14" s="4" t="s">
        <v>274</v>
      </c>
      <c r="K14" s="4" t="s">
        <v>224</v>
      </c>
      <c r="L14" s="6" t="s">
        <v>275</v>
      </c>
      <c r="M14" s="4" t="s">
        <v>276</v>
      </c>
      <c r="N14" s="4" t="s">
        <v>277</v>
      </c>
      <c r="P14" s="4" t="s">
        <v>278</v>
      </c>
      <c r="Q14" s="4" t="s">
        <v>279</v>
      </c>
      <c r="R14" s="4" t="s">
        <v>280</v>
      </c>
      <c r="S14" s="4" t="s">
        <v>257</v>
      </c>
      <c r="T14" s="7">
        <v>44927</v>
      </c>
      <c r="U14" s="4">
        <v>0</v>
      </c>
      <c r="V14" s="4">
        <v>1</v>
      </c>
      <c r="W14" s="4" t="s">
        <v>253</v>
      </c>
      <c r="Y14" s="4" t="s">
        <v>233</v>
      </c>
      <c r="Z14" s="4" t="s">
        <v>234</v>
      </c>
      <c r="AA14" s="4" t="s">
        <v>234</v>
      </c>
      <c r="AC14" s="4" t="s">
        <v>2923</v>
      </c>
    </row>
    <row r="15" spans="1:30" hidden="1" x14ac:dyDescent="0.4">
      <c r="A15" s="4" t="s">
        <v>216</v>
      </c>
      <c r="B15" s="4">
        <v>3874</v>
      </c>
      <c r="C15" s="4" t="s">
        <v>242</v>
      </c>
      <c r="D15" s="4" t="s">
        <v>271</v>
      </c>
      <c r="E15" s="4" t="s">
        <v>272</v>
      </c>
      <c r="F15" s="4" t="s">
        <v>273</v>
      </c>
      <c r="H15" s="4" t="s">
        <v>245</v>
      </c>
      <c r="I15" s="4" t="s">
        <v>154</v>
      </c>
      <c r="J15" s="4" t="s">
        <v>274</v>
      </c>
      <c r="K15" s="4" t="s">
        <v>224</v>
      </c>
      <c r="L15" s="6" t="s">
        <v>275</v>
      </c>
      <c r="M15" s="4" t="s">
        <v>276</v>
      </c>
      <c r="N15" s="4" t="s">
        <v>277</v>
      </c>
      <c r="P15" s="4" t="s">
        <v>278</v>
      </c>
      <c r="Q15" s="4" t="s">
        <v>279</v>
      </c>
      <c r="R15" s="4" t="s">
        <v>280</v>
      </c>
      <c r="S15" s="4" t="s">
        <v>257</v>
      </c>
      <c r="T15" s="7">
        <v>44927</v>
      </c>
      <c r="U15" s="4">
        <v>0</v>
      </c>
      <c r="V15" s="4">
        <v>8</v>
      </c>
      <c r="W15" s="4" t="s">
        <v>281</v>
      </c>
      <c r="Y15" s="4" t="s">
        <v>233</v>
      </c>
      <c r="Z15" s="4" t="s">
        <v>234</v>
      </c>
      <c r="AA15" s="4" t="s">
        <v>234</v>
      </c>
      <c r="AC15" s="4" t="s">
        <v>2923</v>
      </c>
    </row>
    <row r="16" spans="1:30" hidden="1" x14ac:dyDescent="0.4">
      <c r="A16" s="4" t="s">
        <v>216</v>
      </c>
      <c r="B16" s="4">
        <v>3874</v>
      </c>
      <c r="C16" s="4" t="s">
        <v>242</v>
      </c>
      <c r="D16" s="4" t="s">
        <v>271</v>
      </c>
      <c r="E16" s="4" t="s">
        <v>272</v>
      </c>
      <c r="F16" s="4" t="s">
        <v>273</v>
      </c>
      <c r="H16" s="4" t="s">
        <v>245</v>
      </c>
      <c r="I16" s="4" t="s">
        <v>154</v>
      </c>
      <c r="J16" s="4" t="s">
        <v>274</v>
      </c>
      <c r="K16" s="4" t="s">
        <v>224</v>
      </c>
      <c r="L16" s="6" t="s">
        <v>275</v>
      </c>
      <c r="M16" s="4" t="s">
        <v>276</v>
      </c>
      <c r="N16" s="4" t="s">
        <v>277</v>
      </c>
      <c r="P16" s="4" t="s">
        <v>278</v>
      </c>
      <c r="Q16" s="4" t="s">
        <v>279</v>
      </c>
      <c r="R16" s="4" t="s">
        <v>280</v>
      </c>
      <c r="S16" s="4" t="s">
        <v>257</v>
      </c>
      <c r="T16" s="7">
        <v>44927</v>
      </c>
      <c r="U16" s="4">
        <v>0</v>
      </c>
      <c r="V16" s="4">
        <v>2</v>
      </c>
      <c r="W16" s="4" t="s">
        <v>254</v>
      </c>
      <c r="Y16" s="4" t="s">
        <v>233</v>
      </c>
      <c r="Z16" s="4" t="s">
        <v>234</v>
      </c>
      <c r="AA16" s="4" t="s">
        <v>234</v>
      </c>
      <c r="AC16" s="4" t="s">
        <v>2923</v>
      </c>
    </row>
    <row r="17" spans="1:29" hidden="1" x14ac:dyDescent="0.4">
      <c r="A17" s="4" t="s">
        <v>216</v>
      </c>
      <c r="B17" s="4">
        <v>701</v>
      </c>
      <c r="C17" s="4" t="s">
        <v>242</v>
      </c>
      <c r="D17" s="4" t="s">
        <v>282</v>
      </c>
      <c r="E17" s="4" t="s">
        <v>283</v>
      </c>
      <c r="F17" s="4" t="s">
        <v>284</v>
      </c>
      <c r="H17" s="4" t="s">
        <v>285</v>
      </c>
      <c r="I17" s="4" t="s">
        <v>286</v>
      </c>
      <c r="J17" s="4" t="s">
        <v>287</v>
      </c>
      <c r="K17" s="4" t="s">
        <v>224</v>
      </c>
      <c r="L17" s="6" t="s">
        <v>288</v>
      </c>
      <c r="M17" s="4" t="s">
        <v>289</v>
      </c>
      <c r="N17" s="4" t="s">
        <v>290</v>
      </c>
      <c r="P17" s="4" t="s">
        <v>291</v>
      </c>
      <c r="Q17" s="4" t="s">
        <v>292</v>
      </c>
      <c r="R17" s="4" t="s">
        <v>2811</v>
      </c>
      <c r="S17" s="4" t="s">
        <v>231</v>
      </c>
      <c r="T17" s="7">
        <v>44890</v>
      </c>
      <c r="U17" s="4">
        <v>0</v>
      </c>
      <c r="V17" s="4">
        <v>5</v>
      </c>
      <c r="W17" s="4" t="s">
        <v>176</v>
      </c>
      <c r="X17" s="4" t="s">
        <v>293</v>
      </c>
      <c r="Y17" s="4" t="s">
        <v>233</v>
      </c>
      <c r="Z17" s="4" t="s">
        <v>234</v>
      </c>
      <c r="AA17" s="4" t="s">
        <v>234</v>
      </c>
      <c r="AC17" s="4" t="s">
        <v>2923</v>
      </c>
    </row>
    <row r="18" spans="1:29" hidden="1" x14ac:dyDescent="0.4">
      <c r="A18" s="4" t="s">
        <v>216</v>
      </c>
      <c r="B18" s="4">
        <v>701</v>
      </c>
      <c r="C18" s="4" t="s">
        <v>242</v>
      </c>
      <c r="D18" s="4" t="s">
        <v>282</v>
      </c>
      <c r="E18" s="4" t="s">
        <v>283</v>
      </c>
      <c r="F18" s="4" t="s">
        <v>284</v>
      </c>
      <c r="H18" s="4" t="s">
        <v>285</v>
      </c>
      <c r="I18" s="4" t="s">
        <v>286</v>
      </c>
      <c r="J18" s="4" t="s">
        <v>287</v>
      </c>
      <c r="K18" s="4" t="s">
        <v>224</v>
      </c>
      <c r="L18" s="6" t="s">
        <v>288</v>
      </c>
      <c r="M18" s="4" t="s">
        <v>289</v>
      </c>
      <c r="N18" s="4" t="s">
        <v>290</v>
      </c>
      <c r="P18" s="4" t="s">
        <v>294</v>
      </c>
      <c r="Q18" s="4" t="s">
        <v>295</v>
      </c>
      <c r="R18" t="s">
        <v>73</v>
      </c>
      <c r="S18" s="4" t="s">
        <v>231</v>
      </c>
      <c r="T18" s="7">
        <v>44754</v>
      </c>
      <c r="U18" s="4">
        <v>0</v>
      </c>
      <c r="V18" s="4">
        <v>5</v>
      </c>
      <c r="W18" s="4" t="s">
        <v>297</v>
      </c>
      <c r="X18" s="4" t="s">
        <v>293</v>
      </c>
      <c r="Y18" s="4" t="s">
        <v>233</v>
      </c>
      <c r="Z18" s="4" t="s">
        <v>234</v>
      </c>
      <c r="AA18" s="4" t="s">
        <v>234</v>
      </c>
      <c r="AC18" s="4" t="s">
        <v>2923</v>
      </c>
    </row>
    <row r="19" spans="1:29" hidden="1" x14ac:dyDescent="0.4">
      <c r="A19" s="4" t="s">
        <v>216</v>
      </c>
      <c r="B19" s="4">
        <v>701</v>
      </c>
      <c r="C19" s="4" t="s">
        <v>242</v>
      </c>
      <c r="D19" s="4" t="s">
        <v>282</v>
      </c>
      <c r="E19" s="4" t="s">
        <v>283</v>
      </c>
      <c r="F19" s="4" t="s">
        <v>284</v>
      </c>
      <c r="H19" s="4" t="s">
        <v>285</v>
      </c>
      <c r="I19" s="4" t="s">
        <v>286</v>
      </c>
      <c r="J19" s="4" t="s">
        <v>287</v>
      </c>
      <c r="K19" s="4" t="s">
        <v>224</v>
      </c>
      <c r="L19" s="6" t="s">
        <v>288</v>
      </c>
      <c r="M19" s="4" t="s">
        <v>289</v>
      </c>
      <c r="N19" s="4" t="s">
        <v>290</v>
      </c>
      <c r="P19" s="4" t="s">
        <v>294</v>
      </c>
      <c r="Q19" s="4" t="s">
        <v>295</v>
      </c>
      <c r="R19" t="s">
        <v>73</v>
      </c>
      <c r="S19" s="4" t="s">
        <v>231</v>
      </c>
      <c r="T19" s="7">
        <v>44754</v>
      </c>
      <c r="U19" s="4">
        <v>0</v>
      </c>
      <c r="V19" s="4">
        <v>6</v>
      </c>
      <c r="X19" s="4" t="s">
        <v>293</v>
      </c>
      <c r="Y19" s="4" t="s">
        <v>233</v>
      </c>
      <c r="Z19" s="4" t="s">
        <v>234</v>
      </c>
      <c r="AA19" s="4" t="s">
        <v>234</v>
      </c>
      <c r="AC19" s="4" t="s">
        <v>2923</v>
      </c>
    </row>
    <row r="20" spans="1:29" hidden="1" x14ac:dyDescent="0.4">
      <c r="A20" s="4" t="s">
        <v>216</v>
      </c>
      <c r="B20" s="4">
        <v>701</v>
      </c>
      <c r="C20" s="4" t="s">
        <v>242</v>
      </c>
      <c r="D20" s="4" t="s">
        <v>282</v>
      </c>
      <c r="E20" s="4" t="s">
        <v>283</v>
      </c>
      <c r="F20" s="4" t="s">
        <v>284</v>
      </c>
      <c r="H20" s="4" t="s">
        <v>285</v>
      </c>
      <c r="I20" s="4" t="s">
        <v>286</v>
      </c>
      <c r="J20" s="4" t="s">
        <v>287</v>
      </c>
      <c r="K20" s="4" t="s">
        <v>224</v>
      </c>
      <c r="L20" s="6" t="s">
        <v>288</v>
      </c>
      <c r="M20" s="4" t="s">
        <v>289</v>
      </c>
      <c r="N20" s="4" t="s">
        <v>290</v>
      </c>
      <c r="P20" s="4" t="s">
        <v>298</v>
      </c>
      <c r="Q20" s="4" t="s">
        <v>299</v>
      </c>
      <c r="R20" t="s">
        <v>73</v>
      </c>
      <c r="S20" s="4" t="s">
        <v>257</v>
      </c>
      <c r="T20" s="7">
        <v>42657</v>
      </c>
      <c r="U20" s="4">
        <v>0</v>
      </c>
      <c r="V20" s="4">
        <v>7</v>
      </c>
      <c r="W20" s="4" t="s">
        <v>238</v>
      </c>
      <c r="X20" s="4" t="s">
        <v>293</v>
      </c>
      <c r="Y20" s="4" t="s">
        <v>233</v>
      </c>
      <c r="Z20" s="4" t="s">
        <v>234</v>
      </c>
      <c r="AA20" s="4" t="s">
        <v>234</v>
      </c>
      <c r="AC20" s="4" t="s">
        <v>2923</v>
      </c>
    </row>
    <row r="21" spans="1:29" hidden="1" x14ac:dyDescent="0.4">
      <c r="A21" s="4" t="s">
        <v>216</v>
      </c>
      <c r="B21" s="4">
        <v>701</v>
      </c>
      <c r="C21" s="4" t="s">
        <v>242</v>
      </c>
      <c r="D21" s="4" t="s">
        <v>282</v>
      </c>
      <c r="E21" s="4" t="s">
        <v>283</v>
      </c>
      <c r="F21" s="4" t="s">
        <v>284</v>
      </c>
      <c r="H21" s="4" t="s">
        <v>285</v>
      </c>
      <c r="I21" s="4" t="s">
        <v>286</v>
      </c>
      <c r="J21" s="4" t="s">
        <v>287</v>
      </c>
      <c r="K21" s="4" t="s">
        <v>224</v>
      </c>
      <c r="L21" s="6" t="s">
        <v>288</v>
      </c>
      <c r="M21" s="4" t="s">
        <v>289</v>
      </c>
      <c r="N21" s="4" t="s">
        <v>290</v>
      </c>
      <c r="P21" s="4" t="s">
        <v>291</v>
      </c>
      <c r="Q21" s="4" t="s">
        <v>292</v>
      </c>
      <c r="R21" s="4" t="s">
        <v>2811</v>
      </c>
      <c r="S21" s="4" t="s">
        <v>231</v>
      </c>
      <c r="T21" s="7">
        <v>44890</v>
      </c>
      <c r="U21" s="4">
        <v>0</v>
      </c>
      <c r="V21" s="4">
        <v>11</v>
      </c>
      <c r="W21" s="4" t="s">
        <v>300</v>
      </c>
      <c r="X21" s="4" t="s">
        <v>293</v>
      </c>
      <c r="Y21" s="4" t="s">
        <v>233</v>
      </c>
      <c r="Z21" s="4" t="s">
        <v>234</v>
      </c>
      <c r="AA21" s="4" t="s">
        <v>234</v>
      </c>
      <c r="AC21" s="4" t="s">
        <v>2923</v>
      </c>
    </row>
    <row r="22" spans="1:29" hidden="1" x14ac:dyDescent="0.4">
      <c r="A22" s="4" t="s">
        <v>216</v>
      </c>
      <c r="B22" s="4">
        <v>701</v>
      </c>
      <c r="C22" s="4" t="s">
        <v>242</v>
      </c>
      <c r="D22" s="4" t="s">
        <v>282</v>
      </c>
      <c r="E22" s="4" t="s">
        <v>283</v>
      </c>
      <c r="F22" s="4" t="s">
        <v>284</v>
      </c>
      <c r="H22" s="4" t="s">
        <v>285</v>
      </c>
      <c r="I22" s="4" t="s">
        <v>286</v>
      </c>
      <c r="J22" s="4" t="s">
        <v>287</v>
      </c>
      <c r="K22" s="4" t="s">
        <v>224</v>
      </c>
      <c r="L22" s="6" t="s">
        <v>288</v>
      </c>
      <c r="M22" s="4" t="s">
        <v>289</v>
      </c>
      <c r="N22" s="4" t="s">
        <v>290</v>
      </c>
      <c r="P22" s="4" t="s">
        <v>294</v>
      </c>
      <c r="Q22" s="4" t="s">
        <v>295</v>
      </c>
      <c r="R22" t="s">
        <v>73</v>
      </c>
      <c r="S22" s="4" t="s">
        <v>231</v>
      </c>
      <c r="T22" s="7">
        <v>44754</v>
      </c>
      <c r="U22" s="4">
        <v>0</v>
      </c>
      <c r="V22" s="4">
        <v>11</v>
      </c>
      <c r="W22" s="4" t="s">
        <v>132</v>
      </c>
      <c r="X22" s="4" t="s">
        <v>293</v>
      </c>
      <c r="Y22" s="4" t="s">
        <v>233</v>
      </c>
      <c r="Z22" s="4" t="s">
        <v>234</v>
      </c>
      <c r="AA22" s="4" t="s">
        <v>234</v>
      </c>
      <c r="AC22" s="4" t="s">
        <v>2923</v>
      </c>
    </row>
    <row r="23" spans="1:29" hidden="1" x14ac:dyDescent="0.4">
      <c r="A23" s="4" t="s">
        <v>216</v>
      </c>
      <c r="B23" s="4">
        <v>701</v>
      </c>
      <c r="C23" s="4" t="s">
        <v>242</v>
      </c>
      <c r="D23" s="4" t="s">
        <v>282</v>
      </c>
      <c r="E23" s="4" t="s">
        <v>283</v>
      </c>
      <c r="F23" s="4" t="s">
        <v>284</v>
      </c>
      <c r="H23" s="4" t="s">
        <v>285</v>
      </c>
      <c r="I23" s="4" t="s">
        <v>286</v>
      </c>
      <c r="J23" s="4" t="s">
        <v>287</v>
      </c>
      <c r="K23" s="4" t="s">
        <v>224</v>
      </c>
      <c r="L23" s="6" t="s">
        <v>288</v>
      </c>
      <c r="M23" s="4" t="s">
        <v>289</v>
      </c>
      <c r="N23" s="4" t="s">
        <v>290</v>
      </c>
      <c r="P23" s="4" t="s">
        <v>298</v>
      </c>
      <c r="Q23" s="4" t="s">
        <v>299</v>
      </c>
      <c r="R23" t="s">
        <v>73</v>
      </c>
      <c r="S23" s="4" t="s">
        <v>257</v>
      </c>
      <c r="T23" s="7">
        <v>42657</v>
      </c>
      <c r="U23" s="4">
        <v>0</v>
      </c>
      <c r="V23" s="4">
        <v>13</v>
      </c>
      <c r="W23" s="4" t="s">
        <v>240</v>
      </c>
      <c r="X23" s="4" t="s">
        <v>293</v>
      </c>
      <c r="Y23" s="4" t="s">
        <v>233</v>
      </c>
      <c r="Z23" s="4" t="s">
        <v>234</v>
      </c>
      <c r="AA23" s="4" t="s">
        <v>234</v>
      </c>
      <c r="AC23" s="4" t="s">
        <v>2923</v>
      </c>
    </row>
    <row r="24" spans="1:29" x14ac:dyDescent="0.4">
      <c r="A24" s="4" t="s">
        <v>216</v>
      </c>
      <c r="B24" s="4">
        <v>877</v>
      </c>
      <c r="C24" s="4" t="s">
        <v>242</v>
      </c>
      <c r="D24" s="4" t="s">
        <v>88</v>
      </c>
      <c r="E24" s="4" t="s">
        <v>301</v>
      </c>
      <c r="F24" s="4" t="s">
        <v>302</v>
      </c>
      <c r="H24" s="4" t="s">
        <v>303</v>
      </c>
      <c r="I24" s="4" t="s">
        <v>34</v>
      </c>
      <c r="J24" s="4" t="s">
        <v>304</v>
      </c>
      <c r="K24" s="4" t="s">
        <v>224</v>
      </c>
      <c r="L24" s="5" t="s">
        <v>305</v>
      </c>
      <c r="M24" s="4" t="s">
        <v>306</v>
      </c>
      <c r="N24" s="4" t="s">
        <v>307</v>
      </c>
      <c r="P24" s="4" t="s">
        <v>2849</v>
      </c>
      <c r="Q24" s="4" t="s">
        <v>308</v>
      </c>
      <c r="R24" s="4" t="s">
        <v>313</v>
      </c>
      <c r="S24" s="4" t="s">
        <v>231</v>
      </c>
      <c r="T24" s="7">
        <v>45355</v>
      </c>
      <c r="U24" s="4">
        <v>0</v>
      </c>
      <c r="V24" s="4">
        <v>4</v>
      </c>
      <c r="W24" s="4" t="s">
        <v>2725</v>
      </c>
      <c r="Y24" s="4" t="s">
        <v>233</v>
      </c>
      <c r="Z24" s="4" t="s">
        <v>234</v>
      </c>
      <c r="AA24" s="4" t="s">
        <v>234</v>
      </c>
      <c r="AC24" s="4" t="s">
        <v>2923</v>
      </c>
    </row>
    <row r="25" spans="1:29" hidden="1" x14ac:dyDescent="0.4">
      <c r="A25" s="4" t="s">
        <v>216</v>
      </c>
      <c r="B25" s="4">
        <v>877</v>
      </c>
      <c r="C25" s="4" t="s">
        <v>242</v>
      </c>
      <c r="D25" s="4" t="s">
        <v>88</v>
      </c>
      <c r="E25" s="4" t="s">
        <v>301</v>
      </c>
      <c r="F25" s="4" t="s">
        <v>302</v>
      </c>
      <c r="H25" s="4" t="s">
        <v>303</v>
      </c>
      <c r="I25" s="4" t="s">
        <v>34</v>
      </c>
      <c r="J25" s="4" t="s">
        <v>304</v>
      </c>
      <c r="K25" s="4" t="s">
        <v>224</v>
      </c>
      <c r="L25" s="5" t="s">
        <v>305</v>
      </c>
      <c r="M25" s="4" t="s">
        <v>306</v>
      </c>
      <c r="N25" s="4" t="s">
        <v>307</v>
      </c>
      <c r="P25" s="4" t="s">
        <v>311</v>
      </c>
      <c r="Q25" s="4" t="s">
        <v>312</v>
      </c>
      <c r="R25" s="4" t="s">
        <v>313</v>
      </c>
      <c r="S25" s="4" t="s">
        <v>231</v>
      </c>
      <c r="T25" s="7">
        <v>42659</v>
      </c>
      <c r="U25" s="4">
        <v>0</v>
      </c>
      <c r="V25" s="4">
        <v>7</v>
      </c>
      <c r="W25" s="4" t="s">
        <v>238</v>
      </c>
      <c r="Y25" s="4" t="s">
        <v>233</v>
      </c>
      <c r="Z25" s="4" t="s">
        <v>234</v>
      </c>
      <c r="AA25" s="4" t="s">
        <v>234</v>
      </c>
      <c r="AC25" s="4" t="s">
        <v>2923</v>
      </c>
    </row>
    <row r="26" spans="1:29" hidden="1" x14ac:dyDescent="0.4">
      <c r="A26" s="4" t="s">
        <v>216</v>
      </c>
      <c r="B26" s="4">
        <v>877</v>
      </c>
      <c r="C26" s="4" t="s">
        <v>242</v>
      </c>
      <c r="D26" s="4" t="s">
        <v>88</v>
      </c>
      <c r="E26" s="4" t="s">
        <v>301</v>
      </c>
      <c r="F26" s="4" t="s">
        <v>302</v>
      </c>
      <c r="H26" s="4" t="s">
        <v>303</v>
      </c>
      <c r="I26" s="4" t="s">
        <v>34</v>
      </c>
      <c r="J26" s="4" t="s">
        <v>304</v>
      </c>
      <c r="K26" s="4" t="s">
        <v>224</v>
      </c>
      <c r="L26" s="5" t="s">
        <v>305</v>
      </c>
      <c r="M26" s="4" t="s">
        <v>306</v>
      </c>
      <c r="N26" s="4" t="s">
        <v>307</v>
      </c>
      <c r="P26" s="4" t="s">
        <v>2849</v>
      </c>
      <c r="Q26" s="4" t="s">
        <v>308</v>
      </c>
      <c r="R26" s="4" t="s">
        <v>313</v>
      </c>
      <c r="S26" s="4" t="s">
        <v>231</v>
      </c>
      <c r="T26" s="7">
        <v>45355</v>
      </c>
      <c r="U26" s="4">
        <v>0</v>
      </c>
      <c r="V26" s="4">
        <v>10</v>
      </c>
      <c r="W26" s="4" t="s">
        <v>314</v>
      </c>
      <c r="Y26" s="4" t="s">
        <v>233</v>
      </c>
      <c r="Z26" s="4" t="s">
        <v>234</v>
      </c>
      <c r="AA26" s="4" t="s">
        <v>234</v>
      </c>
      <c r="AC26" s="4" t="s">
        <v>2923</v>
      </c>
    </row>
    <row r="27" spans="1:29" hidden="1" x14ac:dyDescent="0.4">
      <c r="A27" s="4" t="s">
        <v>216</v>
      </c>
      <c r="B27" s="4">
        <v>877</v>
      </c>
      <c r="C27" s="4" t="s">
        <v>242</v>
      </c>
      <c r="D27" s="4" t="s">
        <v>88</v>
      </c>
      <c r="E27" s="4" t="s">
        <v>301</v>
      </c>
      <c r="F27" s="4" t="s">
        <v>302</v>
      </c>
      <c r="H27" s="4" t="s">
        <v>303</v>
      </c>
      <c r="I27" s="4" t="s">
        <v>34</v>
      </c>
      <c r="J27" s="4" t="s">
        <v>304</v>
      </c>
      <c r="K27" s="4" t="s">
        <v>224</v>
      </c>
      <c r="L27" s="5" t="s">
        <v>305</v>
      </c>
      <c r="M27" s="4" t="s">
        <v>306</v>
      </c>
      <c r="N27" s="4" t="s">
        <v>307</v>
      </c>
      <c r="P27" s="4" t="s">
        <v>311</v>
      </c>
      <c r="Q27" s="4" t="s">
        <v>312</v>
      </c>
      <c r="R27" s="4" t="s">
        <v>313</v>
      </c>
      <c r="S27" s="4" t="s">
        <v>231</v>
      </c>
      <c r="T27" s="7">
        <v>42659</v>
      </c>
      <c r="U27" s="4">
        <v>0</v>
      </c>
      <c r="V27" s="4">
        <v>13</v>
      </c>
      <c r="W27" s="4" t="s">
        <v>240</v>
      </c>
      <c r="Y27" s="4" t="s">
        <v>233</v>
      </c>
      <c r="Z27" s="4" t="s">
        <v>234</v>
      </c>
      <c r="AA27" s="4" t="s">
        <v>234</v>
      </c>
      <c r="AC27" s="4" t="s">
        <v>2923</v>
      </c>
    </row>
    <row r="28" spans="1:29" hidden="1" x14ac:dyDescent="0.4">
      <c r="A28" s="4" t="s">
        <v>216</v>
      </c>
      <c r="B28" s="4">
        <v>878</v>
      </c>
      <c r="C28" s="4" t="s">
        <v>315</v>
      </c>
      <c r="D28" s="4" t="s">
        <v>316</v>
      </c>
      <c r="E28" s="4" t="s">
        <v>301</v>
      </c>
      <c r="F28" s="4" t="s">
        <v>302</v>
      </c>
      <c r="H28" s="4" t="s">
        <v>303</v>
      </c>
      <c r="I28" s="4" t="s">
        <v>34</v>
      </c>
      <c r="J28" s="4" t="s">
        <v>304</v>
      </c>
      <c r="K28" s="4" t="s">
        <v>224</v>
      </c>
      <c r="L28" s="5" t="s">
        <v>305</v>
      </c>
      <c r="M28" s="4" t="s">
        <v>317</v>
      </c>
      <c r="N28" s="4" t="s">
        <v>318</v>
      </c>
      <c r="P28" s="4" t="s">
        <v>319</v>
      </c>
      <c r="Q28" s="4" t="s">
        <v>320</v>
      </c>
      <c r="R28" s="4" t="s">
        <v>313</v>
      </c>
      <c r="S28" s="4" t="s">
        <v>257</v>
      </c>
      <c r="T28" s="7">
        <v>44086</v>
      </c>
      <c r="U28" s="4">
        <v>0</v>
      </c>
      <c r="V28" s="4">
        <v>5</v>
      </c>
      <c r="W28" s="4" t="s">
        <v>176</v>
      </c>
      <c r="Y28" s="4" t="s">
        <v>233</v>
      </c>
      <c r="Z28" s="4" t="s">
        <v>234</v>
      </c>
      <c r="AA28" s="4" t="s">
        <v>234</v>
      </c>
      <c r="AC28" s="4" t="s">
        <v>2923</v>
      </c>
    </row>
    <row r="29" spans="1:29" hidden="1" x14ac:dyDescent="0.4">
      <c r="A29" s="4" t="s">
        <v>216</v>
      </c>
      <c r="B29" s="4">
        <v>878</v>
      </c>
      <c r="C29" s="4" t="s">
        <v>315</v>
      </c>
      <c r="D29" s="4" t="s">
        <v>316</v>
      </c>
      <c r="E29" s="4" t="s">
        <v>301</v>
      </c>
      <c r="F29" s="4" t="s">
        <v>302</v>
      </c>
      <c r="H29" s="4" t="s">
        <v>303</v>
      </c>
      <c r="I29" s="4" t="s">
        <v>34</v>
      </c>
      <c r="J29" s="4" t="s">
        <v>304</v>
      </c>
      <c r="K29" s="4" t="s">
        <v>224</v>
      </c>
      <c r="L29" s="5" t="s">
        <v>305</v>
      </c>
      <c r="M29" s="4" t="s">
        <v>317</v>
      </c>
      <c r="N29" s="4" t="s">
        <v>318</v>
      </c>
      <c r="P29" s="4" t="s">
        <v>319</v>
      </c>
      <c r="Q29" s="4" t="s">
        <v>320</v>
      </c>
      <c r="R29" s="4" t="s">
        <v>313</v>
      </c>
      <c r="S29" s="4" t="s">
        <v>257</v>
      </c>
      <c r="T29" s="7">
        <v>44086</v>
      </c>
      <c r="U29" s="4">
        <v>0</v>
      </c>
      <c r="V29" s="4">
        <v>6</v>
      </c>
      <c r="Y29" s="4" t="s">
        <v>233</v>
      </c>
      <c r="Z29" s="4" t="s">
        <v>234</v>
      </c>
      <c r="AA29" s="4" t="s">
        <v>234</v>
      </c>
      <c r="AC29" s="4" t="s">
        <v>2923</v>
      </c>
    </row>
    <row r="30" spans="1:29" hidden="1" x14ac:dyDescent="0.4">
      <c r="A30" s="4" t="s">
        <v>216</v>
      </c>
      <c r="B30" s="4">
        <v>878</v>
      </c>
      <c r="C30" s="4" t="s">
        <v>315</v>
      </c>
      <c r="D30" s="4" t="s">
        <v>316</v>
      </c>
      <c r="E30" s="4" t="s">
        <v>301</v>
      </c>
      <c r="F30" s="4" t="s">
        <v>302</v>
      </c>
      <c r="H30" s="4" t="s">
        <v>303</v>
      </c>
      <c r="I30" s="4" t="s">
        <v>34</v>
      </c>
      <c r="J30" s="4" t="s">
        <v>304</v>
      </c>
      <c r="K30" s="4" t="s">
        <v>224</v>
      </c>
      <c r="L30" s="5" t="s">
        <v>305</v>
      </c>
      <c r="M30" s="4" t="s">
        <v>317</v>
      </c>
      <c r="N30" s="4" t="s">
        <v>318</v>
      </c>
      <c r="P30" s="4" t="s">
        <v>319</v>
      </c>
      <c r="Q30" s="4" t="s">
        <v>320</v>
      </c>
      <c r="R30" s="4" t="s">
        <v>313</v>
      </c>
      <c r="S30" s="4" t="s">
        <v>257</v>
      </c>
      <c r="T30" s="7">
        <v>44086</v>
      </c>
      <c r="U30" s="4">
        <v>0</v>
      </c>
      <c r="V30" s="4">
        <v>11</v>
      </c>
      <c r="W30" s="4" t="s">
        <v>132</v>
      </c>
      <c r="Y30" s="4" t="s">
        <v>233</v>
      </c>
      <c r="Z30" s="4" t="s">
        <v>234</v>
      </c>
      <c r="AA30" s="4" t="s">
        <v>234</v>
      </c>
      <c r="AC30" s="4" t="s">
        <v>2923</v>
      </c>
    </row>
    <row r="31" spans="1:29" hidden="1" x14ac:dyDescent="0.4">
      <c r="A31" s="4" t="s">
        <v>216</v>
      </c>
      <c r="B31" s="4">
        <v>878</v>
      </c>
      <c r="C31" s="4" t="s">
        <v>315</v>
      </c>
      <c r="D31" s="4" t="s">
        <v>316</v>
      </c>
      <c r="E31" s="4" t="s">
        <v>301</v>
      </c>
      <c r="F31" s="4" t="s">
        <v>302</v>
      </c>
      <c r="H31" s="4" t="s">
        <v>303</v>
      </c>
      <c r="I31" s="4" t="s">
        <v>34</v>
      </c>
      <c r="J31" s="4" t="s">
        <v>304</v>
      </c>
      <c r="K31" s="4" t="s">
        <v>224</v>
      </c>
      <c r="L31" s="5" t="s">
        <v>305</v>
      </c>
      <c r="M31" s="4" t="s">
        <v>317</v>
      </c>
      <c r="N31" s="4" t="s">
        <v>318</v>
      </c>
      <c r="P31" s="4" t="s">
        <v>319</v>
      </c>
      <c r="Q31" s="4" t="s">
        <v>320</v>
      </c>
      <c r="R31" s="4" t="s">
        <v>313</v>
      </c>
      <c r="S31" s="4" t="s">
        <v>257</v>
      </c>
      <c r="T31" s="7">
        <v>44086</v>
      </c>
      <c r="U31" s="4">
        <v>0</v>
      </c>
      <c r="V31" s="4">
        <v>12</v>
      </c>
      <c r="Y31" s="4" t="s">
        <v>233</v>
      </c>
      <c r="Z31" s="4" t="s">
        <v>234</v>
      </c>
      <c r="AA31" s="4" t="s">
        <v>234</v>
      </c>
      <c r="AC31" s="4" t="s">
        <v>2923</v>
      </c>
    </row>
    <row r="32" spans="1:29" hidden="1" x14ac:dyDescent="0.4">
      <c r="A32" s="4" t="s">
        <v>216</v>
      </c>
      <c r="B32" s="4">
        <v>6812</v>
      </c>
      <c r="C32" s="4" t="s">
        <v>242</v>
      </c>
      <c r="D32" s="4" t="s">
        <v>323</v>
      </c>
      <c r="E32" s="4" t="s">
        <v>324</v>
      </c>
      <c r="F32" s="4" t="s">
        <v>325</v>
      </c>
      <c r="H32" s="4" t="s">
        <v>326</v>
      </c>
      <c r="I32" s="4" t="s">
        <v>34</v>
      </c>
      <c r="J32" s="4" t="s">
        <v>327</v>
      </c>
      <c r="K32" s="4" t="s">
        <v>224</v>
      </c>
      <c r="L32" s="6" t="s">
        <v>328</v>
      </c>
      <c r="M32" s="4" t="s">
        <v>329</v>
      </c>
      <c r="N32" s="4" t="s">
        <v>330</v>
      </c>
      <c r="P32" s="4" t="s">
        <v>331</v>
      </c>
      <c r="Q32" s="4" t="s">
        <v>332</v>
      </c>
      <c r="R32" s="4" t="s">
        <v>333</v>
      </c>
      <c r="S32" s="4" t="s">
        <v>231</v>
      </c>
      <c r="T32" s="7">
        <v>44270</v>
      </c>
      <c r="U32" s="4">
        <v>0</v>
      </c>
      <c r="V32" s="4">
        <v>1</v>
      </c>
      <c r="W32" s="4" t="s">
        <v>253</v>
      </c>
      <c r="Y32" s="4" t="s">
        <v>233</v>
      </c>
      <c r="Z32" s="4" t="s">
        <v>234</v>
      </c>
      <c r="AA32" s="4" t="s">
        <v>234</v>
      </c>
      <c r="AC32" s="4" t="s">
        <v>2923</v>
      </c>
    </row>
    <row r="33" spans="1:29" hidden="1" x14ac:dyDescent="0.4">
      <c r="A33" s="4" t="s">
        <v>216</v>
      </c>
      <c r="B33" s="4">
        <v>6812</v>
      </c>
      <c r="C33" s="4" t="s">
        <v>242</v>
      </c>
      <c r="D33" s="4" t="s">
        <v>323</v>
      </c>
      <c r="E33" s="4" t="s">
        <v>324</v>
      </c>
      <c r="F33" s="4" t="s">
        <v>325</v>
      </c>
      <c r="H33" s="4" t="s">
        <v>326</v>
      </c>
      <c r="I33" s="4" t="s">
        <v>34</v>
      </c>
      <c r="J33" s="4" t="s">
        <v>327</v>
      </c>
      <c r="K33" s="4" t="s">
        <v>224</v>
      </c>
      <c r="L33" s="6" t="s">
        <v>328</v>
      </c>
      <c r="M33" s="4" t="s">
        <v>329</v>
      </c>
      <c r="N33" s="4" t="s">
        <v>330</v>
      </c>
      <c r="P33" s="4" t="s">
        <v>331</v>
      </c>
      <c r="Q33" s="4" t="s">
        <v>332</v>
      </c>
      <c r="R33" s="4" t="s">
        <v>333</v>
      </c>
      <c r="S33" s="4" t="s">
        <v>231</v>
      </c>
      <c r="T33" s="7">
        <v>44270</v>
      </c>
      <c r="U33" s="4">
        <v>0</v>
      </c>
      <c r="V33" s="4">
        <v>2</v>
      </c>
      <c r="W33" s="4" t="s">
        <v>254</v>
      </c>
      <c r="Y33" s="4" t="s">
        <v>233</v>
      </c>
      <c r="Z33" s="4" t="s">
        <v>234</v>
      </c>
      <c r="AA33" s="4" t="s">
        <v>234</v>
      </c>
      <c r="AC33" s="4" t="s">
        <v>2923</v>
      </c>
    </row>
    <row r="34" spans="1:29" hidden="1" x14ac:dyDescent="0.4">
      <c r="A34" s="4" t="s">
        <v>216</v>
      </c>
      <c r="B34" s="4">
        <v>2342</v>
      </c>
      <c r="C34" s="4" t="s">
        <v>217</v>
      </c>
      <c r="D34" s="4" t="s">
        <v>334</v>
      </c>
      <c r="E34" s="4" t="s">
        <v>335</v>
      </c>
      <c r="F34" s="4" t="s">
        <v>336</v>
      </c>
      <c r="H34" s="4" t="s">
        <v>181</v>
      </c>
      <c r="I34" s="4" t="s">
        <v>337</v>
      </c>
      <c r="J34" s="4" t="s">
        <v>338</v>
      </c>
      <c r="K34" s="4" t="s">
        <v>224</v>
      </c>
      <c r="L34" s="6" t="s">
        <v>339</v>
      </c>
      <c r="M34" s="4" t="s">
        <v>340</v>
      </c>
      <c r="N34" s="4" t="s">
        <v>341</v>
      </c>
      <c r="P34" s="4" t="s">
        <v>342</v>
      </c>
      <c r="Q34" s="4" t="s">
        <v>343</v>
      </c>
      <c r="R34" s="4" t="s">
        <v>31</v>
      </c>
      <c r="S34" s="4" t="s">
        <v>257</v>
      </c>
      <c r="T34" s="7">
        <v>45348</v>
      </c>
      <c r="U34" s="4">
        <v>0</v>
      </c>
      <c r="V34" s="4">
        <v>4</v>
      </c>
      <c r="W34" s="4" t="s">
        <v>314</v>
      </c>
      <c r="Y34" s="4" t="s">
        <v>233</v>
      </c>
      <c r="Z34" s="4" t="s">
        <v>234</v>
      </c>
      <c r="AA34" s="4" t="s">
        <v>234</v>
      </c>
      <c r="AC34" s="4" t="s">
        <v>2923</v>
      </c>
    </row>
    <row r="35" spans="1:29" hidden="1" x14ac:dyDescent="0.4">
      <c r="A35" s="4" t="s">
        <v>216</v>
      </c>
      <c r="B35" s="4">
        <v>2342</v>
      </c>
      <c r="C35" s="4" t="s">
        <v>217</v>
      </c>
      <c r="D35" s="4" t="s">
        <v>334</v>
      </c>
      <c r="E35" s="4" t="s">
        <v>335</v>
      </c>
      <c r="F35" s="4" t="s">
        <v>336</v>
      </c>
      <c r="H35" s="4" t="s">
        <v>181</v>
      </c>
      <c r="I35" s="4" t="s">
        <v>337</v>
      </c>
      <c r="J35" s="4" t="s">
        <v>338</v>
      </c>
      <c r="K35" s="4" t="s">
        <v>224</v>
      </c>
      <c r="L35" s="6" t="s">
        <v>339</v>
      </c>
      <c r="M35" s="4" t="s">
        <v>340</v>
      </c>
      <c r="N35" s="4" t="s">
        <v>341</v>
      </c>
      <c r="P35" s="4" t="s">
        <v>344</v>
      </c>
      <c r="Q35" s="4" t="s">
        <v>345</v>
      </c>
      <c r="R35" s="4" t="s">
        <v>53</v>
      </c>
      <c r="S35" s="4" t="s">
        <v>257</v>
      </c>
      <c r="T35" s="7">
        <v>43302</v>
      </c>
      <c r="U35" s="4">
        <v>0</v>
      </c>
      <c r="V35" s="4">
        <v>6</v>
      </c>
      <c r="Y35" s="4" t="s">
        <v>233</v>
      </c>
      <c r="Z35" s="4" t="s">
        <v>234</v>
      </c>
      <c r="AA35" s="4" t="s">
        <v>234</v>
      </c>
      <c r="AC35" s="4" t="s">
        <v>2923</v>
      </c>
    </row>
    <row r="36" spans="1:29" hidden="1" x14ac:dyDescent="0.4">
      <c r="A36" s="4" t="s">
        <v>216</v>
      </c>
      <c r="B36" s="4">
        <v>2342</v>
      </c>
      <c r="C36" s="4" t="s">
        <v>217</v>
      </c>
      <c r="D36" s="4" t="s">
        <v>334</v>
      </c>
      <c r="E36" s="4" t="s">
        <v>335</v>
      </c>
      <c r="F36" s="4" t="s">
        <v>336</v>
      </c>
      <c r="H36" s="4" t="s">
        <v>181</v>
      </c>
      <c r="I36" s="4" t="s">
        <v>337</v>
      </c>
      <c r="J36" s="4" t="s">
        <v>338</v>
      </c>
      <c r="K36" s="4" t="s">
        <v>224</v>
      </c>
      <c r="L36" s="6" t="s">
        <v>339</v>
      </c>
      <c r="M36" s="4" t="s">
        <v>340</v>
      </c>
      <c r="N36" s="4" t="s">
        <v>341</v>
      </c>
      <c r="P36" s="4" t="s">
        <v>344</v>
      </c>
      <c r="Q36" s="4" t="s">
        <v>345</v>
      </c>
      <c r="R36" s="4" t="s">
        <v>53</v>
      </c>
      <c r="S36" s="4" t="s">
        <v>257</v>
      </c>
      <c r="T36" s="7">
        <v>43302</v>
      </c>
      <c r="U36" s="4">
        <v>0</v>
      </c>
      <c r="V36" s="4">
        <v>7</v>
      </c>
      <c r="W36" s="4" t="s">
        <v>238</v>
      </c>
      <c r="Y36" s="4" t="s">
        <v>233</v>
      </c>
      <c r="Z36" s="4" t="s">
        <v>234</v>
      </c>
      <c r="AA36" s="4" t="s">
        <v>234</v>
      </c>
      <c r="AC36" s="4" t="s">
        <v>2923</v>
      </c>
    </row>
    <row r="37" spans="1:29" hidden="1" x14ac:dyDescent="0.4">
      <c r="A37" s="4" t="s">
        <v>216</v>
      </c>
      <c r="B37" s="4">
        <v>6787</v>
      </c>
      <c r="C37" s="4" t="s">
        <v>242</v>
      </c>
      <c r="D37" s="4" t="s">
        <v>346</v>
      </c>
      <c r="E37" s="4" t="s">
        <v>347</v>
      </c>
      <c r="F37" s="4" t="s">
        <v>348</v>
      </c>
      <c r="G37" s="4" t="s">
        <v>349</v>
      </c>
      <c r="H37" s="4" t="s">
        <v>350</v>
      </c>
      <c r="I37" s="4" t="s">
        <v>351</v>
      </c>
      <c r="J37" s="4" t="s">
        <v>352</v>
      </c>
      <c r="K37" s="4" t="s">
        <v>224</v>
      </c>
      <c r="L37" s="6" t="s">
        <v>353</v>
      </c>
      <c r="M37" s="4" t="s">
        <v>354</v>
      </c>
      <c r="N37" s="4" t="s">
        <v>355</v>
      </c>
      <c r="P37" s="4" t="s">
        <v>356</v>
      </c>
      <c r="Q37" s="4" t="s">
        <v>357</v>
      </c>
      <c r="S37" s="4" t="s">
        <v>257</v>
      </c>
      <c r="T37" s="7">
        <v>44313</v>
      </c>
      <c r="U37" s="4">
        <v>0</v>
      </c>
      <c r="V37" s="4">
        <v>8</v>
      </c>
      <c r="W37" s="4" t="s">
        <v>281</v>
      </c>
      <c r="Y37" s="4" t="s">
        <v>233</v>
      </c>
      <c r="Z37" s="4" t="s">
        <v>234</v>
      </c>
      <c r="AA37" s="4" t="s">
        <v>234</v>
      </c>
      <c r="AC37" s="4" t="s">
        <v>2923</v>
      </c>
    </row>
    <row r="38" spans="1:29" hidden="1" x14ac:dyDescent="0.4">
      <c r="A38" s="4" t="s">
        <v>216</v>
      </c>
      <c r="B38" s="4">
        <v>6787</v>
      </c>
      <c r="C38" s="4" t="s">
        <v>242</v>
      </c>
      <c r="D38" s="4" t="s">
        <v>346</v>
      </c>
      <c r="E38" s="4" t="s">
        <v>347</v>
      </c>
      <c r="F38" s="4" t="s">
        <v>348</v>
      </c>
      <c r="G38" s="4" t="s">
        <v>349</v>
      </c>
      <c r="H38" s="4" t="s">
        <v>350</v>
      </c>
      <c r="I38" s="4" t="s">
        <v>351</v>
      </c>
      <c r="J38" s="4" t="s">
        <v>352</v>
      </c>
      <c r="K38" s="4" t="s">
        <v>224</v>
      </c>
      <c r="L38" s="6" t="s">
        <v>353</v>
      </c>
      <c r="M38" s="4" t="s">
        <v>354</v>
      </c>
      <c r="N38" s="4" t="s">
        <v>355</v>
      </c>
      <c r="P38" s="4" t="s">
        <v>356</v>
      </c>
      <c r="Q38" s="4" t="s">
        <v>357</v>
      </c>
      <c r="S38" s="4" t="s">
        <v>257</v>
      </c>
      <c r="T38" s="7">
        <v>44313</v>
      </c>
      <c r="U38" s="4">
        <v>0</v>
      </c>
      <c r="V38" s="4">
        <v>9</v>
      </c>
      <c r="W38" s="4" t="s">
        <v>358</v>
      </c>
      <c r="Y38" s="4" t="s">
        <v>233</v>
      </c>
      <c r="Z38" s="4" t="s">
        <v>234</v>
      </c>
      <c r="AA38" s="4" t="s">
        <v>234</v>
      </c>
      <c r="AC38" s="4" t="s">
        <v>2923</v>
      </c>
    </row>
    <row r="39" spans="1:29" hidden="1" x14ac:dyDescent="0.4">
      <c r="A39" s="4" t="s">
        <v>216</v>
      </c>
      <c r="B39" s="4">
        <v>6787</v>
      </c>
      <c r="C39" s="4" t="s">
        <v>242</v>
      </c>
      <c r="D39" s="4" t="s">
        <v>346</v>
      </c>
      <c r="E39" s="4" t="s">
        <v>347</v>
      </c>
      <c r="F39" s="4" t="s">
        <v>348</v>
      </c>
      <c r="G39" s="4" t="s">
        <v>349</v>
      </c>
      <c r="H39" s="4" t="s">
        <v>350</v>
      </c>
      <c r="I39" s="4" t="s">
        <v>351</v>
      </c>
      <c r="J39" s="4" t="s">
        <v>352</v>
      </c>
      <c r="K39" s="4" t="s">
        <v>224</v>
      </c>
      <c r="L39" s="6" t="s">
        <v>353</v>
      </c>
      <c r="M39" s="4" t="s">
        <v>354</v>
      </c>
      <c r="N39" s="4" t="s">
        <v>355</v>
      </c>
      <c r="P39" s="4" t="s">
        <v>356</v>
      </c>
      <c r="Q39" s="4" t="s">
        <v>357</v>
      </c>
      <c r="S39" s="4" t="s">
        <v>257</v>
      </c>
      <c r="T39" s="7">
        <v>44313</v>
      </c>
      <c r="U39" s="4">
        <v>0</v>
      </c>
      <c r="V39" s="4">
        <v>14</v>
      </c>
      <c r="W39" s="4" t="s">
        <v>241</v>
      </c>
      <c r="Y39" s="4" t="s">
        <v>233</v>
      </c>
      <c r="Z39" s="4" t="s">
        <v>234</v>
      </c>
      <c r="AA39" s="4" t="s">
        <v>234</v>
      </c>
      <c r="AC39" s="4" t="s">
        <v>2923</v>
      </c>
    </row>
    <row r="40" spans="1:29" hidden="1" x14ac:dyDescent="0.4">
      <c r="A40" s="4" t="s">
        <v>216</v>
      </c>
      <c r="B40" s="4">
        <v>5751</v>
      </c>
      <c r="C40" s="4" t="s">
        <v>242</v>
      </c>
      <c r="D40" s="4" t="s">
        <v>2261</v>
      </c>
      <c r="E40" s="4" t="s">
        <v>2818</v>
      </c>
      <c r="F40" s="4" t="s">
        <v>361</v>
      </c>
      <c r="H40" s="4" t="s">
        <v>362</v>
      </c>
      <c r="I40" s="4" t="s">
        <v>363</v>
      </c>
      <c r="J40" s="4" t="s">
        <v>364</v>
      </c>
      <c r="K40" s="4" t="s">
        <v>224</v>
      </c>
      <c r="L40" s="5" t="s">
        <v>365</v>
      </c>
      <c r="M40" s="4" t="s">
        <v>366</v>
      </c>
      <c r="N40" s="4" t="s">
        <v>367</v>
      </c>
      <c r="P40" s="4" t="s">
        <v>2850</v>
      </c>
      <c r="Q40" s="4" t="s">
        <v>368</v>
      </c>
      <c r="R40" s="4" t="s">
        <v>369</v>
      </c>
      <c r="S40" s="4" t="s">
        <v>231</v>
      </c>
      <c r="T40" s="7">
        <v>44827</v>
      </c>
      <c r="U40" s="4">
        <v>0</v>
      </c>
      <c r="V40" s="4">
        <v>4</v>
      </c>
      <c r="W40" s="4" t="s">
        <v>314</v>
      </c>
      <c r="Y40" s="4" t="s">
        <v>233</v>
      </c>
      <c r="Z40" s="4" t="s">
        <v>234</v>
      </c>
      <c r="AA40" s="4" t="s">
        <v>234</v>
      </c>
      <c r="AC40" s="4" t="s">
        <v>2923</v>
      </c>
    </row>
    <row r="41" spans="1:29" hidden="1" x14ac:dyDescent="0.4">
      <c r="A41" s="4" t="s">
        <v>216</v>
      </c>
      <c r="B41" s="4">
        <v>683</v>
      </c>
      <c r="C41" s="4" t="s">
        <v>217</v>
      </c>
      <c r="D41" s="4" t="s">
        <v>373</v>
      </c>
      <c r="E41" s="4" t="s">
        <v>374</v>
      </c>
      <c r="F41" s="4" t="s">
        <v>375</v>
      </c>
      <c r="H41" s="4" t="s">
        <v>376</v>
      </c>
      <c r="I41" s="4" t="s">
        <v>377</v>
      </c>
      <c r="J41" s="4" t="s">
        <v>378</v>
      </c>
      <c r="K41" s="4" t="s">
        <v>224</v>
      </c>
      <c r="L41" s="6" t="s">
        <v>379</v>
      </c>
      <c r="M41" s="4" t="s">
        <v>380</v>
      </c>
      <c r="N41" s="4" t="s">
        <v>381</v>
      </c>
      <c r="P41" s="4" t="s">
        <v>2851</v>
      </c>
      <c r="Q41" s="4" t="s">
        <v>393</v>
      </c>
      <c r="R41" s="4" t="s">
        <v>2811</v>
      </c>
      <c r="S41" s="4" t="s">
        <v>257</v>
      </c>
      <c r="T41" s="7">
        <v>44890</v>
      </c>
      <c r="U41" s="4">
        <v>0</v>
      </c>
      <c r="V41" s="4">
        <v>6</v>
      </c>
      <c r="Y41" s="4" t="s">
        <v>233</v>
      </c>
      <c r="Z41" s="4" t="s">
        <v>234</v>
      </c>
      <c r="AA41" s="4" t="s">
        <v>234</v>
      </c>
      <c r="AC41" s="4" t="s">
        <v>2923</v>
      </c>
    </row>
    <row r="42" spans="1:29" hidden="1" x14ac:dyDescent="0.4">
      <c r="A42" s="4" t="s">
        <v>216</v>
      </c>
      <c r="B42" s="4">
        <v>683</v>
      </c>
      <c r="C42" s="4" t="s">
        <v>217</v>
      </c>
      <c r="D42" s="4" t="s">
        <v>373</v>
      </c>
      <c r="E42" s="4" t="s">
        <v>374</v>
      </c>
      <c r="F42" s="4" t="s">
        <v>375</v>
      </c>
      <c r="H42" s="4" t="s">
        <v>376</v>
      </c>
      <c r="I42" s="4" t="s">
        <v>377</v>
      </c>
      <c r="J42" s="4" t="s">
        <v>378</v>
      </c>
      <c r="K42" s="4" t="s">
        <v>224</v>
      </c>
      <c r="L42" s="6" t="s">
        <v>379</v>
      </c>
      <c r="M42" s="4" t="s">
        <v>380</v>
      </c>
      <c r="N42" s="4" t="s">
        <v>381</v>
      </c>
      <c r="P42" s="4" t="s">
        <v>2852</v>
      </c>
      <c r="Q42" s="4" t="s">
        <v>389</v>
      </c>
      <c r="R42" t="s">
        <v>73</v>
      </c>
      <c r="S42" s="4" t="s">
        <v>257</v>
      </c>
      <c r="T42" s="7">
        <v>42992</v>
      </c>
      <c r="U42" s="4">
        <v>0</v>
      </c>
      <c r="V42" s="4">
        <v>11</v>
      </c>
      <c r="W42" s="4" t="s">
        <v>132</v>
      </c>
      <c r="Y42" s="4" t="s">
        <v>233</v>
      </c>
      <c r="Z42" s="4" t="s">
        <v>234</v>
      </c>
      <c r="AA42" s="4" t="s">
        <v>234</v>
      </c>
      <c r="AC42" s="4" t="s">
        <v>2923</v>
      </c>
    </row>
    <row r="43" spans="1:29" hidden="1" x14ac:dyDescent="0.4">
      <c r="A43" s="4" t="s">
        <v>216</v>
      </c>
      <c r="B43" s="4">
        <v>683</v>
      </c>
      <c r="C43" s="4" t="s">
        <v>217</v>
      </c>
      <c r="D43" s="4" t="s">
        <v>373</v>
      </c>
      <c r="E43" s="4" t="s">
        <v>374</v>
      </c>
      <c r="F43" s="4" t="s">
        <v>375</v>
      </c>
      <c r="H43" s="4" t="s">
        <v>376</v>
      </c>
      <c r="I43" s="4" t="s">
        <v>377</v>
      </c>
      <c r="J43" s="4" t="s">
        <v>378</v>
      </c>
      <c r="K43" s="4" t="s">
        <v>224</v>
      </c>
      <c r="L43" s="6" t="s">
        <v>379</v>
      </c>
      <c r="M43" s="4" t="s">
        <v>380</v>
      </c>
      <c r="N43" s="4" t="s">
        <v>381</v>
      </c>
      <c r="P43" s="4" t="s">
        <v>2851</v>
      </c>
      <c r="Q43" s="4" t="s">
        <v>393</v>
      </c>
      <c r="R43" s="4" t="s">
        <v>2811</v>
      </c>
      <c r="S43" s="4" t="s">
        <v>257</v>
      </c>
      <c r="T43" s="7">
        <v>44890</v>
      </c>
      <c r="U43" s="4">
        <v>0</v>
      </c>
      <c r="V43" s="4">
        <v>12</v>
      </c>
      <c r="W43" s="4" t="s">
        <v>239</v>
      </c>
      <c r="Y43" s="4" t="s">
        <v>233</v>
      </c>
      <c r="Z43" s="4" t="s">
        <v>234</v>
      </c>
      <c r="AA43" s="4" t="s">
        <v>234</v>
      </c>
      <c r="AC43" s="4" t="s">
        <v>2923</v>
      </c>
    </row>
    <row r="44" spans="1:29" hidden="1" x14ac:dyDescent="0.4">
      <c r="A44" s="4" t="s">
        <v>216</v>
      </c>
      <c r="B44" s="4">
        <v>6814</v>
      </c>
      <c r="C44" s="4" t="s">
        <v>242</v>
      </c>
      <c r="D44" s="4" t="s">
        <v>394</v>
      </c>
      <c r="E44" s="4" t="s">
        <v>395</v>
      </c>
      <c r="F44" s="4" t="s">
        <v>396</v>
      </c>
      <c r="G44" s="4" t="s">
        <v>397</v>
      </c>
      <c r="H44" s="4" t="s">
        <v>398</v>
      </c>
      <c r="I44" s="4" t="s">
        <v>143</v>
      </c>
      <c r="J44" s="4" t="s">
        <v>399</v>
      </c>
      <c r="K44" s="4" t="s">
        <v>224</v>
      </c>
      <c r="L44" s="5" t="s">
        <v>400</v>
      </c>
      <c r="M44" s="4" t="s">
        <v>401</v>
      </c>
      <c r="N44" s="4" t="s">
        <v>402</v>
      </c>
      <c r="P44" s="4" t="s">
        <v>403</v>
      </c>
      <c r="Q44" s="4" t="s">
        <v>404</v>
      </c>
      <c r="R44" s="4" t="s">
        <v>53</v>
      </c>
      <c r="S44" s="4" t="s">
        <v>231</v>
      </c>
      <c r="T44" s="7">
        <v>45576</v>
      </c>
      <c r="U44" s="4">
        <v>0</v>
      </c>
      <c r="V44" s="4">
        <v>3</v>
      </c>
      <c r="W44" s="4" t="s">
        <v>258</v>
      </c>
      <c r="Y44" s="4" t="s">
        <v>233</v>
      </c>
      <c r="Z44" s="4" t="s">
        <v>234</v>
      </c>
      <c r="AA44" s="4" t="s">
        <v>233</v>
      </c>
      <c r="AC44" s="4" t="s">
        <v>2923</v>
      </c>
    </row>
    <row r="45" spans="1:29" hidden="1" x14ac:dyDescent="0.4">
      <c r="A45" s="4" t="s">
        <v>216</v>
      </c>
      <c r="B45" s="4">
        <v>6814</v>
      </c>
      <c r="C45" s="4" t="s">
        <v>242</v>
      </c>
      <c r="D45" s="4" t="s">
        <v>394</v>
      </c>
      <c r="E45" s="4" t="s">
        <v>395</v>
      </c>
      <c r="F45" s="4" t="s">
        <v>396</v>
      </c>
      <c r="G45" s="4" t="s">
        <v>397</v>
      </c>
      <c r="H45" s="4" t="s">
        <v>398</v>
      </c>
      <c r="I45" s="4" t="s">
        <v>143</v>
      </c>
      <c r="J45" s="4" t="s">
        <v>399</v>
      </c>
      <c r="K45" s="4" t="s">
        <v>224</v>
      </c>
      <c r="L45" s="5" t="s">
        <v>400</v>
      </c>
      <c r="M45" s="4" t="s">
        <v>401</v>
      </c>
      <c r="N45" s="4" t="s">
        <v>402</v>
      </c>
      <c r="P45" s="4" t="s">
        <v>403</v>
      </c>
      <c r="Q45" s="4" t="s">
        <v>404</v>
      </c>
      <c r="R45" s="4" t="s">
        <v>53</v>
      </c>
      <c r="S45" s="4" t="s">
        <v>231</v>
      </c>
      <c r="T45" s="7">
        <v>45576</v>
      </c>
      <c r="U45" s="4">
        <v>0</v>
      </c>
      <c r="V45" s="4">
        <v>9</v>
      </c>
      <c r="W45" s="4" t="s">
        <v>358</v>
      </c>
      <c r="Y45" s="4" t="s">
        <v>233</v>
      </c>
      <c r="Z45" s="4" t="s">
        <v>234</v>
      </c>
      <c r="AA45" s="4" t="s">
        <v>233</v>
      </c>
      <c r="AC45" s="4" t="s">
        <v>2923</v>
      </c>
    </row>
    <row r="46" spans="1:29" hidden="1" x14ac:dyDescent="0.4">
      <c r="A46" s="4" t="s">
        <v>216</v>
      </c>
      <c r="B46" s="4">
        <v>1384</v>
      </c>
      <c r="C46" s="4" t="s">
        <v>242</v>
      </c>
      <c r="D46" s="4" t="s">
        <v>2589</v>
      </c>
      <c r="E46" s="4" t="s">
        <v>406</v>
      </c>
      <c r="F46" s="4" t="s">
        <v>407</v>
      </c>
      <c r="G46" s="4" t="s">
        <v>408</v>
      </c>
      <c r="H46" s="4" t="s">
        <v>409</v>
      </c>
      <c r="I46" s="4" t="s">
        <v>34</v>
      </c>
      <c r="J46" s="4" t="s">
        <v>410</v>
      </c>
      <c r="K46" s="4" t="s">
        <v>224</v>
      </c>
      <c r="L46" s="6" t="s">
        <v>411</v>
      </c>
      <c r="M46" s="4" t="s">
        <v>412</v>
      </c>
      <c r="N46" s="4" t="s">
        <v>413</v>
      </c>
      <c r="P46" s="4" t="s">
        <v>414</v>
      </c>
      <c r="Q46" s="4" t="s">
        <v>415</v>
      </c>
      <c r="R46" s="4" t="s">
        <v>416</v>
      </c>
      <c r="S46" s="4" t="s">
        <v>257</v>
      </c>
      <c r="T46" s="7">
        <v>44514</v>
      </c>
      <c r="U46" s="4">
        <v>0</v>
      </c>
      <c r="V46" s="4">
        <v>6</v>
      </c>
      <c r="Y46" s="4" t="s">
        <v>233</v>
      </c>
      <c r="Z46" s="4" t="s">
        <v>234</v>
      </c>
      <c r="AA46" s="4" t="s">
        <v>234</v>
      </c>
      <c r="AC46" s="4" t="s">
        <v>2923</v>
      </c>
    </row>
    <row r="47" spans="1:29" hidden="1" x14ac:dyDescent="0.4">
      <c r="A47" s="4" t="s">
        <v>216</v>
      </c>
      <c r="B47" s="4">
        <v>1384</v>
      </c>
      <c r="C47" s="4" t="s">
        <v>242</v>
      </c>
      <c r="D47" s="4" t="s">
        <v>2589</v>
      </c>
      <c r="E47" s="4" t="s">
        <v>406</v>
      </c>
      <c r="F47" s="4" t="s">
        <v>407</v>
      </c>
      <c r="G47" s="4" t="s">
        <v>408</v>
      </c>
      <c r="H47" s="4" t="s">
        <v>409</v>
      </c>
      <c r="I47" s="4" t="s">
        <v>34</v>
      </c>
      <c r="J47" s="4" t="s">
        <v>410</v>
      </c>
      <c r="K47" s="4" t="s">
        <v>224</v>
      </c>
      <c r="L47" s="6" t="s">
        <v>411</v>
      </c>
      <c r="M47" s="4" t="s">
        <v>412</v>
      </c>
      <c r="N47" s="4" t="s">
        <v>413</v>
      </c>
      <c r="P47" s="4" t="s">
        <v>414</v>
      </c>
      <c r="Q47" s="4" t="s">
        <v>415</v>
      </c>
      <c r="R47" s="4" t="s">
        <v>416</v>
      </c>
      <c r="S47" s="4" t="s">
        <v>257</v>
      </c>
      <c r="T47" s="7">
        <v>44514</v>
      </c>
      <c r="U47" s="4">
        <v>0</v>
      </c>
      <c r="V47" s="4">
        <v>5</v>
      </c>
      <c r="W47" s="4" t="s">
        <v>176</v>
      </c>
      <c r="Y47" s="4" t="s">
        <v>233</v>
      </c>
      <c r="Z47" s="4" t="s">
        <v>234</v>
      </c>
      <c r="AA47" s="4" t="s">
        <v>234</v>
      </c>
      <c r="AC47" s="4" t="s">
        <v>2923</v>
      </c>
    </row>
    <row r="48" spans="1:29" hidden="1" x14ac:dyDescent="0.4">
      <c r="A48" s="4" t="s">
        <v>216</v>
      </c>
      <c r="B48" s="4">
        <v>1384</v>
      </c>
      <c r="C48" s="4" t="s">
        <v>242</v>
      </c>
      <c r="D48" s="4" t="s">
        <v>2589</v>
      </c>
      <c r="E48" s="4" t="s">
        <v>406</v>
      </c>
      <c r="F48" s="4" t="s">
        <v>407</v>
      </c>
      <c r="G48" s="4" t="s">
        <v>408</v>
      </c>
      <c r="H48" s="4" t="s">
        <v>409</v>
      </c>
      <c r="I48" s="4" t="s">
        <v>34</v>
      </c>
      <c r="J48" s="4" t="s">
        <v>410</v>
      </c>
      <c r="K48" s="4" t="s">
        <v>224</v>
      </c>
      <c r="L48" s="6" t="s">
        <v>411</v>
      </c>
      <c r="M48" s="4" t="s">
        <v>412</v>
      </c>
      <c r="N48" s="4" t="s">
        <v>413</v>
      </c>
      <c r="P48" s="4" t="s">
        <v>414</v>
      </c>
      <c r="Q48" s="4" t="s">
        <v>415</v>
      </c>
      <c r="R48" s="4" t="s">
        <v>416</v>
      </c>
      <c r="S48" s="4" t="s">
        <v>257</v>
      </c>
      <c r="T48" s="7">
        <v>44514</v>
      </c>
      <c r="U48" s="4">
        <v>0</v>
      </c>
      <c r="V48" s="4">
        <v>12</v>
      </c>
      <c r="Y48" s="4" t="s">
        <v>233</v>
      </c>
      <c r="Z48" s="4" t="s">
        <v>234</v>
      </c>
      <c r="AA48" s="4" t="s">
        <v>234</v>
      </c>
      <c r="AC48" s="4" t="s">
        <v>2923</v>
      </c>
    </row>
    <row r="49" spans="1:29" hidden="1" x14ac:dyDescent="0.4">
      <c r="A49" s="4" t="s">
        <v>216</v>
      </c>
      <c r="B49" s="4">
        <v>1384</v>
      </c>
      <c r="C49" s="4" t="s">
        <v>242</v>
      </c>
      <c r="D49" s="4" t="s">
        <v>2589</v>
      </c>
      <c r="E49" s="4" t="s">
        <v>406</v>
      </c>
      <c r="F49" s="4" t="s">
        <v>407</v>
      </c>
      <c r="G49" s="4" t="s">
        <v>408</v>
      </c>
      <c r="H49" s="4" t="s">
        <v>409</v>
      </c>
      <c r="I49" s="4" t="s">
        <v>34</v>
      </c>
      <c r="J49" s="4" t="s">
        <v>410</v>
      </c>
      <c r="K49" s="4" t="s">
        <v>224</v>
      </c>
      <c r="L49" s="6" t="s">
        <v>411</v>
      </c>
      <c r="M49" s="4" t="s">
        <v>412</v>
      </c>
      <c r="N49" s="4" t="s">
        <v>413</v>
      </c>
      <c r="P49" s="4" t="s">
        <v>414</v>
      </c>
      <c r="Q49" s="4" t="s">
        <v>415</v>
      </c>
      <c r="R49" s="4" t="s">
        <v>416</v>
      </c>
      <c r="S49" s="4" t="s">
        <v>257</v>
      </c>
      <c r="T49" s="7">
        <v>44514</v>
      </c>
      <c r="U49" s="4">
        <v>0</v>
      </c>
      <c r="V49" s="4">
        <v>11</v>
      </c>
      <c r="W49" s="4" t="s">
        <v>132</v>
      </c>
      <c r="Y49" s="4" t="s">
        <v>233</v>
      </c>
      <c r="Z49" s="4" t="s">
        <v>234</v>
      </c>
      <c r="AA49" s="4" t="s">
        <v>234</v>
      </c>
      <c r="AC49" s="4" t="s">
        <v>2923</v>
      </c>
    </row>
    <row r="50" spans="1:29" x14ac:dyDescent="0.4">
      <c r="A50" s="4" t="s">
        <v>216</v>
      </c>
      <c r="B50" s="4">
        <v>1131</v>
      </c>
      <c r="C50" s="4" t="s">
        <v>417</v>
      </c>
      <c r="D50" s="4" t="s">
        <v>418</v>
      </c>
      <c r="E50" s="4" t="s">
        <v>419</v>
      </c>
      <c r="F50" s="4" t="s">
        <v>420</v>
      </c>
      <c r="G50" s="4" t="s">
        <v>421</v>
      </c>
      <c r="H50" s="4" t="s">
        <v>422</v>
      </c>
      <c r="I50" s="4" t="s">
        <v>30</v>
      </c>
      <c r="J50" s="4" t="s">
        <v>423</v>
      </c>
      <c r="K50" s="4" t="s">
        <v>224</v>
      </c>
      <c r="L50" s="5" t="s">
        <v>424</v>
      </c>
      <c r="M50" s="4" t="s">
        <v>425</v>
      </c>
      <c r="N50" s="4" t="s">
        <v>426</v>
      </c>
      <c r="P50" s="4" t="s">
        <v>427</v>
      </c>
      <c r="Q50" s="4" t="s">
        <v>428</v>
      </c>
      <c r="R50" s="4" t="s">
        <v>31</v>
      </c>
      <c r="S50" s="4" t="s">
        <v>257</v>
      </c>
      <c r="T50" s="7">
        <v>45759</v>
      </c>
      <c r="U50" s="4">
        <v>0</v>
      </c>
      <c r="V50" s="4">
        <v>4</v>
      </c>
      <c r="W50" s="4" t="s">
        <v>2725</v>
      </c>
      <c r="Y50" s="4" t="s">
        <v>233</v>
      </c>
      <c r="Z50" s="4" t="s">
        <v>234</v>
      </c>
      <c r="AA50" s="4" t="s">
        <v>234</v>
      </c>
      <c r="AC50" s="4" t="s">
        <v>2923</v>
      </c>
    </row>
    <row r="51" spans="1:29" hidden="1" x14ac:dyDescent="0.4">
      <c r="A51" s="4" t="s">
        <v>216</v>
      </c>
      <c r="B51" s="4">
        <v>1131</v>
      </c>
      <c r="C51" s="4" t="s">
        <v>417</v>
      </c>
      <c r="D51" s="4" t="s">
        <v>418</v>
      </c>
      <c r="E51" s="4" t="s">
        <v>419</v>
      </c>
      <c r="F51" s="4" t="s">
        <v>420</v>
      </c>
      <c r="G51" s="4" t="s">
        <v>421</v>
      </c>
      <c r="H51" s="4" t="s">
        <v>422</v>
      </c>
      <c r="I51" s="4" t="s">
        <v>30</v>
      </c>
      <c r="J51" s="4" t="s">
        <v>423</v>
      </c>
      <c r="K51" s="4" t="s">
        <v>224</v>
      </c>
      <c r="L51" s="5" t="s">
        <v>424</v>
      </c>
      <c r="M51" s="4" t="s">
        <v>425</v>
      </c>
      <c r="N51" s="4" t="s">
        <v>426</v>
      </c>
      <c r="P51" s="4" t="s">
        <v>429</v>
      </c>
      <c r="Q51" s="4" t="s">
        <v>430</v>
      </c>
      <c r="R51" s="4" t="s">
        <v>53</v>
      </c>
      <c r="S51" s="4" t="s">
        <v>257</v>
      </c>
      <c r="T51" s="7">
        <v>43217</v>
      </c>
      <c r="U51" s="4">
        <v>0</v>
      </c>
      <c r="V51" s="4">
        <v>7</v>
      </c>
      <c r="W51" s="4" t="s">
        <v>238</v>
      </c>
      <c r="Y51" s="4" t="s">
        <v>233</v>
      </c>
      <c r="Z51" s="4" t="s">
        <v>234</v>
      </c>
      <c r="AA51" s="4" t="s">
        <v>234</v>
      </c>
      <c r="AC51" s="4" t="s">
        <v>2923</v>
      </c>
    </row>
    <row r="52" spans="1:29" hidden="1" x14ac:dyDescent="0.4">
      <c r="A52" s="4" t="s">
        <v>216</v>
      </c>
      <c r="B52" s="4">
        <v>1131</v>
      </c>
      <c r="C52" s="4" t="s">
        <v>417</v>
      </c>
      <c r="D52" s="4" t="s">
        <v>418</v>
      </c>
      <c r="E52" s="4" t="s">
        <v>419</v>
      </c>
      <c r="F52" s="4" t="s">
        <v>420</v>
      </c>
      <c r="G52" s="4" t="s">
        <v>421</v>
      </c>
      <c r="H52" s="4" t="s">
        <v>422</v>
      </c>
      <c r="I52" s="4" t="s">
        <v>30</v>
      </c>
      <c r="J52" s="4" t="s">
        <v>423</v>
      </c>
      <c r="K52" s="4" t="s">
        <v>224</v>
      </c>
      <c r="L52" s="5" t="s">
        <v>424</v>
      </c>
      <c r="M52" s="4" t="s">
        <v>425</v>
      </c>
      <c r="N52" s="4" t="s">
        <v>426</v>
      </c>
      <c r="P52" s="4" t="s">
        <v>427</v>
      </c>
      <c r="Q52" s="4" t="s">
        <v>428</v>
      </c>
      <c r="R52" s="4" t="s">
        <v>31</v>
      </c>
      <c r="S52" s="4" t="s">
        <v>257</v>
      </c>
      <c r="T52" s="7">
        <v>45759</v>
      </c>
      <c r="U52" s="4">
        <v>0</v>
      </c>
      <c r="V52" s="4">
        <v>10</v>
      </c>
      <c r="W52" s="4" t="s">
        <v>433</v>
      </c>
      <c r="Y52" s="4" t="s">
        <v>233</v>
      </c>
      <c r="Z52" s="4" t="s">
        <v>234</v>
      </c>
      <c r="AA52" s="4" t="s">
        <v>234</v>
      </c>
      <c r="AC52" s="4" t="s">
        <v>2923</v>
      </c>
    </row>
    <row r="53" spans="1:29" hidden="1" x14ac:dyDescent="0.4">
      <c r="A53" s="4" t="s">
        <v>216</v>
      </c>
      <c r="B53" s="4">
        <v>1131</v>
      </c>
      <c r="C53" s="4" t="s">
        <v>417</v>
      </c>
      <c r="D53" s="4" t="s">
        <v>418</v>
      </c>
      <c r="E53" s="4" t="s">
        <v>419</v>
      </c>
      <c r="F53" s="4" t="s">
        <v>420</v>
      </c>
      <c r="G53" s="4" t="s">
        <v>421</v>
      </c>
      <c r="H53" s="4" t="s">
        <v>422</v>
      </c>
      <c r="I53" s="4" t="s">
        <v>30</v>
      </c>
      <c r="J53" s="4" t="s">
        <v>423</v>
      </c>
      <c r="K53" s="4" t="s">
        <v>224</v>
      </c>
      <c r="L53" s="5" t="s">
        <v>424</v>
      </c>
      <c r="M53" s="4" t="s">
        <v>425</v>
      </c>
      <c r="N53" s="4" t="s">
        <v>426</v>
      </c>
      <c r="P53" s="4" t="s">
        <v>429</v>
      </c>
      <c r="Q53" s="4" t="s">
        <v>430</v>
      </c>
      <c r="R53" s="4" t="s">
        <v>53</v>
      </c>
      <c r="S53" s="4" t="s">
        <v>257</v>
      </c>
      <c r="T53" s="7">
        <v>43217</v>
      </c>
      <c r="U53" s="4">
        <v>0</v>
      </c>
      <c r="V53" s="4">
        <v>13</v>
      </c>
      <c r="W53" s="4" t="s">
        <v>240</v>
      </c>
      <c r="Y53" s="4" t="s">
        <v>233</v>
      </c>
      <c r="Z53" s="4" t="s">
        <v>234</v>
      </c>
      <c r="AA53" s="4" t="s">
        <v>234</v>
      </c>
      <c r="AC53" s="4" t="s">
        <v>2923</v>
      </c>
    </row>
    <row r="54" spans="1:29" x14ac:dyDescent="0.4">
      <c r="A54" s="4" t="s">
        <v>216</v>
      </c>
      <c r="B54" s="4">
        <v>54</v>
      </c>
      <c r="C54" s="4" t="s">
        <v>417</v>
      </c>
      <c r="D54" s="4" t="s">
        <v>434</v>
      </c>
      <c r="E54" s="4" t="s">
        <v>435</v>
      </c>
      <c r="F54" s="4" t="s">
        <v>436</v>
      </c>
      <c r="G54" s="4" t="s">
        <v>437</v>
      </c>
      <c r="H54" s="4" t="s">
        <v>438</v>
      </c>
      <c r="I54" s="4" t="s">
        <v>439</v>
      </c>
      <c r="J54" s="4" t="s">
        <v>440</v>
      </c>
      <c r="K54" s="4" t="s">
        <v>224</v>
      </c>
      <c r="L54" s="5">
        <v>441728660244</v>
      </c>
      <c r="M54" s="4" t="s">
        <v>441</v>
      </c>
      <c r="N54" s="4" t="s">
        <v>442</v>
      </c>
      <c r="P54" s="4" t="s">
        <v>451</v>
      </c>
      <c r="Q54" s="4" t="s">
        <v>452</v>
      </c>
      <c r="R54" s="4" t="s">
        <v>53</v>
      </c>
      <c r="S54" s="4" t="s">
        <v>231</v>
      </c>
      <c r="T54" s="7">
        <v>44051</v>
      </c>
      <c r="U54" s="4">
        <v>0</v>
      </c>
      <c r="V54" s="4">
        <v>4</v>
      </c>
      <c r="W54" s="4" t="s">
        <v>2725</v>
      </c>
      <c r="X54" s="4" t="s">
        <v>293</v>
      </c>
      <c r="Y54" s="4" t="s">
        <v>233</v>
      </c>
      <c r="Z54" s="4" t="s">
        <v>234</v>
      </c>
      <c r="AA54" s="4" t="s">
        <v>234</v>
      </c>
      <c r="AC54" s="4" t="s">
        <v>2923</v>
      </c>
    </row>
    <row r="55" spans="1:29" hidden="1" x14ac:dyDescent="0.4">
      <c r="A55" s="4" t="s">
        <v>216</v>
      </c>
      <c r="B55" s="4">
        <v>54</v>
      </c>
      <c r="C55" s="4" t="s">
        <v>417</v>
      </c>
      <c r="D55" s="4" t="s">
        <v>434</v>
      </c>
      <c r="E55" s="4" t="s">
        <v>435</v>
      </c>
      <c r="F55" s="4" t="s">
        <v>436</v>
      </c>
      <c r="G55" s="4" t="s">
        <v>437</v>
      </c>
      <c r="H55" s="4" t="s">
        <v>438</v>
      </c>
      <c r="I55" s="4" t="s">
        <v>439</v>
      </c>
      <c r="J55" s="4" t="s">
        <v>440</v>
      </c>
      <c r="K55" s="4" t="s">
        <v>224</v>
      </c>
      <c r="L55" s="5">
        <v>441728660244</v>
      </c>
      <c r="M55" s="4" t="s">
        <v>441</v>
      </c>
      <c r="N55" s="4" t="s">
        <v>442</v>
      </c>
      <c r="P55" s="4" t="s">
        <v>451</v>
      </c>
      <c r="Q55" s="4" t="s">
        <v>452</v>
      </c>
      <c r="R55" s="4" t="s">
        <v>53</v>
      </c>
      <c r="S55" s="4" t="s">
        <v>231</v>
      </c>
      <c r="T55" s="7">
        <v>44051</v>
      </c>
      <c r="U55" s="4">
        <v>0</v>
      </c>
      <c r="V55" s="4">
        <v>10</v>
      </c>
      <c r="W55" s="4" t="s">
        <v>314</v>
      </c>
      <c r="X55" s="4" t="s">
        <v>293</v>
      </c>
      <c r="Y55" s="4" t="s">
        <v>233</v>
      </c>
      <c r="Z55" s="4" t="s">
        <v>234</v>
      </c>
      <c r="AA55" s="4" t="s">
        <v>234</v>
      </c>
      <c r="AC55" s="4" t="s">
        <v>2923</v>
      </c>
    </row>
    <row r="56" spans="1:29" hidden="1" x14ac:dyDescent="0.4">
      <c r="A56" s="4" t="s">
        <v>216</v>
      </c>
      <c r="B56" s="4">
        <v>4705</v>
      </c>
      <c r="C56" s="4" t="s">
        <v>315</v>
      </c>
      <c r="D56" s="4" t="s">
        <v>453</v>
      </c>
      <c r="E56" s="4" t="s">
        <v>454</v>
      </c>
      <c r="F56" s="4" t="s">
        <v>455</v>
      </c>
      <c r="H56" s="4" t="s">
        <v>456</v>
      </c>
      <c r="I56" s="4" t="s">
        <v>457</v>
      </c>
      <c r="J56" s="4" t="s">
        <v>458</v>
      </c>
      <c r="K56" s="4" t="s">
        <v>224</v>
      </c>
      <c r="L56" s="5" t="s">
        <v>459</v>
      </c>
      <c r="M56" s="4" t="s">
        <v>460</v>
      </c>
      <c r="N56" s="4" t="s">
        <v>461</v>
      </c>
      <c r="P56" s="4" t="s">
        <v>462</v>
      </c>
      <c r="Q56" s="4" t="s">
        <v>463</v>
      </c>
      <c r="R56" s="4" t="s">
        <v>31</v>
      </c>
      <c r="S56" s="4" t="s">
        <v>257</v>
      </c>
      <c r="T56" s="7">
        <v>44355</v>
      </c>
      <c r="U56" s="4">
        <v>0</v>
      </c>
      <c r="V56" s="4">
        <v>5</v>
      </c>
      <c r="W56" s="4" t="s">
        <v>314</v>
      </c>
      <c r="X56" s="4" t="s">
        <v>464</v>
      </c>
      <c r="Y56" s="4" t="s">
        <v>233</v>
      </c>
      <c r="Z56" s="4" t="s">
        <v>234</v>
      </c>
      <c r="AA56" s="4" t="s">
        <v>234</v>
      </c>
      <c r="AB56" s="4" t="s">
        <v>465</v>
      </c>
      <c r="AC56" s="4" t="s">
        <v>2923</v>
      </c>
    </row>
    <row r="57" spans="1:29" hidden="1" x14ac:dyDescent="0.4">
      <c r="A57" s="4" t="s">
        <v>216</v>
      </c>
      <c r="B57" s="4">
        <v>4705</v>
      </c>
      <c r="C57" s="4" t="s">
        <v>315</v>
      </c>
      <c r="D57" s="4" t="s">
        <v>453</v>
      </c>
      <c r="E57" s="4" t="s">
        <v>454</v>
      </c>
      <c r="F57" s="4" t="s">
        <v>455</v>
      </c>
      <c r="H57" s="4" t="s">
        <v>456</v>
      </c>
      <c r="I57" s="4" t="s">
        <v>457</v>
      </c>
      <c r="J57" s="4" t="s">
        <v>458</v>
      </c>
      <c r="K57" s="4" t="s">
        <v>224</v>
      </c>
      <c r="L57" s="5" t="s">
        <v>459</v>
      </c>
      <c r="M57" s="4" t="s">
        <v>460</v>
      </c>
      <c r="N57" s="4" t="s">
        <v>461</v>
      </c>
      <c r="P57" s="4" t="s">
        <v>462</v>
      </c>
      <c r="Q57" s="4" t="s">
        <v>463</v>
      </c>
      <c r="R57" s="4" t="s">
        <v>31</v>
      </c>
      <c r="S57" s="4" t="s">
        <v>257</v>
      </c>
      <c r="T57" s="7">
        <v>44355</v>
      </c>
      <c r="U57" s="4">
        <v>0</v>
      </c>
      <c r="V57" s="4">
        <v>6</v>
      </c>
      <c r="X57" s="4" t="s">
        <v>464</v>
      </c>
      <c r="Y57" s="4" t="s">
        <v>233</v>
      </c>
      <c r="Z57" s="4" t="s">
        <v>234</v>
      </c>
      <c r="AA57" s="4" t="s">
        <v>234</v>
      </c>
      <c r="AB57" s="4" t="s">
        <v>465</v>
      </c>
      <c r="AC57" s="4" t="s">
        <v>2923</v>
      </c>
    </row>
    <row r="58" spans="1:29" hidden="1" x14ac:dyDescent="0.4">
      <c r="A58" s="4" t="s">
        <v>216</v>
      </c>
      <c r="B58" s="4">
        <v>4705</v>
      </c>
      <c r="C58" s="4" t="s">
        <v>315</v>
      </c>
      <c r="D58" s="4" t="s">
        <v>453</v>
      </c>
      <c r="E58" s="4" t="s">
        <v>454</v>
      </c>
      <c r="F58" s="4" t="s">
        <v>455</v>
      </c>
      <c r="H58" s="4" t="s">
        <v>456</v>
      </c>
      <c r="I58" s="4" t="s">
        <v>457</v>
      </c>
      <c r="J58" s="4" t="s">
        <v>458</v>
      </c>
      <c r="K58" s="4" t="s">
        <v>224</v>
      </c>
      <c r="L58" s="5" t="s">
        <v>459</v>
      </c>
      <c r="M58" s="4" t="s">
        <v>460</v>
      </c>
      <c r="N58" s="4" t="s">
        <v>461</v>
      </c>
      <c r="P58" s="4" t="s">
        <v>462</v>
      </c>
      <c r="Q58" s="4" t="s">
        <v>463</v>
      </c>
      <c r="R58" s="4" t="s">
        <v>31</v>
      </c>
      <c r="S58" s="4" t="s">
        <v>257</v>
      </c>
      <c r="T58" s="7">
        <v>44355</v>
      </c>
      <c r="U58" s="4">
        <v>0</v>
      </c>
      <c r="V58" s="4">
        <v>11</v>
      </c>
      <c r="W58" s="4" t="s">
        <v>132</v>
      </c>
      <c r="X58" s="4" t="s">
        <v>464</v>
      </c>
      <c r="Y58" s="4" t="s">
        <v>233</v>
      </c>
      <c r="Z58" s="4" t="s">
        <v>234</v>
      </c>
      <c r="AA58" s="4" t="s">
        <v>234</v>
      </c>
      <c r="AB58" s="4" t="s">
        <v>465</v>
      </c>
      <c r="AC58" s="4" t="s">
        <v>2923</v>
      </c>
    </row>
    <row r="59" spans="1:29" hidden="1" x14ac:dyDescent="0.4">
      <c r="A59" s="4" t="s">
        <v>216</v>
      </c>
      <c r="B59" s="4">
        <v>4705</v>
      </c>
      <c r="C59" s="4" t="s">
        <v>315</v>
      </c>
      <c r="D59" s="4" t="s">
        <v>453</v>
      </c>
      <c r="E59" s="4" t="s">
        <v>454</v>
      </c>
      <c r="F59" s="4" t="s">
        <v>455</v>
      </c>
      <c r="H59" s="4" t="s">
        <v>456</v>
      </c>
      <c r="I59" s="4" t="s">
        <v>457</v>
      </c>
      <c r="J59" s="4" t="s">
        <v>458</v>
      </c>
      <c r="K59" s="4" t="s">
        <v>224</v>
      </c>
      <c r="L59" s="5" t="s">
        <v>459</v>
      </c>
      <c r="M59" s="4" t="s">
        <v>460</v>
      </c>
      <c r="N59" s="4" t="s">
        <v>461</v>
      </c>
      <c r="P59" s="4" t="s">
        <v>462</v>
      </c>
      <c r="Q59" s="4" t="s">
        <v>463</v>
      </c>
      <c r="R59" s="4" t="s">
        <v>31</v>
      </c>
      <c r="S59" s="4" t="s">
        <v>257</v>
      </c>
      <c r="T59" s="7">
        <v>44355</v>
      </c>
      <c r="U59" s="4">
        <v>0</v>
      </c>
      <c r="V59" s="4">
        <v>12</v>
      </c>
      <c r="X59" s="4" t="s">
        <v>464</v>
      </c>
      <c r="Y59" s="4" t="s">
        <v>233</v>
      </c>
      <c r="Z59" s="4" t="s">
        <v>234</v>
      </c>
      <c r="AA59" s="4" t="s">
        <v>234</v>
      </c>
      <c r="AB59" s="4" t="s">
        <v>465</v>
      </c>
      <c r="AC59" s="4" t="s">
        <v>2923</v>
      </c>
    </row>
    <row r="60" spans="1:29" hidden="1" x14ac:dyDescent="0.4">
      <c r="A60" s="4" t="s">
        <v>216</v>
      </c>
      <c r="B60" s="4">
        <v>4705</v>
      </c>
      <c r="C60" s="4" t="s">
        <v>315</v>
      </c>
      <c r="D60" s="4" t="s">
        <v>453</v>
      </c>
      <c r="E60" s="4" t="s">
        <v>454</v>
      </c>
      <c r="F60" s="4" t="s">
        <v>455</v>
      </c>
      <c r="H60" s="4" t="s">
        <v>456</v>
      </c>
      <c r="I60" s="4" t="s">
        <v>457</v>
      </c>
      <c r="J60" s="4" t="s">
        <v>458</v>
      </c>
      <c r="K60" s="4" t="s">
        <v>224</v>
      </c>
      <c r="L60" s="5" t="s">
        <v>459</v>
      </c>
      <c r="M60" s="4" t="s">
        <v>460</v>
      </c>
      <c r="N60" s="4" t="s">
        <v>461</v>
      </c>
      <c r="P60" s="4" t="s">
        <v>466</v>
      </c>
      <c r="Q60" s="4" t="s">
        <v>467</v>
      </c>
      <c r="R60" s="4" t="s">
        <v>31</v>
      </c>
      <c r="S60" s="4" t="s">
        <v>257</v>
      </c>
      <c r="T60" s="7">
        <v>42507</v>
      </c>
      <c r="U60" s="4">
        <v>0</v>
      </c>
      <c r="V60" s="4">
        <v>7</v>
      </c>
      <c r="W60" s="4" t="s">
        <v>238</v>
      </c>
      <c r="X60" s="4" t="s">
        <v>464</v>
      </c>
      <c r="Y60" s="4" t="s">
        <v>233</v>
      </c>
      <c r="Z60" s="4" t="s">
        <v>234</v>
      </c>
      <c r="AA60" s="4" t="s">
        <v>234</v>
      </c>
      <c r="AB60" s="4" t="s">
        <v>465</v>
      </c>
      <c r="AC60" s="4" t="s">
        <v>2923</v>
      </c>
    </row>
    <row r="61" spans="1:29" x14ac:dyDescent="0.4">
      <c r="A61" s="4" t="s">
        <v>216</v>
      </c>
      <c r="B61" s="4">
        <v>103</v>
      </c>
      <c r="C61" s="4" t="s">
        <v>417</v>
      </c>
      <c r="D61" s="4" t="s">
        <v>468</v>
      </c>
      <c r="E61" s="4" t="s">
        <v>469</v>
      </c>
      <c r="F61" s="4" t="s">
        <v>470</v>
      </c>
      <c r="G61" s="4" t="s">
        <v>471</v>
      </c>
      <c r="H61" s="4" t="s">
        <v>163</v>
      </c>
      <c r="I61" s="4" t="s">
        <v>143</v>
      </c>
      <c r="J61" s="4" t="s">
        <v>472</v>
      </c>
      <c r="K61" s="4" t="s">
        <v>224</v>
      </c>
      <c r="L61" s="6" t="s">
        <v>473</v>
      </c>
      <c r="M61" s="4" t="s">
        <v>474</v>
      </c>
      <c r="N61" s="4" t="s">
        <v>475</v>
      </c>
      <c r="P61" s="4" t="s">
        <v>2853</v>
      </c>
      <c r="Q61" s="4" t="s">
        <v>476</v>
      </c>
      <c r="R61" s="4" t="s">
        <v>53</v>
      </c>
      <c r="S61" s="4" t="s">
        <v>231</v>
      </c>
      <c r="T61" s="7">
        <v>45733</v>
      </c>
      <c r="U61" s="4">
        <v>0</v>
      </c>
      <c r="V61" s="4">
        <v>4</v>
      </c>
      <c r="W61" s="4" t="s">
        <v>97</v>
      </c>
      <c r="Y61" s="4" t="s">
        <v>233</v>
      </c>
      <c r="Z61" s="4" t="s">
        <v>234</v>
      </c>
      <c r="AA61" s="4" t="s">
        <v>234</v>
      </c>
      <c r="AC61" s="4" t="s">
        <v>2923</v>
      </c>
    </row>
    <row r="62" spans="1:29" hidden="1" x14ac:dyDescent="0.4">
      <c r="A62" s="4" t="s">
        <v>216</v>
      </c>
      <c r="B62" s="4">
        <v>103</v>
      </c>
      <c r="C62" s="4" t="s">
        <v>417</v>
      </c>
      <c r="D62" s="4" t="s">
        <v>468</v>
      </c>
      <c r="E62" s="4" t="s">
        <v>469</v>
      </c>
      <c r="F62" s="4" t="s">
        <v>470</v>
      </c>
      <c r="G62" s="4" t="s">
        <v>471</v>
      </c>
      <c r="H62" s="4" t="s">
        <v>163</v>
      </c>
      <c r="I62" s="4" t="s">
        <v>143</v>
      </c>
      <c r="J62" s="4" t="s">
        <v>472</v>
      </c>
      <c r="K62" s="4" t="s">
        <v>224</v>
      </c>
      <c r="L62" s="6" t="s">
        <v>473</v>
      </c>
      <c r="M62" s="4" t="s">
        <v>474</v>
      </c>
      <c r="N62" s="4" t="s">
        <v>475</v>
      </c>
      <c r="Q62" s="4" t="s">
        <v>477</v>
      </c>
      <c r="R62" s="4" t="s">
        <v>53</v>
      </c>
      <c r="S62" s="4" t="s">
        <v>257</v>
      </c>
      <c r="T62" s="7">
        <v>43429</v>
      </c>
      <c r="U62" s="4">
        <v>0</v>
      </c>
      <c r="V62" s="4">
        <v>12</v>
      </c>
      <c r="Y62" s="4" t="s">
        <v>233</v>
      </c>
      <c r="Z62" s="4" t="s">
        <v>234</v>
      </c>
      <c r="AA62" s="4" t="s">
        <v>234</v>
      </c>
      <c r="AC62" s="4" t="s">
        <v>2923</v>
      </c>
    </row>
    <row r="63" spans="1:29" hidden="1" x14ac:dyDescent="0.4">
      <c r="A63" s="4" t="s">
        <v>216</v>
      </c>
      <c r="B63" s="4">
        <v>103</v>
      </c>
      <c r="C63" s="4" t="s">
        <v>417</v>
      </c>
      <c r="D63" s="4" t="s">
        <v>468</v>
      </c>
      <c r="E63" s="4" t="s">
        <v>469</v>
      </c>
      <c r="F63" s="4" t="s">
        <v>470</v>
      </c>
      <c r="G63" s="4" t="s">
        <v>471</v>
      </c>
      <c r="H63" s="4" t="s">
        <v>163</v>
      </c>
      <c r="I63" s="4" t="s">
        <v>143</v>
      </c>
      <c r="J63" s="4" t="s">
        <v>472</v>
      </c>
      <c r="K63" s="4" t="s">
        <v>224</v>
      </c>
      <c r="L63" s="6" t="s">
        <v>473</v>
      </c>
      <c r="M63" s="4" t="s">
        <v>474</v>
      </c>
      <c r="N63" s="4" t="s">
        <v>475</v>
      </c>
      <c r="P63" s="4" t="s">
        <v>2853</v>
      </c>
      <c r="Q63" s="4" t="s">
        <v>476</v>
      </c>
      <c r="R63" s="4" t="s">
        <v>53</v>
      </c>
      <c r="S63" s="4" t="s">
        <v>231</v>
      </c>
      <c r="T63" s="7">
        <v>45733</v>
      </c>
      <c r="U63" s="4">
        <v>0</v>
      </c>
      <c r="V63" s="4">
        <v>10</v>
      </c>
      <c r="W63" s="4" t="s">
        <v>314</v>
      </c>
      <c r="Y63" s="4" t="s">
        <v>233</v>
      </c>
      <c r="Z63" s="4" t="s">
        <v>234</v>
      </c>
      <c r="AA63" s="4" t="s">
        <v>234</v>
      </c>
      <c r="AC63" s="4" t="s">
        <v>2923</v>
      </c>
    </row>
    <row r="64" spans="1:29" hidden="1" x14ac:dyDescent="0.4">
      <c r="A64" s="4" t="s">
        <v>216</v>
      </c>
      <c r="B64" s="4">
        <v>103</v>
      </c>
      <c r="C64" s="4" t="s">
        <v>417</v>
      </c>
      <c r="D64" s="4" t="s">
        <v>468</v>
      </c>
      <c r="E64" s="4" t="s">
        <v>469</v>
      </c>
      <c r="F64" s="4" t="s">
        <v>470</v>
      </c>
      <c r="G64" s="4" t="s">
        <v>471</v>
      </c>
      <c r="H64" s="4" t="s">
        <v>163</v>
      </c>
      <c r="I64" s="4" t="s">
        <v>143</v>
      </c>
      <c r="J64" s="4" t="s">
        <v>472</v>
      </c>
      <c r="K64" s="4" t="s">
        <v>224</v>
      </c>
      <c r="L64" s="6" t="s">
        <v>473</v>
      </c>
      <c r="M64" s="4" t="s">
        <v>474</v>
      </c>
      <c r="N64" s="4" t="s">
        <v>475</v>
      </c>
      <c r="P64" s="4" t="s">
        <v>2854</v>
      </c>
      <c r="Q64" s="4" t="s">
        <v>477</v>
      </c>
      <c r="R64" s="4" t="s">
        <v>53</v>
      </c>
      <c r="S64" s="4" t="s">
        <v>257</v>
      </c>
      <c r="T64" s="7">
        <v>43429</v>
      </c>
      <c r="U64" s="4">
        <v>0</v>
      </c>
      <c r="V64" s="4">
        <v>6</v>
      </c>
      <c r="Y64" s="4" t="s">
        <v>233</v>
      </c>
      <c r="Z64" s="4" t="s">
        <v>234</v>
      </c>
      <c r="AA64" s="4" t="s">
        <v>234</v>
      </c>
      <c r="AC64" s="4" t="s">
        <v>2923</v>
      </c>
    </row>
    <row r="65" spans="1:29" hidden="1" x14ac:dyDescent="0.4">
      <c r="A65" s="4" t="s">
        <v>216</v>
      </c>
      <c r="B65" s="4">
        <v>4237</v>
      </c>
      <c r="C65" s="4" t="s">
        <v>315</v>
      </c>
      <c r="D65" s="4" t="s">
        <v>478</v>
      </c>
      <c r="E65" s="4" t="s">
        <v>469</v>
      </c>
      <c r="F65" s="4" t="s">
        <v>479</v>
      </c>
      <c r="H65" s="4" t="s">
        <v>480</v>
      </c>
      <c r="I65" s="4" t="s">
        <v>481</v>
      </c>
      <c r="J65" s="4" t="s">
        <v>482</v>
      </c>
      <c r="K65" s="4" t="s">
        <v>224</v>
      </c>
      <c r="L65" s="6" t="s">
        <v>483</v>
      </c>
      <c r="M65" s="4" t="s">
        <v>484</v>
      </c>
      <c r="N65" s="4" t="s">
        <v>485</v>
      </c>
      <c r="P65" s="4" t="s">
        <v>492</v>
      </c>
      <c r="Q65" s="4" t="s">
        <v>493</v>
      </c>
      <c r="R65" s="4" t="s">
        <v>2910</v>
      </c>
      <c r="S65" s="4" t="s">
        <v>257</v>
      </c>
      <c r="T65" s="7">
        <v>43665</v>
      </c>
      <c r="U65" s="4">
        <v>0</v>
      </c>
      <c r="V65" s="4">
        <v>5</v>
      </c>
      <c r="W65" s="4" t="s">
        <v>314</v>
      </c>
      <c r="X65" s="4" t="s">
        <v>464</v>
      </c>
      <c r="Y65" s="4" t="s">
        <v>233</v>
      </c>
      <c r="Z65" s="4" t="s">
        <v>234</v>
      </c>
      <c r="AA65" s="4" t="s">
        <v>234</v>
      </c>
      <c r="AC65" s="4" t="s">
        <v>2923</v>
      </c>
    </row>
    <row r="66" spans="1:29" hidden="1" x14ac:dyDescent="0.4">
      <c r="A66" s="4" t="s">
        <v>216</v>
      </c>
      <c r="B66" s="4">
        <v>4237</v>
      </c>
      <c r="C66" s="4" t="s">
        <v>315</v>
      </c>
      <c r="D66" s="4" t="s">
        <v>478</v>
      </c>
      <c r="E66" s="4" t="s">
        <v>469</v>
      </c>
      <c r="F66" s="4" t="s">
        <v>479</v>
      </c>
      <c r="H66" s="4" t="s">
        <v>480</v>
      </c>
      <c r="I66" s="4" t="s">
        <v>481</v>
      </c>
      <c r="J66" s="4" t="s">
        <v>482</v>
      </c>
      <c r="K66" s="4" t="s">
        <v>224</v>
      </c>
      <c r="L66" s="6" t="s">
        <v>483</v>
      </c>
      <c r="M66" s="4" t="s">
        <v>484</v>
      </c>
      <c r="N66" s="4" t="s">
        <v>485</v>
      </c>
      <c r="P66" s="4" t="s">
        <v>2855</v>
      </c>
      <c r="Q66" s="4" t="s">
        <v>494</v>
      </c>
      <c r="R66" s="4" t="s">
        <v>495</v>
      </c>
      <c r="S66" s="4" t="s">
        <v>257</v>
      </c>
      <c r="T66" s="7">
        <v>44401</v>
      </c>
      <c r="U66" s="4">
        <v>0</v>
      </c>
      <c r="V66" s="4">
        <v>5</v>
      </c>
      <c r="W66" s="4" t="s">
        <v>176</v>
      </c>
      <c r="X66" s="4" t="s">
        <v>464</v>
      </c>
      <c r="Y66" s="4" t="s">
        <v>233</v>
      </c>
      <c r="Z66" s="4" t="s">
        <v>234</v>
      </c>
      <c r="AA66" s="4" t="s">
        <v>234</v>
      </c>
      <c r="AC66" s="4" t="s">
        <v>2923</v>
      </c>
    </row>
    <row r="67" spans="1:29" hidden="1" x14ac:dyDescent="0.4">
      <c r="A67" s="4" t="s">
        <v>216</v>
      </c>
      <c r="B67" s="4">
        <v>5972</v>
      </c>
      <c r="C67" s="4" t="s">
        <v>242</v>
      </c>
      <c r="D67" s="4" t="s">
        <v>496</v>
      </c>
      <c r="E67" s="4" t="s">
        <v>497</v>
      </c>
      <c r="F67" s="4" t="s">
        <v>498</v>
      </c>
      <c r="G67" s="4" t="s">
        <v>499</v>
      </c>
      <c r="H67" s="4" t="s">
        <v>500</v>
      </c>
      <c r="I67" s="4" t="s">
        <v>501</v>
      </c>
      <c r="J67" s="4" t="s">
        <v>502</v>
      </c>
      <c r="K67" s="4" t="s">
        <v>224</v>
      </c>
      <c r="L67" s="6" t="s">
        <v>503</v>
      </c>
      <c r="M67" s="4" t="s">
        <v>504</v>
      </c>
      <c r="N67" s="4" t="s">
        <v>505</v>
      </c>
      <c r="P67" s="4" t="s">
        <v>506</v>
      </c>
      <c r="Q67" s="4" t="s">
        <v>507</v>
      </c>
      <c r="R67" s="4" t="s">
        <v>508</v>
      </c>
      <c r="S67" s="4" t="s">
        <v>231</v>
      </c>
      <c r="T67" s="7">
        <v>42879</v>
      </c>
      <c r="U67" s="4">
        <v>0</v>
      </c>
      <c r="V67" s="4">
        <v>8</v>
      </c>
      <c r="W67" s="4" t="s">
        <v>281</v>
      </c>
      <c r="Y67" s="4" t="s">
        <v>233</v>
      </c>
      <c r="Z67" s="4" t="s">
        <v>234</v>
      </c>
      <c r="AA67" s="4" t="s">
        <v>234</v>
      </c>
      <c r="AC67" s="4" t="s">
        <v>2923</v>
      </c>
    </row>
    <row r="68" spans="1:29" hidden="1" x14ac:dyDescent="0.4">
      <c r="A68" s="4" t="s">
        <v>216</v>
      </c>
      <c r="B68" s="4">
        <v>5972</v>
      </c>
      <c r="C68" s="4" t="s">
        <v>242</v>
      </c>
      <c r="D68" s="4" t="s">
        <v>496</v>
      </c>
      <c r="E68" s="4" t="s">
        <v>497</v>
      </c>
      <c r="F68" s="4" t="s">
        <v>498</v>
      </c>
      <c r="G68" s="4" t="s">
        <v>499</v>
      </c>
      <c r="H68" s="4" t="s">
        <v>500</v>
      </c>
      <c r="I68" s="4" t="s">
        <v>501</v>
      </c>
      <c r="J68" s="4" t="s">
        <v>502</v>
      </c>
      <c r="K68" s="4" t="s">
        <v>224</v>
      </c>
      <c r="L68" s="6" t="s">
        <v>503</v>
      </c>
      <c r="M68" s="4" t="s">
        <v>504</v>
      </c>
      <c r="N68" s="4" t="s">
        <v>505</v>
      </c>
      <c r="P68" s="4" t="s">
        <v>506</v>
      </c>
      <c r="Q68" s="4" t="s">
        <v>507</v>
      </c>
      <c r="R68" s="4" t="s">
        <v>508</v>
      </c>
      <c r="S68" s="4" t="s">
        <v>231</v>
      </c>
      <c r="T68" s="7">
        <v>42879</v>
      </c>
      <c r="U68" s="4">
        <v>0</v>
      </c>
      <c r="V68" s="4">
        <v>14</v>
      </c>
      <c r="W68" s="4" t="s">
        <v>241</v>
      </c>
      <c r="Y68" s="4" t="s">
        <v>233</v>
      </c>
      <c r="Z68" s="4" t="s">
        <v>234</v>
      </c>
      <c r="AA68" s="4" t="s">
        <v>234</v>
      </c>
      <c r="AC68" s="4" t="s">
        <v>2923</v>
      </c>
    </row>
    <row r="69" spans="1:29" x14ac:dyDescent="0.4">
      <c r="A69" s="4" t="s">
        <v>216</v>
      </c>
      <c r="B69" s="4">
        <v>1099</v>
      </c>
      <c r="C69" s="4" t="s">
        <v>242</v>
      </c>
      <c r="D69" s="4" t="s">
        <v>509</v>
      </c>
      <c r="E69" s="4" t="s">
        <v>510</v>
      </c>
      <c r="F69" s="4" t="s">
        <v>511</v>
      </c>
      <c r="G69" s="4" t="s">
        <v>512</v>
      </c>
      <c r="H69" s="4" t="s">
        <v>422</v>
      </c>
      <c r="I69" s="4" t="s">
        <v>513</v>
      </c>
      <c r="J69" s="4" t="s">
        <v>514</v>
      </c>
      <c r="K69" s="4" t="s">
        <v>224</v>
      </c>
      <c r="L69" s="5" t="s">
        <v>515</v>
      </c>
      <c r="M69" s="4" t="s">
        <v>516</v>
      </c>
      <c r="N69" s="4" t="s">
        <v>517</v>
      </c>
      <c r="P69" s="4" t="s">
        <v>518</v>
      </c>
      <c r="Q69" s="4" t="s">
        <v>519</v>
      </c>
      <c r="R69" s="4" t="s">
        <v>31</v>
      </c>
      <c r="S69" s="4" t="s">
        <v>231</v>
      </c>
      <c r="T69" s="7">
        <v>44690</v>
      </c>
      <c r="U69" s="4">
        <v>0</v>
      </c>
      <c r="V69" s="4">
        <v>4</v>
      </c>
      <c r="W69" s="4" t="s">
        <v>2725</v>
      </c>
      <c r="X69" s="4" t="s">
        <v>464</v>
      </c>
      <c r="Y69" s="4" t="s">
        <v>233</v>
      </c>
      <c r="Z69" s="4" t="s">
        <v>234</v>
      </c>
      <c r="AA69" s="4" t="s">
        <v>234</v>
      </c>
      <c r="AC69" s="4" t="s">
        <v>2923</v>
      </c>
    </row>
    <row r="70" spans="1:29" hidden="1" x14ac:dyDescent="0.4">
      <c r="A70" s="4" t="s">
        <v>216</v>
      </c>
      <c r="B70" s="4">
        <v>1099</v>
      </c>
      <c r="C70" s="4" t="s">
        <v>242</v>
      </c>
      <c r="D70" s="4" t="s">
        <v>509</v>
      </c>
      <c r="E70" s="4" t="s">
        <v>510</v>
      </c>
      <c r="F70" s="4" t="s">
        <v>511</v>
      </c>
      <c r="G70" s="4" t="s">
        <v>512</v>
      </c>
      <c r="H70" s="4" t="s">
        <v>422</v>
      </c>
      <c r="I70" s="4" t="s">
        <v>513</v>
      </c>
      <c r="J70" s="4" t="s">
        <v>514</v>
      </c>
      <c r="K70" s="4" t="s">
        <v>224</v>
      </c>
      <c r="L70" s="5" t="s">
        <v>515</v>
      </c>
      <c r="M70" s="4" t="s">
        <v>516</v>
      </c>
      <c r="N70" s="4" t="s">
        <v>517</v>
      </c>
      <c r="P70" s="4" t="s">
        <v>518</v>
      </c>
      <c r="Q70" s="4" t="s">
        <v>519</v>
      </c>
      <c r="R70" s="4" t="s">
        <v>31</v>
      </c>
      <c r="S70" s="4" t="s">
        <v>231</v>
      </c>
      <c r="T70" s="7">
        <v>44690</v>
      </c>
      <c r="U70" s="4">
        <v>0</v>
      </c>
      <c r="V70" s="4">
        <v>5</v>
      </c>
      <c r="W70" s="4" t="s">
        <v>176</v>
      </c>
      <c r="X70" s="4" t="s">
        <v>464</v>
      </c>
      <c r="Y70" s="4" t="s">
        <v>233</v>
      </c>
      <c r="Z70" s="4" t="s">
        <v>234</v>
      </c>
      <c r="AA70" s="4" t="s">
        <v>234</v>
      </c>
      <c r="AC70" s="4" t="s">
        <v>2923</v>
      </c>
    </row>
    <row r="71" spans="1:29" hidden="1" x14ac:dyDescent="0.4">
      <c r="A71" s="4" t="s">
        <v>216</v>
      </c>
      <c r="B71" s="4">
        <v>1099</v>
      </c>
      <c r="C71" s="4" t="s">
        <v>242</v>
      </c>
      <c r="D71" s="4" t="s">
        <v>509</v>
      </c>
      <c r="E71" s="4" t="s">
        <v>510</v>
      </c>
      <c r="F71" s="4" t="s">
        <v>511</v>
      </c>
      <c r="G71" s="4" t="s">
        <v>512</v>
      </c>
      <c r="H71" s="4" t="s">
        <v>422</v>
      </c>
      <c r="I71" s="4" t="s">
        <v>513</v>
      </c>
      <c r="J71" s="4" t="s">
        <v>514</v>
      </c>
      <c r="K71" s="4" t="s">
        <v>224</v>
      </c>
      <c r="L71" s="5" t="s">
        <v>515</v>
      </c>
      <c r="M71" s="4" t="s">
        <v>516</v>
      </c>
      <c r="N71" s="4" t="s">
        <v>517</v>
      </c>
      <c r="P71" s="4" t="s">
        <v>520</v>
      </c>
      <c r="Q71" s="4" t="s">
        <v>521</v>
      </c>
      <c r="R71" s="4" t="s">
        <v>53</v>
      </c>
      <c r="S71" s="4" t="s">
        <v>257</v>
      </c>
      <c r="T71" s="7">
        <v>43720</v>
      </c>
      <c r="U71" s="4">
        <v>0</v>
      </c>
      <c r="V71" s="4">
        <v>7</v>
      </c>
      <c r="W71" s="4" t="s">
        <v>238</v>
      </c>
      <c r="X71" s="4" t="s">
        <v>464</v>
      </c>
      <c r="Y71" s="4" t="s">
        <v>233</v>
      </c>
      <c r="Z71" s="4" t="s">
        <v>234</v>
      </c>
      <c r="AA71" s="4" t="s">
        <v>234</v>
      </c>
      <c r="AC71" s="4" t="s">
        <v>2923</v>
      </c>
    </row>
    <row r="72" spans="1:29" hidden="1" x14ac:dyDescent="0.4">
      <c r="A72" s="4" t="s">
        <v>216</v>
      </c>
      <c r="B72" s="4">
        <v>1099</v>
      </c>
      <c r="C72" s="4" t="s">
        <v>242</v>
      </c>
      <c r="D72" s="4" t="s">
        <v>509</v>
      </c>
      <c r="E72" s="4" t="s">
        <v>510</v>
      </c>
      <c r="F72" s="4" t="s">
        <v>511</v>
      </c>
      <c r="G72" s="4" t="s">
        <v>512</v>
      </c>
      <c r="H72" s="4" t="s">
        <v>422</v>
      </c>
      <c r="I72" s="4" t="s">
        <v>513</v>
      </c>
      <c r="J72" s="4" t="s">
        <v>514</v>
      </c>
      <c r="K72" s="4" t="s">
        <v>224</v>
      </c>
      <c r="L72" s="5" t="s">
        <v>515</v>
      </c>
      <c r="M72" s="4" t="s">
        <v>516</v>
      </c>
      <c r="N72" s="4" t="s">
        <v>517</v>
      </c>
      <c r="P72" s="4" t="s">
        <v>522</v>
      </c>
      <c r="Q72" s="4" t="s">
        <v>523</v>
      </c>
      <c r="R72" s="4" t="s">
        <v>53</v>
      </c>
      <c r="S72" s="4" t="s">
        <v>257</v>
      </c>
      <c r="T72" s="7">
        <v>42011</v>
      </c>
      <c r="U72" s="4">
        <v>0</v>
      </c>
      <c r="V72" s="4">
        <v>7</v>
      </c>
      <c r="W72" s="4" t="s">
        <v>238</v>
      </c>
      <c r="X72" s="4" t="s">
        <v>464</v>
      </c>
      <c r="Y72" s="4" t="s">
        <v>233</v>
      </c>
      <c r="Z72" s="4" t="s">
        <v>234</v>
      </c>
      <c r="AA72" s="4" t="s">
        <v>234</v>
      </c>
      <c r="AC72" s="4" t="s">
        <v>2923</v>
      </c>
    </row>
    <row r="73" spans="1:29" hidden="1" x14ac:dyDescent="0.4">
      <c r="A73" s="4" t="s">
        <v>216</v>
      </c>
      <c r="B73" s="4">
        <v>1099</v>
      </c>
      <c r="C73" s="4" t="s">
        <v>242</v>
      </c>
      <c r="D73" s="4" t="s">
        <v>509</v>
      </c>
      <c r="E73" s="4" t="s">
        <v>510</v>
      </c>
      <c r="F73" s="4" t="s">
        <v>511</v>
      </c>
      <c r="G73" s="4" t="s">
        <v>512</v>
      </c>
      <c r="H73" s="4" t="s">
        <v>422</v>
      </c>
      <c r="I73" s="4" t="s">
        <v>513</v>
      </c>
      <c r="J73" s="4" t="s">
        <v>514</v>
      </c>
      <c r="K73" s="4" t="s">
        <v>224</v>
      </c>
      <c r="L73" s="5" t="s">
        <v>515</v>
      </c>
      <c r="M73" s="4" t="s">
        <v>516</v>
      </c>
      <c r="N73" s="4" t="s">
        <v>517</v>
      </c>
      <c r="P73" s="4" t="s">
        <v>518</v>
      </c>
      <c r="Q73" s="4" t="s">
        <v>519</v>
      </c>
      <c r="R73" s="4" t="s">
        <v>31</v>
      </c>
      <c r="S73" s="4" t="s">
        <v>231</v>
      </c>
      <c r="T73" s="7">
        <v>44690</v>
      </c>
      <c r="U73" s="4">
        <v>0</v>
      </c>
      <c r="V73" s="4">
        <v>10</v>
      </c>
      <c r="W73" s="4" t="s">
        <v>524</v>
      </c>
      <c r="X73" s="4" t="s">
        <v>464</v>
      </c>
      <c r="Y73" s="4" t="s">
        <v>233</v>
      </c>
      <c r="Z73" s="4" t="s">
        <v>234</v>
      </c>
      <c r="AA73" s="4" t="s">
        <v>234</v>
      </c>
      <c r="AC73" s="4" t="s">
        <v>2923</v>
      </c>
    </row>
    <row r="74" spans="1:29" hidden="1" x14ac:dyDescent="0.4">
      <c r="A74" s="4" t="s">
        <v>216</v>
      </c>
      <c r="B74" s="4">
        <v>1099</v>
      </c>
      <c r="C74" s="4" t="s">
        <v>242</v>
      </c>
      <c r="D74" s="4" t="s">
        <v>509</v>
      </c>
      <c r="E74" s="4" t="s">
        <v>510</v>
      </c>
      <c r="F74" s="4" t="s">
        <v>511</v>
      </c>
      <c r="G74" s="4" t="s">
        <v>512</v>
      </c>
      <c r="H74" s="4" t="s">
        <v>422</v>
      </c>
      <c r="I74" s="4" t="s">
        <v>513</v>
      </c>
      <c r="J74" s="4" t="s">
        <v>514</v>
      </c>
      <c r="K74" s="4" t="s">
        <v>224</v>
      </c>
      <c r="L74" s="5" t="s">
        <v>515</v>
      </c>
      <c r="M74" s="4" t="s">
        <v>516</v>
      </c>
      <c r="N74" s="4" t="s">
        <v>517</v>
      </c>
      <c r="P74" s="4" t="s">
        <v>518</v>
      </c>
      <c r="Q74" s="4" t="s">
        <v>519</v>
      </c>
      <c r="R74" s="4" t="s">
        <v>31</v>
      </c>
      <c r="S74" s="4" t="s">
        <v>231</v>
      </c>
      <c r="T74" s="7">
        <v>44690</v>
      </c>
      <c r="U74" s="4">
        <v>0</v>
      </c>
      <c r="V74" s="4">
        <v>11</v>
      </c>
      <c r="W74" s="4" t="s">
        <v>132</v>
      </c>
      <c r="X74" s="4" t="s">
        <v>464</v>
      </c>
      <c r="Y74" s="4" t="s">
        <v>233</v>
      </c>
      <c r="Z74" s="4" t="s">
        <v>234</v>
      </c>
      <c r="AA74" s="4" t="s">
        <v>234</v>
      </c>
      <c r="AC74" s="4" t="s">
        <v>2923</v>
      </c>
    </row>
    <row r="75" spans="1:29" hidden="1" x14ac:dyDescent="0.4">
      <c r="A75" s="4" t="s">
        <v>216</v>
      </c>
      <c r="B75" s="4">
        <v>1099</v>
      </c>
      <c r="C75" s="4" t="s">
        <v>242</v>
      </c>
      <c r="D75" s="4" t="s">
        <v>509</v>
      </c>
      <c r="E75" s="4" t="s">
        <v>510</v>
      </c>
      <c r="F75" s="4" t="s">
        <v>511</v>
      </c>
      <c r="G75" s="4" t="s">
        <v>512</v>
      </c>
      <c r="H75" s="4" t="s">
        <v>422</v>
      </c>
      <c r="I75" s="4" t="s">
        <v>513</v>
      </c>
      <c r="J75" s="4" t="s">
        <v>514</v>
      </c>
      <c r="K75" s="4" t="s">
        <v>224</v>
      </c>
      <c r="L75" s="5" t="s">
        <v>515</v>
      </c>
      <c r="M75" s="4" t="s">
        <v>516</v>
      </c>
      <c r="N75" s="4" t="s">
        <v>517</v>
      </c>
      <c r="P75" s="4" t="s">
        <v>520</v>
      </c>
      <c r="Q75" s="4" t="s">
        <v>521</v>
      </c>
      <c r="R75" s="4" t="s">
        <v>53</v>
      </c>
      <c r="S75" s="4" t="s">
        <v>257</v>
      </c>
      <c r="T75" s="7">
        <v>43720</v>
      </c>
      <c r="U75" s="4">
        <v>0</v>
      </c>
      <c r="V75" s="4">
        <v>13</v>
      </c>
      <c r="W75" s="4" t="s">
        <v>240</v>
      </c>
      <c r="X75" s="4" t="s">
        <v>464</v>
      </c>
      <c r="Y75" s="4" t="s">
        <v>233</v>
      </c>
      <c r="Z75" s="4" t="s">
        <v>234</v>
      </c>
      <c r="AA75" s="4" t="s">
        <v>234</v>
      </c>
      <c r="AC75" s="4" t="s">
        <v>2923</v>
      </c>
    </row>
    <row r="76" spans="1:29" hidden="1" x14ac:dyDescent="0.4">
      <c r="A76" s="4" t="s">
        <v>216</v>
      </c>
      <c r="B76" s="4">
        <v>1099</v>
      </c>
      <c r="C76" s="4" t="s">
        <v>242</v>
      </c>
      <c r="D76" s="4" t="s">
        <v>509</v>
      </c>
      <c r="E76" s="4" t="s">
        <v>510</v>
      </c>
      <c r="F76" s="4" t="s">
        <v>511</v>
      </c>
      <c r="G76" s="4" t="s">
        <v>512</v>
      </c>
      <c r="H76" s="4" t="s">
        <v>422</v>
      </c>
      <c r="I76" s="4" t="s">
        <v>513</v>
      </c>
      <c r="J76" s="4" t="s">
        <v>514</v>
      </c>
      <c r="K76" s="4" t="s">
        <v>224</v>
      </c>
      <c r="L76" s="5" t="s">
        <v>515</v>
      </c>
      <c r="M76" s="4" t="s">
        <v>516</v>
      </c>
      <c r="N76" s="4" t="s">
        <v>517</v>
      </c>
      <c r="P76" s="4" t="s">
        <v>522</v>
      </c>
      <c r="Q76" s="4" t="s">
        <v>523</v>
      </c>
      <c r="R76" s="4" t="s">
        <v>53</v>
      </c>
      <c r="S76" s="4" t="s">
        <v>257</v>
      </c>
      <c r="T76" s="7">
        <v>42011</v>
      </c>
      <c r="U76" s="4">
        <v>0</v>
      </c>
      <c r="V76" s="4">
        <v>13</v>
      </c>
      <c r="W76" s="4" t="s">
        <v>240</v>
      </c>
      <c r="X76" s="4" t="s">
        <v>464</v>
      </c>
      <c r="Y76" s="4" t="s">
        <v>233</v>
      </c>
      <c r="Z76" s="4" t="s">
        <v>234</v>
      </c>
      <c r="AA76" s="4" t="s">
        <v>234</v>
      </c>
      <c r="AC76" s="4" t="s">
        <v>2923</v>
      </c>
    </row>
    <row r="77" spans="1:29" hidden="1" x14ac:dyDescent="0.4">
      <c r="A77" s="4" t="s">
        <v>216</v>
      </c>
      <c r="B77" s="4">
        <v>5102</v>
      </c>
      <c r="C77" s="4" t="s">
        <v>242</v>
      </c>
      <c r="D77" s="4" t="s">
        <v>525</v>
      </c>
      <c r="E77" s="4" t="s">
        <v>2819</v>
      </c>
      <c r="F77" s="4" t="s">
        <v>526</v>
      </c>
      <c r="G77" s="4" t="s">
        <v>527</v>
      </c>
      <c r="H77" s="4" t="s">
        <v>528</v>
      </c>
      <c r="I77" s="4" t="s">
        <v>143</v>
      </c>
      <c r="J77" s="4" t="s">
        <v>529</v>
      </c>
      <c r="K77" s="4" t="s">
        <v>224</v>
      </c>
      <c r="L77" s="6" t="s">
        <v>530</v>
      </c>
      <c r="M77" s="4" t="s">
        <v>531</v>
      </c>
      <c r="N77" s="4" t="s">
        <v>532</v>
      </c>
      <c r="P77" s="4" t="s">
        <v>533</v>
      </c>
      <c r="Q77" s="4" t="s">
        <v>534</v>
      </c>
      <c r="R77" s="4" t="s">
        <v>53</v>
      </c>
      <c r="S77" s="4" t="s">
        <v>257</v>
      </c>
      <c r="T77" s="7">
        <v>44299</v>
      </c>
      <c r="U77" s="4">
        <v>0</v>
      </c>
      <c r="V77" s="4">
        <v>9</v>
      </c>
      <c r="W77" s="4" t="s">
        <v>358</v>
      </c>
      <c r="Y77" s="4" t="s">
        <v>233</v>
      </c>
      <c r="Z77" s="4" t="s">
        <v>234</v>
      </c>
      <c r="AA77" s="4" t="s">
        <v>234</v>
      </c>
      <c r="AB77" t="s">
        <v>65</v>
      </c>
      <c r="AC77" s="4" t="s">
        <v>2923</v>
      </c>
    </row>
    <row r="78" spans="1:29" hidden="1" x14ac:dyDescent="0.4">
      <c r="A78" s="4" t="s">
        <v>216</v>
      </c>
      <c r="B78" s="4">
        <v>5102</v>
      </c>
      <c r="C78" s="4" t="s">
        <v>242</v>
      </c>
      <c r="D78" s="4" t="s">
        <v>525</v>
      </c>
      <c r="E78" s="4" t="s">
        <v>2819</v>
      </c>
      <c r="F78" s="4" t="s">
        <v>526</v>
      </c>
      <c r="G78" s="4" t="s">
        <v>527</v>
      </c>
      <c r="H78" s="4" t="s">
        <v>528</v>
      </c>
      <c r="I78" s="4" t="s">
        <v>143</v>
      </c>
      <c r="J78" s="4" t="s">
        <v>529</v>
      </c>
      <c r="K78" s="4" t="s">
        <v>224</v>
      </c>
      <c r="L78" s="6" t="s">
        <v>530</v>
      </c>
      <c r="M78" s="4" t="s">
        <v>531</v>
      </c>
      <c r="N78" s="4" t="s">
        <v>532</v>
      </c>
      <c r="P78" s="4" t="s">
        <v>535</v>
      </c>
      <c r="Q78" s="4" t="s">
        <v>536</v>
      </c>
      <c r="R78" s="4" t="s">
        <v>53</v>
      </c>
      <c r="S78" s="4" t="s">
        <v>257</v>
      </c>
      <c r="T78" s="7">
        <v>45301</v>
      </c>
      <c r="U78" s="4">
        <v>0</v>
      </c>
      <c r="V78" s="4">
        <v>9</v>
      </c>
      <c r="W78" s="4" t="s">
        <v>358</v>
      </c>
      <c r="Y78" s="4" t="s">
        <v>233</v>
      </c>
      <c r="Z78" s="4" t="s">
        <v>234</v>
      </c>
      <c r="AA78" s="4" t="s">
        <v>234</v>
      </c>
      <c r="AB78" t="s">
        <v>65</v>
      </c>
      <c r="AC78" s="4" t="s">
        <v>2923</v>
      </c>
    </row>
    <row r="79" spans="1:29" hidden="1" x14ac:dyDescent="0.4">
      <c r="A79" s="4" t="s">
        <v>216</v>
      </c>
      <c r="B79" s="4">
        <v>5102</v>
      </c>
      <c r="C79" s="4" t="s">
        <v>242</v>
      </c>
      <c r="D79" s="4" t="s">
        <v>525</v>
      </c>
      <c r="E79" s="4" t="s">
        <v>2819</v>
      </c>
      <c r="F79" s="4" t="s">
        <v>526</v>
      </c>
      <c r="G79" s="4" t="s">
        <v>527</v>
      </c>
      <c r="H79" s="4" t="s">
        <v>528</v>
      </c>
      <c r="I79" s="4" t="s">
        <v>143</v>
      </c>
      <c r="J79" s="4" t="s">
        <v>529</v>
      </c>
      <c r="K79" s="4" t="s">
        <v>224</v>
      </c>
      <c r="L79" s="6" t="s">
        <v>530</v>
      </c>
      <c r="M79" s="4" t="s">
        <v>531</v>
      </c>
      <c r="N79" s="4" t="s">
        <v>532</v>
      </c>
      <c r="P79" s="4" t="s">
        <v>533</v>
      </c>
      <c r="Q79" s="4" t="s">
        <v>534</v>
      </c>
      <c r="R79" s="4" t="s">
        <v>53</v>
      </c>
      <c r="S79" s="4" t="s">
        <v>257</v>
      </c>
      <c r="T79" s="7">
        <v>44299</v>
      </c>
      <c r="U79" s="4">
        <v>0</v>
      </c>
      <c r="V79" s="4">
        <v>10</v>
      </c>
      <c r="W79" s="4" t="s">
        <v>314</v>
      </c>
      <c r="Y79" s="4" t="s">
        <v>233</v>
      </c>
      <c r="Z79" s="4" t="s">
        <v>234</v>
      </c>
      <c r="AA79" s="4" t="s">
        <v>234</v>
      </c>
      <c r="AB79" t="s">
        <v>65</v>
      </c>
      <c r="AC79" s="4" t="s">
        <v>2923</v>
      </c>
    </row>
    <row r="80" spans="1:29" x14ac:dyDescent="0.4">
      <c r="A80" s="4" t="s">
        <v>216</v>
      </c>
      <c r="B80" s="4">
        <v>239</v>
      </c>
      <c r="C80" s="4" t="s">
        <v>242</v>
      </c>
      <c r="D80" s="4" t="s">
        <v>537</v>
      </c>
      <c r="E80" s="4" t="s">
        <v>538</v>
      </c>
      <c r="F80" s="4" t="s">
        <v>539</v>
      </c>
      <c r="G80" s="4" t="s">
        <v>540</v>
      </c>
      <c r="H80" s="4" t="s">
        <v>541</v>
      </c>
      <c r="I80" s="4" t="s">
        <v>337</v>
      </c>
      <c r="J80" s="4" t="s">
        <v>542</v>
      </c>
      <c r="K80" s="4" t="s">
        <v>224</v>
      </c>
      <c r="L80" s="5" t="s">
        <v>543</v>
      </c>
      <c r="M80" s="4" t="s">
        <v>544</v>
      </c>
      <c r="N80" s="4" t="s">
        <v>545</v>
      </c>
      <c r="P80" s="4" t="s">
        <v>546</v>
      </c>
      <c r="Q80" s="4" t="s">
        <v>547</v>
      </c>
      <c r="R80" s="4" t="s">
        <v>53</v>
      </c>
      <c r="S80" s="4" t="s">
        <v>231</v>
      </c>
      <c r="T80" s="7">
        <v>45015</v>
      </c>
      <c r="U80" s="4">
        <v>0</v>
      </c>
      <c r="V80" s="4">
        <v>4</v>
      </c>
      <c r="W80" s="4" t="s">
        <v>2725</v>
      </c>
      <c r="Y80" s="4" t="s">
        <v>233</v>
      </c>
      <c r="Z80" s="4" t="s">
        <v>234</v>
      </c>
      <c r="AA80" s="4" t="s">
        <v>234</v>
      </c>
      <c r="AC80" s="4" t="s">
        <v>2923</v>
      </c>
    </row>
    <row r="81" spans="1:29" hidden="1" x14ac:dyDescent="0.4">
      <c r="A81" s="4" t="s">
        <v>216</v>
      </c>
      <c r="B81" s="4">
        <v>239</v>
      </c>
      <c r="C81" s="4" t="s">
        <v>242</v>
      </c>
      <c r="D81" s="4" t="s">
        <v>537</v>
      </c>
      <c r="E81" s="4" t="s">
        <v>538</v>
      </c>
      <c r="F81" s="4" t="s">
        <v>539</v>
      </c>
      <c r="G81" s="4" t="s">
        <v>540</v>
      </c>
      <c r="H81" s="4" t="s">
        <v>541</v>
      </c>
      <c r="I81" s="4" t="s">
        <v>337</v>
      </c>
      <c r="J81" s="4" t="s">
        <v>542</v>
      </c>
      <c r="K81" s="4" t="s">
        <v>224</v>
      </c>
      <c r="L81" s="5" t="s">
        <v>543</v>
      </c>
      <c r="M81" s="4" t="s">
        <v>544</v>
      </c>
      <c r="N81" s="4" t="s">
        <v>545</v>
      </c>
      <c r="P81" s="4" t="s">
        <v>548</v>
      </c>
      <c r="Q81" s="4" t="s">
        <v>549</v>
      </c>
      <c r="R81" s="4" t="s">
        <v>53</v>
      </c>
      <c r="S81" s="4" t="s">
        <v>231</v>
      </c>
      <c r="T81" s="7">
        <v>44092</v>
      </c>
      <c r="U81" s="4">
        <v>0</v>
      </c>
      <c r="V81" s="4">
        <v>5</v>
      </c>
      <c r="W81" s="4" t="s">
        <v>314</v>
      </c>
      <c r="Y81" s="4" t="s">
        <v>233</v>
      </c>
      <c r="Z81" s="4" t="s">
        <v>234</v>
      </c>
      <c r="AA81" s="4" t="s">
        <v>234</v>
      </c>
      <c r="AC81" s="4" t="s">
        <v>2923</v>
      </c>
    </row>
    <row r="82" spans="1:29" hidden="1" x14ac:dyDescent="0.4">
      <c r="A82" s="4" t="s">
        <v>216</v>
      </c>
      <c r="B82" s="4">
        <v>239</v>
      </c>
      <c r="C82" s="4" t="s">
        <v>242</v>
      </c>
      <c r="D82" s="4" t="s">
        <v>537</v>
      </c>
      <c r="E82" s="4" t="s">
        <v>538</v>
      </c>
      <c r="F82" s="4" t="s">
        <v>539</v>
      </c>
      <c r="G82" s="4" t="s">
        <v>540</v>
      </c>
      <c r="H82" s="4" t="s">
        <v>541</v>
      </c>
      <c r="I82" s="4" t="s">
        <v>337</v>
      </c>
      <c r="J82" s="4" t="s">
        <v>542</v>
      </c>
      <c r="K82" s="4" t="s">
        <v>224</v>
      </c>
      <c r="L82" s="5" t="s">
        <v>543</v>
      </c>
      <c r="M82" s="4" t="s">
        <v>544</v>
      </c>
      <c r="N82" s="4" t="s">
        <v>545</v>
      </c>
      <c r="P82" s="4" t="s">
        <v>548</v>
      </c>
      <c r="Q82" s="4" t="s">
        <v>549</v>
      </c>
      <c r="R82" s="4" t="s">
        <v>53</v>
      </c>
      <c r="S82" s="4" t="s">
        <v>231</v>
      </c>
      <c r="T82" s="7">
        <v>44092</v>
      </c>
      <c r="U82" s="4">
        <v>0</v>
      </c>
      <c r="V82" s="4">
        <v>6</v>
      </c>
      <c r="Y82" s="4" t="s">
        <v>233</v>
      </c>
      <c r="Z82" s="4" t="s">
        <v>234</v>
      </c>
      <c r="AA82" s="4" t="s">
        <v>234</v>
      </c>
      <c r="AC82" s="4" t="s">
        <v>2923</v>
      </c>
    </row>
    <row r="83" spans="1:29" hidden="1" x14ac:dyDescent="0.4">
      <c r="A83" s="4" t="s">
        <v>216</v>
      </c>
      <c r="B83" s="4">
        <v>239</v>
      </c>
      <c r="C83" s="4" t="s">
        <v>242</v>
      </c>
      <c r="D83" s="4" t="s">
        <v>537</v>
      </c>
      <c r="E83" s="4" t="s">
        <v>538</v>
      </c>
      <c r="F83" s="4" t="s">
        <v>539</v>
      </c>
      <c r="G83" s="4" t="s">
        <v>540</v>
      </c>
      <c r="H83" s="4" t="s">
        <v>541</v>
      </c>
      <c r="I83" s="4" t="s">
        <v>337</v>
      </c>
      <c r="J83" s="4" t="s">
        <v>542</v>
      </c>
      <c r="K83" s="4" t="s">
        <v>224</v>
      </c>
      <c r="L83" s="5" t="s">
        <v>543</v>
      </c>
      <c r="M83" s="4" t="s">
        <v>544</v>
      </c>
      <c r="N83" s="4" t="s">
        <v>545</v>
      </c>
      <c r="P83" s="4" t="s">
        <v>550</v>
      </c>
      <c r="Q83" s="4" t="s">
        <v>551</v>
      </c>
      <c r="R83" s="4" t="s">
        <v>53</v>
      </c>
      <c r="S83" s="4" t="s">
        <v>231</v>
      </c>
      <c r="T83" s="7">
        <v>42420</v>
      </c>
      <c r="U83" s="4">
        <v>0</v>
      </c>
      <c r="V83" s="4">
        <v>7</v>
      </c>
      <c r="W83" s="4" t="s">
        <v>238</v>
      </c>
      <c r="Y83" s="4" t="s">
        <v>233</v>
      </c>
      <c r="Z83" s="4" t="s">
        <v>234</v>
      </c>
      <c r="AA83" s="4" t="s">
        <v>234</v>
      </c>
      <c r="AC83" s="4" t="s">
        <v>2923</v>
      </c>
    </row>
    <row r="84" spans="1:29" hidden="1" x14ac:dyDescent="0.4">
      <c r="A84" s="4" t="s">
        <v>216</v>
      </c>
      <c r="B84" s="4">
        <v>239</v>
      </c>
      <c r="C84" s="4" t="s">
        <v>242</v>
      </c>
      <c r="D84" s="4" t="s">
        <v>537</v>
      </c>
      <c r="E84" s="4" t="s">
        <v>538</v>
      </c>
      <c r="F84" s="4" t="s">
        <v>539</v>
      </c>
      <c r="G84" s="4" t="s">
        <v>540</v>
      </c>
      <c r="H84" s="4" t="s">
        <v>541</v>
      </c>
      <c r="I84" s="4" t="s">
        <v>337</v>
      </c>
      <c r="J84" s="4" t="s">
        <v>542</v>
      </c>
      <c r="K84" s="4" t="s">
        <v>224</v>
      </c>
      <c r="L84" s="5" t="s">
        <v>543</v>
      </c>
      <c r="M84" s="4" t="s">
        <v>544</v>
      </c>
      <c r="N84" s="4" t="s">
        <v>545</v>
      </c>
      <c r="P84" s="4" t="s">
        <v>546</v>
      </c>
      <c r="Q84" s="4" t="s">
        <v>547</v>
      </c>
      <c r="R84" s="4" t="s">
        <v>53</v>
      </c>
      <c r="S84" s="4" t="s">
        <v>231</v>
      </c>
      <c r="T84" s="7">
        <v>45015</v>
      </c>
      <c r="U84" s="4">
        <v>0</v>
      </c>
      <c r="V84" s="4">
        <v>10</v>
      </c>
      <c r="W84" s="4" t="s">
        <v>314</v>
      </c>
      <c r="Y84" s="4" t="s">
        <v>233</v>
      </c>
      <c r="Z84" s="4" t="s">
        <v>234</v>
      </c>
      <c r="AA84" s="4" t="s">
        <v>234</v>
      </c>
      <c r="AC84" s="4" t="s">
        <v>2923</v>
      </c>
    </row>
    <row r="85" spans="1:29" hidden="1" x14ac:dyDescent="0.4">
      <c r="A85" s="4" t="s">
        <v>216</v>
      </c>
      <c r="B85" s="4">
        <v>239</v>
      </c>
      <c r="C85" s="4" t="s">
        <v>242</v>
      </c>
      <c r="D85" s="4" t="s">
        <v>537</v>
      </c>
      <c r="E85" s="4" t="s">
        <v>538</v>
      </c>
      <c r="F85" s="4" t="s">
        <v>539</v>
      </c>
      <c r="G85" s="4" t="s">
        <v>540</v>
      </c>
      <c r="H85" s="4" t="s">
        <v>541</v>
      </c>
      <c r="I85" s="4" t="s">
        <v>337</v>
      </c>
      <c r="J85" s="4" t="s">
        <v>542</v>
      </c>
      <c r="K85" s="4" t="s">
        <v>224</v>
      </c>
      <c r="L85" s="5" t="s">
        <v>543</v>
      </c>
      <c r="M85" s="4" t="s">
        <v>544</v>
      </c>
      <c r="N85" s="4" t="s">
        <v>545</v>
      </c>
      <c r="P85" s="4" t="s">
        <v>548</v>
      </c>
      <c r="Q85" s="4" t="s">
        <v>549</v>
      </c>
      <c r="R85" s="4" t="s">
        <v>53</v>
      </c>
      <c r="S85" s="4" t="s">
        <v>231</v>
      </c>
      <c r="T85" s="7">
        <v>44092</v>
      </c>
      <c r="U85" s="4">
        <v>0</v>
      </c>
      <c r="V85" s="4">
        <v>11</v>
      </c>
      <c r="W85" s="4" t="s">
        <v>314</v>
      </c>
      <c r="Y85" s="4" t="s">
        <v>233</v>
      </c>
      <c r="Z85" s="4" t="s">
        <v>234</v>
      </c>
      <c r="AA85" s="4" t="s">
        <v>234</v>
      </c>
      <c r="AC85" s="4" t="s">
        <v>2923</v>
      </c>
    </row>
    <row r="86" spans="1:29" hidden="1" x14ac:dyDescent="0.4">
      <c r="A86" s="4" t="s">
        <v>216</v>
      </c>
      <c r="B86" s="4">
        <v>239</v>
      </c>
      <c r="C86" s="4" t="s">
        <v>242</v>
      </c>
      <c r="D86" s="4" t="s">
        <v>537</v>
      </c>
      <c r="E86" s="4" t="s">
        <v>538</v>
      </c>
      <c r="F86" s="4" t="s">
        <v>539</v>
      </c>
      <c r="G86" s="4" t="s">
        <v>540</v>
      </c>
      <c r="H86" s="4" t="s">
        <v>541</v>
      </c>
      <c r="I86" s="4" t="s">
        <v>337</v>
      </c>
      <c r="J86" s="4" t="s">
        <v>542</v>
      </c>
      <c r="K86" s="4" t="s">
        <v>224</v>
      </c>
      <c r="L86" s="5" t="s">
        <v>543</v>
      </c>
      <c r="M86" s="4" t="s">
        <v>544</v>
      </c>
      <c r="N86" s="4" t="s">
        <v>545</v>
      </c>
      <c r="P86" s="4" t="s">
        <v>548</v>
      </c>
      <c r="Q86" s="4" t="s">
        <v>549</v>
      </c>
      <c r="R86" s="4" t="s">
        <v>53</v>
      </c>
      <c r="S86" s="4" t="s">
        <v>231</v>
      </c>
      <c r="T86" s="7">
        <v>44092</v>
      </c>
      <c r="U86" s="4">
        <v>0</v>
      </c>
      <c r="V86" s="4">
        <v>12</v>
      </c>
      <c r="Y86" s="4" t="s">
        <v>233</v>
      </c>
      <c r="Z86" s="4" t="s">
        <v>234</v>
      </c>
      <c r="AA86" s="4" t="s">
        <v>234</v>
      </c>
      <c r="AC86" s="4" t="s">
        <v>2923</v>
      </c>
    </row>
    <row r="87" spans="1:29" hidden="1" x14ac:dyDescent="0.4">
      <c r="A87" s="4" t="s">
        <v>216</v>
      </c>
      <c r="B87" s="4">
        <v>239</v>
      </c>
      <c r="C87" s="4" t="s">
        <v>242</v>
      </c>
      <c r="D87" s="4" t="s">
        <v>537</v>
      </c>
      <c r="E87" s="4" t="s">
        <v>538</v>
      </c>
      <c r="F87" s="4" t="s">
        <v>539</v>
      </c>
      <c r="G87" s="4" t="s">
        <v>540</v>
      </c>
      <c r="H87" s="4" t="s">
        <v>541</v>
      </c>
      <c r="I87" s="4" t="s">
        <v>337</v>
      </c>
      <c r="J87" s="4" t="s">
        <v>542</v>
      </c>
      <c r="K87" s="4" t="s">
        <v>224</v>
      </c>
      <c r="L87" s="5" t="s">
        <v>543</v>
      </c>
      <c r="M87" s="4" t="s">
        <v>544</v>
      </c>
      <c r="N87" s="4" t="s">
        <v>545</v>
      </c>
      <c r="P87" s="4" t="s">
        <v>550</v>
      </c>
      <c r="Q87" s="4" t="s">
        <v>551</v>
      </c>
      <c r="R87" s="4" t="s">
        <v>53</v>
      </c>
      <c r="S87" s="4" t="s">
        <v>231</v>
      </c>
      <c r="T87" s="7">
        <v>42420</v>
      </c>
      <c r="U87" s="4">
        <v>0</v>
      </c>
      <c r="V87" s="4">
        <v>13</v>
      </c>
      <c r="W87" s="4" t="s">
        <v>240</v>
      </c>
      <c r="Y87" s="4" t="s">
        <v>233</v>
      </c>
      <c r="Z87" s="4" t="s">
        <v>234</v>
      </c>
      <c r="AA87" s="4" t="s">
        <v>234</v>
      </c>
      <c r="AC87" s="4" t="s">
        <v>2923</v>
      </c>
    </row>
    <row r="88" spans="1:29" hidden="1" x14ac:dyDescent="0.4">
      <c r="A88" s="4" t="s">
        <v>216</v>
      </c>
      <c r="B88" s="4">
        <v>1849</v>
      </c>
      <c r="C88" s="4" t="s">
        <v>242</v>
      </c>
      <c r="D88" s="4" t="s">
        <v>552</v>
      </c>
      <c r="E88" s="4" t="s">
        <v>553</v>
      </c>
      <c r="F88" s="4" t="s">
        <v>554</v>
      </c>
      <c r="G88" s="4" t="s">
        <v>555</v>
      </c>
      <c r="H88" s="4" t="s">
        <v>556</v>
      </c>
      <c r="I88" s="4" t="s">
        <v>351</v>
      </c>
      <c r="J88" s="4" t="s">
        <v>557</v>
      </c>
      <c r="K88" s="4" t="s">
        <v>224</v>
      </c>
      <c r="L88" s="5" t="s">
        <v>558</v>
      </c>
      <c r="M88" s="4" t="s">
        <v>559</v>
      </c>
      <c r="N88" s="4" t="s">
        <v>560</v>
      </c>
      <c r="P88" s="4" t="s">
        <v>561</v>
      </c>
      <c r="Q88" s="4" t="s">
        <v>562</v>
      </c>
      <c r="R88" s="4" t="s">
        <v>53</v>
      </c>
      <c r="S88" s="4" t="s">
        <v>231</v>
      </c>
      <c r="T88" s="7">
        <v>44477</v>
      </c>
      <c r="U88" s="4">
        <v>0</v>
      </c>
      <c r="V88" s="4">
        <v>11</v>
      </c>
      <c r="W88" s="4" t="s">
        <v>132</v>
      </c>
      <c r="Y88" s="4" t="s">
        <v>233</v>
      </c>
      <c r="Z88" s="4" t="s">
        <v>234</v>
      </c>
      <c r="AA88" s="4" t="s">
        <v>234</v>
      </c>
      <c r="AB88" t="s">
        <v>65</v>
      </c>
      <c r="AC88" s="4" t="s">
        <v>2923</v>
      </c>
    </row>
    <row r="89" spans="1:29" hidden="1" x14ac:dyDescent="0.4">
      <c r="A89" s="4" t="s">
        <v>216</v>
      </c>
      <c r="B89" s="4">
        <v>1849</v>
      </c>
      <c r="C89" s="4" t="s">
        <v>242</v>
      </c>
      <c r="D89" s="4" t="s">
        <v>552</v>
      </c>
      <c r="E89" s="4" t="s">
        <v>553</v>
      </c>
      <c r="F89" s="4" t="s">
        <v>554</v>
      </c>
      <c r="G89" s="4" t="s">
        <v>555</v>
      </c>
      <c r="H89" s="4" t="s">
        <v>556</v>
      </c>
      <c r="I89" s="4" t="s">
        <v>351</v>
      </c>
      <c r="J89" s="4" t="s">
        <v>557</v>
      </c>
      <c r="K89" s="4" t="s">
        <v>224</v>
      </c>
      <c r="L89" s="5" t="s">
        <v>558</v>
      </c>
      <c r="M89" s="4" t="s">
        <v>559</v>
      </c>
      <c r="N89" s="4" t="s">
        <v>560</v>
      </c>
      <c r="P89" s="4" t="s">
        <v>561</v>
      </c>
      <c r="Q89" s="4" t="s">
        <v>562</v>
      </c>
      <c r="R89" s="4" t="s">
        <v>53</v>
      </c>
      <c r="S89" s="4" t="s">
        <v>231</v>
      </c>
      <c r="T89" s="7">
        <v>44477</v>
      </c>
      <c r="U89" s="4">
        <v>0</v>
      </c>
      <c r="V89" s="4">
        <v>13</v>
      </c>
      <c r="W89" s="4" t="s">
        <v>240</v>
      </c>
      <c r="Y89" s="4" t="s">
        <v>233</v>
      </c>
      <c r="Z89" s="4" t="s">
        <v>234</v>
      </c>
      <c r="AA89" s="4" t="s">
        <v>234</v>
      </c>
      <c r="AB89" t="s">
        <v>65</v>
      </c>
      <c r="AC89" s="4" t="s">
        <v>2923</v>
      </c>
    </row>
    <row r="90" spans="1:29" hidden="1" x14ac:dyDescent="0.4">
      <c r="A90" s="4" t="s">
        <v>216</v>
      </c>
      <c r="B90" s="4">
        <v>1849</v>
      </c>
      <c r="C90" s="4" t="s">
        <v>242</v>
      </c>
      <c r="D90" s="4" t="s">
        <v>552</v>
      </c>
      <c r="E90" s="4" t="s">
        <v>553</v>
      </c>
      <c r="F90" s="4" t="s">
        <v>554</v>
      </c>
      <c r="G90" s="4" t="s">
        <v>555</v>
      </c>
      <c r="H90" s="4" t="s">
        <v>556</v>
      </c>
      <c r="I90" s="4" t="s">
        <v>351</v>
      </c>
      <c r="J90" s="4" t="s">
        <v>557</v>
      </c>
      <c r="K90" s="4" t="s">
        <v>224</v>
      </c>
      <c r="L90" s="5" t="s">
        <v>558</v>
      </c>
      <c r="M90" s="4" t="s">
        <v>559</v>
      </c>
      <c r="N90" s="4" t="s">
        <v>560</v>
      </c>
      <c r="P90" s="4" t="s">
        <v>564</v>
      </c>
      <c r="Q90" s="4" t="s">
        <v>565</v>
      </c>
      <c r="R90" s="4" t="s">
        <v>53</v>
      </c>
      <c r="S90" s="4" t="s">
        <v>231</v>
      </c>
      <c r="T90" s="7">
        <v>42215</v>
      </c>
      <c r="U90" s="4">
        <v>0</v>
      </c>
      <c r="V90" s="4">
        <v>13</v>
      </c>
      <c r="W90" s="4" t="s">
        <v>240</v>
      </c>
      <c r="Y90" s="4" t="s">
        <v>233</v>
      </c>
      <c r="Z90" s="4" t="s">
        <v>234</v>
      </c>
      <c r="AA90" s="4" t="s">
        <v>234</v>
      </c>
      <c r="AB90" t="s">
        <v>65</v>
      </c>
      <c r="AC90" s="4" t="s">
        <v>2923</v>
      </c>
    </row>
    <row r="91" spans="1:29" x14ac:dyDescent="0.4">
      <c r="A91" s="4" t="s">
        <v>216</v>
      </c>
      <c r="B91" s="4">
        <v>660</v>
      </c>
      <c r="C91" s="4" t="s">
        <v>242</v>
      </c>
      <c r="D91" s="4" t="s">
        <v>566</v>
      </c>
      <c r="E91" s="4" t="s">
        <v>567</v>
      </c>
      <c r="F91" s="4" t="s">
        <v>568</v>
      </c>
      <c r="G91" s="4" t="s">
        <v>569</v>
      </c>
      <c r="H91" s="4" t="s">
        <v>570</v>
      </c>
      <c r="I91" s="4" t="s">
        <v>34</v>
      </c>
      <c r="J91" s="4" t="s">
        <v>571</v>
      </c>
      <c r="K91" s="4" t="s">
        <v>224</v>
      </c>
      <c r="L91" s="5" t="s">
        <v>572</v>
      </c>
      <c r="M91" s="4" t="s">
        <v>573</v>
      </c>
      <c r="N91" s="4" t="s">
        <v>574</v>
      </c>
      <c r="P91" s="4" t="s">
        <v>578</v>
      </c>
      <c r="Q91" s="4" t="s">
        <v>579</v>
      </c>
      <c r="R91" s="4" t="s">
        <v>31</v>
      </c>
      <c r="S91" s="4" t="s">
        <v>231</v>
      </c>
      <c r="T91" s="7">
        <v>45790</v>
      </c>
      <c r="U91" s="4">
        <v>0</v>
      </c>
      <c r="V91" s="4">
        <v>4</v>
      </c>
      <c r="W91" s="4" t="s">
        <v>97</v>
      </c>
      <c r="Y91" s="4" t="s">
        <v>233</v>
      </c>
      <c r="Z91" s="4" t="s">
        <v>234</v>
      </c>
      <c r="AA91" s="4" t="s">
        <v>234</v>
      </c>
      <c r="AB91" s="4" t="s">
        <v>577</v>
      </c>
      <c r="AC91" s="4" t="s">
        <v>2923</v>
      </c>
    </row>
    <row r="92" spans="1:29" hidden="1" x14ac:dyDescent="0.4">
      <c r="A92" s="4" t="s">
        <v>216</v>
      </c>
      <c r="B92" s="4">
        <v>660</v>
      </c>
      <c r="C92" s="4" t="s">
        <v>242</v>
      </c>
      <c r="D92" s="4" t="s">
        <v>566</v>
      </c>
      <c r="E92" s="4" t="s">
        <v>567</v>
      </c>
      <c r="F92" s="4" t="s">
        <v>568</v>
      </c>
      <c r="G92" s="4" t="s">
        <v>569</v>
      </c>
      <c r="H92" s="4" t="s">
        <v>570</v>
      </c>
      <c r="I92" s="4" t="s">
        <v>34</v>
      </c>
      <c r="J92" s="4" t="s">
        <v>571</v>
      </c>
      <c r="K92" s="4" t="s">
        <v>224</v>
      </c>
      <c r="L92" s="5" t="s">
        <v>572</v>
      </c>
      <c r="M92" s="4" t="s">
        <v>573</v>
      </c>
      <c r="N92" s="4" t="s">
        <v>574</v>
      </c>
      <c r="P92" s="4" t="s">
        <v>580</v>
      </c>
      <c r="Q92" s="4" t="s">
        <v>581</v>
      </c>
      <c r="R92" s="4" t="s">
        <v>31</v>
      </c>
      <c r="S92" s="4" t="s">
        <v>257</v>
      </c>
      <c r="T92" s="7">
        <v>44690</v>
      </c>
      <c r="U92" s="4">
        <v>0</v>
      </c>
      <c r="V92" s="4">
        <v>7</v>
      </c>
      <c r="W92" s="4" t="s">
        <v>238</v>
      </c>
      <c r="Y92" s="4" t="s">
        <v>233</v>
      </c>
      <c r="Z92" s="4" t="s">
        <v>234</v>
      </c>
      <c r="AA92" s="4" t="s">
        <v>234</v>
      </c>
      <c r="AB92" s="4" t="s">
        <v>577</v>
      </c>
      <c r="AC92" s="4" t="s">
        <v>2923</v>
      </c>
    </row>
    <row r="93" spans="1:29" hidden="1" x14ac:dyDescent="0.4">
      <c r="A93" s="4" t="s">
        <v>216</v>
      </c>
      <c r="B93" s="4">
        <v>660</v>
      </c>
      <c r="C93" s="4" t="s">
        <v>242</v>
      </c>
      <c r="D93" s="4" t="s">
        <v>566</v>
      </c>
      <c r="E93" s="4" t="s">
        <v>567</v>
      </c>
      <c r="F93" s="4" t="s">
        <v>568</v>
      </c>
      <c r="G93" s="4" t="s">
        <v>569</v>
      </c>
      <c r="H93" s="4" t="s">
        <v>570</v>
      </c>
      <c r="I93" s="4" t="s">
        <v>34</v>
      </c>
      <c r="J93" s="4" t="s">
        <v>571</v>
      </c>
      <c r="K93" s="4" t="s">
        <v>224</v>
      </c>
      <c r="L93" s="5" t="s">
        <v>572</v>
      </c>
      <c r="M93" s="4" t="s">
        <v>573</v>
      </c>
      <c r="N93" s="4" t="s">
        <v>574</v>
      </c>
      <c r="P93" s="4" t="s">
        <v>582</v>
      </c>
      <c r="Q93" s="4" t="s">
        <v>583</v>
      </c>
      <c r="R93" s="4" t="s">
        <v>53</v>
      </c>
      <c r="S93" s="4" t="s">
        <v>257</v>
      </c>
      <c r="T93" s="7">
        <v>43302</v>
      </c>
      <c r="U93" s="4">
        <v>0</v>
      </c>
      <c r="V93" s="4">
        <v>7</v>
      </c>
      <c r="W93" s="4" t="s">
        <v>238</v>
      </c>
      <c r="Y93" s="4" t="s">
        <v>233</v>
      </c>
      <c r="Z93" s="4" t="s">
        <v>234</v>
      </c>
      <c r="AA93" s="4" t="s">
        <v>234</v>
      </c>
      <c r="AB93" s="4" t="s">
        <v>577</v>
      </c>
      <c r="AC93" s="4" t="s">
        <v>2923</v>
      </c>
    </row>
    <row r="94" spans="1:29" hidden="1" x14ac:dyDescent="0.4">
      <c r="A94" s="4" t="s">
        <v>216</v>
      </c>
      <c r="B94" s="4">
        <v>660</v>
      </c>
      <c r="C94" s="4" t="s">
        <v>242</v>
      </c>
      <c r="D94" s="4" t="s">
        <v>566</v>
      </c>
      <c r="E94" s="4" t="s">
        <v>567</v>
      </c>
      <c r="F94" s="4" t="s">
        <v>568</v>
      </c>
      <c r="G94" s="4" t="s">
        <v>569</v>
      </c>
      <c r="H94" s="4" t="s">
        <v>570</v>
      </c>
      <c r="I94" s="4" t="s">
        <v>34</v>
      </c>
      <c r="J94" s="4" t="s">
        <v>571</v>
      </c>
      <c r="K94" s="4" t="s">
        <v>224</v>
      </c>
      <c r="L94" s="5" t="s">
        <v>572</v>
      </c>
      <c r="M94" s="4" t="s">
        <v>573</v>
      </c>
      <c r="N94" s="4" t="s">
        <v>574</v>
      </c>
      <c r="P94" s="4" t="s">
        <v>578</v>
      </c>
      <c r="Q94" s="4" t="s">
        <v>579</v>
      </c>
      <c r="R94" s="4" t="s">
        <v>31</v>
      </c>
      <c r="S94" s="4" t="s">
        <v>231</v>
      </c>
      <c r="T94" s="7">
        <v>45790</v>
      </c>
      <c r="U94" s="4">
        <v>0</v>
      </c>
      <c r="V94" s="4">
        <v>10</v>
      </c>
      <c r="W94" s="4" t="s">
        <v>314</v>
      </c>
      <c r="Y94" s="4" t="s">
        <v>233</v>
      </c>
      <c r="Z94" s="4" t="s">
        <v>234</v>
      </c>
      <c r="AA94" s="4" t="s">
        <v>234</v>
      </c>
      <c r="AB94" s="4" t="s">
        <v>577</v>
      </c>
      <c r="AC94" s="4" t="s">
        <v>2923</v>
      </c>
    </row>
    <row r="95" spans="1:29" hidden="1" x14ac:dyDescent="0.4">
      <c r="A95" s="4" t="s">
        <v>216</v>
      </c>
      <c r="B95" s="4">
        <v>660</v>
      </c>
      <c r="C95" s="4" t="s">
        <v>242</v>
      </c>
      <c r="D95" s="4" t="s">
        <v>566</v>
      </c>
      <c r="E95" s="4" t="s">
        <v>567</v>
      </c>
      <c r="F95" s="4" t="s">
        <v>568</v>
      </c>
      <c r="G95" s="4" t="s">
        <v>569</v>
      </c>
      <c r="H95" s="4" t="s">
        <v>570</v>
      </c>
      <c r="I95" s="4" t="s">
        <v>34</v>
      </c>
      <c r="J95" s="4" t="s">
        <v>571</v>
      </c>
      <c r="K95" s="4" t="s">
        <v>224</v>
      </c>
      <c r="L95" s="5" t="s">
        <v>572</v>
      </c>
      <c r="M95" s="4" t="s">
        <v>573</v>
      </c>
      <c r="N95" s="4" t="s">
        <v>574</v>
      </c>
      <c r="P95" s="4" t="s">
        <v>580</v>
      </c>
      <c r="Q95" s="4" t="s">
        <v>581</v>
      </c>
      <c r="R95" s="4" t="s">
        <v>31</v>
      </c>
      <c r="S95" s="4" t="s">
        <v>257</v>
      </c>
      <c r="T95" s="7">
        <v>44690</v>
      </c>
      <c r="U95" s="4">
        <v>0</v>
      </c>
      <c r="V95" s="4">
        <v>13</v>
      </c>
      <c r="W95" s="4" t="s">
        <v>240</v>
      </c>
      <c r="Y95" s="4" t="s">
        <v>233</v>
      </c>
      <c r="Z95" s="4" t="s">
        <v>234</v>
      </c>
      <c r="AA95" s="4" t="s">
        <v>234</v>
      </c>
      <c r="AB95" s="4" t="s">
        <v>577</v>
      </c>
      <c r="AC95" s="4" t="s">
        <v>2923</v>
      </c>
    </row>
    <row r="96" spans="1:29" hidden="1" x14ac:dyDescent="0.4">
      <c r="A96" s="4" t="s">
        <v>216</v>
      </c>
      <c r="B96" s="4">
        <v>660</v>
      </c>
      <c r="C96" s="4" t="s">
        <v>242</v>
      </c>
      <c r="D96" s="4" t="s">
        <v>566</v>
      </c>
      <c r="E96" s="4" t="s">
        <v>567</v>
      </c>
      <c r="F96" s="4" t="s">
        <v>568</v>
      </c>
      <c r="G96" s="4" t="s">
        <v>569</v>
      </c>
      <c r="H96" s="4" t="s">
        <v>570</v>
      </c>
      <c r="I96" s="4" t="s">
        <v>34</v>
      </c>
      <c r="J96" s="4" t="s">
        <v>571</v>
      </c>
      <c r="K96" s="4" t="s">
        <v>224</v>
      </c>
      <c r="L96" s="5" t="s">
        <v>572</v>
      </c>
      <c r="M96" s="4" t="s">
        <v>573</v>
      </c>
      <c r="N96" s="4" t="s">
        <v>574</v>
      </c>
      <c r="P96" s="4" t="s">
        <v>582</v>
      </c>
      <c r="Q96" s="4" t="s">
        <v>583</v>
      </c>
      <c r="R96" s="4" t="s">
        <v>53</v>
      </c>
      <c r="S96" s="4" t="s">
        <v>257</v>
      </c>
      <c r="T96" s="7">
        <v>43302</v>
      </c>
      <c r="U96" s="4">
        <v>0</v>
      </c>
      <c r="V96" s="4">
        <v>13</v>
      </c>
      <c r="W96" s="4" t="s">
        <v>240</v>
      </c>
      <c r="Y96" s="4" t="s">
        <v>233</v>
      </c>
      <c r="Z96" s="4" t="s">
        <v>234</v>
      </c>
      <c r="AA96" s="4" t="s">
        <v>234</v>
      </c>
      <c r="AB96" s="4" t="s">
        <v>577</v>
      </c>
      <c r="AC96" s="4" t="s">
        <v>2923</v>
      </c>
    </row>
    <row r="97" spans="1:29" x14ac:dyDescent="0.4">
      <c r="A97" s="4" t="s">
        <v>216</v>
      </c>
      <c r="B97" s="4">
        <v>4406</v>
      </c>
      <c r="C97" s="4" t="s">
        <v>242</v>
      </c>
      <c r="D97" s="4" t="s">
        <v>584</v>
      </c>
      <c r="E97" s="4" t="s">
        <v>585</v>
      </c>
      <c r="F97" s="4" t="s">
        <v>586</v>
      </c>
      <c r="H97" s="4" t="s">
        <v>245</v>
      </c>
      <c r="I97" s="4" t="s">
        <v>154</v>
      </c>
      <c r="J97" s="4" t="s">
        <v>587</v>
      </c>
      <c r="K97" s="4" t="s">
        <v>224</v>
      </c>
      <c r="L97" s="6" t="s">
        <v>588</v>
      </c>
      <c r="M97" s="4" t="s">
        <v>589</v>
      </c>
      <c r="N97" s="4" t="s">
        <v>590</v>
      </c>
      <c r="P97" s="4" t="s">
        <v>591</v>
      </c>
      <c r="Q97" s="4" t="s">
        <v>592</v>
      </c>
      <c r="R97" s="4" t="s">
        <v>53</v>
      </c>
      <c r="S97" s="4" t="s">
        <v>231</v>
      </c>
      <c r="T97" s="7">
        <v>44386</v>
      </c>
      <c r="U97" s="4">
        <v>0</v>
      </c>
      <c r="V97" s="4">
        <v>4</v>
      </c>
      <c r="W97" s="4" t="s">
        <v>2725</v>
      </c>
      <c r="Y97" s="4" t="s">
        <v>233</v>
      </c>
      <c r="Z97" s="4" t="s">
        <v>234</v>
      </c>
      <c r="AA97" s="4" t="s">
        <v>234</v>
      </c>
      <c r="AC97" s="4" t="s">
        <v>2923</v>
      </c>
    </row>
    <row r="98" spans="1:29" hidden="1" x14ac:dyDescent="0.4">
      <c r="A98" s="4" t="s">
        <v>216</v>
      </c>
      <c r="B98" s="4">
        <v>4406</v>
      </c>
      <c r="C98" s="4" t="s">
        <v>242</v>
      </c>
      <c r="D98" s="4" t="s">
        <v>584</v>
      </c>
      <c r="E98" s="4" t="s">
        <v>585</v>
      </c>
      <c r="F98" s="4" t="s">
        <v>586</v>
      </c>
      <c r="H98" s="4" t="s">
        <v>245</v>
      </c>
      <c r="I98" s="4" t="s">
        <v>154</v>
      </c>
      <c r="J98" s="4" t="s">
        <v>587</v>
      </c>
      <c r="K98" s="4" t="s">
        <v>224</v>
      </c>
      <c r="L98" s="6" t="s">
        <v>588</v>
      </c>
      <c r="M98" s="4" t="s">
        <v>589</v>
      </c>
      <c r="N98" s="4" t="s">
        <v>590</v>
      </c>
      <c r="P98" s="4" t="s">
        <v>591</v>
      </c>
      <c r="Q98" s="4" t="s">
        <v>592</v>
      </c>
      <c r="R98" s="4" t="s">
        <v>53</v>
      </c>
      <c r="S98" s="4" t="s">
        <v>231</v>
      </c>
      <c r="T98" s="7">
        <v>44386</v>
      </c>
      <c r="U98" s="4">
        <v>0</v>
      </c>
      <c r="V98" s="4">
        <v>5</v>
      </c>
      <c r="W98" s="4" t="s">
        <v>314</v>
      </c>
      <c r="Y98" s="4" t="s">
        <v>233</v>
      </c>
      <c r="Z98" s="4" t="s">
        <v>234</v>
      </c>
      <c r="AA98" s="4" t="s">
        <v>234</v>
      </c>
      <c r="AC98" s="4" t="s">
        <v>2923</v>
      </c>
    </row>
    <row r="99" spans="1:29" hidden="1" x14ac:dyDescent="0.4">
      <c r="A99" s="4" t="s">
        <v>216</v>
      </c>
      <c r="B99" s="4">
        <v>4406</v>
      </c>
      <c r="C99" s="4" t="s">
        <v>242</v>
      </c>
      <c r="D99" s="4" t="s">
        <v>584</v>
      </c>
      <c r="E99" s="4" t="s">
        <v>585</v>
      </c>
      <c r="F99" s="4" t="s">
        <v>586</v>
      </c>
      <c r="H99" s="4" t="s">
        <v>245</v>
      </c>
      <c r="I99" s="4" t="s">
        <v>154</v>
      </c>
      <c r="J99" s="4" t="s">
        <v>587</v>
      </c>
      <c r="K99" s="4" t="s">
        <v>224</v>
      </c>
      <c r="L99" s="6" t="s">
        <v>588</v>
      </c>
      <c r="M99" s="4" t="s">
        <v>589</v>
      </c>
      <c r="N99" s="4" t="s">
        <v>590</v>
      </c>
      <c r="P99" s="4" t="s">
        <v>591</v>
      </c>
      <c r="Q99" s="4" t="s">
        <v>592</v>
      </c>
      <c r="R99" s="4" t="s">
        <v>53</v>
      </c>
      <c r="S99" s="4" t="s">
        <v>231</v>
      </c>
      <c r="T99" s="7">
        <v>44386</v>
      </c>
      <c r="U99" s="4">
        <v>0</v>
      </c>
      <c r="V99" s="4">
        <v>10</v>
      </c>
      <c r="W99" s="4" t="s">
        <v>314</v>
      </c>
      <c r="Y99" s="4" t="s">
        <v>233</v>
      </c>
      <c r="Z99" s="4" t="s">
        <v>234</v>
      </c>
      <c r="AA99" s="4" t="s">
        <v>234</v>
      </c>
      <c r="AC99" s="4" t="s">
        <v>2923</v>
      </c>
    </row>
    <row r="100" spans="1:29" hidden="1" x14ac:dyDescent="0.4">
      <c r="A100" s="4" t="s">
        <v>216</v>
      </c>
      <c r="B100" s="4">
        <v>4406</v>
      </c>
      <c r="C100" s="4" t="s">
        <v>242</v>
      </c>
      <c r="D100" s="4" t="s">
        <v>584</v>
      </c>
      <c r="E100" s="4" t="s">
        <v>585</v>
      </c>
      <c r="F100" s="4" t="s">
        <v>586</v>
      </c>
      <c r="H100" s="4" t="s">
        <v>245</v>
      </c>
      <c r="I100" s="4" t="s">
        <v>154</v>
      </c>
      <c r="J100" s="4" t="s">
        <v>587</v>
      </c>
      <c r="K100" s="4" t="s">
        <v>224</v>
      </c>
      <c r="L100" s="6" t="s">
        <v>588</v>
      </c>
      <c r="M100" s="4" t="s">
        <v>589</v>
      </c>
      <c r="N100" s="4" t="s">
        <v>590</v>
      </c>
      <c r="P100" s="4" t="s">
        <v>591</v>
      </c>
      <c r="Q100" s="4" t="s">
        <v>592</v>
      </c>
      <c r="R100" s="4" t="s">
        <v>53</v>
      </c>
      <c r="S100" s="4" t="s">
        <v>231</v>
      </c>
      <c r="T100" s="7">
        <v>44386</v>
      </c>
      <c r="U100" s="4">
        <v>0</v>
      </c>
      <c r="V100" s="4">
        <v>11</v>
      </c>
      <c r="W100" s="4" t="s">
        <v>314</v>
      </c>
      <c r="Y100" s="4" t="s">
        <v>233</v>
      </c>
      <c r="Z100" s="4" t="s">
        <v>234</v>
      </c>
      <c r="AA100" s="4" t="s">
        <v>234</v>
      </c>
      <c r="AC100" s="4" t="s">
        <v>2923</v>
      </c>
    </row>
    <row r="101" spans="1:29" hidden="1" x14ac:dyDescent="0.4">
      <c r="A101" s="4" t="s">
        <v>216</v>
      </c>
      <c r="B101" s="4">
        <v>4406</v>
      </c>
      <c r="C101" s="4" t="s">
        <v>242</v>
      </c>
      <c r="D101" s="4" t="s">
        <v>584</v>
      </c>
      <c r="E101" s="4" t="s">
        <v>585</v>
      </c>
      <c r="F101" s="4" t="s">
        <v>586</v>
      </c>
      <c r="H101" s="4" t="s">
        <v>245</v>
      </c>
      <c r="I101" s="4" t="s">
        <v>154</v>
      </c>
      <c r="J101" s="4" t="s">
        <v>587</v>
      </c>
      <c r="K101" s="4" t="s">
        <v>224</v>
      </c>
      <c r="L101" s="6" t="s">
        <v>588</v>
      </c>
      <c r="M101" s="4" t="s">
        <v>589</v>
      </c>
      <c r="N101" s="4" t="s">
        <v>590</v>
      </c>
      <c r="P101" s="4" t="s">
        <v>2856</v>
      </c>
      <c r="Q101" s="4" t="s">
        <v>593</v>
      </c>
      <c r="R101" s="4" t="s">
        <v>53</v>
      </c>
      <c r="S101" s="4" t="s">
        <v>231</v>
      </c>
      <c r="T101" s="7">
        <v>45671</v>
      </c>
      <c r="U101" s="4">
        <v>0</v>
      </c>
      <c r="V101" s="4">
        <v>4</v>
      </c>
      <c r="W101" s="4" t="s">
        <v>314</v>
      </c>
      <c r="Y101" s="4" t="s">
        <v>233</v>
      </c>
      <c r="Z101" s="4" t="s">
        <v>234</v>
      </c>
      <c r="AA101" s="4" t="s">
        <v>234</v>
      </c>
      <c r="AC101" s="4" t="s">
        <v>2923</v>
      </c>
    </row>
    <row r="102" spans="1:29" hidden="1" x14ac:dyDescent="0.4">
      <c r="A102" s="4" t="s">
        <v>216</v>
      </c>
      <c r="B102" s="4">
        <v>4406</v>
      </c>
      <c r="C102" s="4" t="s">
        <v>242</v>
      </c>
      <c r="D102" s="4" t="s">
        <v>584</v>
      </c>
      <c r="E102" s="4" t="s">
        <v>585</v>
      </c>
      <c r="F102" s="4" t="s">
        <v>586</v>
      </c>
      <c r="H102" s="4" t="s">
        <v>245</v>
      </c>
      <c r="I102" s="4" t="s">
        <v>154</v>
      </c>
      <c r="J102" s="4" t="s">
        <v>587</v>
      </c>
      <c r="K102" s="4" t="s">
        <v>224</v>
      </c>
      <c r="L102" s="6" t="s">
        <v>588</v>
      </c>
      <c r="M102" s="4" t="s">
        <v>589</v>
      </c>
      <c r="N102" s="4" t="s">
        <v>590</v>
      </c>
      <c r="P102" s="4" t="s">
        <v>2856</v>
      </c>
      <c r="Q102" s="4" t="s">
        <v>593</v>
      </c>
      <c r="R102" s="4" t="s">
        <v>53</v>
      </c>
      <c r="S102" s="4" t="s">
        <v>231</v>
      </c>
      <c r="T102" s="7">
        <v>45671</v>
      </c>
      <c r="U102" s="4">
        <v>0</v>
      </c>
      <c r="V102" s="4">
        <v>10</v>
      </c>
      <c r="W102" s="4" t="s">
        <v>314</v>
      </c>
      <c r="Y102" s="4" t="s">
        <v>233</v>
      </c>
      <c r="Z102" s="4" t="s">
        <v>234</v>
      </c>
      <c r="AA102" s="4" t="s">
        <v>234</v>
      </c>
      <c r="AC102" s="4" t="s">
        <v>2923</v>
      </c>
    </row>
    <row r="103" spans="1:29" hidden="1" x14ac:dyDescent="0.4">
      <c r="A103" s="4" t="s">
        <v>216</v>
      </c>
      <c r="B103" s="4">
        <v>5305</v>
      </c>
      <c r="C103" s="4" t="s">
        <v>242</v>
      </c>
      <c r="D103" s="4" t="s">
        <v>594</v>
      </c>
      <c r="E103" s="4" t="s">
        <v>595</v>
      </c>
      <c r="F103" s="4" t="s">
        <v>596</v>
      </c>
      <c r="G103" s="4" t="s">
        <v>597</v>
      </c>
      <c r="H103" s="4" t="s">
        <v>598</v>
      </c>
      <c r="I103" s="4" t="s">
        <v>143</v>
      </c>
      <c r="J103" s="4" t="s">
        <v>599</v>
      </c>
      <c r="K103" s="4" t="s">
        <v>224</v>
      </c>
      <c r="L103" s="6" t="s">
        <v>600</v>
      </c>
      <c r="M103" s="4" t="s">
        <v>601</v>
      </c>
      <c r="N103" s="4" t="s">
        <v>602</v>
      </c>
      <c r="P103" s="4" t="s">
        <v>603</v>
      </c>
      <c r="Q103" s="4" t="s">
        <v>604</v>
      </c>
      <c r="R103" s="4" t="s">
        <v>53</v>
      </c>
      <c r="S103" s="4" t="s">
        <v>231</v>
      </c>
      <c r="T103" s="7">
        <v>43971</v>
      </c>
      <c r="U103" s="4">
        <v>0</v>
      </c>
      <c r="V103" s="4">
        <v>3</v>
      </c>
      <c r="W103" s="4" t="s">
        <v>258</v>
      </c>
      <c r="Y103" s="4" t="s">
        <v>233</v>
      </c>
      <c r="Z103" s="4" t="s">
        <v>234</v>
      </c>
      <c r="AA103" s="4" t="s">
        <v>234</v>
      </c>
      <c r="AC103" s="4" t="s">
        <v>2923</v>
      </c>
    </row>
    <row r="104" spans="1:29" hidden="1" x14ac:dyDescent="0.4">
      <c r="A104" s="4" t="s">
        <v>216</v>
      </c>
      <c r="B104" s="4">
        <v>5305</v>
      </c>
      <c r="C104" s="4" t="s">
        <v>242</v>
      </c>
      <c r="D104" s="4" t="s">
        <v>594</v>
      </c>
      <c r="E104" s="4" t="s">
        <v>595</v>
      </c>
      <c r="F104" s="4" t="s">
        <v>596</v>
      </c>
      <c r="G104" s="4" t="s">
        <v>597</v>
      </c>
      <c r="H104" s="4" t="s">
        <v>598</v>
      </c>
      <c r="I104" s="4" t="s">
        <v>143</v>
      </c>
      <c r="J104" s="4" t="s">
        <v>599</v>
      </c>
      <c r="K104" s="4" t="s">
        <v>224</v>
      </c>
      <c r="L104" s="6" t="s">
        <v>600</v>
      </c>
      <c r="M104" s="4" t="s">
        <v>601</v>
      </c>
      <c r="N104" s="4" t="s">
        <v>602</v>
      </c>
      <c r="P104" s="4" t="s">
        <v>603</v>
      </c>
      <c r="Q104" s="4" t="s">
        <v>604</v>
      </c>
      <c r="R104" s="4" t="s">
        <v>53</v>
      </c>
      <c r="S104" s="4" t="s">
        <v>231</v>
      </c>
      <c r="T104" s="7">
        <v>43971</v>
      </c>
      <c r="U104" s="4">
        <v>0</v>
      </c>
      <c r="V104" s="4">
        <v>4</v>
      </c>
      <c r="W104" s="4" t="s">
        <v>314</v>
      </c>
      <c r="Y104" s="4" t="s">
        <v>233</v>
      </c>
      <c r="Z104" s="4" t="s">
        <v>234</v>
      </c>
      <c r="AA104" s="4" t="s">
        <v>234</v>
      </c>
      <c r="AC104" s="4" t="s">
        <v>2923</v>
      </c>
    </row>
    <row r="105" spans="1:29" hidden="1" x14ac:dyDescent="0.4">
      <c r="A105" s="4" t="s">
        <v>216</v>
      </c>
      <c r="B105" s="4">
        <v>5305</v>
      </c>
      <c r="C105" s="4" t="s">
        <v>242</v>
      </c>
      <c r="D105" s="4" t="s">
        <v>594</v>
      </c>
      <c r="E105" s="4" t="s">
        <v>595</v>
      </c>
      <c r="F105" s="4" t="s">
        <v>596</v>
      </c>
      <c r="G105" s="4" t="s">
        <v>597</v>
      </c>
      <c r="H105" s="4" t="s">
        <v>598</v>
      </c>
      <c r="I105" s="4" t="s">
        <v>143</v>
      </c>
      <c r="J105" s="4" t="s">
        <v>599</v>
      </c>
      <c r="K105" s="4" t="s">
        <v>224</v>
      </c>
      <c r="L105" s="6" t="s">
        <v>600</v>
      </c>
      <c r="M105" s="4" t="s">
        <v>601</v>
      </c>
      <c r="N105" s="4" t="s">
        <v>602</v>
      </c>
      <c r="P105" s="4" t="s">
        <v>603</v>
      </c>
      <c r="Q105" s="4" t="s">
        <v>604</v>
      </c>
      <c r="R105" s="4" t="s">
        <v>53</v>
      </c>
      <c r="S105" s="4" t="s">
        <v>231</v>
      </c>
      <c r="T105" s="7">
        <v>43971</v>
      </c>
      <c r="U105" s="4">
        <v>0</v>
      </c>
      <c r="V105" s="4">
        <v>9</v>
      </c>
      <c r="Y105" s="4" t="s">
        <v>233</v>
      </c>
      <c r="Z105" s="4" t="s">
        <v>234</v>
      </c>
      <c r="AA105" s="4" t="s">
        <v>234</v>
      </c>
      <c r="AC105" s="4" t="s">
        <v>2923</v>
      </c>
    </row>
    <row r="106" spans="1:29" hidden="1" x14ac:dyDescent="0.4">
      <c r="A106" s="4" t="s">
        <v>216</v>
      </c>
      <c r="B106" s="4">
        <v>5305</v>
      </c>
      <c r="C106" s="4" t="s">
        <v>242</v>
      </c>
      <c r="D106" s="4" t="s">
        <v>594</v>
      </c>
      <c r="E106" s="4" t="s">
        <v>595</v>
      </c>
      <c r="F106" s="4" t="s">
        <v>596</v>
      </c>
      <c r="G106" s="4" t="s">
        <v>597</v>
      </c>
      <c r="H106" s="4" t="s">
        <v>598</v>
      </c>
      <c r="I106" s="4" t="s">
        <v>143</v>
      </c>
      <c r="J106" s="4" t="s">
        <v>599</v>
      </c>
      <c r="K106" s="4" t="s">
        <v>224</v>
      </c>
      <c r="L106" s="6" t="s">
        <v>600</v>
      </c>
      <c r="M106" s="4" t="s">
        <v>601</v>
      </c>
      <c r="N106" s="4" t="s">
        <v>602</v>
      </c>
      <c r="P106" s="4" t="s">
        <v>603</v>
      </c>
      <c r="Q106" s="4" t="s">
        <v>604</v>
      </c>
      <c r="R106" s="4" t="s">
        <v>53</v>
      </c>
      <c r="S106" s="4" t="s">
        <v>231</v>
      </c>
      <c r="T106" s="7">
        <v>43971</v>
      </c>
      <c r="U106" s="4">
        <v>0</v>
      </c>
      <c r="V106" s="4">
        <v>10</v>
      </c>
      <c r="W106" s="4" t="s">
        <v>314</v>
      </c>
      <c r="Y106" s="4" t="s">
        <v>233</v>
      </c>
      <c r="Z106" s="4" t="s">
        <v>234</v>
      </c>
      <c r="AA106" s="4" t="s">
        <v>234</v>
      </c>
      <c r="AC106" s="4" t="s">
        <v>2923</v>
      </c>
    </row>
    <row r="107" spans="1:29" hidden="1" x14ac:dyDescent="0.4">
      <c r="A107" s="4" t="s">
        <v>216</v>
      </c>
      <c r="B107" s="4">
        <v>1801</v>
      </c>
      <c r="C107" s="4" t="s">
        <v>417</v>
      </c>
      <c r="D107" s="4" t="s">
        <v>605</v>
      </c>
      <c r="E107" s="4" t="s">
        <v>606</v>
      </c>
      <c r="F107" s="4" t="s">
        <v>607</v>
      </c>
      <c r="G107" s="4" t="s">
        <v>608</v>
      </c>
      <c r="H107" s="4" t="s">
        <v>609</v>
      </c>
      <c r="I107" s="4" t="s">
        <v>610</v>
      </c>
      <c r="J107" s="4" t="s">
        <v>611</v>
      </c>
      <c r="K107" s="4" t="s">
        <v>224</v>
      </c>
      <c r="L107" s="6" t="s">
        <v>612</v>
      </c>
      <c r="M107" s="4" t="s">
        <v>613</v>
      </c>
      <c r="N107" s="4" t="s">
        <v>240</v>
      </c>
      <c r="P107" s="4" t="s">
        <v>614</v>
      </c>
      <c r="Q107" s="4" t="s">
        <v>615</v>
      </c>
      <c r="R107" s="4" t="s">
        <v>53</v>
      </c>
      <c r="S107" s="4" t="s">
        <v>257</v>
      </c>
      <c r="T107" s="7">
        <v>43969</v>
      </c>
      <c r="U107" s="4">
        <v>0</v>
      </c>
      <c r="V107" s="4">
        <v>7</v>
      </c>
      <c r="W107" s="4" t="s">
        <v>238</v>
      </c>
      <c r="Y107" s="4" t="s">
        <v>233</v>
      </c>
      <c r="Z107" s="4" t="s">
        <v>234</v>
      </c>
      <c r="AA107" s="4" t="s">
        <v>234</v>
      </c>
      <c r="AC107" s="4" t="s">
        <v>2923</v>
      </c>
    </row>
    <row r="108" spans="1:29" hidden="1" x14ac:dyDescent="0.4">
      <c r="A108" s="4" t="s">
        <v>216</v>
      </c>
      <c r="B108" s="4">
        <v>3185</v>
      </c>
      <c r="C108" s="4" t="s">
        <v>242</v>
      </c>
      <c r="D108" s="4" t="s">
        <v>618</v>
      </c>
      <c r="E108" s="4" t="s">
        <v>619</v>
      </c>
      <c r="F108" s="4" t="s">
        <v>620</v>
      </c>
      <c r="G108" s="4" t="s">
        <v>621</v>
      </c>
      <c r="H108" s="4" t="s">
        <v>126</v>
      </c>
      <c r="I108" s="4" t="s">
        <v>501</v>
      </c>
      <c r="J108" s="4" t="s">
        <v>622</v>
      </c>
      <c r="K108" s="4" t="s">
        <v>224</v>
      </c>
      <c r="L108" s="5" t="s">
        <v>623</v>
      </c>
      <c r="M108" s="4" t="s">
        <v>624</v>
      </c>
      <c r="N108" s="4" t="s">
        <v>625</v>
      </c>
      <c r="P108" s="4" t="s">
        <v>626</v>
      </c>
      <c r="Q108" s="4" t="s">
        <v>627</v>
      </c>
      <c r="R108" s="4" t="s">
        <v>31</v>
      </c>
      <c r="S108" s="4" t="s">
        <v>257</v>
      </c>
      <c r="T108" s="7">
        <v>43210</v>
      </c>
      <c r="U108" s="4">
        <v>0</v>
      </c>
      <c r="V108" s="4">
        <v>6</v>
      </c>
      <c r="Y108" s="4" t="s">
        <v>233</v>
      </c>
      <c r="Z108" s="4" t="s">
        <v>234</v>
      </c>
      <c r="AA108" s="4" t="s">
        <v>233</v>
      </c>
      <c r="AC108" s="4" t="s">
        <v>2923</v>
      </c>
    </row>
    <row r="109" spans="1:29" hidden="1" x14ac:dyDescent="0.4">
      <c r="A109" s="4" t="s">
        <v>216</v>
      </c>
      <c r="B109" s="4">
        <v>6845</v>
      </c>
      <c r="C109" s="4" t="s">
        <v>242</v>
      </c>
      <c r="D109" s="4" t="s">
        <v>629</v>
      </c>
      <c r="E109" s="4" t="s">
        <v>630</v>
      </c>
      <c r="F109" s="4" t="s">
        <v>631</v>
      </c>
      <c r="H109" s="4" t="s">
        <v>632</v>
      </c>
      <c r="I109" s="4" t="s">
        <v>633</v>
      </c>
      <c r="J109" s="4" t="s">
        <v>634</v>
      </c>
      <c r="K109" s="4" t="s">
        <v>224</v>
      </c>
      <c r="L109" s="5" t="s">
        <v>635</v>
      </c>
      <c r="M109" s="4" t="s">
        <v>636</v>
      </c>
      <c r="N109" s="4" t="s">
        <v>637</v>
      </c>
      <c r="P109" s="4" t="s">
        <v>638</v>
      </c>
      <c r="Q109" s="4" t="s">
        <v>639</v>
      </c>
      <c r="R109" s="4" t="s">
        <v>640</v>
      </c>
      <c r="S109" s="4" t="s">
        <v>231</v>
      </c>
      <c r="T109" s="7">
        <v>44075</v>
      </c>
      <c r="U109" s="4">
        <v>0</v>
      </c>
      <c r="V109" s="4">
        <v>1</v>
      </c>
      <c r="W109" s="4" t="s">
        <v>253</v>
      </c>
      <c r="Y109" s="4" t="s">
        <v>233</v>
      </c>
      <c r="Z109" s="4" t="s">
        <v>234</v>
      </c>
      <c r="AA109" s="4" t="s">
        <v>234</v>
      </c>
      <c r="AC109" s="4" t="s">
        <v>2923</v>
      </c>
    </row>
    <row r="110" spans="1:29" hidden="1" x14ac:dyDescent="0.4">
      <c r="A110" s="4" t="s">
        <v>216</v>
      </c>
      <c r="B110" s="4">
        <v>4983</v>
      </c>
      <c r="C110" s="4" t="s">
        <v>242</v>
      </c>
      <c r="D110" s="4" t="s">
        <v>641</v>
      </c>
      <c r="E110" s="4" t="s">
        <v>642</v>
      </c>
      <c r="F110" s="4" t="s">
        <v>643</v>
      </c>
      <c r="G110" s="4" t="s">
        <v>644</v>
      </c>
      <c r="H110" s="4" t="s">
        <v>645</v>
      </c>
      <c r="I110" s="4" t="s">
        <v>34</v>
      </c>
      <c r="J110" s="4" t="s">
        <v>646</v>
      </c>
      <c r="K110" s="4" t="s">
        <v>224</v>
      </c>
      <c r="L110" s="6" t="s">
        <v>647</v>
      </c>
      <c r="M110" s="4" t="s">
        <v>648</v>
      </c>
      <c r="N110" s="4" t="s">
        <v>649</v>
      </c>
      <c r="P110" s="4" t="s">
        <v>650</v>
      </c>
      <c r="Q110" s="4" t="s">
        <v>651</v>
      </c>
      <c r="R110" s="4" t="s">
        <v>129</v>
      </c>
      <c r="S110" s="4" t="s">
        <v>231</v>
      </c>
      <c r="T110" s="7">
        <v>45041</v>
      </c>
      <c r="U110" s="4">
        <v>0</v>
      </c>
      <c r="V110" s="4">
        <v>10</v>
      </c>
      <c r="W110" s="4" t="s">
        <v>524</v>
      </c>
      <c r="Y110" s="4" t="s">
        <v>233</v>
      </c>
      <c r="Z110" s="4" t="s">
        <v>234</v>
      </c>
      <c r="AA110" s="4" t="s">
        <v>234</v>
      </c>
      <c r="AC110" s="4" t="s">
        <v>2923</v>
      </c>
    </row>
    <row r="111" spans="1:29" hidden="1" x14ac:dyDescent="0.4">
      <c r="A111" s="4" t="s">
        <v>216</v>
      </c>
      <c r="B111" s="4">
        <v>4983</v>
      </c>
      <c r="C111" s="4" t="s">
        <v>242</v>
      </c>
      <c r="D111" s="4" t="s">
        <v>641</v>
      </c>
      <c r="E111" s="4" t="s">
        <v>642</v>
      </c>
      <c r="F111" s="4" t="s">
        <v>643</v>
      </c>
      <c r="G111" s="4" t="s">
        <v>644</v>
      </c>
      <c r="H111" s="4" t="s">
        <v>645</v>
      </c>
      <c r="I111" s="4" t="s">
        <v>34</v>
      </c>
      <c r="J111" s="4" t="s">
        <v>646</v>
      </c>
      <c r="K111" s="4" t="s">
        <v>224</v>
      </c>
      <c r="L111" s="6" t="s">
        <v>647</v>
      </c>
      <c r="M111" s="4" t="s">
        <v>648</v>
      </c>
      <c r="N111" s="4" t="s">
        <v>649</v>
      </c>
      <c r="P111" s="4" t="s">
        <v>653</v>
      </c>
      <c r="Q111" s="4" t="s">
        <v>654</v>
      </c>
      <c r="R111" s="4" t="s">
        <v>129</v>
      </c>
      <c r="S111" s="4" t="s">
        <v>231</v>
      </c>
      <c r="T111" s="7">
        <v>43223</v>
      </c>
      <c r="U111" s="4">
        <v>0</v>
      </c>
      <c r="V111" s="4">
        <v>12</v>
      </c>
      <c r="Y111" s="4" t="s">
        <v>233</v>
      </c>
      <c r="Z111" s="4" t="s">
        <v>234</v>
      </c>
      <c r="AA111" s="4" t="s">
        <v>234</v>
      </c>
      <c r="AC111" s="4" t="s">
        <v>2923</v>
      </c>
    </row>
    <row r="112" spans="1:29" hidden="1" x14ac:dyDescent="0.4">
      <c r="A112" s="4" t="s">
        <v>216</v>
      </c>
      <c r="B112" s="4">
        <v>4983</v>
      </c>
      <c r="C112" s="4" t="s">
        <v>242</v>
      </c>
      <c r="D112" s="4" t="s">
        <v>641</v>
      </c>
      <c r="E112" s="4" t="s">
        <v>642</v>
      </c>
      <c r="F112" s="4" t="s">
        <v>643</v>
      </c>
      <c r="G112" s="4" t="s">
        <v>644</v>
      </c>
      <c r="H112" s="4" t="s">
        <v>645</v>
      </c>
      <c r="I112" s="4" t="s">
        <v>34</v>
      </c>
      <c r="J112" s="4" t="s">
        <v>646</v>
      </c>
      <c r="K112" s="4" t="s">
        <v>224</v>
      </c>
      <c r="L112" s="6" t="s">
        <v>647</v>
      </c>
      <c r="M112" s="4" t="s">
        <v>648</v>
      </c>
      <c r="N112" s="4" t="s">
        <v>649</v>
      </c>
      <c r="P112" s="4" t="s">
        <v>650</v>
      </c>
      <c r="Q112" s="4" t="s">
        <v>651</v>
      </c>
      <c r="R112" s="4" t="s">
        <v>129</v>
      </c>
      <c r="S112" s="4" t="s">
        <v>231</v>
      </c>
      <c r="T112" s="7">
        <v>45041</v>
      </c>
      <c r="U112" s="4">
        <v>0</v>
      </c>
      <c r="V112" s="4">
        <v>12</v>
      </c>
      <c r="Y112" s="4" t="s">
        <v>233</v>
      </c>
      <c r="Z112" s="4" t="s">
        <v>234</v>
      </c>
      <c r="AA112" s="4" t="s">
        <v>234</v>
      </c>
      <c r="AC112" s="4" t="s">
        <v>2923</v>
      </c>
    </row>
    <row r="113" spans="1:29" hidden="1" x14ac:dyDescent="0.4">
      <c r="A113" s="4" t="s">
        <v>216</v>
      </c>
      <c r="B113" s="4">
        <v>4983</v>
      </c>
      <c r="C113" s="4" t="s">
        <v>242</v>
      </c>
      <c r="D113" s="4" t="s">
        <v>641</v>
      </c>
      <c r="E113" s="4" t="s">
        <v>642</v>
      </c>
      <c r="F113" s="4" t="s">
        <v>643</v>
      </c>
      <c r="G113" s="4" t="s">
        <v>644</v>
      </c>
      <c r="H113" s="4" t="s">
        <v>645</v>
      </c>
      <c r="I113" s="4" t="s">
        <v>34</v>
      </c>
      <c r="J113" s="4" t="s">
        <v>646</v>
      </c>
      <c r="K113" s="4" t="s">
        <v>224</v>
      </c>
      <c r="L113" s="6" t="s">
        <v>647</v>
      </c>
      <c r="M113" s="4" t="s">
        <v>648</v>
      </c>
      <c r="N113" s="4" t="s">
        <v>649</v>
      </c>
      <c r="P113" s="4" t="s">
        <v>653</v>
      </c>
      <c r="Q113" s="4" t="s">
        <v>654</v>
      </c>
      <c r="R113" s="4" t="s">
        <v>129</v>
      </c>
      <c r="S113" s="4" t="s">
        <v>231</v>
      </c>
      <c r="T113" s="7">
        <v>43223</v>
      </c>
      <c r="U113" s="4">
        <v>0</v>
      </c>
      <c r="V113" s="4">
        <v>13</v>
      </c>
      <c r="W113" s="4" t="s">
        <v>240</v>
      </c>
      <c r="Y113" s="4" t="s">
        <v>233</v>
      </c>
      <c r="Z113" s="4" t="s">
        <v>234</v>
      </c>
      <c r="AA113" s="4" t="s">
        <v>234</v>
      </c>
      <c r="AC113" s="4" t="s">
        <v>2923</v>
      </c>
    </row>
    <row r="114" spans="1:29" hidden="1" x14ac:dyDescent="0.4">
      <c r="A114" s="4" t="s">
        <v>216</v>
      </c>
      <c r="B114" s="4">
        <v>1320</v>
      </c>
      <c r="C114" s="4" t="s">
        <v>242</v>
      </c>
      <c r="D114" s="4" t="s">
        <v>655</v>
      </c>
      <c r="E114" s="4" t="s">
        <v>656</v>
      </c>
      <c r="F114" s="4" t="s">
        <v>657</v>
      </c>
      <c r="G114" s="4" t="s">
        <v>658</v>
      </c>
      <c r="H114" s="4" t="s">
        <v>245</v>
      </c>
      <c r="I114" s="4" t="s">
        <v>154</v>
      </c>
      <c r="J114" s="4" t="s">
        <v>659</v>
      </c>
      <c r="K114" s="4" t="s">
        <v>224</v>
      </c>
      <c r="L114" s="6" t="s">
        <v>660</v>
      </c>
      <c r="M114" s="4" t="s">
        <v>661</v>
      </c>
      <c r="N114" s="4" t="s">
        <v>662</v>
      </c>
      <c r="P114" s="4" t="s">
        <v>663</v>
      </c>
      <c r="Q114" s="4" t="s">
        <v>664</v>
      </c>
      <c r="R114" s="4" t="s">
        <v>32</v>
      </c>
      <c r="S114" s="4" t="s">
        <v>231</v>
      </c>
      <c r="T114" s="7">
        <v>44765</v>
      </c>
      <c r="U114" s="4">
        <v>0</v>
      </c>
      <c r="V114" s="4">
        <v>3</v>
      </c>
      <c r="W114" s="4" t="s">
        <v>258</v>
      </c>
      <c r="Y114" s="4" t="s">
        <v>233</v>
      </c>
      <c r="Z114" s="4" t="s">
        <v>234</v>
      </c>
      <c r="AA114" s="4" t="s">
        <v>234</v>
      </c>
      <c r="AC114" s="4" t="s">
        <v>2923</v>
      </c>
    </row>
    <row r="115" spans="1:29" x14ac:dyDescent="0.4">
      <c r="A115" s="4" t="s">
        <v>216</v>
      </c>
      <c r="B115" s="4">
        <v>1320</v>
      </c>
      <c r="C115" s="4" t="s">
        <v>242</v>
      </c>
      <c r="D115" s="4" t="s">
        <v>655</v>
      </c>
      <c r="E115" s="4" t="s">
        <v>656</v>
      </c>
      <c r="F115" s="4" t="s">
        <v>657</v>
      </c>
      <c r="G115" s="4" t="s">
        <v>658</v>
      </c>
      <c r="H115" s="4" t="s">
        <v>245</v>
      </c>
      <c r="I115" s="4" t="s">
        <v>154</v>
      </c>
      <c r="J115" s="4" t="s">
        <v>659</v>
      </c>
      <c r="K115" s="4" t="s">
        <v>224</v>
      </c>
      <c r="L115" s="6" t="s">
        <v>660</v>
      </c>
      <c r="M115" s="4" t="s">
        <v>661</v>
      </c>
      <c r="N115" s="4" t="s">
        <v>662</v>
      </c>
      <c r="P115" s="4" t="s">
        <v>663</v>
      </c>
      <c r="Q115" s="4" t="s">
        <v>664</v>
      </c>
      <c r="R115" s="4" t="s">
        <v>32</v>
      </c>
      <c r="S115" s="4" t="s">
        <v>231</v>
      </c>
      <c r="T115" s="7">
        <v>44765</v>
      </c>
      <c r="U115" s="4">
        <v>0</v>
      </c>
      <c r="V115" s="4">
        <v>4</v>
      </c>
      <c r="W115" s="4" t="s">
        <v>2725</v>
      </c>
      <c r="Y115" s="4" t="s">
        <v>233</v>
      </c>
      <c r="Z115" s="4" t="s">
        <v>234</v>
      </c>
      <c r="AA115" s="4" t="s">
        <v>234</v>
      </c>
      <c r="AC115" s="4" t="s">
        <v>2923</v>
      </c>
    </row>
    <row r="116" spans="1:29" hidden="1" x14ac:dyDescent="0.4">
      <c r="A116" s="4" t="s">
        <v>216</v>
      </c>
      <c r="B116" s="4">
        <v>1320</v>
      </c>
      <c r="C116" s="4" t="s">
        <v>242</v>
      </c>
      <c r="D116" s="4" t="s">
        <v>655</v>
      </c>
      <c r="E116" s="4" t="s">
        <v>656</v>
      </c>
      <c r="F116" s="4" t="s">
        <v>657</v>
      </c>
      <c r="G116" s="4" t="s">
        <v>658</v>
      </c>
      <c r="H116" s="4" t="s">
        <v>245</v>
      </c>
      <c r="I116" s="4" t="s">
        <v>154</v>
      </c>
      <c r="J116" s="4" t="s">
        <v>659</v>
      </c>
      <c r="K116" s="4" t="s">
        <v>224</v>
      </c>
      <c r="L116" s="6" t="s">
        <v>660</v>
      </c>
      <c r="M116" s="4" t="s">
        <v>661</v>
      </c>
      <c r="N116" s="4" t="s">
        <v>662</v>
      </c>
      <c r="P116" s="4" t="s">
        <v>663</v>
      </c>
      <c r="Q116" s="4" t="s">
        <v>664</v>
      </c>
      <c r="R116" s="4" t="s">
        <v>32</v>
      </c>
      <c r="S116" s="4" t="s">
        <v>231</v>
      </c>
      <c r="T116" s="7">
        <v>44765</v>
      </c>
      <c r="U116" s="4">
        <v>0</v>
      </c>
      <c r="V116" s="4">
        <v>9</v>
      </c>
      <c r="W116" s="4" t="s">
        <v>358</v>
      </c>
      <c r="Y116" s="4" t="s">
        <v>233</v>
      </c>
      <c r="Z116" s="4" t="s">
        <v>234</v>
      </c>
      <c r="AA116" s="4" t="s">
        <v>234</v>
      </c>
      <c r="AC116" s="4" t="s">
        <v>2923</v>
      </c>
    </row>
    <row r="117" spans="1:29" hidden="1" x14ac:dyDescent="0.4">
      <c r="A117" s="4" t="s">
        <v>216</v>
      </c>
      <c r="B117" s="4">
        <v>1320</v>
      </c>
      <c r="C117" s="4" t="s">
        <v>242</v>
      </c>
      <c r="D117" s="4" t="s">
        <v>655</v>
      </c>
      <c r="E117" s="4" t="s">
        <v>656</v>
      </c>
      <c r="F117" s="4" t="s">
        <v>657</v>
      </c>
      <c r="G117" s="4" t="s">
        <v>658</v>
      </c>
      <c r="H117" s="4" t="s">
        <v>245</v>
      </c>
      <c r="I117" s="4" t="s">
        <v>154</v>
      </c>
      <c r="J117" s="4" t="s">
        <v>659</v>
      </c>
      <c r="K117" s="4" t="s">
        <v>224</v>
      </c>
      <c r="L117" s="6" t="s">
        <v>660</v>
      </c>
      <c r="M117" s="4" t="s">
        <v>661</v>
      </c>
      <c r="N117" s="4" t="s">
        <v>662</v>
      </c>
      <c r="P117" s="4" t="s">
        <v>663</v>
      </c>
      <c r="Q117" s="4" t="s">
        <v>664</v>
      </c>
      <c r="R117" s="4" t="s">
        <v>32</v>
      </c>
      <c r="S117" s="4" t="s">
        <v>231</v>
      </c>
      <c r="T117" s="7">
        <v>44765</v>
      </c>
      <c r="U117" s="4">
        <v>0</v>
      </c>
      <c r="V117" s="4">
        <v>10</v>
      </c>
      <c r="W117" s="4" t="s">
        <v>314</v>
      </c>
      <c r="Y117" s="4" t="s">
        <v>233</v>
      </c>
      <c r="Z117" s="4" t="s">
        <v>234</v>
      </c>
      <c r="AA117" s="4" t="s">
        <v>234</v>
      </c>
      <c r="AC117" s="4" t="s">
        <v>2923</v>
      </c>
    </row>
    <row r="118" spans="1:29" hidden="1" x14ac:dyDescent="0.4">
      <c r="A118" s="4" t="s">
        <v>216</v>
      </c>
      <c r="B118" s="4">
        <v>1262</v>
      </c>
      <c r="C118" s="4" t="s">
        <v>315</v>
      </c>
      <c r="D118" s="4" t="s">
        <v>668</v>
      </c>
      <c r="E118" s="4" t="s">
        <v>669</v>
      </c>
      <c r="F118" s="4" t="s">
        <v>670</v>
      </c>
      <c r="G118" s="4" t="s">
        <v>671</v>
      </c>
      <c r="H118" s="4" t="s">
        <v>672</v>
      </c>
      <c r="I118" s="4" t="s">
        <v>501</v>
      </c>
      <c r="J118" s="4" t="s">
        <v>673</v>
      </c>
      <c r="K118" s="4" t="s">
        <v>224</v>
      </c>
      <c r="L118" s="5" t="s">
        <v>674</v>
      </c>
      <c r="M118" s="4" t="s">
        <v>675</v>
      </c>
      <c r="N118" s="4" t="s">
        <v>676</v>
      </c>
      <c r="P118" s="4" t="s">
        <v>677</v>
      </c>
      <c r="Q118" s="4" t="s">
        <v>678</v>
      </c>
      <c r="S118" s="4" t="s">
        <v>257</v>
      </c>
      <c r="T118" s="7">
        <v>45306</v>
      </c>
      <c r="U118" s="4">
        <v>0</v>
      </c>
      <c r="V118" s="4">
        <v>10</v>
      </c>
      <c r="W118" s="4" t="s">
        <v>314</v>
      </c>
      <c r="X118" s="4" t="s">
        <v>679</v>
      </c>
      <c r="Y118" s="4" t="s">
        <v>233</v>
      </c>
      <c r="Z118" s="4" t="s">
        <v>234</v>
      </c>
      <c r="AA118" s="4" t="s">
        <v>234</v>
      </c>
      <c r="AC118" s="4" t="s">
        <v>2923</v>
      </c>
    </row>
    <row r="119" spans="1:29" hidden="1" x14ac:dyDescent="0.4">
      <c r="A119" s="4" t="s">
        <v>216</v>
      </c>
      <c r="B119" s="4">
        <v>5181</v>
      </c>
      <c r="C119" s="4" t="s">
        <v>242</v>
      </c>
      <c r="D119" s="4" t="s">
        <v>680</v>
      </c>
      <c r="E119" s="4" t="s">
        <v>681</v>
      </c>
      <c r="F119" s="4" t="s">
        <v>682</v>
      </c>
      <c r="H119" s="4" t="s">
        <v>683</v>
      </c>
      <c r="I119" s="4" t="s">
        <v>154</v>
      </c>
      <c r="J119" s="4" t="s">
        <v>684</v>
      </c>
      <c r="K119" s="4" t="s">
        <v>224</v>
      </c>
      <c r="L119" s="6" t="s">
        <v>685</v>
      </c>
      <c r="M119" s="4" t="s">
        <v>686</v>
      </c>
      <c r="N119" s="4" t="s">
        <v>687</v>
      </c>
      <c r="P119" s="4" t="s">
        <v>688</v>
      </c>
      <c r="Q119" s="4" t="s">
        <v>689</v>
      </c>
      <c r="R119" s="4" t="s">
        <v>333</v>
      </c>
      <c r="S119" s="4" t="s">
        <v>257</v>
      </c>
      <c r="T119" s="7">
        <v>44340</v>
      </c>
      <c r="U119" s="4">
        <v>0</v>
      </c>
      <c r="V119" s="4">
        <v>8</v>
      </c>
      <c r="W119" s="4" t="s">
        <v>281</v>
      </c>
      <c r="Y119" s="4" t="s">
        <v>233</v>
      </c>
      <c r="Z119" s="4" t="s">
        <v>234</v>
      </c>
      <c r="AA119" s="4" t="s">
        <v>234</v>
      </c>
      <c r="AC119" s="4" t="s">
        <v>2923</v>
      </c>
    </row>
    <row r="120" spans="1:29" hidden="1" x14ac:dyDescent="0.4">
      <c r="A120" s="4" t="s">
        <v>216</v>
      </c>
      <c r="B120" s="4">
        <v>5181</v>
      </c>
      <c r="C120" s="4" t="s">
        <v>242</v>
      </c>
      <c r="D120" s="4" t="s">
        <v>680</v>
      </c>
      <c r="E120" s="4" t="s">
        <v>681</v>
      </c>
      <c r="F120" s="4" t="s">
        <v>682</v>
      </c>
      <c r="H120" s="4" t="s">
        <v>683</v>
      </c>
      <c r="I120" s="4" t="s">
        <v>154</v>
      </c>
      <c r="J120" s="4" t="s">
        <v>684</v>
      </c>
      <c r="K120" s="4" t="s">
        <v>224</v>
      </c>
      <c r="L120" s="6" t="s">
        <v>685</v>
      </c>
      <c r="M120" s="4" t="s">
        <v>686</v>
      </c>
      <c r="N120" s="4" t="s">
        <v>687</v>
      </c>
      <c r="P120" s="4" t="s">
        <v>688</v>
      </c>
      <c r="Q120" s="4" t="s">
        <v>689</v>
      </c>
      <c r="R120" s="4" t="s">
        <v>333</v>
      </c>
      <c r="S120" s="4" t="s">
        <v>257</v>
      </c>
      <c r="T120" s="7">
        <v>44340</v>
      </c>
      <c r="U120" s="4">
        <v>0</v>
      </c>
      <c r="V120" s="4">
        <v>9</v>
      </c>
      <c r="W120" s="4" t="s">
        <v>358</v>
      </c>
      <c r="Y120" s="4" t="s">
        <v>233</v>
      </c>
      <c r="Z120" s="4" t="s">
        <v>234</v>
      </c>
      <c r="AA120" s="4" t="s">
        <v>234</v>
      </c>
      <c r="AC120" s="4" t="s">
        <v>2923</v>
      </c>
    </row>
    <row r="121" spans="1:29" hidden="1" x14ac:dyDescent="0.4">
      <c r="A121" s="4" t="s">
        <v>216</v>
      </c>
      <c r="B121" s="4">
        <v>6731</v>
      </c>
      <c r="C121" s="4" t="s">
        <v>315</v>
      </c>
      <c r="D121" s="4" t="s">
        <v>690</v>
      </c>
      <c r="E121" s="4" t="s">
        <v>691</v>
      </c>
      <c r="F121" s="4" t="s">
        <v>692</v>
      </c>
      <c r="G121" s="4" t="s">
        <v>693</v>
      </c>
      <c r="H121" s="4" t="s">
        <v>694</v>
      </c>
      <c r="I121" s="4" t="s">
        <v>154</v>
      </c>
      <c r="J121" s="4" t="s">
        <v>695</v>
      </c>
      <c r="K121" s="4" t="s">
        <v>224</v>
      </c>
      <c r="L121" s="6" t="s">
        <v>696</v>
      </c>
      <c r="M121" s="4" t="s">
        <v>697</v>
      </c>
      <c r="N121" s="4" t="s">
        <v>698</v>
      </c>
      <c r="P121" s="4" t="s">
        <v>2857</v>
      </c>
      <c r="Q121" s="4" t="s">
        <v>699</v>
      </c>
      <c r="R121" s="4" t="s">
        <v>700</v>
      </c>
      <c r="S121" s="4" t="s">
        <v>257</v>
      </c>
      <c r="T121" s="7">
        <v>44016</v>
      </c>
      <c r="U121" s="4">
        <v>0</v>
      </c>
      <c r="V121" s="4">
        <v>8</v>
      </c>
      <c r="W121" s="4" t="s">
        <v>281</v>
      </c>
      <c r="Y121" s="4" t="s">
        <v>233</v>
      </c>
      <c r="Z121" s="4" t="s">
        <v>234</v>
      </c>
      <c r="AA121" s="4" t="s">
        <v>234</v>
      </c>
      <c r="AC121" s="4" t="s">
        <v>2923</v>
      </c>
    </row>
    <row r="122" spans="1:29" hidden="1" x14ac:dyDescent="0.4">
      <c r="A122" s="4" t="s">
        <v>216</v>
      </c>
      <c r="B122" s="4">
        <v>1234</v>
      </c>
      <c r="C122" s="4" t="s">
        <v>242</v>
      </c>
      <c r="D122" s="4" t="s">
        <v>701</v>
      </c>
      <c r="E122" s="4" t="s">
        <v>702</v>
      </c>
      <c r="F122" s="4" t="s">
        <v>703</v>
      </c>
      <c r="G122" s="4" t="s">
        <v>704</v>
      </c>
      <c r="H122" s="4" t="s">
        <v>705</v>
      </c>
      <c r="I122" s="4" t="s">
        <v>706</v>
      </c>
      <c r="J122" s="4" t="s">
        <v>707</v>
      </c>
      <c r="K122" s="4" t="s">
        <v>224</v>
      </c>
      <c r="L122" s="5" t="s">
        <v>708</v>
      </c>
      <c r="M122" s="4" t="s">
        <v>709</v>
      </c>
      <c r="N122" s="4" t="s">
        <v>710</v>
      </c>
      <c r="P122" s="4" t="s">
        <v>711</v>
      </c>
      <c r="Q122" s="4" t="s">
        <v>712</v>
      </c>
      <c r="R122" s="4" t="s">
        <v>53</v>
      </c>
      <c r="S122" s="4" t="s">
        <v>231</v>
      </c>
      <c r="T122" s="7">
        <v>42827</v>
      </c>
      <c r="U122" s="4">
        <v>0</v>
      </c>
      <c r="V122" s="4">
        <v>6</v>
      </c>
      <c r="X122" s="4" t="s">
        <v>293</v>
      </c>
      <c r="Y122" s="4" t="s">
        <v>233</v>
      </c>
      <c r="Z122" s="4" t="s">
        <v>234</v>
      </c>
      <c r="AA122" s="4" t="s">
        <v>234</v>
      </c>
      <c r="AC122" s="4" t="s">
        <v>2923</v>
      </c>
    </row>
    <row r="123" spans="1:29" hidden="1" x14ac:dyDescent="0.4">
      <c r="A123" s="4" t="s">
        <v>216</v>
      </c>
      <c r="B123" s="4">
        <v>1234</v>
      </c>
      <c r="C123" s="4" t="s">
        <v>242</v>
      </c>
      <c r="D123" s="4" t="s">
        <v>701</v>
      </c>
      <c r="E123" s="4" t="s">
        <v>702</v>
      </c>
      <c r="F123" s="4" t="s">
        <v>703</v>
      </c>
      <c r="G123" s="4" t="s">
        <v>704</v>
      </c>
      <c r="H123" s="4" t="s">
        <v>705</v>
      </c>
      <c r="I123" s="4" t="s">
        <v>706</v>
      </c>
      <c r="J123" s="4" t="s">
        <v>707</v>
      </c>
      <c r="K123" s="4" t="s">
        <v>224</v>
      </c>
      <c r="L123" s="5" t="s">
        <v>708</v>
      </c>
      <c r="M123" s="4" t="s">
        <v>709</v>
      </c>
      <c r="N123" s="4" t="s">
        <v>710</v>
      </c>
      <c r="P123" s="4" t="s">
        <v>711</v>
      </c>
      <c r="Q123" s="4" t="s">
        <v>712</v>
      </c>
      <c r="R123" s="4" t="s">
        <v>53</v>
      </c>
      <c r="S123" s="4" t="s">
        <v>231</v>
      </c>
      <c r="T123" s="7">
        <v>42827</v>
      </c>
      <c r="U123" s="4">
        <v>0</v>
      </c>
      <c r="V123" s="4">
        <v>5</v>
      </c>
      <c r="W123" s="4" t="s">
        <v>314</v>
      </c>
      <c r="X123" s="4" t="s">
        <v>293</v>
      </c>
      <c r="Y123" s="4" t="s">
        <v>233</v>
      </c>
      <c r="Z123" s="4" t="s">
        <v>234</v>
      </c>
      <c r="AA123" s="4" t="s">
        <v>234</v>
      </c>
      <c r="AC123" s="4" t="s">
        <v>2923</v>
      </c>
    </row>
    <row r="124" spans="1:29" hidden="1" x14ac:dyDescent="0.4">
      <c r="A124" s="4" t="s">
        <v>216</v>
      </c>
      <c r="B124" s="4">
        <v>1234</v>
      </c>
      <c r="C124" s="4" t="s">
        <v>242</v>
      </c>
      <c r="D124" s="4" t="s">
        <v>701</v>
      </c>
      <c r="E124" s="4" t="s">
        <v>702</v>
      </c>
      <c r="F124" s="4" t="s">
        <v>703</v>
      </c>
      <c r="G124" s="4" t="s">
        <v>704</v>
      </c>
      <c r="H124" s="4" t="s">
        <v>705</v>
      </c>
      <c r="I124" s="4" t="s">
        <v>706</v>
      </c>
      <c r="J124" s="4" t="s">
        <v>707</v>
      </c>
      <c r="K124" s="4" t="s">
        <v>224</v>
      </c>
      <c r="L124" s="5" t="s">
        <v>708</v>
      </c>
      <c r="M124" s="4" t="s">
        <v>709</v>
      </c>
      <c r="N124" s="4" t="s">
        <v>710</v>
      </c>
      <c r="P124" s="4" t="s">
        <v>711</v>
      </c>
      <c r="Q124" s="4" t="s">
        <v>712</v>
      </c>
      <c r="R124" s="4" t="s">
        <v>53</v>
      </c>
      <c r="S124" s="4" t="s">
        <v>231</v>
      </c>
      <c r="T124" s="7">
        <v>42827</v>
      </c>
      <c r="U124" s="4">
        <v>0</v>
      </c>
      <c r="V124" s="4">
        <v>12</v>
      </c>
      <c r="X124" s="4" t="s">
        <v>293</v>
      </c>
      <c r="Y124" s="4" t="s">
        <v>233</v>
      </c>
      <c r="Z124" s="4" t="s">
        <v>234</v>
      </c>
      <c r="AA124" s="4" t="s">
        <v>234</v>
      </c>
      <c r="AC124" s="4" t="s">
        <v>2923</v>
      </c>
    </row>
    <row r="125" spans="1:29" hidden="1" x14ac:dyDescent="0.4">
      <c r="A125" s="4" t="s">
        <v>216</v>
      </c>
      <c r="B125" s="4">
        <v>1234</v>
      </c>
      <c r="C125" s="4" t="s">
        <v>242</v>
      </c>
      <c r="D125" s="4" t="s">
        <v>701</v>
      </c>
      <c r="E125" s="4" t="s">
        <v>702</v>
      </c>
      <c r="F125" s="4" t="s">
        <v>703</v>
      </c>
      <c r="G125" s="4" t="s">
        <v>704</v>
      </c>
      <c r="H125" s="4" t="s">
        <v>705</v>
      </c>
      <c r="I125" s="4" t="s">
        <v>706</v>
      </c>
      <c r="J125" s="4" t="s">
        <v>707</v>
      </c>
      <c r="K125" s="4" t="s">
        <v>224</v>
      </c>
      <c r="L125" s="5" t="s">
        <v>708</v>
      </c>
      <c r="M125" s="4" t="s">
        <v>709</v>
      </c>
      <c r="N125" s="4" t="s">
        <v>710</v>
      </c>
      <c r="P125" s="4" t="s">
        <v>711</v>
      </c>
      <c r="Q125" s="4" t="s">
        <v>712</v>
      </c>
      <c r="R125" s="4" t="s">
        <v>53</v>
      </c>
      <c r="S125" s="4" t="s">
        <v>231</v>
      </c>
      <c r="T125" s="7">
        <v>42827</v>
      </c>
      <c r="U125" s="4">
        <v>0</v>
      </c>
      <c r="V125" s="4">
        <v>11</v>
      </c>
      <c r="W125" s="4" t="s">
        <v>300</v>
      </c>
      <c r="X125" s="4" t="s">
        <v>293</v>
      </c>
      <c r="Y125" s="4" t="s">
        <v>233</v>
      </c>
      <c r="Z125" s="4" t="s">
        <v>234</v>
      </c>
      <c r="AA125" s="4" t="s">
        <v>234</v>
      </c>
      <c r="AC125" s="4" t="s">
        <v>2923</v>
      </c>
    </row>
    <row r="126" spans="1:29" hidden="1" x14ac:dyDescent="0.4">
      <c r="A126" s="4" t="s">
        <v>216</v>
      </c>
      <c r="B126" s="4">
        <v>2708</v>
      </c>
      <c r="C126" s="4" t="s">
        <v>417</v>
      </c>
      <c r="D126" s="4" t="s">
        <v>713</v>
      </c>
      <c r="E126" s="4" t="s">
        <v>714</v>
      </c>
      <c r="F126" s="4" t="s">
        <v>715</v>
      </c>
      <c r="G126" s="4" t="s">
        <v>716</v>
      </c>
      <c r="H126" s="4" t="s">
        <v>717</v>
      </c>
      <c r="I126" s="4" t="s">
        <v>718</v>
      </c>
      <c r="J126" s="4" t="s">
        <v>719</v>
      </c>
      <c r="K126" s="4" t="s">
        <v>224</v>
      </c>
      <c r="L126" s="5" t="s">
        <v>720</v>
      </c>
      <c r="M126" s="4" t="s">
        <v>721</v>
      </c>
      <c r="N126" s="4" t="s">
        <v>722</v>
      </c>
      <c r="P126" s="4" t="s">
        <v>723</v>
      </c>
      <c r="Q126" s="4" t="s">
        <v>724</v>
      </c>
      <c r="R126" s="4" t="s">
        <v>53</v>
      </c>
      <c r="S126" s="4" t="s">
        <v>257</v>
      </c>
      <c r="T126" s="7">
        <v>42297</v>
      </c>
      <c r="U126" s="4">
        <v>0</v>
      </c>
      <c r="V126" s="4">
        <v>7</v>
      </c>
      <c r="W126" s="4" t="s">
        <v>238</v>
      </c>
      <c r="Y126" s="4" t="s">
        <v>233</v>
      </c>
      <c r="Z126" s="4" t="s">
        <v>234</v>
      </c>
      <c r="AA126" s="4" t="s">
        <v>234</v>
      </c>
      <c r="AC126" s="4" t="s">
        <v>2923</v>
      </c>
    </row>
    <row r="127" spans="1:29" hidden="1" x14ac:dyDescent="0.4">
      <c r="A127" s="4" t="s">
        <v>216</v>
      </c>
      <c r="B127" s="4">
        <v>2708</v>
      </c>
      <c r="C127" s="4" t="s">
        <v>417</v>
      </c>
      <c r="D127" s="4" t="s">
        <v>713</v>
      </c>
      <c r="E127" s="4" t="s">
        <v>714</v>
      </c>
      <c r="F127" s="4" t="s">
        <v>715</v>
      </c>
      <c r="G127" s="4" t="s">
        <v>716</v>
      </c>
      <c r="H127" s="4" t="s">
        <v>717</v>
      </c>
      <c r="I127" s="4" t="s">
        <v>718</v>
      </c>
      <c r="J127" s="4" t="s">
        <v>719</v>
      </c>
      <c r="K127" s="4" t="s">
        <v>224</v>
      </c>
      <c r="L127" s="5" t="s">
        <v>720</v>
      </c>
      <c r="M127" s="4" t="s">
        <v>721</v>
      </c>
      <c r="N127" s="4" t="s">
        <v>722</v>
      </c>
      <c r="P127" s="4" t="s">
        <v>725</v>
      </c>
      <c r="Q127" s="4" t="s">
        <v>726</v>
      </c>
      <c r="R127" s="4" t="s">
        <v>31</v>
      </c>
      <c r="S127" s="4" t="s">
        <v>257</v>
      </c>
      <c r="T127" s="7">
        <v>43741</v>
      </c>
      <c r="U127" s="4">
        <v>0</v>
      </c>
      <c r="V127" s="4">
        <v>7</v>
      </c>
      <c r="W127" s="4" t="s">
        <v>238</v>
      </c>
      <c r="Y127" s="4" t="s">
        <v>233</v>
      </c>
      <c r="Z127" s="4" t="s">
        <v>234</v>
      </c>
      <c r="AA127" s="4" t="s">
        <v>234</v>
      </c>
      <c r="AC127" s="4" t="s">
        <v>2923</v>
      </c>
    </row>
    <row r="128" spans="1:29" hidden="1" x14ac:dyDescent="0.4">
      <c r="A128" s="4" t="s">
        <v>216</v>
      </c>
      <c r="B128" s="4">
        <v>2708</v>
      </c>
      <c r="C128" s="4" t="s">
        <v>417</v>
      </c>
      <c r="D128" s="4" t="s">
        <v>713</v>
      </c>
      <c r="E128" s="4" t="s">
        <v>714</v>
      </c>
      <c r="F128" s="4" t="s">
        <v>715</v>
      </c>
      <c r="G128" s="4" t="s">
        <v>716</v>
      </c>
      <c r="H128" s="4" t="s">
        <v>717</v>
      </c>
      <c r="I128" s="4" t="s">
        <v>718</v>
      </c>
      <c r="J128" s="4" t="s">
        <v>719</v>
      </c>
      <c r="K128" s="4" t="s">
        <v>224</v>
      </c>
      <c r="L128" s="5" t="s">
        <v>720</v>
      </c>
      <c r="M128" s="4" t="s">
        <v>721</v>
      </c>
      <c r="N128" s="4" t="s">
        <v>722</v>
      </c>
      <c r="P128" s="4" t="s">
        <v>723</v>
      </c>
      <c r="Q128" s="4" t="s">
        <v>724</v>
      </c>
      <c r="R128" s="4" t="s">
        <v>53</v>
      </c>
      <c r="S128" s="4" t="s">
        <v>257</v>
      </c>
      <c r="T128" s="7">
        <v>42297</v>
      </c>
      <c r="U128" s="4">
        <v>0</v>
      </c>
      <c r="V128" s="4">
        <v>13</v>
      </c>
      <c r="W128" s="4" t="s">
        <v>240</v>
      </c>
      <c r="Y128" s="4" t="s">
        <v>233</v>
      </c>
      <c r="Z128" s="4" t="s">
        <v>234</v>
      </c>
      <c r="AA128" s="4" t="s">
        <v>234</v>
      </c>
      <c r="AC128" s="4" t="s">
        <v>2923</v>
      </c>
    </row>
    <row r="129" spans="1:29" hidden="1" x14ac:dyDescent="0.4">
      <c r="A129" s="4" t="s">
        <v>216</v>
      </c>
      <c r="B129" s="4">
        <v>2708</v>
      </c>
      <c r="C129" s="4" t="s">
        <v>417</v>
      </c>
      <c r="D129" s="4" t="s">
        <v>713</v>
      </c>
      <c r="E129" s="4" t="s">
        <v>714</v>
      </c>
      <c r="F129" s="4" t="s">
        <v>715</v>
      </c>
      <c r="G129" s="4" t="s">
        <v>716</v>
      </c>
      <c r="H129" s="4" t="s">
        <v>717</v>
      </c>
      <c r="I129" s="4" t="s">
        <v>718</v>
      </c>
      <c r="J129" s="4" t="s">
        <v>719</v>
      </c>
      <c r="K129" s="4" t="s">
        <v>224</v>
      </c>
      <c r="L129" s="5" t="s">
        <v>720</v>
      </c>
      <c r="M129" s="4" t="s">
        <v>721</v>
      </c>
      <c r="N129" s="4" t="s">
        <v>722</v>
      </c>
      <c r="P129" s="4" t="s">
        <v>725</v>
      </c>
      <c r="Q129" s="4" t="s">
        <v>726</v>
      </c>
      <c r="R129" s="4" t="s">
        <v>31</v>
      </c>
      <c r="S129" s="4" t="s">
        <v>257</v>
      </c>
      <c r="T129" s="7">
        <v>43741</v>
      </c>
      <c r="U129" s="4">
        <v>0</v>
      </c>
      <c r="V129" s="4">
        <v>13</v>
      </c>
      <c r="W129" s="4" t="s">
        <v>240</v>
      </c>
      <c r="Y129" s="4" t="s">
        <v>233</v>
      </c>
      <c r="Z129" s="4" t="s">
        <v>234</v>
      </c>
      <c r="AA129" s="4" t="s">
        <v>234</v>
      </c>
      <c r="AC129" s="4" t="s">
        <v>2923</v>
      </c>
    </row>
    <row r="130" spans="1:29" hidden="1" x14ac:dyDescent="0.4">
      <c r="A130" s="4" t="s">
        <v>216</v>
      </c>
      <c r="B130" s="4">
        <v>922</v>
      </c>
      <c r="C130" s="4" t="s">
        <v>242</v>
      </c>
      <c r="D130" s="4" t="s">
        <v>509</v>
      </c>
      <c r="E130" s="4" t="s">
        <v>2820</v>
      </c>
      <c r="F130" s="4" t="s">
        <v>727</v>
      </c>
      <c r="G130" s="4" t="s">
        <v>728</v>
      </c>
      <c r="H130" s="4" t="s">
        <v>729</v>
      </c>
      <c r="I130" s="4" t="s">
        <v>730</v>
      </c>
      <c r="J130" s="4" t="s">
        <v>731</v>
      </c>
      <c r="K130" s="4" t="s">
        <v>224</v>
      </c>
      <c r="L130" s="6" t="s">
        <v>732</v>
      </c>
      <c r="M130" s="4" t="s">
        <v>733</v>
      </c>
      <c r="N130" s="4" t="s">
        <v>734</v>
      </c>
      <c r="P130" s="4" t="s">
        <v>735</v>
      </c>
      <c r="Q130" s="4" t="s">
        <v>736</v>
      </c>
      <c r="R130" s="4" t="s">
        <v>53</v>
      </c>
      <c r="S130" s="4" t="s">
        <v>257</v>
      </c>
      <c r="T130" s="7">
        <v>43705</v>
      </c>
      <c r="U130" s="4">
        <v>0</v>
      </c>
      <c r="V130" s="4">
        <v>10</v>
      </c>
      <c r="W130" s="4" t="s">
        <v>314</v>
      </c>
      <c r="Y130" s="4" t="s">
        <v>233</v>
      </c>
      <c r="Z130" s="4" t="s">
        <v>234</v>
      </c>
      <c r="AA130" s="4" t="s">
        <v>233</v>
      </c>
      <c r="AC130" s="4" t="s">
        <v>2923</v>
      </c>
    </row>
    <row r="131" spans="1:29" hidden="1" x14ac:dyDescent="0.4">
      <c r="A131" s="4" t="s">
        <v>216</v>
      </c>
      <c r="B131" s="4">
        <v>922</v>
      </c>
      <c r="C131" s="4" t="s">
        <v>242</v>
      </c>
      <c r="D131" s="4" t="s">
        <v>509</v>
      </c>
      <c r="E131" s="4" t="s">
        <v>2820</v>
      </c>
      <c r="F131" s="4" t="s">
        <v>727</v>
      </c>
      <c r="G131" s="4" t="s">
        <v>728</v>
      </c>
      <c r="H131" s="4" t="s">
        <v>729</v>
      </c>
      <c r="I131" s="4" t="s">
        <v>730</v>
      </c>
      <c r="J131" s="4" t="s">
        <v>731</v>
      </c>
      <c r="K131" s="4" t="s">
        <v>224</v>
      </c>
      <c r="L131" s="6" t="s">
        <v>732</v>
      </c>
      <c r="M131" s="4" t="s">
        <v>733</v>
      </c>
      <c r="N131" s="4" t="s">
        <v>734</v>
      </c>
      <c r="P131" s="4" t="s">
        <v>735</v>
      </c>
      <c r="Q131" s="4" t="s">
        <v>736</v>
      </c>
      <c r="R131" s="4" t="s">
        <v>53</v>
      </c>
      <c r="S131" s="4" t="s">
        <v>257</v>
      </c>
      <c r="T131" s="7">
        <v>43705</v>
      </c>
      <c r="U131" s="4">
        <v>0</v>
      </c>
      <c r="V131" s="4">
        <v>12</v>
      </c>
      <c r="Y131" s="4" t="s">
        <v>233</v>
      </c>
      <c r="Z131" s="4" t="s">
        <v>234</v>
      </c>
      <c r="AA131" s="4" t="s">
        <v>233</v>
      </c>
      <c r="AC131" s="4" t="s">
        <v>2923</v>
      </c>
    </row>
    <row r="132" spans="1:29" hidden="1" x14ac:dyDescent="0.4">
      <c r="A132" s="4" t="s">
        <v>216</v>
      </c>
      <c r="B132" s="4">
        <v>2880</v>
      </c>
      <c r="C132" s="4" t="s">
        <v>217</v>
      </c>
      <c r="D132" s="4" t="s">
        <v>737</v>
      </c>
      <c r="E132" s="4" t="s">
        <v>738</v>
      </c>
      <c r="F132" s="4" t="s">
        <v>739</v>
      </c>
      <c r="H132" s="4" t="s">
        <v>740</v>
      </c>
      <c r="I132" s="4" t="s">
        <v>741</v>
      </c>
      <c r="J132" s="4" t="s">
        <v>742</v>
      </c>
      <c r="K132" s="4" t="s">
        <v>224</v>
      </c>
      <c r="L132" s="5" t="s">
        <v>743</v>
      </c>
      <c r="M132" s="4" t="s">
        <v>744</v>
      </c>
      <c r="N132" s="4" t="s">
        <v>745</v>
      </c>
      <c r="P132" s="4" t="s">
        <v>746</v>
      </c>
      <c r="Q132" s="4" t="s">
        <v>747</v>
      </c>
      <c r="R132" s="4" t="s">
        <v>313</v>
      </c>
      <c r="S132" s="4" t="s">
        <v>257</v>
      </c>
      <c r="T132" s="7">
        <v>44125</v>
      </c>
      <c r="U132" s="4">
        <v>0</v>
      </c>
      <c r="V132" s="4">
        <v>7</v>
      </c>
      <c r="W132" s="4" t="s">
        <v>238</v>
      </c>
      <c r="Y132" s="4" t="s">
        <v>233</v>
      </c>
      <c r="Z132" s="4" t="s">
        <v>234</v>
      </c>
      <c r="AA132" s="4" t="s">
        <v>234</v>
      </c>
      <c r="AC132" s="4" t="s">
        <v>2923</v>
      </c>
    </row>
    <row r="133" spans="1:29" hidden="1" x14ac:dyDescent="0.4">
      <c r="A133" s="4" t="s">
        <v>216</v>
      </c>
      <c r="B133" s="4">
        <v>2880</v>
      </c>
      <c r="C133" s="4" t="s">
        <v>217</v>
      </c>
      <c r="D133" s="4" t="s">
        <v>737</v>
      </c>
      <c r="E133" s="4" t="s">
        <v>738</v>
      </c>
      <c r="F133" s="4" t="s">
        <v>739</v>
      </c>
      <c r="H133" s="4" t="s">
        <v>740</v>
      </c>
      <c r="I133" s="4" t="s">
        <v>741</v>
      </c>
      <c r="J133" s="4" t="s">
        <v>742</v>
      </c>
      <c r="K133" s="4" t="s">
        <v>224</v>
      </c>
      <c r="L133" s="5" t="s">
        <v>743</v>
      </c>
      <c r="M133" s="4" t="s">
        <v>744</v>
      </c>
      <c r="N133" s="4" t="s">
        <v>745</v>
      </c>
      <c r="P133" s="4" t="s">
        <v>746</v>
      </c>
      <c r="Q133" s="4" t="s">
        <v>747</v>
      </c>
      <c r="R133" s="4" t="s">
        <v>313</v>
      </c>
      <c r="S133" s="4" t="s">
        <v>257</v>
      </c>
      <c r="T133" s="7">
        <v>44125</v>
      </c>
      <c r="U133" s="4">
        <v>0</v>
      </c>
      <c r="V133" s="4">
        <v>6</v>
      </c>
      <c r="Y133" s="4" t="s">
        <v>233</v>
      </c>
      <c r="Z133" s="4" t="s">
        <v>234</v>
      </c>
      <c r="AA133" s="4" t="s">
        <v>234</v>
      </c>
      <c r="AC133" s="4" t="s">
        <v>2923</v>
      </c>
    </row>
    <row r="134" spans="1:29" hidden="1" x14ac:dyDescent="0.4">
      <c r="A134" s="4" t="s">
        <v>216</v>
      </c>
      <c r="B134" s="4">
        <v>2880</v>
      </c>
      <c r="C134" s="4" t="s">
        <v>217</v>
      </c>
      <c r="D134" s="4" t="s">
        <v>737</v>
      </c>
      <c r="E134" s="4" t="s">
        <v>738</v>
      </c>
      <c r="F134" s="4" t="s">
        <v>739</v>
      </c>
      <c r="H134" s="4" t="s">
        <v>740</v>
      </c>
      <c r="I134" s="4" t="s">
        <v>741</v>
      </c>
      <c r="J134" s="4" t="s">
        <v>742</v>
      </c>
      <c r="K134" s="4" t="s">
        <v>224</v>
      </c>
      <c r="L134" s="5" t="s">
        <v>743</v>
      </c>
      <c r="M134" s="4" t="s">
        <v>744</v>
      </c>
      <c r="N134" s="4" t="s">
        <v>745</v>
      </c>
      <c r="P134" s="4" t="s">
        <v>746</v>
      </c>
      <c r="Q134" s="4" t="s">
        <v>747</v>
      </c>
      <c r="R134" s="4" t="s">
        <v>313</v>
      </c>
      <c r="S134" s="4" t="s">
        <v>257</v>
      </c>
      <c r="T134" s="7">
        <v>44125</v>
      </c>
      <c r="U134" s="4">
        <v>0</v>
      </c>
      <c r="V134" s="4">
        <v>12</v>
      </c>
      <c r="Y134" s="4" t="s">
        <v>233</v>
      </c>
      <c r="Z134" s="4" t="s">
        <v>234</v>
      </c>
      <c r="AA134" s="4" t="s">
        <v>234</v>
      </c>
      <c r="AC134" s="4" t="s">
        <v>2923</v>
      </c>
    </row>
    <row r="135" spans="1:29" hidden="1" x14ac:dyDescent="0.4">
      <c r="A135" s="4" t="s">
        <v>216</v>
      </c>
      <c r="B135" s="4">
        <v>2880</v>
      </c>
      <c r="C135" s="4" t="s">
        <v>217</v>
      </c>
      <c r="D135" s="4" t="s">
        <v>737</v>
      </c>
      <c r="E135" s="4" t="s">
        <v>738</v>
      </c>
      <c r="F135" s="4" t="s">
        <v>739</v>
      </c>
      <c r="H135" s="4" t="s">
        <v>740</v>
      </c>
      <c r="I135" s="4" t="s">
        <v>741</v>
      </c>
      <c r="J135" s="4" t="s">
        <v>742</v>
      </c>
      <c r="K135" s="4" t="s">
        <v>224</v>
      </c>
      <c r="L135" s="5" t="s">
        <v>743</v>
      </c>
      <c r="M135" s="4" t="s">
        <v>744</v>
      </c>
      <c r="N135" s="4" t="s">
        <v>745</v>
      </c>
      <c r="P135" s="4" t="s">
        <v>746</v>
      </c>
      <c r="Q135" s="4" t="s">
        <v>747</v>
      </c>
      <c r="R135" s="4" t="s">
        <v>313</v>
      </c>
      <c r="S135" s="4" t="s">
        <v>257</v>
      </c>
      <c r="T135" s="7">
        <v>44125</v>
      </c>
      <c r="U135" s="4">
        <v>0</v>
      </c>
      <c r="V135" s="4">
        <v>13</v>
      </c>
      <c r="W135" s="4" t="s">
        <v>240</v>
      </c>
      <c r="Y135" s="4" t="s">
        <v>233</v>
      </c>
      <c r="Z135" s="4" t="s">
        <v>234</v>
      </c>
      <c r="AA135" s="4" t="s">
        <v>234</v>
      </c>
      <c r="AC135" s="4" t="s">
        <v>2923</v>
      </c>
    </row>
    <row r="136" spans="1:29" hidden="1" x14ac:dyDescent="0.4">
      <c r="A136" s="4" t="s">
        <v>216</v>
      </c>
      <c r="B136" s="4">
        <v>958</v>
      </c>
      <c r="C136" s="4" t="s">
        <v>217</v>
      </c>
      <c r="D136" s="4" t="s">
        <v>748</v>
      </c>
      <c r="E136" s="4" t="s">
        <v>749</v>
      </c>
      <c r="F136" s="4" t="s">
        <v>750</v>
      </c>
      <c r="G136" s="4" t="s">
        <v>751</v>
      </c>
      <c r="H136" s="4" t="s">
        <v>752</v>
      </c>
      <c r="I136" s="4" t="s">
        <v>753</v>
      </c>
      <c r="J136" s="4" t="s">
        <v>754</v>
      </c>
      <c r="K136" s="4" t="s">
        <v>224</v>
      </c>
      <c r="L136" s="6" t="s">
        <v>755</v>
      </c>
      <c r="M136" s="4" t="s">
        <v>756</v>
      </c>
      <c r="N136" s="4" t="s">
        <v>757</v>
      </c>
      <c r="P136" s="4" t="s">
        <v>758</v>
      </c>
      <c r="Q136" s="4" t="s">
        <v>759</v>
      </c>
      <c r="R136" s="4" t="s">
        <v>2918</v>
      </c>
      <c r="S136" s="4" t="s">
        <v>231</v>
      </c>
      <c r="T136" s="7">
        <v>44042</v>
      </c>
      <c r="U136" s="4">
        <v>0</v>
      </c>
      <c r="V136" s="4">
        <v>5</v>
      </c>
      <c r="W136" s="4" t="s">
        <v>314</v>
      </c>
      <c r="X136" s="4" t="s">
        <v>464</v>
      </c>
      <c r="Y136" s="4" t="s">
        <v>233</v>
      </c>
      <c r="Z136" s="4" t="s">
        <v>234</v>
      </c>
      <c r="AA136" s="4" t="s">
        <v>233</v>
      </c>
      <c r="AB136" s="4" t="s">
        <v>760</v>
      </c>
      <c r="AC136" s="4" t="s">
        <v>2923</v>
      </c>
    </row>
    <row r="137" spans="1:29" hidden="1" x14ac:dyDescent="0.4">
      <c r="A137" s="4" t="s">
        <v>216</v>
      </c>
      <c r="B137" s="4">
        <v>958</v>
      </c>
      <c r="C137" s="4" t="s">
        <v>217</v>
      </c>
      <c r="D137" s="4" t="s">
        <v>748</v>
      </c>
      <c r="E137" s="4" t="s">
        <v>749</v>
      </c>
      <c r="F137" s="4" t="s">
        <v>750</v>
      </c>
      <c r="G137" s="4" t="s">
        <v>751</v>
      </c>
      <c r="H137" s="4" t="s">
        <v>752</v>
      </c>
      <c r="I137" s="4" t="s">
        <v>753</v>
      </c>
      <c r="J137" s="4" t="s">
        <v>754</v>
      </c>
      <c r="K137" s="4" t="s">
        <v>224</v>
      </c>
      <c r="L137" s="6" t="s">
        <v>755</v>
      </c>
      <c r="M137" s="4" t="s">
        <v>756</v>
      </c>
      <c r="N137" s="4" t="s">
        <v>757</v>
      </c>
      <c r="P137" s="4" t="s">
        <v>2858</v>
      </c>
      <c r="Q137" s="4" t="s">
        <v>761</v>
      </c>
      <c r="R137" s="4" t="s">
        <v>53</v>
      </c>
      <c r="S137" s="4" t="s">
        <v>257</v>
      </c>
      <c r="T137" s="7">
        <v>42607</v>
      </c>
      <c r="U137" s="4">
        <v>0</v>
      </c>
      <c r="V137" s="4">
        <v>6</v>
      </c>
      <c r="X137" s="4" t="s">
        <v>464</v>
      </c>
      <c r="Y137" s="4" t="s">
        <v>233</v>
      </c>
      <c r="Z137" s="4" t="s">
        <v>234</v>
      </c>
      <c r="AA137" s="4" t="s">
        <v>233</v>
      </c>
      <c r="AB137" s="4" t="s">
        <v>760</v>
      </c>
      <c r="AC137" s="4" t="s">
        <v>2923</v>
      </c>
    </row>
    <row r="138" spans="1:29" hidden="1" x14ac:dyDescent="0.4">
      <c r="A138" s="4" t="s">
        <v>216</v>
      </c>
      <c r="B138" s="4">
        <v>958</v>
      </c>
      <c r="C138" s="4" t="s">
        <v>217</v>
      </c>
      <c r="D138" s="4" t="s">
        <v>748</v>
      </c>
      <c r="E138" s="4" t="s">
        <v>749</v>
      </c>
      <c r="F138" s="4" t="s">
        <v>750</v>
      </c>
      <c r="G138" s="4" t="s">
        <v>751</v>
      </c>
      <c r="H138" s="4" t="s">
        <v>752</v>
      </c>
      <c r="I138" s="4" t="s">
        <v>753</v>
      </c>
      <c r="J138" s="4" t="s">
        <v>754</v>
      </c>
      <c r="K138" s="4" t="s">
        <v>224</v>
      </c>
      <c r="L138" s="6" t="s">
        <v>755</v>
      </c>
      <c r="M138" s="4" t="s">
        <v>756</v>
      </c>
      <c r="N138" s="4" t="s">
        <v>757</v>
      </c>
      <c r="P138" s="4" t="s">
        <v>758</v>
      </c>
      <c r="Q138" s="4" t="s">
        <v>759</v>
      </c>
      <c r="R138" s="4" t="s">
        <v>2918</v>
      </c>
      <c r="S138" s="4" t="s">
        <v>231</v>
      </c>
      <c r="T138" s="7">
        <v>44042</v>
      </c>
      <c r="U138" s="4">
        <v>0</v>
      </c>
      <c r="V138" s="4">
        <v>6</v>
      </c>
      <c r="X138" s="4" t="s">
        <v>464</v>
      </c>
      <c r="Y138" s="4" t="s">
        <v>233</v>
      </c>
      <c r="Z138" s="4" t="s">
        <v>234</v>
      </c>
      <c r="AA138" s="4" t="s">
        <v>233</v>
      </c>
      <c r="AB138" s="4" t="s">
        <v>760</v>
      </c>
      <c r="AC138" s="4" t="s">
        <v>2923</v>
      </c>
    </row>
    <row r="139" spans="1:29" hidden="1" x14ac:dyDescent="0.4">
      <c r="A139" s="4" t="s">
        <v>216</v>
      </c>
      <c r="B139" s="4">
        <v>958</v>
      </c>
      <c r="C139" s="4" t="s">
        <v>217</v>
      </c>
      <c r="D139" s="4" t="s">
        <v>748</v>
      </c>
      <c r="E139" s="4" t="s">
        <v>749</v>
      </c>
      <c r="F139" s="4" t="s">
        <v>750</v>
      </c>
      <c r="G139" s="4" t="s">
        <v>751</v>
      </c>
      <c r="H139" s="4" t="s">
        <v>752</v>
      </c>
      <c r="I139" s="4" t="s">
        <v>753</v>
      </c>
      <c r="J139" s="4" t="s">
        <v>754</v>
      </c>
      <c r="K139" s="4" t="s">
        <v>224</v>
      </c>
      <c r="L139" s="6" t="s">
        <v>755</v>
      </c>
      <c r="M139" s="4" t="s">
        <v>756</v>
      </c>
      <c r="N139" s="4" t="s">
        <v>757</v>
      </c>
      <c r="P139" s="4" t="s">
        <v>2858</v>
      </c>
      <c r="Q139" s="4" t="s">
        <v>761</v>
      </c>
      <c r="R139" s="4" t="s">
        <v>53</v>
      </c>
      <c r="S139" s="4" t="s">
        <v>257</v>
      </c>
      <c r="T139" s="7">
        <v>42607</v>
      </c>
      <c r="U139" s="4">
        <v>0</v>
      </c>
      <c r="V139" s="4">
        <v>7</v>
      </c>
      <c r="W139" s="4" t="s">
        <v>238</v>
      </c>
      <c r="X139" s="4" t="s">
        <v>464</v>
      </c>
      <c r="Y139" s="4" t="s">
        <v>233</v>
      </c>
      <c r="Z139" s="4" t="s">
        <v>234</v>
      </c>
      <c r="AA139" s="4" t="s">
        <v>233</v>
      </c>
      <c r="AB139" s="4" t="s">
        <v>760</v>
      </c>
      <c r="AC139" s="4" t="s">
        <v>2923</v>
      </c>
    </row>
    <row r="140" spans="1:29" hidden="1" x14ac:dyDescent="0.4">
      <c r="A140" s="4" t="s">
        <v>216</v>
      </c>
      <c r="B140" s="4">
        <v>958</v>
      </c>
      <c r="C140" s="4" t="s">
        <v>217</v>
      </c>
      <c r="D140" s="4" t="s">
        <v>748</v>
      </c>
      <c r="E140" s="4" t="s">
        <v>749</v>
      </c>
      <c r="F140" s="4" t="s">
        <v>750</v>
      </c>
      <c r="G140" s="4" t="s">
        <v>751</v>
      </c>
      <c r="H140" s="4" t="s">
        <v>752</v>
      </c>
      <c r="I140" s="4" t="s">
        <v>753</v>
      </c>
      <c r="J140" s="4" t="s">
        <v>754</v>
      </c>
      <c r="K140" s="4" t="s">
        <v>224</v>
      </c>
      <c r="L140" s="6" t="s">
        <v>755</v>
      </c>
      <c r="M140" s="4" t="s">
        <v>756</v>
      </c>
      <c r="N140" s="4" t="s">
        <v>757</v>
      </c>
      <c r="P140" s="4" t="s">
        <v>758</v>
      </c>
      <c r="Q140" s="4" t="s">
        <v>759</v>
      </c>
      <c r="R140" s="4" t="s">
        <v>2918</v>
      </c>
      <c r="S140" s="4" t="s">
        <v>231</v>
      </c>
      <c r="T140" s="7">
        <v>44042</v>
      </c>
      <c r="U140" s="4">
        <v>0</v>
      </c>
      <c r="V140" s="4">
        <v>11</v>
      </c>
      <c r="W140" s="4" t="s">
        <v>132</v>
      </c>
      <c r="X140" s="4" t="s">
        <v>464</v>
      </c>
      <c r="Y140" s="4" t="s">
        <v>233</v>
      </c>
      <c r="Z140" s="4" t="s">
        <v>234</v>
      </c>
      <c r="AA140" s="4" t="s">
        <v>233</v>
      </c>
      <c r="AB140" s="4" t="s">
        <v>760</v>
      </c>
      <c r="AC140" s="4" t="s">
        <v>2923</v>
      </c>
    </row>
    <row r="141" spans="1:29" hidden="1" x14ac:dyDescent="0.4">
      <c r="A141" s="4" t="s">
        <v>216</v>
      </c>
      <c r="B141" s="4">
        <v>958</v>
      </c>
      <c r="C141" s="4" t="s">
        <v>217</v>
      </c>
      <c r="D141" s="4" t="s">
        <v>748</v>
      </c>
      <c r="E141" s="4" t="s">
        <v>749</v>
      </c>
      <c r="F141" s="4" t="s">
        <v>750</v>
      </c>
      <c r="G141" s="4" t="s">
        <v>751</v>
      </c>
      <c r="H141" s="4" t="s">
        <v>752</v>
      </c>
      <c r="I141" s="4" t="s">
        <v>753</v>
      </c>
      <c r="J141" s="4" t="s">
        <v>754</v>
      </c>
      <c r="K141" s="4" t="s">
        <v>224</v>
      </c>
      <c r="L141" s="6" t="s">
        <v>755</v>
      </c>
      <c r="M141" s="4" t="s">
        <v>756</v>
      </c>
      <c r="N141" s="4" t="s">
        <v>757</v>
      </c>
      <c r="P141" s="4" t="s">
        <v>2858</v>
      </c>
      <c r="Q141" s="4" t="s">
        <v>761</v>
      </c>
      <c r="R141" s="4" t="s">
        <v>53</v>
      </c>
      <c r="S141" s="4" t="s">
        <v>257</v>
      </c>
      <c r="T141" s="7">
        <v>42607</v>
      </c>
      <c r="U141" s="4">
        <v>0</v>
      </c>
      <c r="V141" s="4">
        <v>12</v>
      </c>
      <c r="X141" s="4" t="s">
        <v>464</v>
      </c>
      <c r="Y141" s="4" t="s">
        <v>233</v>
      </c>
      <c r="Z141" s="4" t="s">
        <v>234</v>
      </c>
      <c r="AA141" s="4" t="s">
        <v>233</v>
      </c>
      <c r="AB141" s="4" t="s">
        <v>760</v>
      </c>
      <c r="AC141" s="4" t="s">
        <v>2923</v>
      </c>
    </row>
    <row r="142" spans="1:29" hidden="1" x14ac:dyDescent="0.4">
      <c r="A142" s="4" t="s">
        <v>216</v>
      </c>
      <c r="B142" s="4">
        <v>958</v>
      </c>
      <c r="C142" s="4" t="s">
        <v>217</v>
      </c>
      <c r="D142" s="4" t="s">
        <v>748</v>
      </c>
      <c r="E142" s="4" t="s">
        <v>749</v>
      </c>
      <c r="F142" s="4" t="s">
        <v>750</v>
      </c>
      <c r="G142" s="4" t="s">
        <v>751</v>
      </c>
      <c r="H142" s="4" t="s">
        <v>752</v>
      </c>
      <c r="I142" s="4" t="s">
        <v>753</v>
      </c>
      <c r="J142" s="4" t="s">
        <v>754</v>
      </c>
      <c r="K142" s="4" t="s">
        <v>224</v>
      </c>
      <c r="L142" s="6" t="s">
        <v>755</v>
      </c>
      <c r="M142" s="4" t="s">
        <v>756</v>
      </c>
      <c r="N142" s="4" t="s">
        <v>757</v>
      </c>
      <c r="P142" s="4" t="s">
        <v>758</v>
      </c>
      <c r="Q142" s="4" t="s">
        <v>759</v>
      </c>
      <c r="R142" s="4" t="s">
        <v>2918</v>
      </c>
      <c r="S142" s="4" t="s">
        <v>231</v>
      </c>
      <c r="T142" s="7">
        <v>44042</v>
      </c>
      <c r="U142" s="4">
        <v>0</v>
      </c>
      <c r="V142" s="4">
        <v>12</v>
      </c>
      <c r="X142" s="4" t="s">
        <v>464</v>
      </c>
      <c r="Y142" s="4" t="s">
        <v>233</v>
      </c>
      <c r="Z142" s="4" t="s">
        <v>234</v>
      </c>
      <c r="AA142" s="4" t="s">
        <v>233</v>
      </c>
      <c r="AB142" s="4" t="s">
        <v>760</v>
      </c>
      <c r="AC142" s="4" t="s">
        <v>2923</v>
      </c>
    </row>
    <row r="143" spans="1:29" hidden="1" x14ac:dyDescent="0.4">
      <c r="A143" s="4" t="s">
        <v>216</v>
      </c>
      <c r="B143" s="4">
        <v>958</v>
      </c>
      <c r="C143" s="4" t="s">
        <v>217</v>
      </c>
      <c r="D143" s="4" t="s">
        <v>748</v>
      </c>
      <c r="E143" s="4" t="s">
        <v>749</v>
      </c>
      <c r="F143" s="4" t="s">
        <v>750</v>
      </c>
      <c r="G143" s="4" t="s">
        <v>751</v>
      </c>
      <c r="H143" s="4" t="s">
        <v>752</v>
      </c>
      <c r="I143" s="4" t="s">
        <v>753</v>
      </c>
      <c r="J143" s="4" t="s">
        <v>754</v>
      </c>
      <c r="K143" s="4" t="s">
        <v>224</v>
      </c>
      <c r="L143" s="6" t="s">
        <v>755</v>
      </c>
      <c r="M143" s="4" t="s">
        <v>756</v>
      </c>
      <c r="N143" s="4" t="s">
        <v>757</v>
      </c>
      <c r="P143" s="4" t="s">
        <v>2858</v>
      </c>
      <c r="Q143" s="4" t="s">
        <v>761</v>
      </c>
      <c r="R143" s="4" t="s">
        <v>53</v>
      </c>
      <c r="S143" s="4" t="s">
        <v>257</v>
      </c>
      <c r="T143" s="7">
        <v>42607</v>
      </c>
      <c r="U143" s="4">
        <v>0</v>
      </c>
      <c r="V143" s="4">
        <v>13</v>
      </c>
      <c r="W143" s="4" t="s">
        <v>240</v>
      </c>
      <c r="X143" s="4" t="s">
        <v>464</v>
      </c>
      <c r="Y143" s="4" t="s">
        <v>233</v>
      </c>
      <c r="Z143" s="4" t="s">
        <v>234</v>
      </c>
      <c r="AA143" s="4" t="s">
        <v>233</v>
      </c>
      <c r="AB143" s="4" t="s">
        <v>760</v>
      </c>
      <c r="AC143" s="4" t="s">
        <v>2923</v>
      </c>
    </row>
    <row r="144" spans="1:29" hidden="1" x14ac:dyDescent="0.4">
      <c r="A144" s="4" t="s">
        <v>216</v>
      </c>
      <c r="B144" s="4">
        <v>785</v>
      </c>
      <c r="C144" s="4" t="s">
        <v>417</v>
      </c>
      <c r="D144" s="4" t="s">
        <v>762</v>
      </c>
      <c r="E144" s="4" t="s">
        <v>763</v>
      </c>
      <c r="F144" s="4">
        <v>13</v>
      </c>
      <c r="G144" s="4" t="s">
        <v>764</v>
      </c>
      <c r="H144" s="4" t="s">
        <v>765</v>
      </c>
      <c r="I144" s="4" t="s">
        <v>30</v>
      </c>
      <c r="J144" s="4" t="s">
        <v>766</v>
      </c>
      <c r="K144" s="4" t="s">
        <v>224</v>
      </c>
      <c r="L144" s="6" t="s">
        <v>767</v>
      </c>
      <c r="M144" s="4" t="s">
        <v>768</v>
      </c>
      <c r="N144" s="4" t="s">
        <v>769</v>
      </c>
      <c r="P144" s="4" t="s">
        <v>772</v>
      </c>
      <c r="Q144" s="4" t="s">
        <v>773</v>
      </c>
      <c r="R144" s="4" t="s">
        <v>32</v>
      </c>
      <c r="S144" s="4" t="s">
        <v>231</v>
      </c>
      <c r="T144" s="7">
        <v>44273</v>
      </c>
      <c r="U144" s="4">
        <v>0</v>
      </c>
      <c r="V144" s="4">
        <v>4</v>
      </c>
      <c r="W144" s="4" t="s">
        <v>314</v>
      </c>
      <c r="X144" s="4" t="s">
        <v>293</v>
      </c>
      <c r="Y144" s="4" t="s">
        <v>233</v>
      </c>
      <c r="Z144" s="4" t="s">
        <v>234</v>
      </c>
      <c r="AA144" s="4" t="s">
        <v>234</v>
      </c>
      <c r="AC144" s="4" t="s">
        <v>2923</v>
      </c>
    </row>
    <row r="145" spans="1:29" hidden="1" x14ac:dyDescent="0.4">
      <c r="A145" s="4" t="s">
        <v>216</v>
      </c>
      <c r="B145" s="4">
        <v>785</v>
      </c>
      <c r="C145" s="4" t="s">
        <v>417</v>
      </c>
      <c r="D145" s="4" t="s">
        <v>762</v>
      </c>
      <c r="E145" s="4" t="s">
        <v>763</v>
      </c>
      <c r="F145" s="4">
        <v>13</v>
      </c>
      <c r="G145" s="4" t="s">
        <v>764</v>
      </c>
      <c r="H145" s="4" t="s">
        <v>765</v>
      </c>
      <c r="I145" s="4" t="s">
        <v>30</v>
      </c>
      <c r="J145" s="4" t="s">
        <v>766</v>
      </c>
      <c r="K145" s="4" t="s">
        <v>224</v>
      </c>
      <c r="L145" s="6" t="s">
        <v>767</v>
      </c>
      <c r="M145" s="4" t="s">
        <v>768</v>
      </c>
      <c r="N145" s="4" t="s">
        <v>769</v>
      </c>
      <c r="P145" s="4" t="s">
        <v>772</v>
      </c>
      <c r="Q145" s="4" t="s">
        <v>773</v>
      </c>
      <c r="R145" s="4" t="s">
        <v>32</v>
      </c>
      <c r="S145" s="4" t="s">
        <v>231</v>
      </c>
      <c r="T145" s="7">
        <v>44273</v>
      </c>
      <c r="U145" s="4">
        <v>0</v>
      </c>
      <c r="V145" s="4">
        <v>10</v>
      </c>
      <c r="W145" s="4" t="s">
        <v>314</v>
      </c>
      <c r="X145" s="4" t="s">
        <v>293</v>
      </c>
      <c r="Y145" s="4" t="s">
        <v>233</v>
      </c>
      <c r="Z145" s="4" t="s">
        <v>234</v>
      </c>
      <c r="AA145" s="4" t="s">
        <v>234</v>
      </c>
      <c r="AC145" s="4" t="s">
        <v>2923</v>
      </c>
    </row>
    <row r="146" spans="1:29" hidden="1" x14ac:dyDescent="0.4">
      <c r="A146" s="4" t="s">
        <v>216</v>
      </c>
      <c r="B146" s="4">
        <v>785</v>
      </c>
      <c r="C146" s="4" t="s">
        <v>417</v>
      </c>
      <c r="D146" s="4" t="s">
        <v>762</v>
      </c>
      <c r="E146" s="4" t="s">
        <v>763</v>
      </c>
      <c r="F146" s="4">
        <v>13</v>
      </c>
      <c r="G146" s="4" t="s">
        <v>764</v>
      </c>
      <c r="H146" s="4" t="s">
        <v>765</v>
      </c>
      <c r="I146" s="4" t="s">
        <v>30</v>
      </c>
      <c r="J146" s="4" t="s">
        <v>766</v>
      </c>
      <c r="K146" s="4" t="s">
        <v>224</v>
      </c>
      <c r="L146" s="6" t="s">
        <v>767</v>
      </c>
      <c r="M146" s="4" t="s">
        <v>768</v>
      </c>
      <c r="N146" s="4" t="s">
        <v>769</v>
      </c>
      <c r="P146" s="4" t="s">
        <v>772</v>
      </c>
      <c r="Q146" s="4" t="s">
        <v>773</v>
      </c>
      <c r="R146" s="4" t="s">
        <v>32</v>
      </c>
      <c r="S146" s="4" t="s">
        <v>231</v>
      </c>
      <c r="T146" s="7">
        <v>44273</v>
      </c>
      <c r="U146" s="4">
        <v>0</v>
      </c>
      <c r="V146" s="4">
        <v>5</v>
      </c>
      <c r="W146" s="4" t="s">
        <v>314</v>
      </c>
      <c r="X146" s="4" t="s">
        <v>293</v>
      </c>
      <c r="Y146" s="4" t="s">
        <v>233</v>
      </c>
      <c r="Z146" s="4" t="s">
        <v>234</v>
      </c>
      <c r="AA146" s="4" t="s">
        <v>234</v>
      </c>
      <c r="AC146" s="4" t="s">
        <v>2923</v>
      </c>
    </row>
    <row r="147" spans="1:29" hidden="1" x14ac:dyDescent="0.4">
      <c r="A147" s="4" t="s">
        <v>216</v>
      </c>
      <c r="B147" s="4">
        <v>785</v>
      </c>
      <c r="C147" s="4" t="s">
        <v>417</v>
      </c>
      <c r="D147" s="4" t="s">
        <v>762</v>
      </c>
      <c r="E147" s="4" t="s">
        <v>763</v>
      </c>
      <c r="F147" s="4">
        <v>13</v>
      </c>
      <c r="G147" s="4" t="s">
        <v>764</v>
      </c>
      <c r="H147" s="4" t="s">
        <v>765</v>
      </c>
      <c r="I147" s="4" t="s">
        <v>30</v>
      </c>
      <c r="J147" s="4" t="s">
        <v>766</v>
      </c>
      <c r="K147" s="4" t="s">
        <v>224</v>
      </c>
      <c r="L147" s="6" t="s">
        <v>767</v>
      </c>
      <c r="M147" s="4" t="s">
        <v>768</v>
      </c>
      <c r="N147" s="4" t="s">
        <v>769</v>
      </c>
      <c r="P147" s="4" t="s">
        <v>772</v>
      </c>
      <c r="Q147" s="4" t="s">
        <v>773</v>
      </c>
      <c r="R147" s="4" t="s">
        <v>32</v>
      </c>
      <c r="S147" s="4" t="s">
        <v>231</v>
      </c>
      <c r="T147" s="7">
        <v>44273</v>
      </c>
      <c r="U147" s="4">
        <v>0</v>
      </c>
      <c r="V147" s="4">
        <v>11</v>
      </c>
      <c r="W147" s="4" t="s">
        <v>314</v>
      </c>
      <c r="X147" s="4" t="s">
        <v>293</v>
      </c>
      <c r="Y147" s="4" t="s">
        <v>233</v>
      </c>
      <c r="Z147" s="4" t="s">
        <v>234</v>
      </c>
      <c r="AA147" s="4" t="s">
        <v>234</v>
      </c>
      <c r="AC147" s="4" t="s">
        <v>2923</v>
      </c>
    </row>
    <row r="148" spans="1:29" hidden="1" x14ac:dyDescent="0.4">
      <c r="A148" s="4" t="s">
        <v>216</v>
      </c>
      <c r="B148" s="4">
        <v>5853</v>
      </c>
      <c r="C148" s="4" t="s">
        <v>242</v>
      </c>
      <c r="D148" s="4" t="s">
        <v>774</v>
      </c>
      <c r="E148" s="4" t="s">
        <v>775</v>
      </c>
      <c r="F148" s="4" t="s">
        <v>776</v>
      </c>
      <c r="G148" s="4" t="s">
        <v>777</v>
      </c>
      <c r="H148" s="4" t="s">
        <v>778</v>
      </c>
      <c r="I148" s="4" t="s">
        <v>143</v>
      </c>
      <c r="J148" s="4" t="s">
        <v>779</v>
      </c>
      <c r="K148" s="4" t="s">
        <v>224</v>
      </c>
      <c r="L148" s="6" t="s">
        <v>780</v>
      </c>
      <c r="M148" s="4" t="s">
        <v>781</v>
      </c>
      <c r="N148" s="4" t="s">
        <v>782</v>
      </c>
      <c r="P148" s="4" t="s">
        <v>783</v>
      </c>
      <c r="Q148" s="4" t="s">
        <v>784</v>
      </c>
      <c r="R148" s="4" t="s">
        <v>2920</v>
      </c>
      <c r="S148" s="4" t="s">
        <v>257</v>
      </c>
      <c r="T148" s="7">
        <v>44045</v>
      </c>
      <c r="U148" s="4">
        <v>0</v>
      </c>
      <c r="V148" s="4">
        <v>2</v>
      </c>
      <c r="W148" s="4" t="s">
        <v>254</v>
      </c>
      <c r="Y148" s="4" t="s">
        <v>233</v>
      </c>
      <c r="Z148" s="4" t="s">
        <v>234</v>
      </c>
      <c r="AA148" s="4" t="s">
        <v>234</v>
      </c>
      <c r="AC148" s="4" t="s">
        <v>2923</v>
      </c>
    </row>
    <row r="149" spans="1:29" hidden="1" x14ac:dyDescent="0.4">
      <c r="A149" s="4" t="s">
        <v>216</v>
      </c>
      <c r="B149" s="4">
        <v>5853</v>
      </c>
      <c r="C149" s="4" t="s">
        <v>242</v>
      </c>
      <c r="D149" s="4" t="s">
        <v>774</v>
      </c>
      <c r="E149" s="4" t="s">
        <v>775</v>
      </c>
      <c r="F149" s="4" t="s">
        <v>776</v>
      </c>
      <c r="G149" s="4" t="s">
        <v>777</v>
      </c>
      <c r="H149" s="4" t="s">
        <v>778</v>
      </c>
      <c r="I149" s="4" t="s">
        <v>143</v>
      </c>
      <c r="J149" s="4" t="s">
        <v>779</v>
      </c>
      <c r="K149" s="4" t="s">
        <v>224</v>
      </c>
      <c r="L149" s="6" t="s">
        <v>780</v>
      </c>
      <c r="M149" s="4" t="s">
        <v>781</v>
      </c>
      <c r="N149" s="4" t="s">
        <v>782</v>
      </c>
      <c r="P149" s="4" t="s">
        <v>785</v>
      </c>
      <c r="Q149" s="4" t="s">
        <v>786</v>
      </c>
      <c r="R149" s="4" t="s">
        <v>333</v>
      </c>
      <c r="S149" s="4" t="s">
        <v>257</v>
      </c>
      <c r="T149" s="7">
        <v>45564</v>
      </c>
      <c r="U149" s="4">
        <v>0</v>
      </c>
      <c r="V149" s="4">
        <v>2</v>
      </c>
      <c r="W149" s="4" t="s">
        <v>254</v>
      </c>
      <c r="Y149" s="4" t="s">
        <v>233</v>
      </c>
      <c r="Z149" s="4" t="s">
        <v>234</v>
      </c>
      <c r="AA149" s="4" t="s">
        <v>234</v>
      </c>
      <c r="AC149" s="4" t="s">
        <v>2923</v>
      </c>
    </row>
    <row r="150" spans="1:29" hidden="1" x14ac:dyDescent="0.4">
      <c r="A150" s="4" t="s">
        <v>216</v>
      </c>
      <c r="B150" s="4">
        <v>5853</v>
      </c>
      <c r="C150" s="4" t="s">
        <v>242</v>
      </c>
      <c r="D150" s="4" t="s">
        <v>774</v>
      </c>
      <c r="E150" s="4" t="s">
        <v>775</v>
      </c>
      <c r="F150" s="4" t="s">
        <v>776</v>
      </c>
      <c r="G150" s="4" t="s">
        <v>777</v>
      </c>
      <c r="H150" s="4" t="s">
        <v>778</v>
      </c>
      <c r="I150" s="4" t="s">
        <v>143</v>
      </c>
      <c r="J150" s="4" t="s">
        <v>779</v>
      </c>
      <c r="K150" s="4" t="s">
        <v>224</v>
      </c>
      <c r="L150" s="6" t="s">
        <v>780</v>
      </c>
      <c r="M150" s="4" t="s">
        <v>781</v>
      </c>
      <c r="N150" s="4" t="s">
        <v>782</v>
      </c>
      <c r="P150" s="4" t="s">
        <v>785</v>
      </c>
      <c r="Q150" s="4" t="s">
        <v>786</v>
      </c>
      <c r="R150" s="4" t="s">
        <v>333</v>
      </c>
      <c r="S150" s="4" t="s">
        <v>257</v>
      </c>
      <c r="T150" s="7">
        <v>45564</v>
      </c>
      <c r="U150" s="4">
        <v>0</v>
      </c>
      <c r="V150" s="4">
        <v>3</v>
      </c>
      <c r="W150" s="4" t="s">
        <v>258</v>
      </c>
      <c r="Y150" s="4" t="s">
        <v>233</v>
      </c>
      <c r="Z150" s="4" t="s">
        <v>234</v>
      </c>
      <c r="AA150" s="4" t="s">
        <v>234</v>
      </c>
      <c r="AC150" s="4" t="s">
        <v>2923</v>
      </c>
    </row>
    <row r="151" spans="1:29" hidden="1" x14ac:dyDescent="0.4">
      <c r="A151" s="4" t="s">
        <v>216</v>
      </c>
      <c r="B151" s="4">
        <v>5853</v>
      </c>
      <c r="C151" s="4" t="s">
        <v>242</v>
      </c>
      <c r="D151" s="4" t="s">
        <v>774</v>
      </c>
      <c r="E151" s="4" t="s">
        <v>775</v>
      </c>
      <c r="F151" s="4" t="s">
        <v>776</v>
      </c>
      <c r="G151" s="4" t="s">
        <v>777</v>
      </c>
      <c r="H151" s="4" t="s">
        <v>778</v>
      </c>
      <c r="I151" s="4" t="s">
        <v>143</v>
      </c>
      <c r="J151" s="4" t="s">
        <v>779</v>
      </c>
      <c r="K151" s="4" t="s">
        <v>224</v>
      </c>
      <c r="L151" s="6" t="s">
        <v>780</v>
      </c>
      <c r="M151" s="4" t="s">
        <v>781</v>
      </c>
      <c r="N151" s="4" t="s">
        <v>782</v>
      </c>
      <c r="P151" s="4" t="s">
        <v>783</v>
      </c>
      <c r="Q151" s="4" t="s">
        <v>784</v>
      </c>
      <c r="R151" s="4" t="s">
        <v>2920</v>
      </c>
      <c r="S151" s="4" t="s">
        <v>257</v>
      </c>
      <c r="T151" s="7">
        <v>44045</v>
      </c>
      <c r="U151" s="4">
        <v>0</v>
      </c>
      <c r="V151" s="4">
        <v>8</v>
      </c>
      <c r="W151" s="4" t="s">
        <v>281</v>
      </c>
      <c r="Y151" s="4" t="s">
        <v>233</v>
      </c>
      <c r="Z151" s="4" t="s">
        <v>234</v>
      </c>
      <c r="AA151" s="4" t="s">
        <v>234</v>
      </c>
      <c r="AC151" s="4" t="s">
        <v>2923</v>
      </c>
    </row>
    <row r="152" spans="1:29" hidden="1" x14ac:dyDescent="0.4">
      <c r="A152" s="4" t="s">
        <v>216</v>
      </c>
      <c r="B152" s="4">
        <v>5853</v>
      </c>
      <c r="C152" s="4" t="s">
        <v>242</v>
      </c>
      <c r="D152" s="4" t="s">
        <v>774</v>
      </c>
      <c r="E152" s="4" t="s">
        <v>775</v>
      </c>
      <c r="F152" s="4" t="s">
        <v>776</v>
      </c>
      <c r="G152" s="4" t="s">
        <v>777</v>
      </c>
      <c r="H152" s="4" t="s">
        <v>778</v>
      </c>
      <c r="I152" s="4" t="s">
        <v>143</v>
      </c>
      <c r="J152" s="4" t="s">
        <v>779</v>
      </c>
      <c r="K152" s="4" t="s">
        <v>224</v>
      </c>
      <c r="L152" s="6" t="s">
        <v>780</v>
      </c>
      <c r="M152" s="4" t="s">
        <v>781</v>
      </c>
      <c r="N152" s="4" t="s">
        <v>782</v>
      </c>
      <c r="P152" s="4" t="s">
        <v>785</v>
      </c>
      <c r="Q152" s="4" t="s">
        <v>786</v>
      </c>
      <c r="R152" s="4" t="s">
        <v>333</v>
      </c>
      <c r="S152" s="4" t="s">
        <v>257</v>
      </c>
      <c r="T152" s="7">
        <v>45564</v>
      </c>
      <c r="U152" s="4">
        <v>0</v>
      </c>
      <c r="V152" s="4">
        <v>8</v>
      </c>
      <c r="W152" s="4" t="s">
        <v>281</v>
      </c>
      <c r="Y152" s="4" t="s">
        <v>233</v>
      </c>
      <c r="Z152" s="4" t="s">
        <v>234</v>
      </c>
      <c r="AA152" s="4" t="s">
        <v>234</v>
      </c>
      <c r="AC152" s="4" t="s">
        <v>2923</v>
      </c>
    </row>
    <row r="153" spans="1:29" hidden="1" x14ac:dyDescent="0.4">
      <c r="A153" s="4" t="s">
        <v>216</v>
      </c>
      <c r="B153" s="4">
        <v>5853</v>
      </c>
      <c r="C153" s="4" t="s">
        <v>242</v>
      </c>
      <c r="D153" s="4" t="s">
        <v>774</v>
      </c>
      <c r="E153" s="4" t="s">
        <v>775</v>
      </c>
      <c r="F153" s="4" t="s">
        <v>776</v>
      </c>
      <c r="G153" s="4" t="s">
        <v>777</v>
      </c>
      <c r="H153" s="4" t="s">
        <v>778</v>
      </c>
      <c r="I153" s="4" t="s">
        <v>143</v>
      </c>
      <c r="J153" s="4" t="s">
        <v>779</v>
      </c>
      <c r="K153" s="4" t="s">
        <v>224</v>
      </c>
      <c r="L153" s="6" t="s">
        <v>780</v>
      </c>
      <c r="M153" s="4" t="s">
        <v>781</v>
      </c>
      <c r="N153" s="4" t="s">
        <v>782</v>
      </c>
      <c r="P153" s="4" t="s">
        <v>785</v>
      </c>
      <c r="Q153" s="4" t="s">
        <v>786</v>
      </c>
      <c r="R153" s="4" t="s">
        <v>333</v>
      </c>
      <c r="S153" s="4" t="s">
        <v>257</v>
      </c>
      <c r="T153" s="7">
        <v>45564</v>
      </c>
      <c r="U153" s="4">
        <v>0</v>
      </c>
      <c r="V153" s="4">
        <v>9</v>
      </c>
      <c r="W153" s="4" t="s">
        <v>358</v>
      </c>
      <c r="Y153" s="4" t="s">
        <v>233</v>
      </c>
      <c r="Z153" s="4" t="s">
        <v>234</v>
      </c>
      <c r="AA153" s="4" t="s">
        <v>234</v>
      </c>
      <c r="AC153" s="4" t="s">
        <v>2923</v>
      </c>
    </row>
    <row r="154" spans="1:29" hidden="1" x14ac:dyDescent="0.4">
      <c r="A154" s="4" t="s">
        <v>216</v>
      </c>
      <c r="B154" s="4">
        <v>3589</v>
      </c>
      <c r="C154" s="4" t="s">
        <v>242</v>
      </c>
      <c r="D154" s="4" t="s">
        <v>594</v>
      </c>
      <c r="E154" s="4" t="s">
        <v>787</v>
      </c>
      <c r="F154" s="4" t="s">
        <v>788</v>
      </c>
      <c r="H154" s="4" t="s">
        <v>789</v>
      </c>
      <c r="I154" s="4" t="s">
        <v>790</v>
      </c>
      <c r="J154" s="4" t="s">
        <v>791</v>
      </c>
      <c r="K154" s="4" t="s">
        <v>224</v>
      </c>
      <c r="L154" s="5" t="s">
        <v>792</v>
      </c>
      <c r="M154" s="4" t="s">
        <v>793</v>
      </c>
      <c r="N154" s="4" t="s">
        <v>794</v>
      </c>
      <c r="P154" s="4" t="s">
        <v>795</v>
      </c>
      <c r="Q154" s="4" t="s">
        <v>796</v>
      </c>
      <c r="R154" s="4" t="s">
        <v>2811</v>
      </c>
      <c r="S154" s="4" t="s">
        <v>231</v>
      </c>
      <c r="T154" s="7">
        <v>42512</v>
      </c>
      <c r="U154" s="4">
        <v>0</v>
      </c>
      <c r="V154" s="4">
        <v>2</v>
      </c>
      <c r="W154" s="4" t="s">
        <v>254</v>
      </c>
      <c r="Y154" s="4" t="s">
        <v>233</v>
      </c>
      <c r="Z154" s="4" t="s">
        <v>234</v>
      </c>
      <c r="AA154" s="4" t="s">
        <v>234</v>
      </c>
      <c r="AB154" s="4" t="s">
        <v>797</v>
      </c>
      <c r="AC154" s="4" t="s">
        <v>2923</v>
      </c>
    </row>
    <row r="155" spans="1:29" hidden="1" x14ac:dyDescent="0.4">
      <c r="A155" s="4" t="s">
        <v>216</v>
      </c>
      <c r="B155" s="4">
        <v>3589</v>
      </c>
      <c r="C155" s="4" t="s">
        <v>242</v>
      </c>
      <c r="D155" s="4" t="s">
        <v>594</v>
      </c>
      <c r="E155" s="4" t="s">
        <v>787</v>
      </c>
      <c r="F155" s="4" t="s">
        <v>788</v>
      </c>
      <c r="H155" s="4" t="s">
        <v>789</v>
      </c>
      <c r="I155" s="4" t="s">
        <v>790</v>
      </c>
      <c r="J155" s="4" t="s">
        <v>791</v>
      </c>
      <c r="K155" s="4" t="s">
        <v>224</v>
      </c>
      <c r="L155" s="5" t="s">
        <v>792</v>
      </c>
      <c r="M155" s="4" t="s">
        <v>793</v>
      </c>
      <c r="N155" s="4" t="s">
        <v>794</v>
      </c>
      <c r="P155" s="4" t="s">
        <v>795</v>
      </c>
      <c r="Q155" s="4" t="s">
        <v>796</v>
      </c>
      <c r="R155" s="4" t="s">
        <v>2811</v>
      </c>
      <c r="S155" s="4" t="s">
        <v>231</v>
      </c>
      <c r="T155" s="7">
        <v>42512</v>
      </c>
      <c r="U155" s="4">
        <v>0</v>
      </c>
      <c r="V155" s="4">
        <v>3</v>
      </c>
      <c r="W155" s="4" t="s">
        <v>258</v>
      </c>
      <c r="Y155" s="4" t="s">
        <v>233</v>
      </c>
      <c r="Z155" s="4" t="s">
        <v>234</v>
      </c>
      <c r="AA155" s="4" t="s">
        <v>234</v>
      </c>
      <c r="AB155" s="4" t="s">
        <v>797</v>
      </c>
      <c r="AC155" s="4" t="s">
        <v>2923</v>
      </c>
    </row>
    <row r="156" spans="1:29" x14ac:dyDescent="0.4">
      <c r="A156" s="4" t="s">
        <v>216</v>
      </c>
      <c r="B156" s="4">
        <v>3589</v>
      </c>
      <c r="C156" s="4" t="s">
        <v>242</v>
      </c>
      <c r="D156" s="4" t="s">
        <v>594</v>
      </c>
      <c r="E156" s="4" t="s">
        <v>787</v>
      </c>
      <c r="F156" s="4" t="s">
        <v>788</v>
      </c>
      <c r="H156" s="4" t="s">
        <v>789</v>
      </c>
      <c r="I156" s="4" t="s">
        <v>790</v>
      </c>
      <c r="J156" s="4" t="s">
        <v>791</v>
      </c>
      <c r="K156" s="4" t="s">
        <v>224</v>
      </c>
      <c r="L156" s="5" t="s">
        <v>792</v>
      </c>
      <c r="M156" s="4" t="s">
        <v>793</v>
      </c>
      <c r="N156" s="4" t="s">
        <v>794</v>
      </c>
      <c r="P156" s="4" t="s">
        <v>798</v>
      </c>
      <c r="Q156" s="4" t="s">
        <v>799</v>
      </c>
      <c r="R156" s="4" t="s">
        <v>2911</v>
      </c>
      <c r="S156" s="4" t="s">
        <v>257</v>
      </c>
      <c r="T156" s="7">
        <v>44318</v>
      </c>
      <c r="U156" s="4">
        <v>0</v>
      </c>
      <c r="V156" s="4">
        <v>4</v>
      </c>
      <c r="W156" s="4" t="s">
        <v>97</v>
      </c>
      <c r="Y156" s="4" t="s">
        <v>233</v>
      </c>
      <c r="Z156" s="4" t="s">
        <v>234</v>
      </c>
      <c r="AA156" s="4" t="s">
        <v>234</v>
      </c>
      <c r="AB156" s="4" t="s">
        <v>797</v>
      </c>
      <c r="AC156" s="4" t="s">
        <v>2923</v>
      </c>
    </row>
    <row r="157" spans="1:29" x14ac:dyDescent="0.4">
      <c r="A157" s="4" t="s">
        <v>216</v>
      </c>
      <c r="B157" s="4">
        <v>3589</v>
      </c>
      <c r="C157" s="4" t="s">
        <v>242</v>
      </c>
      <c r="D157" s="4" t="s">
        <v>594</v>
      </c>
      <c r="E157" s="4" t="s">
        <v>787</v>
      </c>
      <c r="F157" s="4" t="s">
        <v>788</v>
      </c>
      <c r="H157" s="4" t="s">
        <v>789</v>
      </c>
      <c r="I157" s="4" t="s">
        <v>790</v>
      </c>
      <c r="J157" s="4" t="s">
        <v>791</v>
      </c>
      <c r="K157" s="4" t="s">
        <v>224</v>
      </c>
      <c r="L157" s="5" t="s">
        <v>792</v>
      </c>
      <c r="M157" s="4" t="s">
        <v>793</v>
      </c>
      <c r="N157" s="4" t="s">
        <v>794</v>
      </c>
      <c r="P157" s="4" t="s">
        <v>800</v>
      </c>
      <c r="Q157" s="4" t="s">
        <v>801</v>
      </c>
      <c r="R157" s="4" t="s">
        <v>53</v>
      </c>
      <c r="S157" s="4" t="s">
        <v>231</v>
      </c>
      <c r="T157" s="7">
        <v>45630</v>
      </c>
      <c r="U157" s="4">
        <v>0</v>
      </c>
      <c r="V157" s="4">
        <v>4</v>
      </c>
      <c r="W157" s="4" t="s">
        <v>97</v>
      </c>
      <c r="Y157" s="4" t="s">
        <v>233</v>
      </c>
      <c r="Z157" s="4" t="s">
        <v>234</v>
      </c>
      <c r="AA157" s="4" t="s">
        <v>234</v>
      </c>
      <c r="AB157" s="4" t="s">
        <v>797</v>
      </c>
      <c r="AC157" s="4" t="s">
        <v>2923</v>
      </c>
    </row>
    <row r="158" spans="1:29" hidden="1" x14ac:dyDescent="0.4">
      <c r="A158" s="4" t="s">
        <v>216</v>
      </c>
      <c r="B158" s="4">
        <v>3589</v>
      </c>
      <c r="C158" s="4" t="s">
        <v>242</v>
      </c>
      <c r="D158" s="4" t="s">
        <v>594</v>
      </c>
      <c r="E158" s="4" t="s">
        <v>787</v>
      </c>
      <c r="F158" s="4" t="s">
        <v>788</v>
      </c>
      <c r="H158" s="4" t="s">
        <v>789</v>
      </c>
      <c r="I158" s="4" t="s">
        <v>790</v>
      </c>
      <c r="J158" s="4" t="s">
        <v>791</v>
      </c>
      <c r="K158" s="4" t="s">
        <v>224</v>
      </c>
      <c r="L158" s="5" t="s">
        <v>792</v>
      </c>
      <c r="M158" s="4" t="s">
        <v>793</v>
      </c>
      <c r="N158" s="4" t="s">
        <v>794</v>
      </c>
      <c r="P158" s="4" t="s">
        <v>798</v>
      </c>
      <c r="Q158" s="4" t="s">
        <v>799</v>
      </c>
      <c r="R158" s="4" t="s">
        <v>2911</v>
      </c>
      <c r="S158" s="4" t="s">
        <v>257</v>
      </c>
      <c r="T158" s="7">
        <v>44318</v>
      </c>
      <c r="U158" s="4">
        <v>0</v>
      </c>
      <c r="V158" s="4">
        <v>5</v>
      </c>
      <c r="W158" s="4" t="s">
        <v>314</v>
      </c>
      <c r="Y158" s="4" t="s">
        <v>233</v>
      </c>
      <c r="Z158" s="4" t="s">
        <v>234</v>
      </c>
      <c r="AA158" s="4" t="s">
        <v>234</v>
      </c>
      <c r="AB158" s="4" t="s">
        <v>797</v>
      </c>
      <c r="AC158" s="4" t="s">
        <v>2923</v>
      </c>
    </row>
    <row r="159" spans="1:29" hidden="1" x14ac:dyDescent="0.4">
      <c r="A159" s="4" t="s">
        <v>216</v>
      </c>
      <c r="B159" s="4">
        <v>4191</v>
      </c>
      <c r="C159" s="4" t="s">
        <v>242</v>
      </c>
      <c r="D159" s="4" t="s">
        <v>802</v>
      </c>
      <c r="E159" s="4" t="s">
        <v>803</v>
      </c>
      <c r="F159" s="4" t="s">
        <v>804</v>
      </c>
      <c r="G159" s="4" t="s">
        <v>805</v>
      </c>
      <c r="H159" s="4" t="s">
        <v>806</v>
      </c>
      <c r="I159" s="4" t="s">
        <v>610</v>
      </c>
      <c r="J159" s="4" t="s">
        <v>807</v>
      </c>
      <c r="K159" s="4" t="s">
        <v>224</v>
      </c>
      <c r="L159" s="6" t="s">
        <v>808</v>
      </c>
      <c r="M159" s="4" t="s">
        <v>809</v>
      </c>
      <c r="N159" s="4" t="s">
        <v>810</v>
      </c>
      <c r="P159" s="4" t="s">
        <v>2859</v>
      </c>
      <c r="Q159" s="4" t="s">
        <v>811</v>
      </c>
      <c r="R159" s="4" t="s">
        <v>31</v>
      </c>
      <c r="S159" s="4" t="s">
        <v>257</v>
      </c>
      <c r="T159" s="7">
        <v>44811</v>
      </c>
      <c r="U159" s="4">
        <v>0</v>
      </c>
      <c r="V159" s="4">
        <v>4</v>
      </c>
      <c r="W159" s="4" t="s">
        <v>314</v>
      </c>
      <c r="Y159" s="4" t="s">
        <v>233</v>
      </c>
      <c r="Z159" s="4" t="s">
        <v>234</v>
      </c>
      <c r="AA159" s="4" t="s">
        <v>233</v>
      </c>
      <c r="AB159" s="4" t="s">
        <v>812</v>
      </c>
      <c r="AC159" s="4" t="s">
        <v>2923</v>
      </c>
    </row>
    <row r="160" spans="1:29" hidden="1" x14ac:dyDescent="0.4">
      <c r="A160" s="4" t="s">
        <v>216</v>
      </c>
      <c r="B160" s="4">
        <v>4191</v>
      </c>
      <c r="C160" s="4" t="s">
        <v>242</v>
      </c>
      <c r="D160" s="4" t="s">
        <v>802</v>
      </c>
      <c r="E160" s="4" t="s">
        <v>803</v>
      </c>
      <c r="F160" s="4" t="s">
        <v>804</v>
      </c>
      <c r="G160" s="4" t="s">
        <v>805</v>
      </c>
      <c r="H160" s="4" t="s">
        <v>806</v>
      </c>
      <c r="I160" s="4" t="s">
        <v>610</v>
      </c>
      <c r="J160" s="4" t="s">
        <v>807</v>
      </c>
      <c r="K160" s="4" t="s">
        <v>224</v>
      </c>
      <c r="L160" s="6" t="s">
        <v>808</v>
      </c>
      <c r="M160" s="4" t="s">
        <v>809</v>
      </c>
      <c r="N160" s="4" t="s">
        <v>810</v>
      </c>
      <c r="P160" s="4" t="s">
        <v>2859</v>
      </c>
      <c r="Q160" s="4" t="s">
        <v>811</v>
      </c>
      <c r="R160" s="4" t="s">
        <v>31</v>
      </c>
      <c r="S160" s="4" t="s">
        <v>257</v>
      </c>
      <c r="T160" s="7">
        <v>44811</v>
      </c>
      <c r="U160" s="4">
        <v>0</v>
      </c>
      <c r="V160" s="4">
        <v>10</v>
      </c>
      <c r="W160" s="4" t="s">
        <v>314</v>
      </c>
      <c r="Y160" s="4" t="s">
        <v>233</v>
      </c>
      <c r="Z160" s="4" t="s">
        <v>234</v>
      </c>
      <c r="AA160" s="4" t="s">
        <v>233</v>
      </c>
      <c r="AB160" s="4" t="s">
        <v>812</v>
      </c>
      <c r="AC160" s="4" t="s">
        <v>2923</v>
      </c>
    </row>
    <row r="161" spans="1:29" hidden="1" x14ac:dyDescent="0.4">
      <c r="A161" s="4" t="s">
        <v>216</v>
      </c>
      <c r="B161" s="4">
        <v>4191</v>
      </c>
      <c r="C161" s="4" t="s">
        <v>242</v>
      </c>
      <c r="D161" s="4" t="s">
        <v>802</v>
      </c>
      <c r="E161" s="4" t="s">
        <v>803</v>
      </c>
      <c r="F161" s="4" t="s">
        <v>804</v>
      </c>
      <c r="G161" s="4" t="s">
        <v>805</v>
      </c>
      <c r="H161" s="4" t="s">
        <v>806</v>
      </c>
      <c r="I161" s="4" t="s">
        <v>610</v>
      </c>
      <c r="J161" s="4" t="s">
        <v>807</v>
      </c>
      <c r="K161" s="4" t="s">
        <v>224</v>
      </c>
      <c r="L161" s="6" t="s">
        <v>808</v>
      </c>
      <c r="M161" s="4" t="s">
        <v>809</v>
      </c>
      <c r="N161" s="4" t="s">
        <v>810</v>
      </c>
      <c r="P161" s="4" t="s">
        <v>2860</v>
      </c>
      <c r="Q161" s="4" t="s">
        <v>813</v>
      </c>
      <c r="R161" s="4" t="s">
        <v>32</v>
      </c>
      <c r="S161" s="4" t="s">
        <v>257</v>
      </c>
      <c r="T161" s="7">
        <v>43175</v>
      </c>
      <c r="U161" s="4">
        <v>0</v>
      </c>
      <c r="V161" s="4">
        <v>5</v>
      </c>
      <c r="W161" s="4" t="s">
        <v>297</v>
      </c>
      <c r="Y161" s="4" t="s">
        <v>233</v>
      </c>
      <c r="Z161" s="4" t="s">
        <v>234</v>
      </c>
      <c r="AA161" s="4" t="s">
        <v>233</v>
      </c>
      <c r="AB161" s="4" t="s">
        <v>812</v>
      </c>
      <c r="AC161" s="4" t="s">
        <v>2923</v>
      </c>
    </row>
    <row r="162" spans="1:29" hidden="1" x14ac:dyDescent="0.4">
      <c r="A162" s="4" t="s">
        <v>216</v>
      </c>
      <c r="B162" s="4">
        <v>4191</v>
      </c>
      <c r="C162" s="4" t="s">
        <v>242</v>
      </c>
      <c r="D162" s="4" t="s">
        <v>802</v>
      </c>
      <c r="E162" s="4" t="s">
        <v>803</v>
      </c>
      <c r="F162" s="4" t="s">
        <v>804</v>
      </c>
      <c r="G162" s="4" t="s">
        <v>805</v>
      </c>
      <c r="H162" s="4" t="s">
        <v>806</v>
      </c>
      <c r="I162" s="4" t="s">
        <v>610</v>
      </c>
      <c r="J162" s="4" t="s">
        <v>807</v>
      </c>
      <c r="K162" s="4" t="s">
        <v>224</v>
      </c>
      <c r="L162" s="6" t="s">
        <v>808</v>
      </c>
      <c r="M162" s="4" t="s">
        <v>809</v>
      </c>
      <c r="N162" s="4" t="s">
        <v>810</v>
      </c>
      <c r="P162" s="4" t="s">
        <v>2860</v>
      </c>
      <c r="Q162" s="4" t="s">
        <v>813</v>
      </c>
      <c r="R162" s="4" t="s">
        <v>32</v>
      </c>
      <c r="S162" s="4" t="s">
        <v>257</v>
      </c>
      <c r="T162" s="7">
        <v>43175</v>
      </c>
      <c r="U162" s="4">
        <v>0</v>
      </c>
      <c r="V162" s="4">
        <v>6</v>
      </c>
      <c r="Y162" s="4" t="s">
        <v>233</v>
      </c>
      <c r="Z162" s="4" t="s">
        <v>234</v>
      </c>
      <c r="AA162" s="4" t="s">
        <v>233</v>
      </c>
      <c r="AB162" s="4" t="s">
        <v>812</v>
      </c>
      <c r="AC162" s="4" t="s">
        <v>2923</v>
      </c>
    </row>
    <row r="163" spans="1:29" hidden="1" x14ac:dyDescent="0.4">
      <c r="A163" s="4" t="s">
        <v>216</v>
      </c>
      <c r="B163" s="4">
        <v>4191</v>
      </c>
      <c r="C163" s="4" t="s">
        <v>242</v>
      </c>
      <c r="D163" s="4" t="s">
        <v>802</v>
      </c>
      <c r="E163" s="4" t="s">
        <v>803</v>
      </c>
      <c r="F163" s="4" t="s">
        <v>804</v>
      </c>
      <c r="G163" s="4" t="s">
        <v>805</v>
      </c>
      <c r="H163" s="4" t="s">
        <v>806</v>
      </c>
      <c r="I163" s="4" t="s">
        <v>610</v>
      </c>
      <c r="J163" s="4" t="s">
        <v>807</v>
      </c>
      <c r="K163" s="4" t="s">
        <v>224</v>
      </c>
      <c r="L163" s="6" t="s">
        <v>808</v>
      </c>
      <c r="M163" s="4" t="s">
        <v>809</v>
      </c>
      <c r="N163" s="4" t="s">
        <v>810</v>
      </c>
      <c r="P163" s="4" t="s">
        <v>2860</v>
      </c>
      <c r="Q163" s="4" t="s">
        <v>813</v>
      </c>
      <c r="R163" s="4" t="s">
        <v>32</v>
      </c>
      <c r="S163" s="4" t="s">
        <v>257</v>
      </c>
      <c r="T163" s="7">
        <v>43175</v>
      </c>
      <c r="U163" s="4">
        <v>0</v>
      </c>
      <c r="V163" s="4">
        <v>11</v>
      </c>
      <c r="W163" s="4" t="s">
        <v>300</v>
      </c>
      <c r="Y163" s="4" t="s">
        <v>233</v>
      </c>
      <c r="Z163" s="4" t="s">
        <v>234</v>
      </c>
      <c r="AA163" s="4" t="s">
        <v>233</v>
      </c>
      <c r="AB163" s="4" t="s">
        <v>812</v>
      </c>
      <c r="AC163" s="4" t="s">
        <v>2923</v>
      </c>
    </row>
    <row r="164" spans="1:29" hidden="1" x14ac:dyDescent="0.4">
      <c r="A164" s="4" t="s">
        <v>216</v>
      </c>
      <c r="B164" s="4">
        <v>4191</v>
      </c>
      <c r="C164" s="4" t="s">
        <v>242</v>
      </c>
      <c r="D164" s="4" t="s">
        <v>802</v>
      </c>
      <c r="E164" s="4" t="s">
        <v>803</v>
      </c>
      <c r="F164" s="4" t="s">
        <v>804</v>
      </c>
      <c r="G164" s="4" t="s">
        <v>805</v>
      </c>
      <c r="H164" s="4" t="s">
        <v>806</v>
      </c>
      <c r="I164" s="4" t="s">
        <v>610</v>
      </c>
      <c r="J164" s="4" t="s">
        <v>807</v>
      </c>
      <c r="K164" s="4" t="s">
        <v>224</v>
      </c>
      <c r="L164" s="6" t="s">
        <v>808</v>
      </c>
      <c r="M164" s="4" t="s">
        <v>809</v>
      </c>
      <c r="N164" s="4" t="s">
        <v>810</v>
      </c>
      <c r="P164" s="4" t="s">
        <v>2860</v>
      </c>
      <c r="Q164" s="4" t="s">
        <v>813</v>
      </c>
      <c r="R164" s="4" t="s">
        <v>32</v>
      </c>
      <c r="S164" s="4" t="s">
        <v>257</v>
      </c>
      <c r="T164" s="7">
        <v>43175</v>
      </c>
      <c r="U164" s="4">
        <v>0</v>
      </c>
      <c r="V164" s="4">
        <v>12</v>
      </c>
      <c r="Y164" s="4" t="s">
        <v>233</v>
      </c>
      <c r="Z164" s="4" t="s">
        <v>234</v>
      </c>
      <c r="AA164" s="4" t="s">
        <v>233</v>
      </c>
      <c r="AB164" s="4" t="s">
        <v>812</v>
      </c>
      <c r="AC164" s="4" t="s">
        <v>2923</v>
      </c>
    </row>
    <row r="165" spans="1:29" hidden="1" x14ac:dyDescent="0.4">
      <c r="A165" s="4" t="s">
        <v>216</v>
      </c>
      <c r="B165" s="4">
        <v>6821</v>
      </c>
      <c r="C165" s="4" t="s">
        <v>242</v>
      </c>
      <c r="D165" s="4" t="s">
        <v>814</v>
      </c>
      <c r="E165" s="4" t="s">
        <v>815</v>
      </c>
      <c r="F165" s="4" t="s">
        <v>816</v>
      </c>
      <c r="H165" s="4" t="s">
        <v>142</v>
      </c>
      <c r="I165" s="4" t="s">
        <v>143</v>
      </c>
      <c r="J165" s="4" t="s">
        <v>817</v>
      </c>
      <c r="K165" s="4" t="s">
        <v>224</v>
      </c>
      <c r="L165" s="6" t="s">
        <v>818</v>
      </c>
      <c r="M165" s="4" t="s">
        <v>819</v>
      </c>
      <c r="N165" s="4" t="s">
        <v>820</v>
      </c>
      <c r="P165" s="4" t="s">
        <v>821</v>
      </c>
      <c r="Q165" s="4" t="s">
        <v>822</v>
      </c>
      <c r="R165" s="4" t="s">
        <v>823</v>
      </c>
      <c r="S165" s="4" t="s">
        <v>231</v>
      </c>
      <c r="T165" s="7">
        <v>42701</v>
      </c>
      <c r="U165" s="4">
        <v>0</v>
      </c>
      <c r="V165" s="4">
        <v>8</v>
      </c>
      <c r="W165" s="4" t="s">
        <v>281</v>
      </c>
      <c r="Y165" s="4" t="s">
        <v>233</v>
      </c>
      <c r="Z165" s="4" t="s">
        <v>234</v>
      </c>
      <c r="AA165" s="4" t="s">
        <v>234</v>
      </c>
      <c r="AC165" s="4" t="s">
        <v>2923</v>
      </c>
    </row>
    <row r="166" spans="1:29" hidden="1" x14ac:dyDescent="0.4">
      <c r="A166" s="4" t="s">
        <v>216</v>
      </c>
      <c r="B166" s="4">
        <v>6821</v>
      </c>
      <c r="C166" s="4" t="s">
        <v>242</v>
      </c>
      <c r="D166" s="4" t="s">
        <v>814</v>
      </c>
      <c r="E166" s="4" t="s">
        <v>815</v>
      </c>
      <c r="F166" s="4" t="s">
        <v>816</v>
      </c>
      <c r="H166" s="4" t="s">
        <v>142</v>
      </c>
      <c r="I166" s="4" t="s">
        <v>143</v>
      </c>
      <c r="J166" s="4" t="s">
        <v>817</v>
      </c>
      <c r="K166" s="4" t="s">
        <v>224</v>
      </c>
      <c r="L166" s="6" t="s">
        <v>818</v>
      </c>
      <c r="M166" s="4" t="s">
        <v>819</v>
      </c>
      <c r="N166" s="4" t="s">
        <v>820</v>
      </c>
      <c r="P166" s="4" t="s">
        <v>821</v>
      </c>
      <c r="Q166" s="4" t="s">
        <v>822</v>
      </c>
      <c r="R166" s="4" t="s">
        <v>823</v>
      </c>
      <c r="S166" s="4" t="s">
        <v>231</v>
      </c>
      <c r="T166" s="7">
        <v>42701</v>
      </c>
      <c r="U166" s="4">
        <v>0</v>
      </c>
      <c r="V166" s="4">
        <v>9</v>
      </c>
      <c r="W166" s="4" t="s">
        <v>358</v>
      </c>
      <c r="Y166" s="4" t="s">
        <v>233</v>
      </c>
      <c r="Z166" s="4" t="s">
        <v>234</v>
      </c>
      <c r="AA166" s="4" t="s">
        <v>234</v>
      </c>
      <c r="AC166" s="4" t="s">
        <v>2923</v>
      </c>
    </row>
    <row r="167" spans="1:29" hidden="1" x14ac:dyDescent="0.4">
      <c r="A167" s="4" t="s">
        <v>216</v>
      </c>
      <c r="B167" s="4">
        <v>6821</v>
      </c>
      <c r="C167" s="4" t="s">
        <v>242</v>
      </c>
      <c r="D167" s="4" t="s">
        <v>814</v>
      </c>
      <c r="E167" s="4" t="s">
        <v>815</v>
      </c>
      <c r="F167" s="4" t="s">
        <v>816</v>
      </c>
      <c r="H167" s="4" t="s">
        <v>142</v>
      </c>
      <c r="I167" s="4" t="s">
        <v>143</v>
      </c>
      <c r="J167" s="4" t="s">
        <v>817</v>
      </c>
      <c r="K167" s="4" t="s">
        <v>224</v>
      </c>
      <c r="L167" s="6" t="s">
        <v>818</v>
      </c>
      <c r="M167" s="4" t="s">
        <v>819</v>
      </c>
      <c r="N167" s="4" t="s">
        <v>820</v>
      </c>
      <c r="P167" s="4" t="s">
        <v>821</v>
      </c>
      <c r="Q167" s="4" t="s">
        <v>822</v>
      </c>
      <c r="R167" s="4" t="s">
        <v>823</v>
      </c>
      <c r="S167" s="4" t="s">
        <v>231</v>
      </c>
      <c r="T167" s="7">
        <v>42701</v>
      </c>
      <c r="U167" s="4">
        <v>0</v>
      </c>
      <c r="V167" s="4">
        <v>14</v>
      </c>
      <c r="W167" s="4" t="s">
        <v>241</v>
      </c>
      <c r="Y167" s="4" t="s">
        <v>233</v>
      </c>
      <c r="Z167" s="4" t="s">
        <v>234</v>
      </c>
      <c r="AA167" s="4" t="s">
        <v>234</v>
      </c>
      <c r="AC167" s="4" t="s">
        <v>2923</v>
      </c>
    </row>
    <row r="168" spans="1:29" hidden="1" x14ac:dyDescent="0.4">
      <c r="A168" s="4" t="s">
        <v>216</v>
      </c>
      <c r="B168" s="4">
        <v>6451</v>
      </c>
      <c r="C168" s="4" t="s">
        <v>315</v>
      </c>
      <c r="D168" s="4" t="s">
        <v>824</v>
      </c>
      <c r="E168" s="4" t="s">
        <v>825</v>
      </c>
      <c r="F168" s="4" t="s">
        <v>826</v>
      </c>
      <c r="G168" s="4" t="s">
        <v>827</v>
      </c>
      <c r="H168" s="4" t="s">
        <v>142</v>
      </c>
      <c r="I168" s="4" t="s">
        <v>143</v>
      </c>
      <c r="J168" s="4" t="s">
        <v>828</v>
      </c>
      <c r="K168" s="4" t="s">
        <v>224</v>
      </c>
      <c r="L168" s="6" t="s">
        <v>829</v>
      </c>
      <c r="M168" s="4" t="s">
        <v>830</v>
      </c>
      <c r="N168" s="4" t="s">
        <v>831</v>
      </c>
      <c r="P168" s="4" t="s">
        <v>832</v>
      </c>
      <c r="Q168" s="4" t="s">
        <v>833</v>
      </c>
      <c r="R168" s="4" t="s">
        <v>834</v>
      </c>
      <c r="S168" s="4" t="s">
        <v>231</v>
      </c>
      <c r="T168" s="7">
        <v>43102</v>
      </c>
      <c r="U168" s="4">
        <v>0</v>
      </c>
      <c r="V168" s="4">
        <v>8</v>
      </c>
      <c r="W168" s="4" t="s">
        <v>281</v>
      </c>
      <c r="Y168" s="4" t="s">
        <v>233</v>
      </c>
      <c r="Z168" s="4" t="s">
        <v>234</v>
      </c>
      <c r="AA168" s="4" t="s">
        <v>234</v>
      </c>
      <c r="AC168" s="4" t="s">
        <v>2923</v>
      </c>
    </row>
    <row r="169" spans="1:29" hidden="1" x14ac:dyDescent="0.4">
      <c r="A169" s="4" t="s">
        <v>216</v>
      </c>
      <c r="B169" s="4">
        <v>6451</v>
      </c>
      <c r="C169" s="4" t="s">
        <v>315</v>
      </c>
      <c r="D169" s="4" t="s">
        <v>824</v>
      </c>
      <c r="E169" s="4" t="s">
        <v>825</v>
      </c>
      <c r="F169" s="4" t="s">
        <v>826</v>
      </c>
      <c r="G169" s="4" t="s">
        <v>827</v>
      </c>
      <c r="H169" s="4" t="s">
        <v>142</v>
      </c>
      <c r="I169" s="4" t="s">
        <v>143</v>
      </c>
      <c r="J169" s="4" t="s">
        <v>828</v>
      </c>
      <c r="K169" s="4" t="s">
        <v>224</v>
      </c>
      <c r="L169" s="6" t="s">
        <v>829</v>
      </c>
      <c r="M169" s="4" t="s">
        <v>830</v>
      </c>
      <c r="N169" s="4" t="s">
        <v>831</v>
      </c>
      <c r="P169" s="4" t="s">
        <v>835</v>
      </c>
      <c r="Q169" s="4" t="s">
        <v>836</v>
      </c>
      <c r="R169" s="4" t="s">
        <v>834</v>
      </c>
      <c r="S169" s="4" t="s">
        <v>257</v>
      </c>
      <c r="T169" s="7">
        <v>45386</v>
      </c>
      <c r="U169" s="4">
        <v>0</v>
      </c>
      <c r="V169" s="4">
        <v>8</v>
      </c>
      <c r="W169" s="4" t="s">
        <v>281</v>
      </c>
      <c r="Y169" s="4" t="s">
        <v>233</v>
      </c>
      <c r="Z169" s="4" t="s">
        <v>234</v>
      </c>
      <c r="AA169" s="4" t="s">
        <v>234</v>
      </c>
      <c r="AC169" s="4" t="s">
        <v>2923</v>
      </c>
    </row>
    <row r="170" spans="1:29" hidden="1" x14ac:dyDescent="0.4">
      <c r="A170" s="4" t="s">
        <v>216</v>
      </c>
      <c r="B170" s="4">
        <v>1708</v>
      </c>
      <c r="C170" s="4" t="s">
        <v>242</v>
      </c>
      <c r="D170" s="4" t="s">
        <v>837</v>
      </c>
      <c r="E170" s="4" t="s">
        <v>838</v>
      </c>
      <c r="F170" s="4" t="s">
        <v>839</v>
      </c>
      <c r="G170" s="4" t="s">
        <v>840</v>
      </c>
      <c r="H170" s="4" t="s">
        <v>841</v>
      </c>
      <c r="I170" s="4" t="s">
        <v>842</v>
      </c>
      <c r="J170" s="4" t="s">
        <v>843</v>
      </c>
      <c r="K170" s="4" t="s">
        <v>224</v>
      </c>
      <c r="L170" s="5" t="s">
        <v>844</v>
      </c>
      <c r="M170" s="4" t="s">
        <v>845</v>
      </c>
      <c r="N170" s="4" t="s">
        <v>846</v>
      </c>
      <c r="P170" s="4" t="s">
        <v>849</v>
      </c>
      <c r="Q170" s="4" t="s">
        <v>850</v>
      </c>
      <c r="R170" s="4" t="s">
        <v>53</v>
      </c>
      <c r="S170" s="4" t="s">
        <v>231</v>
      </c>
      <c r="T170" s="7">
        <v>43976</v>
      </c>
      <c r="U170" s="4">
        <v>0</v>
      </c>
      <c r="V170" s="4">
        <v>5</v>
      </c>
      <c r="W170" s="4" t="s">
        <v>314</v>
      </c>
      <c r="X170" s="4" t="s">
        <v>464</v>
      </c>
      <c r="Y170" s="4" t="s">
        <v>233</v>
      </c>
      <c r="Z170" s="4" t="s">
        <v>234</v>
      </c>
      <c r="AA170" s="4" t="s">
        <v>234</v>
      </c>
      <c r="AC170" s="4" t="s">
        <v>2923</v>
      </c>
    </row>
    <row r="171" spans="1:29" hidden="1" x14ac:dyDescent="0.4">
      <c r="A171" s="4" t="s">
        <v>216</v>
      </c>
      <c r="B171" s="4">
        <v>1708</v>
      </c>
      <c r="C171" s="4" t="s">
        <v>242</v>
      </c>
      <c r="D171" s="4" t="s">
        <v>837</v>
      </c>
      <c r="E171" s="4" t="s">
        <v>838</v>
      </c>
      <c r="F171" s="4" t="s">
        <v>839</v>
      </c>
      <c r="G171" s="4" t="s">
        <v>840</v>
      </c>
      <c r="H171" s="4" t="s">
        <v>841</v>
      </c>
      <c r="I171" s="4" t="s">
        <v>842</v>
      </c>
      <c r="J171" s="4" t="s">
        <v>843</v>
      </c>
      <c r="K171" s="4" t="s">
        <v>224</v>
      </c>
      <c r="L171" s="5" t="s">
        <v>844</v>
      </c>
      <c r="M171" s="4" t="s">
        <v>845</v>
      </c>
      <c r="N171" s="4" t="s">
        <v>846</v>
      </c>
      <c r="P171" s="4" t="s">
        <v>849</v>
      </c>
      <c r="Q171" s="4" t="s">
        <v>850</v>
      </c>
      <c r="R171" s="4" t="s">
        <v>53</v>
      </c>
      <c r="S171" s="4" t="s">
        <v>231</v>
      </c>
      <c r="T171" s="7">
        <v>43976</v>
      </c>
      <c r="U171" s="4">
        <v>0</v>
      </c>
      <c r="V171" s="4">
        <v>6</v>
      </c>
      <c r="X171" s="4" t="s">
        <v>464</v>
      </c>
      <c r="Y171" s="4" t="s">
        <v>233</v>
      </c>
      <c r="Z171" s="4" t="s">
        <v>234</v>
      </c>
      <c r="AA171" s="4" t="s">
        <v>234</v>
      </c>
      <c r="AC171" s="4" t="s">
        <v>2923</v>
      </c>
    </row>
    <row r="172" spans="1:29" hidden="1" x14ac:dyDescent="0.4">
      <c r="A172" s="4" t="s">
        <v>216</v>
      </c>
      <c r="B172" s="4">
        <v>1708</v>
      </c>
      <c r="C172" s="4" t="s">
        <v>242</v>
      </c>
      <c r="D172" s="4" t="s">
        <v>837</v>
      </c>
      <c r="E172" s="4" t="s">
        <v>838</v>
      </c>
      <c r="F172" s="4" t="s">
        <v>839</v>
      </c>
      <c r="G172" s="4" t="s">
        <v>840</v>
      </c>
      <c r="H172" s="4" t="s">
        <v>841</v>
      </c>
      <c r="I172" s="4" t="s">
        <v>842</v>
      </c>
      <c r="J172" s="4" t="s">
        <v>843</v>
      </c>
      <c r="K172" s="4" t="s">
        <v>224</v>
      </c>
      <c r="L172" s="5" t="s">
        <v>844</v>
      </c>
      <c r="M172" s="4" t="s">
        <v>845</v>
      </c>
      <c r="N172" s="4" t="s">
        <v>846</v>
      </c>
      <c r="P172" s="4" t="s">
        <v>849</v>
      </c>
      <c r="Q172" s="4" t="s">
        <v>850</v>
      </c>
      <c r="R172" s="4" t="s">
        <v>53</v>
      </c>
      <c r="S172" s="4" t="s">
        <v>231</v>
      </c>
      <c r="T172" s="7">
        <v>43976</v>
      </c>
      <c r="U172" s="4">
        <v>0</v>
      </c>
      <c r="V172" s="4">
        <v>7</v>
      </c>
      <c r="W172" s="4" t="s">
        <v>238</v>
      </c>
      <c r="X172" s="4" t="s">
        <v>464</v>
      </c>
      <c r="Y172" s="4" t="s">
        <v>233</v>
      </c>
      <c r="Z172" s="4" t="s">
        <v>234</v>
      </c>
      <c r="AA172" s="4" t="s">
        <v>234</v>
      </c>
      <c r="AC172" s="4" t="s">
        <v>2923</v>
      </c>
    </row>
    <row r="173" spans="1:29" hidden="1" x14ac:dyDescent="0.4">
      <c r="A173" s="4" t="s">
        <v>216</v>
      </c>
      <c r="B173" s="4">
        <v>1708</v>
      </c>
      <c r="C173" s="4" t="s">
        <v>242</v>
      </c>
      <c r="D173" s="4" t="s">
        <v>837</v>
      </c>
      <c r="E173" s="4" t="s">
        <v>838</v>
      </c>
      <c r="F173" s="4" t="s">
        <v>839</v>
      </c>
      <c r="G173" s="4" t="s">
        <v>840</v>
      </c>
      <c r="H173" s="4" t="s">
        <v>841</v>
      </c>
      <c r="I173" s="4" t="s">
        <v>842</v>
      </c>
      <c r="J173" s="4" t="s">
        <v>843</v>
      </c>
      <c r="K173" s="4" t="s">
        <v>224</v>
      </c>
      <c r="L173" s="5" t="s">
        <v>844</v>
      </c>
      <c r="M173" s="4" t="s">
        <v>845</v>
      </c>
      <c r="N173" s="4" t="s">
        <v>846</v>
      </c>
      <c r="P173" s="4" t="s">
        <v>849</v>
      </c>
      <c r="Q173" s="4" t="s">
        <v>850</v>
      </c>
      <c r="R173" s="4" t="s">
        <v>53</v>
      </c>
      <c r="S173" s="4" t="s">
        <v>231</v>
      </c>
      <c r="T173" s="7">
        <v>43976</v>
      </c>
      <c r="U173" s="4">
        <v>0</v>
      </c>
      <c r="V173" s="4">
        <v>11</v>
      </c>
      <c r="W173" s="4" t="s">
        <v>314</v>
      </c>
      <c r="X173" s="4" t="s">
        <v>464</v>
      </c>
      <c r="Y173" s="4" t="s">
        <v>233</v>
      </c>
      <c r="Z173" s="4" t="s">
        <v>234</v>
      </c>
      <c r="AA173" s="4" t="s">
        <v>234</v>
      </c>
      <c r="AC173" s="4" t="s">
        <v>2923</v>
      </c>
    </row>
    <row r="174" spans="1:29" hidden="1" x14ac:dyDescent="0.4">
      <c r="A174" s="4" t="s">
        <v>216</v>
      </c>
      <c r="B174" s="4">
        <v>1708</v>
      </c>
      <c r="C174" s="4" t="s">
        <v>242</v>
      </c>
      <c r="D174" s="4" t="s">
        <v>837</v>
      </c>
      <c r="E174" s="4" t="s">
        <v>838</v>
      </c>
      <c r="F174" s="4" t="s">
        <v>839</v>
      </c>
      <c r="G174" s="4" t="s">
        <v>840</v>
      </c>
      <c r="H174" s="4" t="s">
        <v>841</v>
      </c>
      <c r="I174" s="4" t="s">
        <v>842</v>
      </c>
      <c r="J174" s="4" t="s">
        <v>843</v>
      </c>
      <c r="K174" s="4" t="s">
        <v>224</v>
      </c>
      <c r="L174" s="5" t="s">
        <v>844</v>
      </c>
      <c r="M174" s="4" t="s">
        <v>845</v>
      </c>
      <c r="N174" s="4" t="s">
        <v>846</v>
      </c>
      <c r="P174" s="4" t="s">
        <v>849</v>
      </c>
      <c r="Q174" s="4" t="s">
        <v>850</v>
      </c>
      <c r="R174" s="4" t="s">
        <v>53</v>
      </c>
      <c r="S174" s="4" t="s">
        <v>231</v>
      </c>
      <c r="T174" s="7">
        <v>43976</v>
      </c>
      <c r="U174" s="4">
        <v>0</v>
      </c>
      <c r="V174" s="4">
        <v>12</v>
      </c>
      <c r="X174" s="4" t="s">
        <v>464</v>
      </c>
      <c r="Y174" s="4" t="s">
        <v>233</v>
      </c>
      <c r="Z174" s="4" t="s">
        <v>234</v>
      </c>
      <c r="AA174" s="4" t="s">
        <v>234</v>
      </c>
      <c r="AC174" s="4" t="s">
        <v>2923</v>
      </c>
    </row>
    <row r="175" spans="1:29" hidden="1" x14ac:dyDescent="0.4">
      <c r="A175" s="4" t="s">
        <v>216</v>
      </c>
      <c r="B175" s="4">
        <v>6754</v>
      </c>
      <c r="C175" s="4" t="s">
        <v>217</v>
      </c>
      <c r="D175" s="4" t="s">
        <v>851</v>
      </c>
      <c r="E175" s="4" t="s">
        <v>852</v>
      </c>
      <c r="F175" s="4" t="s">
        <v>853</v>
      </c>
      <c r="G175" s="4" t="s">
        <v>854</v>
      </c>
      <c r="H175" s="4" t="s">
        <v>855</v>
      </c>
      <c r="I175" s="4" t="s">
        <v>154</v>
      </c>
      <c r="J175" s="4" t="s">
        <v>856</v>
      </c>
      <c r="K175" s="4" t="s">
        <v>224</v>
      </c>
      <c r="L175" s="6" t="s">
        <v>857</v>
      </c>
      <c r="M175" s="4" t="s">
        <v>858</v>
      </c>
      <c r="N175" s="4" t="s">
        <v>859</v>
      </c>
      <c r="P175" s="4" t="s">
        <v>860</v>
      </c>
      <c r="Q175" s="4" t="s">
        <v>861</v>
      </c>
      <c r="R175" s="4" t="s">
        <v>862</v>
      </c>
      <c r="S175" s="4" t="s">
        <v>231</v>
      </c>
      <c r="T175" s="7">
        <v>44861</v>
      </c>
      <c r="U175" s="4">
        <v>0</v>
      </c>
      <c r="V175" s="4">
        <v>1</v>
      </c>
      <c r="W175" s="4" t="s">
        <v>253</v>
      </c>
      <c r="Y175" s="4" t="s">
        <v>233</v>
      </c>
      <c r="Z175" s="4" t="s">
        <v>234</v>
      </c>
      <c r="AA175" s="4" t="s">
        <v>234</v>
      </c>
      <c r="AC175" s="4" t="s">
        <v>2923</v>
      </c>
    </row>
    <row r="176" spans="1:29" hidden="1" x14ac:dyDescent="0.4">
      <c r="A176" s="4" t="s">
        <v>216</v>
      </c>
      <c r="B176" s="4">
        <v>6754</v>
      </c>
      <c r="C176" s="4" t="s">
        <v>217</v>
      </c>
      <c r="D176" s="4" t="s">
        <v>851</v>
      </c>
      <c r="E176" s="4" t="s">
        <v>852</v>
      </c>
      <c r="F176" s="4" t="s">
        <v>853</v>
      </c>
      <c r="G176" s="4" t="s">
        <v>854</v>
      </c>
      <c r="H176" s="4" t="s">
        <v>855</v>
      </c>
      <c r="I176" s="4" t="s">
        <v>154</v>
      </c>
      <c r="J176" s="4" t="s">
        <v>856</v>
      </c>
      <c r="K176" s="4" t="s">
        <v>224</v>
      </c>
      <c r="L176" s="6" t="s">
        <v>857</v>
      </c>
      <c r="M176" s="4" t="s">
        <v>858</v>
      </c>
      <c r="N176" s="4" t="s">
        <v>859</v>
      </c>
      <c r="P176" s="4" t="s">
        <v>860</v>
      </c>
      <c r="Q176" s="4" t="s">
        <v>861</v>
      </c>
      <c r="R176" s="4" t="s">
        <v>862</v>
      </c>
      <c r="S176" s="4" t="s">
        <v>231</v>
      </c>
      <c r="T176" s="7">
        <v>44861</v>
      </c>
      <c r="U176" s="4">
        <v>0</v>
      </c>
      <c r="V176" s="4">
        <v>2</v>
      </c>
      <c r="W176" s="4" t="s">
        <v>254</v>
      </c>
      <c r="Y176" s="4" t="s">
        <v>233</v>
      </c>
      <c r="Z176" s="4" t="s">
        <v>234</v>
      </c>
      <c r="AA176" s="4" t="s">
        <v>234</v>
      </c>
      <c r="AC176" s="4" t="s">
        <v>2923</v>
      </c>
    </row>
    <row r="177" spans="1:29" hidden="1" x14ac:dyDescent="0.4">
      <c r="A177" s="4" t="s">
        <v>216</v>
      </c>
      <c r="B177" s="4">
        <v>6754</v>
      </c>
      <c r="C177" s="4" t="s">
        <v>217</v>
      </c>
      <c r="D177" s="4" t="s">
        <v>851</v>
      </c>
      <c r="E177" s="4" t="s">
        <v>852</v>
      </c>
      <c r="F177" s="4" t="s">
        <v>853</v>
      </c>
      <c r="G177" s="4" t="s">
        <v>854</v>
      </c>
      <c r="H177" s="4" t="s">
        <v>855</v>
      </c>
      <c r="I177" s="4" t="s">
        <v>154</v>
      </c>
      <c r="J177" s="4" t="s">
        <v>856</v>
      </c>
      <c r="K177" s="4" t="s">
        <v>224</v>
      </c>
      <c r="L177" s="6" t="s">
        <v>857</v>
      </c>
      <c r="M177" s="4" t="s">
        <v>858</v>
      </c>
      <c r="N177" s="4" t="s">
        <v>859</v>
      </c>
      <c r="P177" s="4" t="s">
        <v>860</v>
      </c>
      <c r="Q177" s="4" t="s">
        <v>861</v>
      </c>
      <c r="R177" s="4" t="s">
        <v>862</v>
      </c>
      <c r="S177" s="4" t="s">
        <v>231</v>
      </c>
      <c r="T177" s="7">
        <v>44861</v>
      </c>
      <c r="U177" s="4">
        <v>0</v>
      </c>
      <c r="V177" s="4">
        <v>3</v>
      </c>
      <c r="W177" s="4" t="s">
        <v>258</v>
      </c>
      <c r="Y177" s="4" t="s">
        <v>233</v>
      </c>
      <c r="Z177" s="4" t="s">
        <v>234</v>
      </c>
      <c r="AA177" s="4" t="s">
        <v>234</v>
      </c>
      <c r="AC177" s="4" t="s">
        <v>2923</v>
      </c>
    </row>
    <row r="178" spans="1:29" hidden="1" x14ac:dyDescent="0.4">
      <c r="A178" s="4" t="s">
        <v>216</v>
      </c>
      <c r="B178" s="4">
        <v>6754</v>
      </c>
      <c r="C178" s="4" t="s">
        <v>217</v>
      </c>
      <c r="D178" s="4" t="s">
        <v>851</v>
      </c>
      <c r="E178" s="4" t="s">
        <v>852</v>
      </c>
      <c r="F178" s="4" t="s">
        <v>853</v>
      </c>
      <c r="G178" s="4" t="s">
        <v>854</v>
      </c>
      <c r="H178" s="4" t="s">
        <v>855</v>
      </c>
      <c r="I178" s="4" t="s">
        <v>154</v>
      </c>
      <c r="J178" s="4" t="s">
        <v>856</v>
      </c>
      <c r="K178" s="4" t="s">
        <v>224</v>
      </c>
      <c r="L178" s="6" t="s">
        <v>857</v>
      </c>
      <c r="M178" s="4" t="s">
        <v>858</v>
      </c>
      <c r="N178" s="4" t="s">
        <v>859</v>
      </c>
      <c r="P178" s="4" t="s">
        <v>860</v>
      </c>
      <c r="Q178" s="4" t="s">
        <v>861</v>
      </c>
      <c r="R178" s="4" t="s">
        <v>862</v>
      </c>
      <c r="S178" s="4" t="s">
        <v>231</v>
      </c>
      <c r="T178" s="7">
        <v>44861</v>
      </c>
      <c r="U178" s="4">
        <v>0</v>
      </c>
      <c r="V178" s="4">
        <v>8</v>
      </c>
      <c r="W178" s="4" t="s">
        <v>281</v>
      </c>
      <c r="Y178" s="4" t="s">
        <v>233</v>
      </c>
      <c r="Z178" s="4" t="s">
        <v>234</v>
      </c>
      <c r="AA178" s="4" t="s">
        <v>234</v>
      </c>
      <c r="AC178" s="4" t="s">
        <v>2923</v>
      </c>
    </row>
    <row r="179" spans="1:29" hidden="1" x14ac:dyDescent="0.4">
      <c r="A179" s="4" t="s">
        <v>216</v>
      </c>
      <c r="B179" s="4">
        <v>6754</v>
      </c>
      <c r="C179" s="4" t="s">
        <v>217</v>
      </c>
      <c r="D179" s="4" t="s">
        <v>851</v>
      </c>
      <c r="E179" s="4" t="s">
        <v>852</v>
      </c>
      <c r="F179" s="4" t="s">
        <v>853</v>
      </c>
      <c r="G179" s="4" t="s">
        <v>854</v>
      </c>
      <c r="H179" s="4" t="s">
        <v>855</v>
      </c>
      <c r="I179" s="4" t="s">
        <v>154</v>
      </c>
      <c r="J179" s="4" t="s">
        <v>856</v>
      </c>
      <c r="K179" s="4" t="s">
        <v>224</v>
      </c>
      <c r="L179" s="6" t="s">
        <v>857</v>
      </c>
      <c r="M179" s="4" t="s">
        <v>858</v>
      </c>
      <c r="N179" s="4" t="s">
        <v>859</v>
      </c>
      <c r="P179" s="4" t="s">
        <v>860</v>
      </c>
      <c r="Q179" s="4" t="s">
        <v>861</v>
      </c>
      <c r="R179" s="4" t="s">
        <v>862</v>
      </c>
      <c r="S179" s="4" t="s">
        <v>231</v>
      </c>
      <c r="T179" s="7">
        <v>44861</v>
      </c>
      <c r="U179" s="4">
        <v>0</v>
      </c>
      <c r="V179" s="4">
        <v>9</v>
      </c>
      <c r="W179" s="4" t="s">
        <v>358</v>
      </c>
      <c r="Y179" s="4" t="s">
        <v>233</v>
      </c>
      <c r="Z179" s="4" t="s">
        <v>234</v>
      </c>
      <c r="AA179" s="4" t="s">
        <v>234</v>
      </c>
      <c r="AC179" s="4" t="s">
        <v>2923</v>
      </c>
    </row>
    <row r="180" spans="1:29" hidden="1" x14ac:dyDescent="0.4">
      <c r="A180" s="4" t="s">
        <v>216</v>
      </c>
      <c r="B180" s="4">
        <v>6754</v>
      </c>
      <c r="C180" s="4" t="s">
        <v>217</v>
      </c>
      <c r="D180" s="4" t="s">
        <v>851</v>
      </c>
      <c r="E180" s="4" t="s">
        <v>852</v>
      </c>
      <c r="F180" s="4" t="s">
        <v>853</v>
      </c>
      <c r="G180" s="4" t="s">
        <v>854</v>
      </c>
      <c r="H180" s="4" t="s">
        <v>855</v>
      </c>
      <c r="I180" s="4" t="s">
        <v>154</v>
      </c>
      <c r="J180" s="4" t="s">
        <v>856</v>
      </c>
      <c r="K180" s="4" t="s">
        <v>224</v>
      </c>
      <c r="L180" s="6" t="s">
        <v>857</v>
      </c>
      <c r="M180" s="4" t="s">
        <v>858</v>
      </c>
      <c r="N180" s="4" t="s">
        <v>859</v>
      </c>
      <c r="P180" s="4" t="s">
        <v>863</v>
      </c>
      <c r="Q180" s="4" t="s">
        <v>864</v>
      </c>
      <c r="R180" s="4" t="s">
        <v>2426</v>
      </c>
      <c r="S180" s="4" t="s">
        <v>231</v>
      </c>
      <c r="T180" s="7">
        <v>45389</v>
      </c>
      <c r="U180" s="4">
        <v>0</v>
      </c>
      <c r="V180" s="4">
        <v>1</v>
      </c>
      <c r="W180" s="4" t="s">
        <v>253</v>
      </c>
      <c r="Y180" s="4" t="s">
        <v>233</v>
      </c>
      <c r="Z180" s="4" t="s">
        <v>234</v>
      </c>
      <c r="AA180" s="4" t="s">
        <v>234</v>
      </c>
      <c r="AC180" s="4" t="s">
        <v>2923</v>
      </c>
    </row>
    <row r="181" spans="1:29" hidden="1" x14ac:dyDescent="0.4">
      <c r="A181" s="4" t="s">
        <v>216</v>
      </c>
      <c r="B181" s="4">
        <v>6754</v>
      </c>
      <c r="C181" s="4" t="s">
        <v>217</v>
      </c>
      <c r="D181" s="4" t="s">
        <v>851</v>
      </c>
      <c r="E181" s="4" t="s">
        <v>852</v>
      </c>
      <c r="F181" s="4" t="s">
        <v>853</v>
      </c>
      <c r="G181" s="4" t="s">
        <v>854</v>
      </c>
      <c r="H181" s="4" t="s">
        <v>855</v>
      </c>
      <c r="I181" s="4" t="s">
        <v>154</v>
      </c>
      <c r="J181" s="4" t="s">
        <v>856</v>
      </c>
      <c r="K181" s="4" t="s">
        <v>224</v>
      </c>
      <c r="L181" s="6" t="s">
        <v>857</v>
      </c>
      <c r="M181" s="4" t="s">
        <v>858</v>
      </c>
      <c r="N181" s="4" t="s">
        <v>859</v>
      </c>
      <c r="P181" s="4" t="s">
        <v>863</v>
      </c>
      <c r="Q181" s="4" t="s">
        <v>864</v>
      </c>
      <c r="R181" s="4" t="s">
        <v>2426</v>
      </c>
      <c r="S181" s="4" t="s">
        <v>231</v>
      </c>
      <c r="T181" s="7">
        <v>45389</v>
      </c>
      <c r="U181" s="4">
        <v>0</v>
      </c>
      <c r="V181" s="4">
        <v>2</v>
      </c>
      <c r="W181" s="4" t="s">
        <v>254</v>
      </c>
      <c r="Y181" s="4" t="s">
        <v>233</v>
      </c>
      <c r="Z181" s="4" t="s">
        <v>234</v>
      </c>
      <c r="AA181" s="4" t="s">
        <v>234</v>
      </c>
      <c r="AC181" s="4" t="s">
        <v>2923</v>
      </c>
    </row>
    <row r="182" spans="1:29" hidden="1" x14ac:dyDescent="0.4">
      <c r="A182" s="4" t="s">
        <v>216</v>
      </c>
      <c r="B182" s="4">
        <v>6754</v>
      </c>
      <c r="C182" s="4" t="s">
        <v>217</v>
      </c>
      <c r="D182" s="4" t="s">
        <v>851</v>
      </c>
      <c r="E182" s="4" t="s">
        <v>852</v>
      </c>
      <c r="F182" s="4" t="s">
        <v>853</v>
      </c>
      <c r="G182" s="4" t="s">
        <v>854</v>
      </c>
      <c r="H182" s="4" t="s">
        <v>855</v>
      </c>
      <c r="I182" s="4" t="s">
        <v>154</v>
      </c>
      <c r="J182" s="4" t="s">
        <v>856</v>
      </c>
      <c r="K182" s="4" t="s">
        <v>224</v>
      </c>
      <c r="L182" s="6" t="s">
        <v>857</v>
      </c>
      <c r="M182" s="4" t="s">
        <v>858</v>
      </c>
      <c r="N182" s="4" t="s">
        <v>859</v>
      </c>
      <c r="P182" s="4" t="s">
        <v>863</v>
      </c>
      <c r="Q182" s="4" t="s">
        <v>864</v>
      </c>
      <c r="R182" s="4" t="s">
        <v>2426</v>
      </c>
      <c r="S182" s="4" t="s">
        <v>231</v>
      </c>
      <c r="T182" s="7">
        <v>45389</v>
      </c>
      <c r="U182" s="4">
        <v>0</v>
      </c>
      <c r="V182" s="4">
        <v>8</v>
      </c>
      <c r="W182" s="4" t="s">
        <v>281</v>
      </c>
      <c r="Y182" s="4" t="s">
        <v>233</v>
      </c>
      <c r="Z182" s="4" t="s">
        <v>234</v>
      </c>
      <c r="AA182" s="4" t="s">
        <v>234</v>
      </c>
      <c r="AC182" s="4" t="s">
        <v>2923</v>
      </c>
    </row>
    <row r="183" spans="1:29" hidden="1" x14ac:dyDescent="0.4">
      <c r="A183" s="4" t="s">
        <v>216</v>
      </c>
      <c r="B183" s="4">
        <v>6754</v>
      </c>
      <c r="C183" s="4" t="s">
        <v>217</v>
      </c>
      <c r="D183" s="4" t="s">
        <v>851</v>
      </c>
      <c r="E183" s="4" t="s">
        <v>852</v>
      </c>
      <c r="F183" s="4" t="s">
        <v>853</v>
      </c>
      <c r="G183" s="4" t="s">
        <v>854</v>
      </c>
      <c r="H183" s="4" t="s">
        <v>855</v>
      </c>
      <c r="I183" s="4" t="s">
        <v>154</v>
      </c>
      <c r="J183" s="4" t="s">
        <v>856</v>
      </c>
      <c r="K183" s="4" t="s">
        <v>224</v>
      </c>
      <c r="L183" s="6" t="s">
        <v>857</v>
      </c>
      <c r="M183" s="4" t="s">
        <v>858</v>
      </c>
      <c r="N183" s="4" t="s">
        <v>859</v>
      </c>
      <c r="P183" s="4" t="s">
        <v>863</v>
      </c>
      <c r="Q183" s="4" t="s">
        <v>864</v>
      </c>
      <c r="R183" s="4" t="s">
        <v>2426</v>
      </c>
      <c r="S183" s="4" t="s">
        <v>231</v>
      </c>
      <c r="T183" s="7">
        <v>45389</v>
      </c>
      <c r="U183" s="4">
        <v>0</v>
      </c>
      <c r="V183" s="4">
        <v>9</v>
      </c>
      <c r="W183" s="4" t="s">
        <v>358</v>
      </c>
      <c r="Y183" s="4" t="s">
        <v>233</v>
      </c>
      <c r="Z183" s="4" t="s">
        <v>234</v>
      </c>
      <c r="AA183" s="4" t="s">
        <v>234</v>
      </c>
      <c r="AC183" s="4" t="s">
        <v>2923</v>
      </c>
    </row>
    <row r="184" spans="1:29" hidden="1" x14ac:dyDescent="0.4">
      <c r="A184" s="4" t="s">
        <v>216</v>
      </c>
      <c r="B184" s="4">
        <v>6883</v>
      </c>
      <c r="C184" s="4" t="s">
        <v>217</v>
      </c>
      <c r="D184" s="4" t="s">
        <v>865</v>
      </c>
      <c r="E184" s="4" t="s">
        <v>866</v>
      </c>
      <c r="F184" s="4" t="s">
        <v>867</v>
      </c>
      <c r="G184" s="4" t="s">
        <v>868</v>
      </c>
      <c r="H184" s="4" t="s">
        <v>869</v>
      </c>
      <c r="I184" s="4" t="s">
        <v>143</v>
      </c>
      <c r="J184" s="4" t="s">
        <v>870</v>
      </c>
      <c r="K184" s="4" t="s">
        <v>224</v>
      </c>
      <c r="L184" s="6" t="s">
        <v>871</v>
      </c>
      <c r="M184" s="4" t="s">
        <v>872</v>
      </c>
      <c r="N184" s="4" t="s">
        <v>873</v>
      </c>
      <c r="P184" s="4" t="s">
        <v>2861</v>
      </c>
      <c r="Q184" s="4" t="s">
        <v>874</v>
      </c>
      <c r="R184" s="4" t="s">
        <v>53</v>
      </c>
      <c r="S184" s="4" t="s">
        <v>257</v>
      </c>
      <c r="T184" s="7">
        <v>45961</v>
      </c>
      <c r="U184" s="4">
        <v>0</v>
      </c>
      <c r="V184" s="4">
        <v>1</v>
      </c>
      <c r="W184" s="4" t="s">
        <v>253</v>
      </c>
      <c r="Y184" s="4" t="s">
        <v>233</v>
      </c>
      <c r="Z184" s="4" t="s">
        <v>234</v>
      </c>
      <c r="AA184" s="4" t="s">
        <v>234</v>
      </c>
      <c r="AB184" s="4" t="s">
        <v>875</v>
      </c>
      <c r="AC184" s="4" t="s">
        <v>2923</v>
      </c>
    </row>
    <row r="185" spans="1:29" hidden="1" x14ac:dyDescent="0.4">
      <c r="A185" s="4" t="s">
        <v>216</v>
      </c>
      <c r="B185" s="4">
        <v>2017</v>
      </c>
      <c r="C185" s="4" t="s">
        <v>242</v>
      </c>
      <c r="D185" s="4" t="s">
        <v>394</v>
      </c>
      <c r="E185" s="4" t="s">
        <v>876</v>
      </c>
      <c r="F185" s="4" t="s">
        <v>877</v>
      </c>
      <c r="G185" s="4" t="s">
        <v>878</v>
      </c>
      <c r="H185" s="4" t="s">
        <v>879</v>
      </c>
      <c r="I185" s="4" t="s">
        <v>351</v>
      </c>
      <c r="J185" s="4" t="s">
        <v>880</v>
      </c>
      <c r="K185" s="4" t="s">
        <v>224</v>
      </c>
      <c r="L185" s="6" t="s">
        <v>881</v>
      </c>
      <c r="M185" s="4" t="s">
        <v>882</v>
      </c>
      <c r="N185" s="4" t="s">
        <v>883</v>
      </c>
      <c r="P185" s="4" t="s">
        <v>891</v>
      </c>
      <c r="Q185" s="4" t="s">
        <v>892</v>
      </c>
      <c r="R185" s="4" t="s">
        <v>2921</v>
      </c>
      <c r="S185" s="4" t="s">
        <v>231</v>
      </c>
      <c r="T185" s="7">
        <v>44694</v>
      </c>
      <c r="U185" s="4">
        <v>0</v>
      </c>
      <c r="V185" s="4">
        <v>5</v>
      </c>
      <c r="W185" s="4" t="s">
        <v>314</v>
      </c>
      <c r="Y185" s="4" t="s">
        <v>233</v>
      </c>
      <c r="Z185" s="4" t="s">
        <v>234</v>
      </c>
      <c r="AA185" s="4" t="s">
        <v>234</v>
      </c>
      <c r="AC185" s="4" t="s">
        <v>2923</v>
      </c>
    </row>
    <row r="186" spans="1:29" hidden="1" x14ac:dyDescent="0.4">
      <c r="A186" s="4" t="s">
        <v>216</v>
      </c>
      <c r="B186" s="4">
        <v>2017</v>
      </c>
      <c r="C186" s="4" t="s">
        <v>242</v>
      </c>
      <c r="D186" s="4" t="s">
        <v>394</v>
      </c>
      <c r="E186" s="4" t="s">
        <v>876</v>
      </c>
      <c r="F186" s="4" t="s">
        <v>877</v>
      </c>
      <c r="G186" s="4" t="s">
        <v>878</v>
      </c>
      <c r="H186" s="4" t="s">
        <v>879</v>
      </c>
      <c r="I186" s="4" t="s">
        <v>351</v>
      </c>
      <c r="J186" s="4" t="s">
        <v>880</v>
      </c>
      <c r="K186" s="4" t="s">
        <v>224</v>
      </c>
      <c r="L186" s="6" t="s">
        <v>881</v>
      </c>
      <c r="M186" s="4" t="s">
        <v>882</v>
      </c>
      <c r="N186" s="4" t="s">
        <v>883</v>
      </c>
      <c r="P186" s="4" t="s">
        <v>891</v>
      </c>
      <c r="Q186" s="4" t="s">
        <v>892</v>
      </c>
      <c r="R186" s="4" t="s">
        <v>2921</v>
      </c>
      <c r="S186" s="4" t="s">
        <v>231</v>
      </c>
      <c r="T186" s="7">
        <v>44694</v>
      </c>
      <c r="U186" s="4">
        <v>0</v>
      </c>
      <c r="V186" s="4">
        <v>11</v>
      </c>
      <c r="W186" s="4" t="s">
        <v>132</v>
      </c>
      <c r="Y186" s="4" t="s">
        <v>233</v>
      </c>
      <c r="Z186" s="4" t="s">
        <v>234</v>
      </c>
      <c r="AA186" s="4" t="s">
        <v>234</v>
      </c>
      <c r="AC186" s="4" t="s">
        <v>2923</v>
      </c>
    </row>
    <row r="187" spans="1:29" hidden="1" x14ac:dyDescent="0.4">
      <c r="A187" s="4" t="s">
        <v>216</v>
      </c>
      <c r="B187" s="4">
        <v>2017</v>
      </c>
      <c r="C187" s="4" t="s">
        <v>242</v>
      </c>
      <c r="D187" s="4" t="s">
        <v>394</v>
      </c>
      <c r="E187" s="4" t="s">
        <v>876</v>
      </c>
      <c r="F187" s="4" t="s">
        <v>877</v>
      </c>
      <c r="G187" s="4" t="s">
        <v>878</v>
      </c>
      <c r="H187" s="4" t="s">
        <v>879</v>
      </c>
      <c r="I187" s="4" t="s">
        <v>351</v>
      </c>
      <c r="J187" s="4" t="s">
        <v>880</v>
      </c>
      <c r="K187" s="4" t="s">
        <v>224</v>
      </c>
      <c r="L187" s="6" t="s">
        <v>881</v>
      </c>
      <c r="M187" s="4" t="s">
        <v>882</v>
      </c>
      <c r="N187" s="4" t="s">
        <v>883</v>
      </c>
      <c r="P187" s="4" t="s">
        <v>893</v>
      </c>
      <c r="Q187" s="4" t="s">
        <v>894</v>
      </c>
      <c r="R187" s="4" t="s">
        <v>31</v>
      </c>
      <c r="S187" s="4" t="s">
        <v>231</v>
      </c>
      <c r="T187" s="7">
        <v>43858</v>
      </c>
      <c r="U187" s="4">
        <v>0</v>
      </c>
      <c r="V187" s="4">
        <v>7</v>
      </c>
      <c r="Y187" s="4" t="s">
        <v>233</v>
      </c>
      <c r="Z187" s="4" t="s">
        <v>234</v>
      </c>
      <c r="AA187" s="4" t="s">
        <v>234</v>
      </c>
      <c r="AC187" s="4" t="s">
        <v>2923</v>
      </c>
    </row>
    <row r="188" spans="1:29" hidden="1" x14ac:dyDescent="0.4">
      <c r="A188" s="4" t="s">
        <v>216</v>
      </c>
      <c r="B188" s="4">
        <v>2017</v>
      </c>
      <c r="C188" s="4" t="s">
        <v>242</v>
      </c>
      <c r="D188" s="4" t="s">
        <v>394</v>
      </c>
      <c r="E188" s="4" t="s">
        <v>876</v>
      </c>
      <c r="F188" s="4" t="s">
        <v>877</v>
      </c>
      <c r="G188" s="4" t="s">
        <v>878</v>
      </c>
      <c r="H188" s="4" t="s">
        <v>879</v>
      </c>
      <c r="I188" s="4" t="s">
        <v>351</v>
      </c>
      <c r="J188" s="4" t="s">
        <v>880</v>
      </c>
      <c r="K188" s="4" t="s">
        <v>224</v>
      </c>
      <c r="L188" s="6" t="s">
        <v>881</v>
      </c>
      <c r="M188" s="4" t="s">
        <v>882</v>
      </c>
      <c r="N188" s="4" t="s">
        <v>883</v>
      </c>
      <c r="P188" s="4" t="s">
        <v>893</v>
      </c>
      <c r="Q188" s="4" t="s">
        <v>894</v>
      </c>
      <c r="R188" s="4" t="s">
        <v>31</v>
      </c>
      <c r="S188" s="4" t="s">
        <v>231</v>
      </c>
      <c r="T188" s="7">
        <v>43858</v>
      </c>
      <c r="U188" s="4">
        <v>0</v>
      </c>
      <c r="V188" s="4">
        <v>13</v>
      </c>
      <c r="W188" s="4" t="s">
        <v>240</v>
      </c>
      <c r="Y188" s="4" t="s">
        <v>233</v>
      </c>
      <c r="Z188" s="4" t="s">
        <v>234</v>
      </c>
      <c r="AA188" s="4" t="s">
        <v>234</v>
      </c>
      <c r="AC188" s="4" t="s">
        <v>2923</v>
      </c>
    </row>
    <row r="189" spans="1:29" hidden="1" x14ac:dyDescent="0.4">
      <c r="A189" s="4" t="s">
        <v>216</v>
      </c>
      <c r="B189" s="4">
        <v>399</v>
      </c>
      <c r="C189" s="4" t="s">
        <v>895</v>
      </c>
      <c r="D189" s="4" t="s">
        <v>896</v>
      </c>
      <c r="E189" s="4" t="s">
        <v>897</v>
      </c>
      <c r="F189" s="4" t="s">
        <v>898</v>
      </c>
      <c r="H189" s="4" t="s">
        <v>899</v>
      </c>
      <c r="I189" s="4" t="s">
        <v>900</v>
      </c>
      <c r="J189" s="4" t="s">
        <v>901</v>
      </c>
      <c r="K189" s="4" t="s">
        <v>224</v>
      </c>
      <c r="L189" s="5" t="s">
        <v>902</v>
      </c>
      <c r="M189" s="4" t="s">
        <v>903</v>
      </c>
      <c r="N189" s="4" t="s">
        <v>904</v>
      </c>
      <c r="P189" s="4" t="s">
        <v>907</v>
      </c>
      <c r="Q189" s="4" t="s">
        <v>908</v>
      </c>
      <c r="R189" s="4" t="s">
        <v>53</v>
      </c>
      <c r="S189" s="4" t="s">
        <v>257</v>
      </c>
      <c r="T189" s="7">
        <v>43584</v>
      </c>
      <c r="U189" s="4">
        <v>0</v>
      </c>
      <c r="V189" s="4">
        <v>11</v>
      </c>
      <c r="W189" s="4" t="s">
        <v>314</v>
      </c>
      <c r="Y189" s="4" t="s">
        <v>233</v>
      </c>
      <c r="Z189" s="4" t="s">
        <v>234</v>
      </c>
      <c r="AA189" s="4" t="s">
        <v>234</v>
      </c>
      <c r="AC189" s="4" t="s">
        <v>2923</v>
      </c>
    </row>
    <row r="190" spans="1:29" hidden="1" x14ac:dyDescent="0.4">
      <c r="A190" s="4" t="s">
        <v>216</v>
      </c>
      <c r="B190" s="4">
        <v>399</v>
      </c>
      <c r="C190" s="4" t="s">
        <v>895</v>
      </c>
      <c r="D190" s="4" t="s">
        <v>896</v>
      </c>
      <c r="E190" s="4" t="s">
        <v>897</v>
      </c>
      <c r="F190" s="4" t="s">
        <v>898</v>
      </c>
      <c r="H190" s="4" t="s">
        <v>899</v>
      </c>
      <c r="I190" s="4" t="s">
        <v>900</v>
      </c>
      <c r="J190" s="4" t="s">
        <v>901</v>
      </c>
      <c r="K190" s="4" t="s">
        <v>224</v>
      </c>
      <c r="L190" s="5" t="s">
        <v>902</v>
      </c>
      <c r="M190" s="4" t="s">
        <v>903</v>
      </c>
      <c r="N190" s="4" t="s">
        <v>904</v>
      </c>
      <c r="P190" s="4" t="s">
        <v>907</v>
      </c>
      <c r="Q190" s="4" t="s">
        <v>908</v>
      </c>
      <c r="R190" s="4" t="s">
        <v>53</v>
      </c>
      <c r="S190" s="4" t="s">
        <v>257</v>
      </c>
      <c r="T190" s="7">
        <v>43584</v>
      </c>
      <c r="U190" s="4">
        <v>0</v>
      </c>
      <c r="V190" s="4">
        <v>12</v>
      </c>
      <c r="Y190" s="4" t="s">
        <v>233</v>
      </c>
      <c r="Z190" s="4" t="s">
        <v>234</v>
      </c>
      <c r="AA190" s="4" t="s">
        <v>234</v>
      </c>
      <c r="AC190" s="4" t="s">
        <v>2923</v>
      </c>
    </row>
    <row r="191" spans="1:29" hidden="1" x14ac:dyDescent="0.4">
      <c r="A191" s="4" t="s">
        <v>216</v>
      </c>
      <c r="B191" s="4">
        <v>2984</v>
      </c>
      <c r="C191" s="4" t="s">
        <v>242</v>
      </c>
      <c r="D191" s="4" t="s">
        <v>909</v>
      </c>
      <c r="E191" s="4" t="s">
        <v>910</v>
      </c>
      <c r="F191" s="4" t="s">
        <v>911</v>
      </c>
      <c r="G191" s="4" t="s">
        <v>912</v>
      </c>
      <c r="H191" s="4" t="s">
        <v>913</v>
      </c>
      <c r="I191" s="4" t="s">
        <v>154</v>
      </c>
      <c r="J191" s="4" t="s">
        <v>914</v>
      </c>
      <c r="K191" s="4" t="s">
        <v>224</v>
      </c>
      <c r="L191" s="6" t="s">
        <v>915</v>
      </c>
      <c r="M191" s="4" t="s">
        <v>916</v>
      </c>
      <c r="N191" s="4" t="s">
        <v>917</v>
      </c>
      <c r="P191" s="4" t="s">
        <v>2862</v>
      </c>
      <c r="Q191" s="4" t="s">
        <v>926</v>
      </c>
      <c r="R191" s="4" t="s">
        <v>53</v>
      </c>
      <c r="S191" s="4" t="s">
        <v>231</v>
      </c>
      <c r="T191" s="7">
        <v>44536</v>
      </c>
      <c r="U191" s="4">
        <v>0</v>
      </c>
      <c r="V191" s="4">
        <v>5</v>
      </c>
      <c r="W191" s="4" t="s">
        <v>297</v>
      </c>
      <c r="X191" s="4" t="s">
        <v>464</v>
      </c>
      <c r="Y191" s="4" t="s">
        <v>233</v>
      </c>
      <c r="Z191" s="4" t="s">
        <v>234</v>
      </c>
      <c r="AA191" s="4" t="s">
        <v>234</v>
      </c>
      <c r="AC191" s="4" t="s">
        <v>2923</v>
      </c>
    </row>
    <row r="192" spans="1:29" hidden="1" x14ac:dyDescent="0.4">
      <c r="A192" s="4" t="s">
        <v>216</v>
      </c>
      <c r="B192" s="4">
        <v>2984</v>
      </c>
      <c r="C192" s="4" t="s">
        <v>242</v>
      </c>
      <c r="D192" s="4" t="s">
        <v>909</v>
      </c>
      <c r="E192" s="4" t="s">
        <v>910</v>
      </c>
      <c r="F192" s="4" t="s">
        <v>911</v>
      </c>
      <c r="G192" s="4" t="s">
        <v>912</v>
      </c>
      <c r="H192" s="4" t="s">
        <v>913</v>
      </c>
      <c r="I192" s="4" t="s">
        <v>154</v>
      </c>
      <c r="J192" s="4" t="s">
        <v>914</v>
      </c>
      <c r="K192" s="4" t="s">
        <v>224</v>
      </c>
      <c r="L192" s="6" t="s">
        <v>915</v>
      </c>
      <c r="M192" s="4" t="s">
        <v>916</v>
      </c>
      <c r="N192" s="4" t="s">
        <v>917</v>
      </c>
      <c r="P192" s="4" t="s">
        <v>2862</v>
      </c>
      <c r="Q192" s="4" t="s">
        <v>926</v>
      </c>
      <c r="R192" s="4" t="s">
        <v>53</v>
      </c>
      <c r="S192" s="4" t="s">
        <v>231</v>
      </c>
      <c r="T192" s="7">
        <v>44536</v>
      </c>
      <c r="U192" s="4">
        <v>0</v>
      </c>
      <c r="V192" s="4">
        <v>6</v>
      </c>
      <c r="X192" s="4" t="s">
        <v>464</v>
      </c>
      <c r="Y192" s="4" t="s">
        <v>233</v>
      </c>
      <c r="Z192" s="4" t="s">
        <v>234</v>
      </c>
      <c r="AA192" s="4" t="s">
        <v>234</v>
      </c>
      <c r="AC192" s="4" t="s">
        <v>2923</v>
      </c>
    </row>
    <row r="193" spans="1:29" hidden="1" x14ac:dyDescent="0.4">
      <c r="A193" s="4" t="s">
        <v>216</v>
      </c>
      <c r="B193" s="4">
        <v>2984</v>
      </c>
      <c r="C193" s="4" t="s">
        <v>242</v>
      </c>
      <c r="D193" s="4" t="s">
        <v>909</v>
      </c>
      <c r="E193" s="4" t="s">
        <v>910</v>
      </c>
      <c r="F193" s="4" t="s">
        <v>911</v>
      </c>
      <c r="G193" s="4" t="s">
        <v>912</v>
      </c>
      <c r="H193" s="4" t="s">
        <v>913</v>
      </c>
      <c r="I193" s="4" t="s">
        <v>154</v>
      </c>
      <c r="J193" s="4" t="s">
        <v>914</v>
      </c>
      <c r="K193" s="4" t="s">
        <v>224</v>
      </c>
      <c r="L193" s="6" t="s">
        <v>915</v>
      </c>
      <c r="M193" s="4" t="s">
        <v>916</v>
      </c>
      <c r="N193" s="4" t="s">
        <v>917</v>
      </c>
      <c r="P193" s="4" t="s">
        <v>2863</v>
      </c>
      <c r="Q193" s="4" t="s">
        <v>927</v>
      </c>
      <c r="R193" s="4" t="s">
        <v>53</v>
      </c>
      <c r="S193" s="4" t="s">
        <v>231</v>
      </c>
      <c r="T193" s="7">
        <v>43226</v>
      </c>
      <c r="U193" s="4">
        <v>0</v>
      </c>
      <c r="V193" s="4">
        <v>7</v>
      </c>
      <c r="W193" s="4" t="s">
        <v>238</v>
      </c>
      <c r="X193" s="4" t="s">
        <v>464</v>
      </c>
      <c r="Y193" s="4" t="s">
        <v>233</v>
      </c>
      <c r="Z193" s="4" t="s">
        <v>234</v>
      </c>
      <c r="AA193" s="4" t="s">
        <v>234</v>
      </c>
      <c r="AC193" s="4" t="s">
        <v>2923</v>
      </c>
    </row>
    <row r="194" spans="1:29" hidden="1" x14ac:dyDescent="0.4">
      <c r="A194" s="4" t="s">
        <v>216</v>
      </c>
      <c r="B194" s="4">
        <v>2984</v>
      </c>
      <c r="C194" s="4" t="s">
        <v>242</v>
      </c>
      <c r="D194" s="4" t="s">
        <v>909</v>
      </c>
      <c r="E194" s="4" t="s">
        <v>910</v>
      </c>
      <c r="F194" s="4" t="s">
        <v>911</v>
      </c>
      <c r="G194" s="4" t="s">
        <v>912</v>
      </c>
      <c r="H194" s="4" t="s">
        <v>913</v>
      </c>
      <c r="I194" s="4" t="s">
        <v>154</v>
      </c>
      <c r="J194" s="4" t="s">
        <v>914</v>
      </c>
      <c r="K194" s="4" t="s">
        <v>224</v>
      </c>
      <c r="L194" s="6" t="s">
        <v>915</v>
      </c>
      <c r="M194" s="4" t="s">
        <v>916</v>
      </c>
      <c r="N194" s="4" t="s">
        <v>917</v>
      </c>
      <c r="P194" s="4" t="s">
        <v>2862</v>
      </c>
      <c r="Q194" s="4" t="s">
        <v>926</v>
      </c>
      <c r="R194" s="4" t="s">
        <v>53</v>
      </c>
      <c r="S194" s="4" t="s">
        <v>231</v>
      </c>
      <c r="T194" s="7">
        <v>44536</v>
      </c>
      <c r="U194" s="4">
        <v>0</v>
      </c>
      <c r="V194" s="4">
        <v>11</v>
      </c>
      <c r="W194" s="4" t="s">
        <v>132</v>
      </c>
      <c r="X194" s="4" t="s">
        <v>464</v>
      </c>
      <c r="Y194" s="4" t="s">
        <v>233</v>
      </c>
      <c r="Z194" s="4" t="s">
        <v>234</v>
      </c>
      <c r="AA194" s="4" t="s">
        <v>234</v>
      </c>
      <c r="AC194" s="4" t="s">
        <v>2923</v>
      </c>
    </row>
    <row r="195" spans="1:29" hidden="1" x14ac:dyDescent="0.4">
      <c r="A195" s="4" t="s">
        <v>216</v>
      </c>
      <c r="B195" s="4">
        <v>2984</v>
      </c>
      <c r="C195" s="4" t="s">
        <v>242</v>
      </c>
      <c r="D195" s="4" t="s">
        <v>909</v>
      </c>
      <c r="E195" s="4" t="s">
        <v>910</v>
      </c>
      <c r="F195" s="4" t="s">
        <v>911</v>
      </c>
      <c r="G195" s="4" t="s">
        <v>912</v>
      </c>
      <c r="H195" s="4" t="s">
        <v>913</v>
      </c>
      <c r="I195" s="4" t="s">
        <v>154</v>
      </c>
      <c r="J195" s="4" t="s">
        <v>914</v>
      </c>
      <c r="K195" s="4" t="s">
        <v>224</v>
      </c>
      <c r="L195" s="6" t="s">
        <v>915</v>
      </c>
      <c r="M195" s="4" t="s">
        <v>916</v>
      </c>
      <c r="N195" s="4" t="s">
        <v>917</v>
      </c>
      <c r="P195" s="4" t="s">
        <v>2862</v>
      </c>
      <c r="Q195" s="4" t="s">
        <v>926</v>
      </c>
      <c r="R195" s="4" t="s">
        <v>53</v>
      </c>
      <c r="S195" s="4" t="s">
        <v>231</v>
      </c>
      <c r="T195" s="7">
        <v>44536</v>
      </c>
      <c r="U195" s="4">
        <v>0</v>
      </c>
      <c r="V195" s="4">
        <v>12</v>
      </c>
      <c r="X195" s="4" t="s">
        <v>464</v>
      </c>
      <c r="Y195" s="4" t="s">
        <v>233</v>
      </c>
      <c r="Z195" s="4" t="s">
        <v>234</v>
      </c>
      <c r="AA195" s="4" t="s">
        <v>234</v>
      </c>
      <c r="AC195" s="4" t="s">
        <v>2923</v>
      </c>
    </row>
    <row r="196" spans="1:29" hidden="1" x14ac:dyDescent="0.4">
      <c r="A196" s="4" t="s">
        <v>216</v>
      </c>
      <c r="B196" s="4">
        <v>2984</v>
      </c>
      <c r="C196" s="4" t="s">
        <v>242</v>
      </c>
      <c r="D196" s="4" t="s">
        <v>909</v>
      </c>
      <c r="E196" s="4" t="s">
        <v>910</v>
      </c>
      <c r="F196" s="4" t="s">
        <v>911</v>
      </c>
      <c r="G196" s="4" t="s">
        <v>912</v>
      </c>
      <c r="H196" s="4" t="s">
        <v>913</v>
      </c>
      <c r="I196" s="4" t="s">
        <v>154</v>
      </c>
      <c r="J196" s="4" t="s">
        <v>914</v>
      </c>
      <c r="K196" s="4" t="s">
        <v>224</v>
      </c>
      <c r="L196" s="6" t="s">
        <v>915</v>
      </c>
      <c r="M196" s="4" t="s">
        <v>916</v>
      </c>
      <c r="N196" s="4" t="s">
        <v>917</v>
      </c>
      <c r="P196" s="4" t="s">
        <v>2863</v>
      </c>
      <c r="Q196" s="4" t="s">
        <v>927</v>
      </c>
      <c r="R196" s="4" t="s">
        <v>53</v>
      </c>
      <c r="S196" s="4" t="s">
        <v>231</v>
      </c>
      <c r="T196" s="7">
        <v>43226</v>
      </c>
      <c r="U196" s="4">
        <v>0</v>
      </c>
      <c r="V196" s="4">
        <v>13</v>
      </c>
      <c r="W196" s="4" t="s">
        <v>240</v>
      </c>
      <c r="X196" s="4" t="s">
        <v>464</v>
      </c>
      <c r="Y196" s="4" t="s">
        <v>233</v>
      </c>
      <c r="Z196" s="4" t="s">
        <v>234</v>
      </c>
      <c r="AA196" s="4" t="s">
        <v>234</v>
      </c>
      <c r="AC196" s="4" t="s">
        <v>2923</v>
      </c>
    </row>
    <row r="197" spans="1:29" hidden="1" x14ac:dyDescent="0.4">
      <c r="A197" s="4" t="s">
        <v>216</v>
      </c>
      <c r="B197" s="4">
        <v>991</v>
      </c>
      <c r="C197" s="4" t="s">
        <v>242</v>
      </c>
      <c r="D197" s="4" t="s">
        <v>928</v>
      </c>
      <c r="E197" s="4" t="s">
        <v>929</v>
      </c>
      <c r="F197" s="4" t="s">
        <v>930</v>
      </c>
      <c r="G197" s="4" t="s">
        <v>931</v>
      </c>
      <c r="H197" s="4" t="s">
        <v>932</v>
      </c>
      <c r="I197" s="4" t="s">
        <v>933</v>
      </c>
      <c r="J197" s="4" t="s">
        <v>934</v>
      </c>
      <c r="K197" s="4" t="s">
        <v>224</v>
      </c>
      <c r="L197" s="5" t="s">
        <v>935</v>
      </c>
      <c r="M197" s="4" t="s">
        <v>936</v>
      </c>
      <c r="N197" s="4" t="s">
        <v>937</v>
      </c>
      <c r="P197" s="4" t="s">
        <v>938</v>
      </c>
      <c r="Q197" s="4" t="s">
        <v>939</v>
      </c>
      <c r="R197" s="4" t="s">
        <v>940</v>
      </c>
      <c r="S197" s="4" t="s">
        <v>257</v>
      </c>
      <c r="T197" s="7">
        <v>43773</v>
      </c>
      <c r="U197" s="4">
        <v>0</v>
      </c>
      <c r="V197" s="4">
        <v>6</v>
      </c>
      <c r="X197" s="4" t="s">
        <v>293</v>
      </c>
      <c r="Y197" s="4" t="s">
        <v>233</v>
      </c>
      <c r="Z197" s="4" t="s">
        <v>234</v>
      </c>
      <c r="AA197" s="4" t="s">
        <v>233</v>
      </c>
      <c r="AC197" s="4" t="s">
        <v>2923</v>
      </c>
    </row>
    <row r="198" spans="1:29" hidden="1" x14ac:dyDescent="0.4">
      <c r="A198" s="4" t="s">
        <v>216</v>
      </c>
      <c r="B198" s="4">
        <v>991</v>
      </c>
      <c r="C198" s="4" t="s">
        <v>242</v>
      </c>
      <c r="D198" s="4" t="s">
        <v>928</v>
      </c>
      <c r="E198" s="4" t="s">
        <v>929</v>
      </c>
      <c r="F198" s="4" t="s">
        <v>930</v>
      </c>
      <c r="G198" s="4" t="s">
        <v>931</v>
      </c>
      <c r="H198" s="4" t="s">
        <v>932</v>
      </c>
      <c r="I198" s="4" t="s">
        <v>933</v>
      </c>
      <c r="J198" s="4" t="s">
        <v>934</v>
      </c>
      <c r="K198" s="4" t="s">
        <v>224</v>
      </c>
      <c r="L198" s="5" t="s">
        <v>935</v>
      </c>
      <c r="M198" s="4" t="s">
        <v>936</v>
      </c>
      <c r="N198" s="4" t="s">
        <v>937</v>
      </c>
      <c r="P198" s="4" t="s">
        <v>938</v>
      </c>
      <c r="Q198" s="4" t="s">
        <v>939</v>
      </c>
      <c r="R198" s="4" t="s">
        <v>940</v>
      </c>
      <c r="S198" s="4" t="s">
        <v>257</v>
      </c>
      <c r="T198" s="7">
        <v>43773</v>
      </c>
      <c r="U198" s="4">
        <v>0</v>
      </c>
      <c r="V198" s="4">
        <v>12</v>
      </c>
      <c r="X198" s="4" t="s">
        <v>293</v>
      </c>
      <c r="Y198" s="4" t="s">
        <v>233</v>
      </c>
      <c r="Z198" s="4" t="s">
        <v>234</v>
      </c>
      <c r="AA198" s="4" t="s">
        <v>233</v>
      </c>
      <c r="AC198" s="4" t="s">
        <v>2923</v>
      </c>
    </row>
    <row r="199" spans="1:29" hidden="1" x14ac:dyDescent="0.4">
      <c r="A199" s="4" t="s">
        <v>216</v>
      </c>
      <c r="B199" s="4">
        <v>210</v>
      </c>
      <c r="C199" s="4" t="s">
        <v>242</v>
      </c>
      <c r="D199" s="4" t="s">
        <v>941</v>
      </c>
      <c r="E199" s="4" t="s">
        <v>942</v>
      </c>
      <c r="F199" s="4" t="s">
        <v>943</v>
      </c>
      <c r="G199" s="4" t="s">
        <v>944</v>
      </c>
      <c r="H199" s="4" t="s">
        <v>945</v>
      </c>
      <c r="I199" s="4" t="s">
        <v>154</v>
      </c>
      <c r="J199" s="4" t="s">
        <v>946</v>
      </c>
      <c r="K199" s="4" t="s">
        <v>224</v>
      </c>
      <c r="L199" s="5" t="s">
        <v>947</v>
      </c>
      <c r="M199" s="4" t="s">
        <v>948</v>
      </c>
      <c r="N199" s="4" t="s">
        <v>949</v>
      </c>
      <c r="P199" s="4" t="s">
        <v>950</v>
      </c>
      <c r="Q199" s="4" t="s">
        <v>951</v>
      </c>
      <c r="R199" t="s">
        <v>73</v>
      </c>
      <c r="S199" s="4" t="s">
        <v>257</v>
      </c>
      <c r="U199" s="4">
        <v>0</v>
      </c>
      <c r="V199" s="4">
        <v>9</v>
      </c>
      <c r="W199" s="4" t="s">
        <v>358</v>
      </c>
      <c r="Y199" s="4" t="s">
        <v>233</v>
      </c>
      <c r="Z199" s="4" t="s">
        <v>234</v>
      </c>
      <c r="AA199" s="4" t="s">
        <v>234</v>
      </c>
      <c r="AC199" s="4" t="s">
        <v>2923</v>
      </c>
    </row>
    <row r="200" spans="1:29" hidden="1" x14ac:dyDescent="0.4">
      <c r="A200" s="4" t="s">
        <v>216</v>
      </c>
      <c r="B200" s="4">
        <v>210</v>
      </c>
      <c r="C200" s="4" t="s">
        <v>242</v>
      </c>
      <c r="D200" s="4" t="s">
        <v>941</v>
      </c>
      <c r="E200" s="4" t="s">
        <v>942</v>
      </c>
      <c r="F200" s="4" t="s">
        <v>943</v>
      </c>
      <c r="G200" s="4" t="s">
        <v>944</v>
      </c>
      <c r="H200" s="4" t="s">
        <v>945</v>
      </c>
      <c r="I200" s="4" t="s">
        <v>154</v>
      </c>
      <c r="J200" s="4" t="s">
        <v>946</v>
      </c>
      <c r="K200" s="4" t="s">
        <v>224</v>
      </c>
      <c r="L200" s="5" t="s">
        <v>947</v>
      </c>
      <c r="M200" s="4" t="s">
        <v>948</v>
      </c>
      <c r="N200" s="4" t="s">
        <v>949</v>
      </c>
      <c r="P200" s="4" t="s">
        <v>950</v>
      </c>
      <c r="Q200" s="4" t="s">
        <v>951</v>
      </c>
      <c r="R200" t="s">
        <v>73</v>
      </c>
      <c r="S200" s="4" t="s">
        <v>257</v>
      </c>
      <c r="U200" s="4">
        <v>0</v>
      </c>
      <c r="V200" s="4">
        <v>14</v>
      </c>
      <c r="W200" s="4" t="s">
        <v>241</v>
      </c>
      <c r="Y200" s="4" t="s">
        <v>233</v>
      </c>
      <c r="Z200" s="4" t="s">
        <v>234</v>
      </c>
      <c r="AA200" s="4" t="s">
        <v>234</v>
      </c>
      <c r="AC200" s="4" t="s">
        <v>2923</v>
      </c>
    </row>
    <row r="201" spans="1:29" x14ac:dyDescent="0.4">
      <c r="A201" s="4" t="s">
        <v>216</v>
      </c>
      <c r="B201" s="4">
        <v>460</v>
      </c>
      <c r="C201" s="4" t="s">
        <v>242</v>
      </c>
      <c r="D201" s="4" t="s">
        <v>952</v>
      </c>
      <c r="E201" s="4" t="s">
        <v>953</v>
      </c>
      <c r="F201" s="4" t="s">
        <v>954</v>
      </c>
      <c r="G201" s="4" t="s">
        <v>955</v>
      </c>
      <c r="H201" s="4" t="s">
        <v>956</v>
      </c>
      <c r="I201" s="4" t="s">
        <v>154</v>
      </c>
      <c r="J201" s="4" t="s">
        <v>957</v>
      </c>
      <c r="K201" s="4" t="s">
        <v>224</v>
      </c>
      <c r="L201" s="5" t="s">
        <v>958</v>
      </c>
      <c r="M201" s="4" t="s">
        <v>959</v>
      </c>
      <c r="N201" s="4" t="s">
        <v>960</v>
      </c>
      <c r="P201" s="4" t="s">
        <v>966</v>
      </c>
      <c r="Q201" s="4" t="s">
        <v>967</v>
      </c>
      <c r="R201" s="4" t="s">
        <v>31</v>
      </c>
      <c r="S201" s="4" t="s">
        <v>257</v>
      </c>
      <c r="T201" s="7">
        <v>44040</v>
      </c>
      <c r="U201" s="4">
        <v>0</v>
      </c>
      <c r="V201" s="4">
        <v>4</v>
      </c>
      <c r="W201" s="4" t="s">
        <v>97</v>
      </c>
      <c r="Y201" s="4" t="s">
        <v>233</v>
      </c>
      <c r="Z201" s="4" t="s">
        <v>234</v>
      </c>
      <c r="AA201" s="4" t="s">
        <v>234</v>
      </c>
      <c r="AB201" t="s">
        <v>65</v>
      </c>
      <c r="AC201" s="4" t="s">
        <v>2923</v>
      </c>
    </row>
    <row r="202" spans="1:29" hidden="1" x14ac:dyDescent="0.4">
      <c r="A202" s="4" t="s">
        <v>216</v>
      </c>
      <c r="B202" s="4">
        <v>460</v>
      </c>
      <c r="C202" s="4" t="s">
        <v>242</v>
      </c>
      <c r="D202" s="4" t="s">
        <v>952</v>
      </c>
      <c r="E202" s="4" t="s">
        <v>953</v>
      </c>
      <c r="F202" s="4" t="s">
        <v>954</v>
      </c>
      <c r="G202" s="4" t="s">
        <v>955</v>
      </c>
      <c r="H202" s="4" t="s">
        <v>956</v>
      </c>
      <c r="I202" s="4" t="s">
        <v>154</v>
      </c>
      <c r="J202" s="4" t="s">
        <v>957</v>
      </c>
      <c r="K202" s="4" t="s">
        <v>224</v>
      </c>
      <c r="L202" s="5" t="s">
        <v>958</v>
      </c>
      <c r="M202" s="4" t="s">
        <v>959</v>
      </c>
      <c r="N202" s="4" t="s">
        <v>960</v>
      </c>
      <c r="P202" s="4" t="s">
        <v>966</v>
      </c>
      <c r="Q202" s="4" t="s">
        <v>967</v>
      </c>
      <c r="R202" s="4" t="s">
        <v>31</v>
      </c>
      <c r="S202" s="4" t="s">
        <v>257</v>
      </c>
      <c r="T202" s="7">
        <v>44040</v>
      </c>
      <c r="U202" s="4">
        <v>0</v>
      </c>
      <c r="V202" s="4">
        <v>5</v>
      </c>
      <c r="W202" s="4" t="s">
        <v>176</v>
      </c>
      <c r="Y202" s="4" t="s">
        <v>233</v>
      </c>
      <c r="Z202" s="4" t="s">
        <v>234</v>
      </c>
      <c r="AA202" s="4" t="s">
        <v>234</v>
      </c>
      <c r="AB202" t="s">
        <v>65</v>
      </c>
      <c r="AC202" s="4" t="s">
        <v>2923</v>
      </c>
    </row>
    <row r="203" spans="1:29" hidden="1" x14ac:dyDescent="0.4">
      <c r="A203" s="4" t="s">
        <v>216</v>
      </c>
      <c r="B203" s="4">
        <v>2058</v>
      </c>
      <c r="C203" s="4" t="s">
        <v>242</v>
      </c>
      <c r="D203" s="4" t="s">
        <v>969</v>
      </c>
      <c r="E203" s="4" t="s">
        <v>970</v>
      </c>
      <c r="F203" s="4" t="s">
        <v>971</v>
      </c>
      <c r="G203" s="4" t="s">
        <v>972</v>
      </c>
      <c r="H203" s="4" t="s">
        <v>973</v>
      </c>
      <c r="I203" s="4" t="s">
        <v>974</v>
      </c>
      <c r="J203" s="4" t="s">
        <v>975</v>
      </c>
      <c r="K203" s="4" t="s">
        <v>224</v>
      </c>
      <c r="L203" s="6" t="s">
        <v>976</v>
      </c>
      <c r="M203" s="4" t="s">
        <v>977</v>
      </c>
      <c r="N203" s="4" t="s">
        <v>978</v>
      </c>
      <c r="P203" s="4" t="s">
        <v>979</v>
      </c>
      <c r="Q203" s="4" t="s">
        <v>980</v>
      </c>
      <c r="R203" s="4" t="s">
        <v>31</v>
      </c>
      <c r="S203" s="4" t="s">
        <v>257</v>
      </c>
      <c r="T203" s="7">
        <v>43570</v>
      </c>
      <c r="U203" s="4">
        <v>0</v>
      </c>
      <c r="V203" s="4">
        <v>5</v>
      </c>
      <c r="W203" s="4" t="s">
        <v>314</v>
      </c>
      <c r="Y203" s="4" t="s">
        <v>233</v>
      </c>
      <c r="Z203" s="4" t="s">
        <v>234</v>
      </c>
      <c r="AA203" s="4" t="s">
        <v>234</v>
      </c>
      <c r="AC203" s="4" t="s">
        <v>2923</v>
      </c>
    </row>
    <row r="204" spans="1:29" hidden="1" x14ac:dyDescent="0.4">
      <c r="A204" s="4" t="s">
        <v>216</v>
      </c>
      <c r="B204" s="4">
        <v>2058</v>
      </c>
      <c r="C204" s="4" t="s">
        <v>242</v>
      </c>
      <c r="D204" s="4" t="s">
        <v>969</v>
      </c>
      <c r="E204" s="4" t="s">
        <v>970</v>
      </c>
      <c r="F204" s="4" t="s">
        <v>971</v>
      </c>
      <c r="G204" s="4" t="s">
        <v>972</v>
      </c>
      <c r="H204" s="4" t="s">
        <v>973</v>
      </c>
      <c r="I204" s="4" t="s">
        <v>974</v>
      </c>
      <c r="J204" s="4" t="s">
        <v>975</v>
      </c>
      <c r="K204" s="4" t="s">
        <v>224</v>
      </c>
      <c r="L204" s="6" t="s">
        <v>976</v>
      </c>
      <c r="M204" s="4" t="s">
        <v>977</v>
      </c>
      <c r="N204" s="4" t="s">
        <v>978</v>
      </c>
      <c r="P204" s="4" t="s">
        <v>979</v>
      </c>
      <c r="Q204" s="4" t="s">
        <v>980</v>
      </c>
      <c r="R204" s="4" t="s">
        <v>31</v>
      </c>
      <c r="S204" s="4" t="s">
        <v>257</v>
      </c>
      <c r="T204" s="7">
        <v>43570</v>
      </c>
      <c r="U204" s="4">
        <v>0</v>
      </c>
      <c r="V204" s="4">
        <v>6</v>
      </c>
      <c r="Y204" s="4" t="s">
        <v>233</v>
      </c>
      <c r="Z204" s="4" t="s">
        <v>234</v>
      </c>
      <c r="AA204" s="4" t="s">
        <v>234</v>
      </c>
      <c r="AC204" s="4" t="s">
        <v>2923</v>
      </c>
    </row>
    <row r="205" spans="1:29" hidden="1" x14ac:dyDescent="0.4">
      <c r="A205" s="4" t="s">
        <v>216</v>
      </c>
      <c r="B205" s="4">
        <v>860</v>
      </c>
      <c r="C205" s="4" t="s">
        <v>315</v>
      </c>
      <c r="D205" s="4" t="s">
        <v>991</v>
      </c>
      <c r="E205" s="4" t="s">
        <v>992</v>
      </c>
      <c r="F205" s="4" t="s">
        <v>993</v>
      </c>
      <c r="H205" s="4" t="s">
        <v>994</v>
      </c>
      <c r="I205" s="4" t="s">
        <v>28</v>
      </c>
      <c r="J205" s="4" t="s">
        <v>995</v>
      </c>
      <c r="K205" s="4" t="s">
        <v>224</v>
      </c>
      <c r="L205" s="6" t="s">
        <v>996</v>
      </c>
      <c r="M205" s="4" t="s">
        <v>997</v>
      </c>
      <c r="N205" s="4" t="s">
        <v>998</v>
      </c>
      <c r="P205" s="4" t="s">
        <v>2864</v>
      </c>
      <c r="Q205" s="4" t="s">
        <v>999</v>
      </c>
      <c r="R205" s="4" t="s">
        <v>53</v>
      </c>
      <c r="S205" s="4" t="s">
        <v>257</v>
      </c>
      <c r="T205" s="7">
        <v>43402</v>
      </c>
      <c r="U205" s="4">
        <v>0</v>
      </c>
      <c r="V205" s="4">
        <v>6</v>
      </c>
      <c r="Y205" s="4" t="s">
        <v>233</v>
      </c>
      <c r="Z205" s="4" t="s">
        <v>234</v>
      </c>
      <c r="AA205" s="4" t="s">
        <v>234</v>
      </c>
      <c r="AB205" s="4" t="s">
        <v>1000</v>
      </c>
      <c r="AC205" s="4" t="s">
        <v>2923</v>
      </c>
    </row>
    <row r="206" spans="1:29" hidden="1" x14ac:dyDescent="0.4">
      <c r="A206" s="4" t="s">
        <v>216</v>
      </c>
      <c r="B206" s="4">
        <v>860</v>
      </c>
      <c r="C206" s="4" t="s">
        <v>315</v>
      </c>
      <c r="D206" s="4" t="s">
        <v>991</v>
      </c>
      <c r="E206" s="4" t="s">
        <v>992</v>
      </c>
      <c r="F206" s="4" t="s">
        <v>993</v>
      </c>
      <c r="H206" s="4" t="s">
        <v>994</v>
      </c>
      <c r="I206" s="4" t="s">
        <v>28</v>
      </c>
      <c r="J206" s="4" t="s">
        <v>995</v>
      </c>
      <c r="K206" s="4" t="s">
        <v>224</v>
      </c>
      <c r="L206" s="6" t="s">
        <v>996</v>
      </c>
      <c r="M206" s="4" t="s">
        <v>997</v>
      </c>
      <c r="N206" s="4" t="s">
        <v>998</v>
      </c>
      <c r="P206" s="4" t="s">
        <v>2864</v>
      </c>
      <c r="Q206" s="4" t="s">
        <v>999</v>
      </c>
      <c r="R206" s="4" t="s">
        <v>53</v>
      </c>
      <c r="S206" s="4" t="s">
        <v>257</v>
      </c>
      <c r="T206" s="7">
        <v>43402</v>
      </c>
      <c r="U206" s="4">
        <v>0</v>
      </c>
      <c r="V206" s="4">
        <v>12</v>
      </c>
      <c r="Y206" s="4" t="s">
        <v>233</v>
      </c>
      <c r="Z206" s="4" t="s">
        <v>234</v>
      </c>
      <c r="AA206" s="4" t="s">
        <v>234</v>
      </c>
      <c r="AB206" s="4" t="s">
        <v>1000</v>
      </c>
      <c r="AC206" s="4" t="s">
        <v>2923</v>
      </c>
    </row>
    <row r="207" spans="1:29" hidden="1" x14ac:dyDescent="0.4">
      <c r="A207" s="4" t="s">
        <v>216</v>
      </c>
      <c r="B207" s="4">
        <v>860</v>
      </c>
      <c r="C207" s="4" t="s">
        <v>315</v>
      </c>
      <c r="D207" s="4" t="s">
        <v>991</v>
      </c>
      <c r="E207" s="4" t="s">
        <v>992</v>
      </c>
      <c r="F207" s="4" t="s">
        <v>993</v>
      </c>
      <c r="H207" s="4" t="s">
        <v>994</v>
      </c>
      <c r="I207" s="4" t="s">
        <v>28</v>
      </c>
      <c r="J207" s="4" t="s">
        <v>995</v>
      </c>
      <c r="K207" s="4" t="s">
        <v>224</v>
      </c>
      <c r="L207" s="6" t="s">
        <v>996</v>
      </c>
      <c r="M207" s="4" t="s">
        <v>997</v>
      </c>
      <c r="N207" s="4" t="s">
        <v>998</v>
      </c>
      <c r="P207" s="4" t="s">
        <v>1001</v>
      </c>
      <c r="Q207" s="4" t="s">
        <v>1002</v>
      </c>
      <c r="R207" s="4" t="s">
        <v>53</v>
      </c>
      <c r="S207" s="4" t="s">
        <v>257</v>
      </c>
      <c r="T207" s="7">
        <v>45761</v>
      </c>
      <c r="U207" s="4">
        <v>0</v>
      </c>
      <c r="V207" s="4">
        <v>10</v>
      </c>
      <c r="W207" s="4" t="s">
        <v>524</v>
      </c>
      <c r="Y207" s="4" t="s">
        <v>233</v>
      </c>
      <c r="Z207" s="4" t="s">
        <v>234</v>
      </c>
      <c r="AA207" s="4" t="s">
        <v>234</v>
      </c>
      <c r="AB207" s="4" t="s">
        <v>1000</v>
      </c>
      <c r="AC207" s="4" t="s">
        <v>2923</v>
      </c>
    </row>
    <row r="208" spans="1:29" hidden="1" x14ac:dyDescent="0.4">
      <c r="A208" s="4" t="s">
        <v>216</v>
      </c>
      <c r="B208" s="4">
        <v>5321</v>
      </c>
      <c r="C208" s="4" t="s">
        <v>242</v>
      </c>
      <c r="D208" s="4" t="s">
        <v>525</v>
      </c>
      <c r="E208" s="4" t="s">
        <v>1003</v>
      </c>
      <c r="F208" s="4" t="s">
        <v>1004</v>
      </c>
      <c r="G208" s="4" t="s">
        <v>1005</v>
      </c>
      <c r="H208" s="4" t="s">
        <v>409</v>
      </c>
      <c r="I208" s="4" t="s">
        <v>34</v>
      </c>
      <c r="J208" s="4" t="s">
        <v>1006</v>
      </c>
      <c r="K208" s="4" t="s">
        <v>224</v>
      </c>
      <c r="L208" s="6" t="s">
        <v>1007</v>
      </c>
      <c r="M208" s="4" t="s">
        <v>1008</v>
      </c>
      <c r="N208" s="4" t="s">
        <v>1009</v>
      </c>
      <c r="P208" s="4" t="s">
        <v>1010</v>
      </c>
      <c r="Q208" s="4" t="s">
        <v>1011</v>
      </c>
      <c r="R208" s="4" t="s">
        <v>1012</v>
      </c>
      <c r="S208" s="4" t="s">
        <v>257</v>
      </c>
      <c r="T208" s="7">
        <v>42857</v>
      </c>
      <c r="U208" s="4">
        <v>0</v>
      </c>
      <c r="V208" s="4">
        <v>8</v>
      </c>
      <c r="W208" s="4" t="s">
        <v>281</v>
      </c>
      <c r="Y208" s="4" t="s">
        <v>233</v>
      </c>
      <c r="Z208" s="4" t="s">
        <v>234</v>
      </c>
      <c r="AA208" s="4" t="s">
        <v>234</v>
      </c>
      <c r="AC208" s="4" t="s">
        <v>2923</v>
      </c>
    </row>
    <row r="209" spans="1:29" hidden="1" x14ac:dyDescent="0.4">
      <c r="A209" s="4" t="s">
        <v>216</v>
      </c>
      <c r="B209" s="4">
        <v>5914</v>
      </c>
      <c r="C209" s="4" t="s">
        <v>242</v>
      </c>
      <c r="D209" s="4" t="s">
        <v>1013</v>
      </c>
      <c r="E209" s="4" t="s">
        <v>1014</v>
      </c>
      <c r="F209" s="4" t="s">
        <v>1015</v>
      </c>
      <c r="H209" s="4" t="s">
        <v>1016</v>
      </c>
      <c r="I209" s="4" t="s">
        <v>143</v>
      </c>
      <c r="J209" s="4" t="s">
        <v>1017</v>
      </c>
      <c r="K209" s="4" t="s">
        <v>224</v>
      </c>
      <c r="L209" s="6" t="s">
        <v>1018</v>
      </c>
      <c r="M209" s="4" t="s">
        <v>1019</v>
      </c>
      <c r="N209" s="4" t="s">
        <v>1020</v>
      </c>
      <c r="P209" s="4" t="s">
        <v>1021</v>
      </c>
      <c r="Q209" s="4" t="s">
        <v>1022</v>
      </c>
      <c r="R209" s="4" t="s">
        <v>1023</v>
      </c>
      <c r="S209" s="4" t="s">
        <v>257</v>
      </c>
      <c r="T209" s="7">
        <v>43517</v>
      </c>
      <c r="U209" s="4">
        <v>0</v>
      </c>
      <c r="V209" s="4">
        <v>3</v>
      </c>
      <c r="W209" s="4" t="s">
        <v>258</v>
      </c>
      <c r="X209" s="4" t="s">
        <v>293</v>
      </c>
      <c r="Y209" s="4" t="s">
        <v>233</v>
      </c>
      <c r="Z209" s="4" t="s">
        <v>234</v>
      </c>
      <c r="AA209" s="4" t="s">
        <v>234</v>
      </c>
      <c r="AB209" s="4" t="s">
        <v>1024</v>
      </c>
      <c r="AC209" s="4" t="s">
        <v>2923</v>
      </c>
    </row>
    <row r="210" spans="1:29" hidden="1" x14ac:dyDescent="0.4">
      <c r="A210" s="4" t="s">
        <v>216</v>
      </c>
      <c r="B210" s="4">
        <v>5914</v>
      </c>
      <c r="C210" s="4" t="s">
        <v>242</v>
      </c>
      <c r="D210" s="4" t="s">
        <v>1013</v>
      </c>
      <c r="E210" s="4" t="s">
        <v>1014</v>
      </c>
      <c r="F210" s="4" t="s">
        <v>1015</v>
      </c>
      <c r="H210" s="4" t="s">
        <v>1016</v>
      </c>
      <c r="I210" s="4" t="s">
        <v>143</v>
      </c>
      <c r="J210" s="4" t="s">
        <v>1017</v>
      </c>
      <c r="K210" s="4" t="s">
        <v>224</v>
      </c>
      <c r="L210" s="6" t="s">
        <v>1018</v>
      </c>
      <c r="M210" s="4" t="s">
        <v>1019</v>
      </c>
      <c r="N210" s="4" t="s">
        <v>1020</v>
      </c>
      <c r="P210" s="4" t="s">
        <v>1021</v>
      </c>
      <c r="Q210" s="4" t="s">
        <v>1022</v>
      </c>
      <c r="R210" s="4" t="s">
        <v>1023</v>
      </c>
      <c r="S210" s="4" t="s">
        <v>257</v>
      </c>
      <c r="T210" s="7">
        <v>43517</v>
      </c>
      <c r="U210" s="4">
        <v>0</v>
      </c>
      <c r="V210" s="4">
        <v>4</v>
      </c>
      <c r="W210" s="4" t="s">
        <v>314</v>
      </c>
      <c r="X210" s="4" t="s">
        <v>293</v>
      </c>
      <c r="Y210" s="4" t="s">
        <v>233</v>
      </c>
      <c r="Z210" s="4" t="s">
        <v>234</v>
      </c>
      <c r="AA210" s="4" t="s">
        <v>234</v>
      </c>
      <c r="AB210" s="4" t="s">
        <v>1024</v>
      </c>
      <c r="AC210" s="4" t="s">
        <v>2923</v>
      </c>
    </row>
    <row r="211" spans="1:29" hidden="1" x14ac:dyDescent="0.4">
      <c r="A211" s="4" t="s">
        <v>216</v>
      </c>
      <c r="B211" s="4">
        <v>5914</v>
      </c>
      <c r="C211" s="4" t="s">
        <v>242</v>
      </c>
      <c r="D211" s="4" t="s">
        <v>1013</v>
      </c>
      <c r="E211" s="4" t="s">
        <v>1014</v>
      </c>
      <c r="F211" s="4" t="s">
        <v>1015</v>
      </c>
      <c r="H211" s="4" t="s">
        <v>1016</v>
      </c>
      <c r="I211" s="4" t="s">
        <v>143</v>
      </c>
      <c r="J211" s="4" t="s">
        <v>1017</v>
      </c>
      <c r="K211" s="4" t="s">
        <v>224</v>
      </c>
      <c r="L211" s="6" t="s">
        <v>1018</v>
      </c>
      <c r="M211" s="4" t="s">
        <v>1019</v>
      </c>
      <c r="N211" s="4" t="s">
        <v>1020</v>
      </c>
      <c r="P211" s="4" t="s">
        <v>1021</v>
      </c>
      <c r="Q211" s="4" t="s">
        <v>1022</v>
      </c>
      <c r="R211" s="4" t="s">
        <v>1023</v>
      </c>
      <c r="S211" s="4" t="s">
        <v>257</v>
      </c>
      <c r="T211" s="7">
        <v>43517</v>
      </c>
      <c r="U211" s="4">
        <v>0</v>
      </c>
      <c r="V211" s="4">
        <v>9</v>
      </c>
      <c r="W211" s="4" t="s">
        <v>358</v>
      </c>
      <c r="X211" s="4" t="s">
        <v>293</v>
      </c>
      <c r="Y211" s="4" t="s">
        <v>233</v>
      </c>
      <c r="Z211" s="4" t="s">
        <v>234</v>
      </c>
      <c r="AA211" s="4" t="s">
        <v>234</v>
      </c>
      <c r="AB211" s="4" t="s">
        <v>1024</v>
      </c>
      <c r="AC211" s="4" t="s">
        <v>2923</v>
      </c>
    </row>
    <row r="212" spans="1:29" hidden="1" x14ac:dyDescent="0.4">
      <c r="A212" s="4" t="s">
        <v>216</v>
      </c>
      <c r="B212" s="4">
        <v>5914</v>
      </c>
      <c r="C212" s="4" t="s">
        <v>242</v>
      </c>
      <c r="D212" s="4" t="s">
        <v>1013</v>
      </c>
      <c r="E212" s="4" t="s">
        <v>1014</v>
      </c>
      <c r="F212" s="4" t="s">
        <v>1015</v>
      </c>
      <c r="H212" s="4" t="s">
        <v>1016</v>
      </c>
      <c r="I212" s="4" t="s">
        <v>143</v>
      </c>
      <c r="J212" s="4" t="s">
        <v>1017</v>
      </c>
      <c r="K212" s="4" t="s">
        <v>224</v>
      </c>
      <c r="L212" s="6" t="s">
        <v>1018</v>
      </c>
      <c r="M212" s="4" t="s">
        <v>1019</v>
      </c>
      <c r="N212" s="4" t="s">
        <v>1020</v>
      </c>
      <c r="P212" s="4" t="s">
        <v>1021</v>
      </c>
      <c r="Q212" s="4" t="s">
        <v>1022</v>
      </c>
      <c r="R212" s="4" t="s">
        <v>1023</v>
      </c>
      <c r="S212" s="4" t="s">
        <v>257</v>
      </c>
      <c r="T212" s="7">
        <v>43517</v>
      </c>
      <c r="U212" s="4">
        <v>0</v>
      </c>
      <c r="V212" s="4">
        <v>10</v>
      </c>
      <c r="W212" s="4" t="s">
        <v>314</v>
      </c>
      <c r="X212" s="4" t="s">
        <v>293</v>
      </c>
      <c r="Y212" s="4" t="s">
        <v>233</v>
      </c>
      <c r="Z212" s="4" t="s">
        <v>234</v>
      </c>
      <c r="AA212" s="4" t="s">
        <v>234</v>
      </c>
      <c r="AB212" s="4" t="s">
        <v>1024</v>
      </c>
      <c r="AC212" s="4" t="s">
        <v>2923</v>
      </c>
    </row>
    <row r="213" spans="1:29" hidden="1" x14ac:dyDescent="0.4">
      <c r="A213" s="4" t="s">
        <v>216</v>
      </c>
      <c r="B213" s="4">
        <v>5914</v>
      </c>
      <c r="C213" s="4" t="s">
        <v>242</v>
      </c>
      <c r="D213" s="4" t="s">
        <v>1013</v>
      </c>
      <c r="E213" s="4" t="s">
        <v>1014</v>
      </c>
      <c r="F213" s="4" t="s">
        <v>1015</v>
      </c>
      <c r="H213" s="4" t="s">
        <v>1016</v>
      </c>
      <c r="I213" s="4" t="s">
        <v>143</v>
      </c>
      <c r="J213" s="4" t="s">
        <v>1017</v>
      </c>
      <c r="K213" s="4" t="s">
        <v>224</v>
      </c>
      <c r="L213" s="6" t="s">
        <v>1018</v>
      </c>
      <c r="M213" s="4" t="s">
        <v>1019</v>
      </c>
      <c r="N213" s="4" t="s">
        <v>1020</v>
      </c>
      <c r="P213" s="4" t="s">
        <v>1021</v>
      </c>
      <c r="Q213" s="4" t="s">
        <v>1022</v>
      </c>
      <c r="R213" s="4" t="s">
        <v>1023</v>
      </c>
      <c r="S213" s="4" t="s">
        <v>257</v>
      </c>
      <c r="T213" s="7">
        <v>43517</v>
      </c>
      <c r="U213" s="4">
        <v>0</v>
      </c>
      <c r="V213" s="4">
        <v>14</v>
      </c>
      <c r="W213" s="4" t="s">
        <v>241</v>
      </c>
      <c r="X213" s="4" t="s">
        <v>293</v>
      </c>
      <c r="Y213" s="4" t="s">
        <v>233</v>
      </c>
      <c r="Z213" s="4" t="s">
        <v>234</v>
      </c>
      <c r="AA213" s="4" t="s">
        <v>234</v>
      </c>
      <c r="AB213" s="4" t="s">
        <v>1024</v>
      </c>
      <c r="AC213" s="4" t="s">
        <v>2923</v>
      </c>
    </row>
    <row r="214" spans="1:29" hidden="1" x14ac:dyDescent="0.4">
      <c r="A214" s="4" t="s">
        <v>216</v>
      </c>
      <c r="B214" s="4">
        <v>3742</v>
      </c>
      <c r="C214" s="4" t="s">
        <v>217</v>
      </c>
      <c r="D214" s="4" t="s">
        <v>509</v>
      </c>
      <c r="E214" s="4" t="s">
        <v>1037</v>
      </c>
      <c r="F214" s="4" t="s">
        <v>1038</v>
      </c>
      <c r="H214" s="4" t="s">
        <v>376</v>
      </c>
      <c r="I214" s="4" t="s">
        <v>610</v>
      </c>
      <c r="J214" s="4" t="s">
        <v>1039</v>
      </c>
      <c r="K214" s="4" t="s">
        <v>224</v>
      </c>
      <c r="L214" s="5" t="s">
        <v>1040</v>
      </c>
      <c r="M214" s="4" t="s">
        <v>1041</v>
      </c>
      <c r="N214" s="4" t="s">
        <v>1042</v>
      </c>
      <c r="P214" s="4" t="s">
        <v>1043</v>
      </c>
      <c r="Q214" s="4" t="s">
        <v>1042</v>
      </c>
      <c r="R214" s="4" t="s">
        <v>1044</v>
      </c>
      <c r="S214" s="4" t="s">
        <v>257</v>
      </c>
      <c r="T214" s="7">
        <v>42065</v>
      </c>
      <c r="U214" s="4">
        <v>0</v>
      </c>
      <c r="V214" s="4">
        <v>4</v>
      </c>
      <c r="W214" s="4" t="s">
        <v>314</v>
      </c>
      <c r="Y214" s="4" t="s">
        <v>233</v>
      </c>
      <c r="Z214" s="4" t="s">
        <v>234</v>
      </c>
      <c r="AA214" s="4" t="s">
        <v>234</v>
      </c>
      <c r="AC214" s="4" t="s">
        <v>2923</v>
      </c>
    </row>
    <row r="215" spans="1:29" hidden="1" x14ac:dyDescent="0.4">
      <c r="A215" s="4" t="s">
        <v>216</v>
      </c>
      <c r="B215" s="4">
        <v>2374</v>
      </c>
      <c r="C215" s="4" t="s">
        <v>242</v>
      </c>
      <c r="D215" s="4" t="s">
        <v>1045</v>
      </c>
      <c r="E215" s="4" t="s">
        <v>1046</v>
      </c>
      <c r="F215" s="4" t="s">
        <v>1047</v>
      </c>
      <c r="G215" s="4" t="s">
        <v>1048</v>
      </c>
      <c r="H215" s="4" t="s">
        <v>1049</v>
      </c>
      <c r="I215" s="4" t="s">
        <v>154</v>
      </c>
      <c r="J215" s="4" t="s">
        <v>1050</v>
      </c>
      <c r="K215" s="4" t="s">
        <v>224</v>
      </c>
      <c r="L215" s="5" t="s">
        <v>1051</v>
      </c>
      <c r="M215" s="4" t="s">
        <v>1052</v>
      </c>
      <c r="N215" s="4" t="s">
        <v>1053</v>
      </c>
      <c r="P215" s="4" t="s">
        <v>1054</v>
      </c>
      <c r="Q215" s="4" t="s">
        <v>1055</v>
      </c>
      <c r="R215" s="4" t="s">
        <v>2811</v>
      </c>
      <c r="S215" s="4" t="s">
        <v>231</v>
      </c>
      <c r="T215" s="7">
        <v>45220</v>
      </c>
      <c r="U215" s="4">
        <v>0</v>
      </c>
      <c r="V215" s="4">
        <v>3</v>
      </c>
      <c r="W215" s="4" t="s">
        <v>258</v>
      </c>
      <c r="Y215" s="4" t="s">
        <v>233</v>
      </c>
      <c r="Z215" s="4" t="s">
        <v>234</v>
      </c>
      <c r="AA215" s="4" t="s">
        <v>234</v>
      </c>
      <c r="AC215" s="4" t="s">
        <v>2923</v>
      </c>
    </row>
    <row r="216" spans="1:29" hidden="1" x14ac:dyDescent="0.4">
      <c r="A216" s="4" t="s">
        <v>216</v>
      </c>
      <c r="B216" s="4">
        <v>2374</v>
      </c>
      <c r="C216" s="4" t="s">
        <v>242</v>
      </c>
      <c r="D216" s="4" t="s">
        <v>1045</v>
      </c>
      <c r="E216" s="4" t="s">
        <v>1046</v>
      </c>
      <c r="F216" s="4" t="s">
        <v>1047</v>
      </c>
      <c r="G216" s="4" t="s">
        <v>1048</v>
      </c>
      <c r="H216" s="4" t="s">
        <v>1049</v>
      </c>
      <c r="I216" s="4" t="s">
        <v>154</v>
      </c>
      <c r="J216" s="4" t="s">
        <v>1050</v>
      </c>
      <c r="K216" s="4" t="s">
        <v>224</v>
      </c>
      <c r="L216" s="5" t="s">
        <v>1051</v>
      </c>
      <c r="M216" s="4" t="s">
        <v>1052</v>
      </c>
      <c r="N216" s="4" t="s">
        <v>1053</v>
      </c>
      <c r="P216" s="4" t="s">
        <v>1054</v>
      </c>
      <c r="Q216" s="4" t="s">
        <v>1055</v>
      </c>
      <c r="R216" s="4" t="s">
        <v>2811</v>
      </c>
      <c r="S216" s="4" t="s">
        <v>231</v>
      </c>
      <c r="T216" s="7">
        <v>45220</v>
      </c>
      <c r="U216" s="4">
        <v>0</v>
      </c>
      <c r="V216" s="4">
        <v>9</v>
      </c>
      <c r="W216" s="4" t="s">
        <v>358</v>
      </c>
      <c r="Y216" s="4" t="s">
        <v>233</v>
      </c>
      <c r="Z216" s="4" t="s">
        <v>234</v>
      </c>
      <c r="AA216" s="4" t="s">
        <v>234</v>
      </c>
      <c r="AC216" s="4" t="s">
        <v>2923</v>
      </c>
    </row>
    <row r="217" spans="1:29" hidden="1" x14ac:dyDescent="0.4">
      <c r="A217" s="4" t="s">
        <v>216</v>
      </c>
      <c r="B217" s="4">
        <v>986</v>
      </c>
      <c r="C217" s="4" t="s">
        <v>242</v>
      </c>
      <c r="D217" s="4" t="s">
        <v>1057</v>
      </c>
      <c r="E217" s="4" t="s">
        <v>1058</v>
      </c>
      <c r="F217" s="4" t="s">
        <v>1059</v>
      </c>
      <c r="G217" s="4" t="s">
        <v>1060</v>
      </c>
      <c r="H217" s="4" t="s">
        <v>1061</v>
      </c>
      <c r="I217" s="4" t="s">
        <v>30</v>
      </c>
      <c r="J217" s="4" t="s">
        <v>1062</v>
      </c>
      <c r="K217" s="4" t="s">
        <v>224</v>
      </c>
      <c r="L217" s="5" t="s">
        <v>1063</v>
      </c>
      <c r="M217" s="4" t="s">
        <v>1064</v>
      </c>
      <c r="N217" s="4" t="s">
        <v>1065</v>
      </c>
      <c r="P217" s="4" t="s">
        <v>2865</v>
      </c>
      <c r="Q217" s="4" t="s">
        <v>1066</v>
      </c>
      <c r="R217" s="4" t="s">
        <v>32</v>
      </c>
      <c r="S217" s="4" t="s">
        <v>257</v>
      </c>
      <c r="T217" s="7">
        <v>44736</v>
      </c>
      <c r="U217" s="4">
        <v>0</v>
      </c>
      <c r="V217" s="4">
        <v>5</v>
      </c>
      <c r="W217" s="4" t="s">
        <v>314</v>
      </c>
      <c r="Y217" s="4" t="s">
        <v>233</v>
      </c>
      <c r="Z217" s="4" t="s">
        <v>234</v>
      </c>
      <c r="AA217" s="4" t="s">
        <v>234</v>
      </c>
      <c r="AC217" s="4" t="s">
        <v>2923</v>
      </c>
    </row>
    <row r="218" spans="1:29" hidden="1" x14ac:dyDescent="0.4">
      <c r="A218" s="4" t="s">
        <v>216</v>
      </c>
      <c r="B218" s="4">
        <v>986</v>
      </c>
      <c r="C218" s="4" t="s">
        <v>242</v>
      </c>
      <c r="D218" s="4" t="s">
        <v>1057</v>
      </c>
      <c r="E218" s="4" t="s">
        <v>1058</v>
      </c>
      <c r="F218" s="4" t="s">
        <v>1059</v>
      </c>
      <c r="G218" s="4" t="s">
        <v>1060</v>
      </c>
      <c r="H218" s="4" t="s">
        <v>1061</v>
      </c>
      <c r="I218" s="4" t="s">
        <v>30</v>
      </c>
      <c r="J218" s="4" t="s">
        <v>1062</v>
      </c>
      <c r="K218" s="4" t="s">
        <v>224</v>
      </c>
      <c r="L218" s="5" t="s">
        <v>1063</v>
      </c>
      <c r="M218" s="4" t="s">
        <v>1064</v>
      </c>
      <c r="N218" s="4" t="s">
        <v>1065</v>
      </c>
      <c r="P218" s="4" t="s">
        <v>2865</v>
      </c>
      <c r="Q218" s="4" t="s">
        <v>1066</v>
      </c>
      <c r="R218" s="4" t="s">
        <v>32</v>
      </c>
      <c r="S218" s="4" t="s">
        <v>257</v>
      </c>
      <c r="T218" s="7">
        <v>44736</v>
      </c>
      <c r="U218" s="4">
        <v>0</v>
      </c>
      <c r="V218" s="4">
        <v>6</v>
      </c>
      <c r="Y218" s="4" t="s">
        <v>233</v>
      </c>
      <c r="Z218" s="4" t="s">
        <v>234</v>
      </c>
      <c r="AA218" s="4" t="s">
        <v>234</v>
      </c>
      <c r="AC218" s="4" t="s">
        <v>2923</v>
      </c>
    </row>
    <row r="219" spans="1:29" hidden="1" x14ac:dyDescent="0.4">
      <c r="A219" s="4" t="s">
        <v>216</v>
      </c>
      <c r="B219" s="4">
        <v>986</v>
      </c>
      <c r="C219" s="4" t="s">
        <v>242</v>
      </c>
      <c r="D219" s="4" t="s">
        <v>1057</v>
      </c>
      <c r="E219" s="4" t="s">
        <v>1058</v>
      </c>
      <c r="F219" s="4" t="s">
        <v>1059</v>
      </c>
      <c r="G219" s="4" t="s">
        <v>1060</v>
      </c>
      <c r="H219" s="4" t="s">
        <v>1061</v>
      </c>
      <c r="I219" s="4" t="s">
        <v>30</v>
      </c>
      <c r="J219" s="4" t="s">
        <v>1062</v>
      </c>
      <c r="K219" s="4" t="s">
        <v>224</v>
      </c>
      <c r="L219" s="5" t="s">
        <v>1063</v>
      </c>
      <c r="M219" s="4" t="s">
        <v>1064</v>
      </c>
      <c r="N219" s="4" t="s">
        <v>1065</v>
      </c>
      <c r="P219" s="4" t="s">
        <v>2865</v>
      </c>
      <c r="Q219" s="4" t="s">
        <v>1066</v>
      </c>
      <c r="R219" s="4" t="s">
        <v>32</v>
      </c>
      <c r="S219" s="4" t="s">
        <v>257</v>
      </c>
      <c r="T219" s="7">
        <v>44736</v>
      </c>
      <c r="U219" s="4">
        <v>0</v>
      </c>
      <c r="V219" s="4">
        <v>11</v>
      </c>
      <c r="W219" s="4" t="s">
        <v>132</v>
      </c>
      <c r="Y219" s="4" t="s">
        <v>233</v>
      </c>
      <c r="Z219" s="4" t="s">
        <v>234</v>
      </c>
      <c r="AA219" s="4" t="s">
        <v>234</v>
      </c>
      <c r="AC219" s="4" t="s">
        <v>2923</v>
      </c>
    </row>
    <row r="220" spans="1:29" hidden="1" x14ac:dyDescent="0.4">
      <c r="A220" s="4" t="s">
        <v>216</v>
      </c>
      <c r="B220" s="4">
        <v>986</v>
      </c>
      <c r="C220" s="4" t="s">
        <v>242</v>
      </c>
      <c r="D220" s="4" t="s">
        <v>1057</v>
      </c>
      <c r="E220" s="4" t="s">
        <v>1058</v>
      </c>
      <c r="F220" s="4" t="s">
        <v>1059</v>
      </c>
      <c r="G220" s="4" t="s">
        <v>1060</v>
      </c>
      <c r="H220" s="4" t="s">
        <v>1061</v>
      </c>
      <c r="I220" s="4" t="s">
        <v>30</v>
      </c>
      <c r="J220" s="4" t="s">
        <v>1062</v>
      </c>
      <c r="K220" s="4" t="s">
        <v>224</v>
      </c>
      <c r="L220" s="5" t="s">
        <v>1063</v>
      </c>
      <c r="M220" s="4" t="s">
        <v>1064</v>
      </c>
      <c r="N220" s="4" t="s">
        <v>1065</v>
      </c>
      <c r="P220" s="4" t="s">
        <v>2865</v>
      </c>
      <c r="Q220" s="4" t="s">
        <v>1066</v>
      </c>
      <c r="R220" s="4" t="s">
        <v>32</v>
      </c>
      <c r="S220" s="4" t="s">
        <v>257</v>
      </c>
      <c r="T220" s="7">
        <v>44736</v>
      </c>
      <c r="U220" s="4">
        <v>0</v>
      </c>
      <c r="V220" s="4">
        <v>12</v>
      </c>
      <c r="Y220" s="4" t="s">
        <v>233</v>
      </c>
      <c r="Z220" s="4" t="s">
        <v>234</v>
      </c>
      <c r="AA220" s="4" t="s">
        <v>234</v>
      </c>
      <c r="AC220" s="4" t="s">
        <v>2923</v>
      </c>
    </row>
    <row r="221" spans="1:29" hidden="1" x14ac:dyDescent="0.4">
      <c r="A221" s="4" t="s">
        <v>216</v>
      </c>
      <c r="B221" s="4">
        <v>1146</v>
      </c>
      <c r="C221" s="4" t="s">
        <v>242</v>
      </c>
      <c r="D221" s="4" t="s">
        <v>1067</v>
      </c>
      <c r="E221" s="4" t="s">
        <v>1068</v>
      </c>
      <c r="F221" s="4" t="s">
        <v>1069</v>
      </c>
      <c r="G221" s="4" t="s">
        <v>1070</v>
      </c>
      <c r="H221" s="4" t="s">
        <v>245</v>
      </c>
      <c r="I221" s="4" t="s">
        <v>154</v>
      </c>
      <c r="J221" s="4" t="s">
        <v>1071</v>
      </c>
      <c r="K221" s="4" t="s">
        <v>224</v>
      </c>
      <c r="L221" s="6" t="s">
        <v>1072</v>
      </c>
      <c r="M221" s="4" t="s">
        <v>1073</v>
      </c>
      <c r="N221" s="4" t="s">
        <v>1074</v>
      </c>
      <c r="P221" s="4" t="s">
        <v>1075</v>
      </c>
      <c r="Q221" s="4" t="s">
        <v>1076</v>
      </c>
      <c r="R221" s="4" t="s">
        <v>31</v>
      </c>
      <c r="S221" s="4" t="s">
        <v>231</v>
      </c>
      <c r="T221" s="7">
        <v>43266</v>
      </c>
      <c r="U221" s="4">
        <v>0</v>
      </c>
      <c r="V221" s="4">
        <v>5</v>
      </c>
      <c r="W221" s="4" t="s">
        <v>314</v>
      </c>
      <c r="X221" s="4" t="s">
        <v>1077</v>
      </c>
      <c r="Y221" s="4" t="s">
        <v>233</v>
      </c>
      <c r="Z221" s="4" t="s">
        <v>234</v>
      </c>
      <c r="AA221" s="4" t="s">
        <v>234</v>
      </c>
      <c r="AC221" s="4" t="s">
        <v>2923</v>
      </c>
    </row>
    <row r="222" spans="1:29" hidden="1" x14ac:dyDescent="0.4">
      <c r="A222" s="4" t="s">
        <v>216</v>
      </c>
      <c r="B222" s="4">
        <v>1146</v>
      </c>
      <c r="C222" s="4" t="s">
        <v>242</v>
      </c>
      <c r="D222" s="4" t="s">
        <v>1067</v>
      </c>
      <c r="E222" s="4" t="s">
        <v>1068</v>
      </c>
      <c r="F222" s="4" t="s">
        <v>1069</v>
      </c>
      <c r="G222" s="4" t="s">
        <v>1070</v>
      </c>
      <c r="H222" s="4" t="s">
        <v>245</v>
      </c>
      <c r="I222" s="4" t="s">
        <v>154</v>
      </c>
      <c r="J222" s="4" t="s">
        <v>1071</v>
      </c>
      <c r="K222" s="4" t="s">
        <v>224</v>
      </c>
      <c r="L222" s="6" t="s">
        <v>1072</v>
      </c>
      <c r="M222" s="4" t="s">
        <v>1073</v>
      </c>
      <c r="N222" s="4" t="s">
        <v>1074</v>
      </c>
      <c r="P222" s="4" t="s">
        <v>1075</v>
      </c>
      <c r="Q222" s="4" t="s">
        <v>1076</v>
      </c>
      <c r="R222" s="4" t="s">
        <v>31</v>
      </c>
      <c r="S222" s="4" t="s">
        <v>231</v>
      </c>
      <c r="T222" s="7">
        <v>43266</v>
      </c>
      <c r="U222" s="4">
        <v>0</v>
      </c>
      <c r="V222" s="4">
        <v>6</v>
      </c>
      <c r="X222" s="4" t="s">
        <v>1077</v>
      </c>
      <c r="Y222" s="4" t="s">
        <v>233</v>
      </c>
      <c r="Z222" s="4" t="s">
        <v>234</v>
      </c>
      <c r="AA222" s="4" t="s">
        <v>234</v>
      </c>
      <c r="AC222" s="4" t="s">
        <v>2923</v>
      </c>
    </row>
    <row r="223" spans="1:29" hidden="1" x14ac:dyDescent="0.4">
      <c r="A223" s="4" t="s">
        <v>216</v>
      </c>
      <c r="B223" s="4">
        <v>1146</v>
      </c>
      <c r="C223" s="4" t="s">
        <v>242</v>
      </c>
      <c r="D223" s="4" t="s">
        <v>1067</v>
      </c>
      <c r="E223" s="4" t="s">
        <v>1068</v>
      </c>
      <c r="F223" s="4" t="s">
        <v>1069</v>
      </c>
      <c r="G223" s="4" t="s">
        <v>1070</v>
      </c>
      <c r="H223" s="4" t="s">
        <v>245</v>
      </c>
      <c r="I223" s="4" t="s">
        <v>154</v>
      </c>
      <c r="J223" s="4" t="s">
        <v>1071</v>
      </c>
      <c r="K223" s="4" t="s">
        <v>224</v>
      </c>
      <c r="L223" s="6" t="s">
        <v>1072</v>
      </c>
      <c r="M223" s="4" t="s">
        <v>1073</v>
      </c>
      <c r="N223" s="4" t="s">
        <v>1074</v>
      </c>
      <c r="P223" s="4" t="s">
        <v>1075</v>
      </c>
      <c r="Q223" s="4" t="s">
        <v>1076</v>
      </c>
      <c r="R223" s="4" t="s">
        <v>31</v>
      </c>
      <c r="S223" s="4" t="s">
        <v>231</v>
      </c>
      <c r="T223" s="7">
        <v>43266</v>
      </c>
      <c r="U223" s="4">
        <v>0</v>
      </c>
      <c r="V223" s="4">
        <v>11</v>
      </c>
      <c r="W223" s="4" t="s">
        <v>300</v>
      </c>
      <c r="X223" s="4" t="s">
        <v>1077</v>
      </c>
      <c r="Y223" s="4" t="s">
        <v>233</v>
      </c>
      <c r="Z223" s="4" t="s">
        <v>234</v>
      </c>
      <c r="AA223" s="4" t="s">
        <v>234</v>
      </c>
      <c r="AC223" s="4" t="s">
        <v>2923</v>
      </c>
    </row>
    <row r="224" spans="1:29" hidden="1" x14ac:dyDescent="0.4">
      <c r="A224" s="4" t="s">
        <v>216</v>
      </c>
      <c r="B224" s="4">
        <v>1146</v>
      </c>
      <c r="C224" s="4" t="s">
        <v>242</v>
      </c>
      <c r="D224" s="4" t="s">
        <v>1067</v>
      </c>
      <c r="E224" s="4" t="s">
        <v>1068</v>
      </c>
      <c r="F224" s="4" t="s">
        <v>1069</v>
      </c>
      <c r="G224" s="4" t="s">
        <v>1070</v>
      </c>
      <c r="H224" s="4" t="s">
        <v>245</v>
      </c>
      <c r="I224" s="4" t="s">
        <v>154</v>
      </c>
      <c r="J224" s="4" t="s">
        <v>1071</v>
      </c>
      <c r="K224" s="4" t="s">
        <v>224</v>
      </c>
      <c r="L224" s="6" t="s">
        <v>1072</v>
      </c>
      <c r="M224" s="4" t="s">
        <v>1073</v>
      </c>
      <c r="N224" s="4" t="s">
        <v>1074</v>
      </c>
      <c r="P224" s="4" t="s">
        <v>1075</v>
      </c>
      <c r="Q224" s="4" t="s">
        <v>1076</v>
      </c>
      <c r="R224" s="4" t="s">
        <v>31</v>
      </c>
      <c r="S224" s="4" t="s">
        <v>231</v>
      </c>
      <c r="T224" s="7">
        <v>43266</v>
      </c>
      <c r="U224" s="4">
        <v>0</v>
      </c>
      <c r="V224" s="4">
        <v>12</v>
      </c>
      <c r="X224" s="4" t="s">
        <v>1077</v>
      </c>
      <c r="Y224" s="4" t="s">
        <v>233</v>
      </c>
      <c r="Z224" s="4" t="s">
        <v>234</v>
      </c>
      <c r="AA224" s="4" t="s">
        <v>234</v>
      </c>
      <c r="AC224" s="4" t="s">
        <v>2923</v>
      </c>
    </row>
    <row r="225" spans="1:29" hidden="1" x14ac:dyDescent="0.4">
      <c r="A225" s="4" t="s">
        <v>216</v>
      </c>
      <c r="B225" s="4">
        <v>6747</v>
      </c>
      <c r="C225" s="4" t="s">
        <v>217</v>
      </c>
      <c r="D225" s="4" t="s">
        <v>1078</v>
      </c>
      <c r="E225" s="4" t="s">
        <v>1079</v>
      </c>
      <c r="F225" s="4" t="s">
        <v>1080</v>
      </c>
      <c r="G225" s="4" t="s">
        <v>1081</v>
      </c>
      <c r="H225" s="4" t="s">
        <v>1082</v>
      </c>
      <c r="I225" s="4" t="s">
        <v>1083</v>
      </c>
      <c r="J225" s="4" t="s">
        <v>1084</v>
      </c>
      <c r="K225" s="4" t="s">
        <v>224</v>
      </c>
      <c r="L225" s="5" t="s">
        <v>1085</v>
      </c>
      <c r="M225" s="4" t="s">
        <v>1086</v>
      </c>
      <c r="N225" s="4" t="s">
        <v>1087</v>
      </c>
      <c r="P225" s="4" t="s">
        <v>1088</v>
      </c>
      <c r="Q225" s="4" t="s">
        <v>1089</v>
      </c>
      <c r="R225" s="4" t="s">
        <v>2811</v>
      </c>
      <c r="S225" s="4" t="s">
        <v>257</v>
      </c>
      <c r="T225" s="7">
        <v>44452</v>
      </c>
      <c r="U225" s="4">
        <v>0</v>
      </c>
      <c r="V225" s="4">
        <v>1</v>
      </c>
      <c r="W225" s="4" t="s">
        <v>253</v>
      </c>
      <c r="Y225" s="4" t="s">
        <v>233</v>
      </c>
      <c r="Z225" s="4" t="s">
        <v>234</v>
      </c>
      <c r="AA225" s="4" t="s">
        <v>234</v>
      </c>
      <c r="AC225" s="4" t="s">
        <v>2923</v>
      </c>
    </row>
    <row r="226" spans="1:29" hidden="1" x14ac:dyDescent="0.4">
      <c r="A226" s="4" t="s">
        <v>216</v>
      </c>
      <c r="B226" s="4">
        <v>6747</v>
      </c>
      <c r="C226" s="4" t="s">
        <v>217</v>
      </c>
      <c r="D226" s="4" t="s">
        <v>1078</v>
      </c>
      <c r="E226" s="4" t="s">
        <v>1079</v>
      </c>
      <c r="F226" s="4" t="s">
        <v>1080</v>
      </c>
      <c r="G226" s="4" t="s">
        <v>1081</v>
      </c>
      <c r="H226" s="4" t="s">
        <v>1082</v>
      </c>
      <c r="I226" s="4" t="s">
        <v>1083</v>
      </c>
      <c r="J226" s="4" t="s">
        <v>1084</v>
      </c>
      <c r="K226" s="4" t="s">
        <v>224</v>
      </c>
      <c r="L226" s="5" t="s">
        <v>1085</v>
      </c>
      <c r="M226" s="4" t="s">
        <v>1086</v>
      </c>
      <c r="N226" s="4" t="s">
        <v>1087</v>
      </c>
      <c r="P226" s="4" t="s">
        <v>1088</v>
      </c>
      <c r="Q226" s="4" t="s">
        <v>1089</v>
      </c>
      <c r="R226" s="4" t="s">
        <v>2811</v>
      </c>
      <c r="S226" s="4" t="s">
        <v>257</v>
      </c>
      <c r="T226" s="7">
        <v>44452</v>
      </c>
      <c r="U226" s="4">
        <v>0</v>
      </c>
      <c r="V226" s="4">
        <v>2</v>
      </c>
      <c r="W226" s="4" t="s">
        <v>254</v>
      </c>
      <c r="Y226" s="4" t="s">
        <v>233</v>
      </c>
      <c r="Z226" s="4" t="s">
        <v>234</v>
      </c>
      <c r="AA226" s="4" t="s">
        <v>234</v>
      </c>
      <c r="AC226" s="4" t="s">
        <v>2923</v>
      </c>
    </row>
    <row r="227" spans="1:29" x14ac:dyDescent="0.4">
      <c r="A227" s="4" t="s">
        <v>216</v>
      </c>
      <c r="B227" s="4">
        <v>43</v>
      </c>
      <c r="C227" s="4" t="s">
        <v>242</v>
      </c>
      <c r="D227" s="4" t="s">
        <v>1090</v>
      </c>
      <c r="E227" s="4" t="s">
        <v>1091</v>
      </c>
      <c r="F227" s="4" t="s">
        <v>1092</v>
      </c>
      <c r="G227" s="4" t="s">
        <v>1093</v>
      </c>
      <c r="H227" s="4" t="s">
        <v>1094</v>
      </c>
      <c r="I227" s="4" t="s">
        <v>34</v>
      </c>
      <c r="J227" s="4" t="s">
        <v>1095</v>
      </c>
      <c r="K227" s="4" t="s">
        <v>224</v>
      </c>
      <c r="L227" s="6" t="s">
        <v>1096</v>
      </c>
      <c r="M227" s="4" t="s">
        <v>1097</v>
      </c>
      <c r="N227" s="4" t="s">
        <v>1098</v>
      </c>
      <c r="P227" s="4" t="s">
        <v>1099</v>
      </c>
      <c r="Q227" s="4" t="s">
        <v>1100</v>
      </c>
      <c r="R227" s="4" t="s">
        <v>53</v>
      </c>
      <c r="S227" s="4" t="s">
        <v>257</v>
      </c>
      <c r="T227" s="7">
        <v>44711</v>
      </c>
      <c r="U227" s="4">
        <v>0</v>
      </c>
      <c r="V227" s="4">
        <v>4</v>
      </c>
      <c r="W227" s="4" t="s">
        <v>2725</v>
      </c>
      <c r="X227" s="4" t="s">
        <v>293</v>
      </c>
      <c r="Y227" s="4" t="s">
        <v>233</v>
      </c>
      <c r="Z227" s="4" t="s">
        <v>234</v>
      </c>
      <c r="AA227" s="4" t="s">
        <v>234</v>
      </c>
      <c r="AC227" s="4" t="s">
        <v>2923</v>
      </c>
    </row>
    <row r="228" spans="1:29" hidden="1" x14ac:dyDescent="0.4">
      <c r="A228" s="4" t="s">
        <v>216</v>
      </c>
      <c r="B228" s="4">
        <v>43</v>
      </c>
      <c r="C228" s="4" t="s">
        <v>242</v>
      </c>
      <c r="D228" s="4" t="s">
        <v>1090</v>
      </c>
      <c r="E228" s="4" t="s">
        <v>1091</v>
      </c>
      <c r="F228" s="4" t="s">
        <v>1092</v>
      </c>
      <c r="G228" s="4" t="s">
        <v>1093</v>
      </c>
      <c r="H228" s="4" t="s">
        <v>1094</v>
      </c>
      <c r="I228" s="4" t="s">
        <v>34</v>
      </c>
      <c r="J228" s="4" t="s">
        <v>1095</v>
      </c>
      <c r="K228" s="4" t="s">
        <v>224</v>
      </c>
      <c r="L228" s="6" t="s">
        <v>1096</v>
      </c>
      <c r="M228" s="4" t="s">
        <v>1097</v>
      </c>
      <c r="N228" s="4" t="s">
        <v>1098</v>
      </c>
      <c r="P228" s="4" t="s">
        <v>1099</v>
      </c>
      <c r="Q228" s="4" t="s">
        <v>1100</v>
      </c>
      <c r="R228" s="4" t="s">
        <v>53</v>
      </c>
      <c r="S228" s="4" t="s">
        <v>257</v>
      </c>
      <c r="T228" s="7">
        <v>44711</v>
      </c>
      <c r="U228" s="4">
        <v>0</v>
      </c>
      <c r="V228" s="4">
        <v>5</v>
      </c>
      <c r="W228" s="4" t="s">
        <v>314</v>
      </c>
      <c r="X228" s="4" t="s">
        <v>293</v>
      </c>
      <c r="Y228" s="4" t="s">
        <v>233</v>
      </c>
      <c r="Z228" s="4" t="s">
        <v>234</v>
      </c>
      <c r="AA228" s="4" t="s">
        <v>234</v>
      </c>
      <c r="AC228" s="4" t="s">
        <v>2923</v>
      </c>
    </row>
    <row r="229" spans="1:29" hidden="1" x14ac:dyDescent="0.4">
      <c r="A229" s="4" t="s">
        <v>216</v>
      </c>
      <c r="B229" s="4">
        <v>43</v>
      </c>
      <c r="C229" s="4" t="s">
        <v>242</v>
      </c>
      <c r="D229" s="4" t="s">
        <v>1090</v>
      </c>
      <c r="E229" s="4" t="s">
        <v>1091</v>
      </c>
      <c r="F229" s="4" t="s">
        <v>1092</v>
      </c>
      <c r="G229" s="4" t="s">
        <v>1093</v>
      </c>
      <c r="H229" s="4" t="s">
        <v>1094</v>
      </c>
      <c r="I229" s="4" t="s">
        <v>34</v>
      </c>
      <c r="J229" s="4" t="s">
        <v>1095</v>
      </c>
      <c r="K229" s="4" t="s">
        <v>224</v>
      </c>
      <c r="L229" s="6" t="s">
        <v>1096</v>
      </c>
      <c r="M229" s="4" t="s">
        <v>1097</v>
      </c>
      <c r="N229" s="4" t="s">
        <v>1098</v>
      </c>
      <c r="P229" s="4" t="s">
        <v>1101</v>
      </c>
      <c r="Q229" s="4" t="s">
        <v>1102</v>
      </c>
      <c r="R229" s="4" t="s">
        <v>31</v>
      </c>
      <c r="S229" s="4" t="s">
        <v>257</v>
      </c>
      <c r="T229" s="7">
        <v>44005</v>
      </c>
      <c r="U229" s="4">
        <v>0</v>
      </c>
      <c r="V229" s="4">
        <v>5</v>
      </c>
      <c r="W229" s="4" t="s">
        <v>314</v>
      </c>
      <c r="X229" s="4" t="s">
        <v>293</v>
      </c>
      <c r="Y229" s="4" t="s">
        <v>233</v>
      </c>
      <c r="Z229" s="4" t="s">
        <v>234</v>
      </c>
      <c r="AA229" s="4" t="s">
        <v>234</v>
      </c>
      <c r="AC229" s="4" t="s">
        <v>2923</v>
      </c>
    </row>
    <row r="230" spans="1:29" hidden="1" x14ac:dyDescent="0.4">
      <c r="A230" s="4" t="s">
        <v>216</v>
      </c>
      <c r="B230" s="4">
        <v>43</v>
      </c>
      <c r="C230" s="4" t="s">
        <v>242</v>
      </c>
      <c r="D230" s="4" t="s">
        <v>1090</v>
      </c>
      <c r="E230" s="4" t="s">
        <v>1091</v>
      </c>
      <c r="F230" s="4" t="s">
        <v>1092</v>
      </c>
      <c r="G230" s="4" t="s">
        <v>1093</v>
      </c>
      <c r="H230" s="4" t="s">
        <v>1094</v>
      </c>
      <c r="I230" s="4" t="s">
        <v>34</v>
      </c>
      <c r="J230" s="4" t="s">
        <v>1095</v>
      </c>
      <c r="K230" s="4" t="s">
        <v>224</v>
      </c>
      <c r="L230" s="6" t="s">
        <v>1096</v>
      </c>
      <c r="M230" s="4" t="s">
        <v>1097</v>
      </c>
      <c r="N230" s="4" t="s">
        <v>1098</v>
      </c>
      <c r="P230" s="4" t="s">
        <v>1101</v>
      </c>
      <c r="Q230" s="4" t="s">
        <v>1102</v>
      </c>
      <c r="R230" s="4" t="s">
        <v>31</v>
      </c>
      <c r="S230" s="4" t="s">
        <v>257</v>
      </c>
      <c r="T230" s="7">
        <v>44005</v>
      </c>
      <c r="U230" s="4">
        <v>0</v>
      </c>
      <c r="V230" s="4">
        <v>6</v>
      </c>
      <c r="X230" s="4" t="s">
        <v>293</v>
      </c>
      <c r="Y230" s="4" t="s">
        <v>233</v>
      </c>
      <c r="Z230" s="4" t="s">
        <v>234</v>
      </c>
      <c r="AA230" s="4" t="s">
        <v>234</v>
      </c>
      <c r="AC230" s="4" t="s">
        <v>2923</v>
      </c>
    </row>
    <row r="231" spans="1:29" hidden="1" x14ac:dyDescent="0.4">
      <c r="A231" s="4" t="s">
        <v>216</v>
      </c>
      <c r="B231" s="4">
        <v>43</v>
      </c>
      <c r="C231" s="4" t="s">
        <v>242</v>
      </c>
      <c r="D231" s="4" t="s">
        <v>1090</v>
      </c>
      <c r="E231" s="4" t="s">
        <v>1091</v>
      </c>
      <c r="F231" s="4" t="s">
        <v>1092</v>
      </c>
      <c r="G231" s="4" t="s">
        <v>1093</v>
      </c>
      <c r="H231" s="4" t="s">
        <v>1094</v>
      </c>
      <c r="I231" s="4" t="s">
        <v>34</v>
      </c>
      <c r="J231" s="4" t="s">
        <v>1095</v>
      </c>
      <c r="K231" s="4" t="s">
        <v>224</v>
      </c>
      <c r="L231" s="6" t="s">
        <v>1096</v>
      </c>
      <c r="M231" s="4" t="s">
        <v>1097</v>
      </c>
      <c r="N231" s="4" t="s">
        <v>1098</v>
      </c>
      <c r="P231" s="4" t="s">
        <v>1099</v>
      </c>
      <c r="Q231" s="4" t="s">
        <v>1100</v>
      </c>
      <c r="R231" s="4" t="s">
        <v>53</v>
      </c>
      <c r="S231" s="4" t="s">
        <v>257</v>
      </c>
      <c r="T231" s="7">
        <v>44711</v>
      </c>
      <c r="U231" s="4">
        <v>0</v>
      </c>
      <c r="V231" s="4">
        <v>10</v>
      </c>
      <c r="W231" s="4" t="s">
        <v>314</v>
      </c>
      <c r="X231" s="4" t="s">
        <v>293</v>
      </c>
      <c r="Y231" s="4" t="s">
        <v>233</v>
      </c>
      <c r="Z231" s="4" t="s">
        <v>234</v>
      </c>
      <c r="AA231" s="4" t="s">
        <v>234</v>
      </c>
      <c r="AC231" s="4" t="s">
        <v>2923</v>
      </c>
    </row>
    <row r="232" spans="1:29" hidden="1" x14ac:dyDescent="0.4">
      <c r="A232" s="4" t="s">
        <v>216</v>
      </c>
      <c r="B232" s="4">
        <v>43</v>
      </c>
      <c r="C232" s="4" t="s">
        <v>242</v>
      </c>
      <c r="D232" s="4" t="s">
        <v>1090</v>
      </c>
      <c r="E232" s="4" t="s">
        <v>1091</v>
      </c>
      <c r="F232" s="4" t="s">
        <v>1092</v>
      </c>
      <c r="G232" s="4" t="s">
        <v>1093</v>
      </c>
      <c r="H232" s="4" t="s">
        <v>1094</v>
      </c>
      <c r="I232" s="4" t="s">
        <v>34</v>
      </c>
      <c r="J232" s="4" t="s">
        <v>1095</v>
      </c>
      <c r="K232" s="4" t="s">
        <v>224</v>
      </c>
      <c r="L232" s="6" t="s">
        <v>1096</v>
      </c>
      <c r="M232" s="4" t="s">
        <v>1097</v>
      </c>
      <c r="N232" s="4" t="s">
        <v>1098</v>
      </c>
      <c r="P232" s="4" t="s">
        <v>1099</v>
      </c>
      <c r="Q232" s="4" t="s">
        <v>1100</v>
      </c>
      <c r="R232" s="4" t="s">
        <v>53</v>
      </c>
      <c r="S232" s="4" t="s">
        <v>257</v>
      </c>
      <c r="T232" s="7">
        <v>44711</v>
      </c>
      <c r="U232" s="4">
        <v>0</v>
      </c>
      <c r="V232" s="4">
        <v>11</v>
      </c>
      <c r="W232" s="4" t="s">
        <v>314</v>
      </c>
      <c r="X232" s="4" t="s">
        <v>293</v>
      </c>
      <c r="Y232" s="4" t="s">
        <v>233</v>
      </c>
      <c r="Z232" s="4" t="s">
        <v>234</v>
      </c>
      <c r="AA232" s="4" t="s">
        <v>234</v>
      </c>
      <c r="AC232" s="4" t="s">
        <v>2923</v>
      </c>
    </row>
    <row r="233" spans="1:29" hidden="1" x14ac:dyDescent="0.4">
      <c r="A233" s="4" t="s">
        <v>216</v>
      </c>
      <c r="B233" s="4">
        <v>43</v>
      </c>
      <c r="C233" s="4" t="s">
        <v>242</v>
      </c>
      <c r="D233" s="4" t="s">
        <v>1090</v>
      </c>
      <c r="E233" s="4" t="s">
        <v>1091</v>
      </c>
      <c r="F233" s="4" t="s">
        <v>1092</v>
      </c>
      <c r="G233" s="4" t="s">
        <v>1093</v>
      </c>
      <c r="H233" s="4" t="s">
        <v>1094</v>
      </c>
      <c r="I233" s="4" t="s">
        <v>34</v>
      </c>
      <c r="J233" s="4" t="s">
        <v>1095</v>
      </c>
      <c r="K233" s="4" t="s">
        <v>224</v>
      </c>
      <c r="L233" s="6" t="s">
        <v>1096</v>
      </c>
      <c r="M233" s="4" t="s">
        <v>1097</v>
      </c>
      <c r="N233" s="4" t="s">
        <v>1098</v>
      </c>
      <c r="P233" s="4" t="s">
        <v>1101</v>
      </c>
      <c r="Q233" s="4" t="s">
        <v>1102</v>
      </c>
      <c r="R233" s="4" t="s">
        <v>31</v>
      </c>
      <c r="S233" s="4" t="s">
        <v>257</v>
      </c>
      <c r="T233" s="7">
        <v>44005</v>
      </c>
      <c r="U233" s="4">
        <v>0</v>
      </c>
      <c r="V233" s="4">
        <v>11</v>
      </c>
      <c r="W233" s="4" t="s">
        <v>314</v>
      </c>
      <c r="X233" s="4" t="s">
        <v>293</v>
      </c>
      <c r="Y233" s="4" t="s">
        <v>233</v>
      </c>
      <c r="Z233" s="4" t="s">
        <v>234</v>
      </c>
      <c r="AA233" s="4" t="s">
        <v>234</v>
      </c>
      <c r="AC233" s="4" t="s">
        <v>2923</v>
      </c>
    </row>
    <row r="234" spans="1:29" hidden="1" x14ac:dyDescent="0.4">
      <c r="A234" s="4" t="s">
        <v>216</v>
      </c>
      <c r="B234" s="4">
        <v>43</v>
      </c>
      <c r="C234" s="4" t="s">
        <v>242</v>
      </c>
      <c r="D234" s="4" t="s">
        <v>1090</v>
      </c>
      <c r="E234" s="4" t="s">
        <v>1091</v>
      </c>
      <c r="F234" s="4" t="s">
        <v>1092</v>
      </c>
      <c r="G234" s="4" t="s">
        <v>1093</v>
      </c>
      <c r="H234" s="4" t="s">
        <v>1094</v>
      </c>
      <c r="I234" s="4" t="s">
        <v>34</v>
      </c>
      <c r="J234" s="4" t="s">
        <v>1095</v>
      </c>
      <c r="K234" s="4" t="s">
        <v>224</v>
      </c>
      <c r="L234" s="6" t="s">
        <v>1096</v>
      </c>
      <c r="M234" s="4" t="s">
        <v>1097</v>
      </c>
      <c r="N234" s="4" t="s">
        <v>1098</v>
      </c>
      <c r="P234" s="4" t="s">
        <v>1101</v>
      </c>
      <c r="Q234" s="4" t="s">
        <v>1102</v>
      </c>
      <c r="R234" s="4" t="s">
        <v>31</v>
      </c>
      <c r="S234" s="4" t="s">
        <v>257</v>
      </c>
      <c r="T234" s="7">
        <v>44005</v>
      </c>
      <c r="U234" s="4">
        <v>0</v>
      </c>
      <c r="V234" s="4">
        <v>12</v>
      </c>
      <c r="X234" s="4" t="s">
        <v>293</v>
      </c>
      <c r="Y234" s="4" t="s">
        <v>233</v>
      </c>
      <c r="Z234" s="4" t="s">
        <v>234</v>
      </c>
      <c r="AA234" s="4" t="s">
        <v>234</v>
      </c>
      <c r="AC234" s="4" t="s">
        <v>2923</v>
      </c>
    </row>
    <row r="235" spans="1:29" hidden="1" x14ac:dyDescent="0.4">
      <c r="A235" s="4" t="s">
        <v>216</v>
      </c>
      <c r="B235" s="4">
        <v>1375</v>
      </c>
      <c r="C235" s="4" t="s">
        <v>315</v>
      </c>
      <c r="D235" s="4" t="s">
        <v>1103</v>
      </c>
      <c r="E235" s="4" t="s">
        <v>1104</v>
      </c>
      <c r="F235" s="4" t="s">
        <v>1105</v>
      </c>
      <c r="G235" s="4" t="s">
        <v>1106</v>
      </c>
      <c r="H235" s="4" t="s">
        <v>556</v>
      </c>
      <c r="I235" s="4" t="s">
        <v>1107</v>
      </c>
      <c r="J235" s="4" t="s">
        <v>1108</v>
      </c>
      <c r="K235" s="4" t="s">
        <v>224</v>
      </c>
      <c r="L235" s="6" t="s">
        <v>1109</v>
      </c>
      <c r="M235" s="4" t="s">
        <v>1110</v>
      </c>
      <c r="N235" s="4" t="s">
        <v>1111</v>
      </c>
      <c r="P235" s="4" t="s">
        <v>2866</v>
      </c>
      <c r="Q235" s="4" t="s">
        <v>1112</v>
      </c>
      <c r="R235" s="4" t="s">
        <v>313</v>
      </c>
      <c r="S235" s="4" t="s">
        <v>257</v>
      </c>
      <c r="T235" s="7">
        <v>43570</v>
      </c>
      <c r="U235" s="4">
        <v>0</v>
      </c>
      <c r="V235" s="4">
        <v>5</v>
      </c>
      <c r="W235" s="4" t="s">
        <v>314</v>
      </c>
      <c r="Y235" s="4" t="s">
        <v>233</v>
      </c>
      <c r="Z235" s="4" t="s">
        <v>234</v>
      </c>
      <c r="AA235" s="4" t="s">
        <v>234</v>
      </c>
      <c r="AC235" s="4" t="s">
        <v>2923</v>
      </c>
    </row>
    <row r="236" spans="1:29" hidden="1" x14ac:dyDescent="0.4">
      <c r="A236" s="4" t="s">
        <v>216</v>
      </c>
      <c r="B236" s="4">
        <v>1375</v>
      </c>
      <c r="C236" s="4" t="s">
        <v>315</v>
      </c>
      <c r="D236" s="4" t="s">
        <v>1103</v>
      </c>
      <c r="E236" s="4" t="s">
        <v>1104</v>
      </c>
      <c r="F236" s="4" t="s">
        <v>1105</v>
      </c>
      <c r="G236" s="4" t="s">
        <v>1106</v>
      </c>
      <c r="H236" s="4" t="s">
        <v>556</v>
      </c>
      <c r="I236" s="4" t="s">
        <v>1107</v>
      </c>
      <c r="J236" s="4" t="s">
        <v>1108</v>
      </c>
      <c r="K236" s="4" t="s">
        <v>224</v>
      </c>
      <c r="L236" s="6" t="s">
        <v>1109</v>
      </c>
      <c r="M236" s="4" t="s">
        <v>1110</v>
      </c>
      <c r="N236" s="4" t="s">
        <v>1111</v>
      </c>
      <c r="P236" s="4" t="s">
        <v>2867</v>
      </c>
      <c r="Q236" s="4" t="s">
        <v>1113</v>
      </c>
      <c r="R236" s="4" t="s">
        <v>53</v>
      </c>
      <c r="S236" s="4" t="s">
        <v>257</v>
      </c>
      <c r="T236" s="7">
        <v>44477</v>
      </c>
      <c r="U236" s="4">
        <v>0</v>
      </c>
      <c r="V236" s="4">
        <v>5</v>
      </c>
      <c r="W236" s="4" t="s">
        <v>314</v>
      </c>
      <c r="Y236" s="4" t="s">
        <v>233</v>
      </c>
      <c r="Z236" s="4" t="s">
        <v>234</v>
      </c>
      <c r="AA236" s="4" t="s">
        <v>234</v>
      </c>
      <c r="AC236" s="4" t="s">
        <v>2923</v>
      </c>
    </row>
    <row r="237" spans="1:29" hidden="1" x14ac:dyDescent="0.4">
      <c r="A237" s="4" t="s">
        <v>216</v>
      </c>
      <c r="B237" s="4">
        <v>1375</v>
      </c>
      <c r="C237" s="4" t="s">
        <v>315</v>
      </c>
      <c r="D237" s="4" t="s">
        <v>1103</v>
      </c>
      <c r="E237" s="4" t="s">
        <v>1104</v>
      </c>
      <c r="F237" s="4" t="s">
        <v>1105</v>
      </c>
      <c r="G237" s="4" t="s">
        <v>1106</v>
      </c>
      <c r="H237" s="4" t="s">
        <v>556</v>
      </c>
      <c r="I237" s="4" t="s">
        <v>1107</v>
      </c>
      <c r="J237" s="4" t="s">
        <v>1108</v>
      </c>
      <c r="K237" s="4" t="s">
        <v>224</v>
      </c>
      <c r="L237" s="6" t="s">
        <v>1109</v>
      </c>
      <c r="M237" s="4" t="s">
        <v>1110</v>
      </c>
      <c r="N237" s="4" t="s">
        <v>1111</v>
      </c>
      <c r="P237" s="4" t="s">
        <v>2868</v>
      </c>
      <c r="Q237" s="4" t="s">
        <v>1116</v>
      </c>
      <c r="R237" s="4" t="s">
        <v>129</v>
      </c>
      <c r="S237" s="4" t="s">
        <v>231</v>
      </c>
      <c r="T237" s="7">
        <v>44988</v>
      </c>
      <c r="U237" s="4">
        <v>0</v>
      </c>
      <c r="V237" s="4">
        <v>10</v>
      </c>
      <c r="W237" s="4" t="s">
        <v>433</v>
      </c>
      <c r="Y237" s="4" t="s">
        <v>233</v>
      </c>
      <c r="Z237" s="4" t="s">
        <v>234</v>
      </c>
      <c r="AA237" s="4" t="s">
        <v>234</v>
      </c>
      <c r="AC237" s="4" t="s">
        <v>2923</v>
      </c>
    </row>
    <row r="238" spans="1:29" hidden="1" x14ac:dyDescent="0.4">
      <c r="A238" s="4" t="s">
        <v>216</v>
      </c>
      <c r="B238" s="4">
        <v>1375</v>
      </c>
      <c r="C238" s="4" t="s">
        <v>315</v>
      </c>
      <c r="D238" s="4" t="s">
        <v>1103</v>
      </c>
      <c r="E238" s="4" t="s">
        <v>1104</v>
      </c>
      <c r="F238" s="4" t="s">
        <v>1105</v>
      </c>
      <c r="G238" s="4" t="s">
        <v>1106</v>
      </c>
      <c r="H238" s="4" t="s">
        <v>556</v>
      </c>
      <c r="I238" s="4" t="s">
        <v>1107</v>
      </c>
      <c r="J238" s="4" t="s">
        <v>1108</v>
      </c>
      <c r="K238" s="4" t="s">
        <v>224</v>
      </c>
      <c r="L238" s="6" t="s">
        <v>1109</v>
      </c>
      <c r="M238" s="4" t="s">
        <v>1110</v>
      </c>
      <c r="N238" s="4" t="s">
        <v>1111</v>
      </c>
      <c r="P238" s="4" t="s">
        <v>2866</v>
      </c>
      <c r="Q238" s="4" t="s">
        <v>1112</v>
      </c>
      <c r="R238" s="4" t="s">
        <v>313</v>
      </c>
      <c r="S238" s="4" t="s">
        <v>257</v>
      </c>
      <c r="T238" s="7">
        <v>43570</v>
      </c>
      <c r="U238" s="4">
        <v>0</v>
      </c>
      <c r="V238" s="4">
        <v>11</v>
      </c>
      <c r="W238" s="4" t="s">
        <v>132</v>
      </c>
      <c r="Y238" s="4" t="s">
        <v>233</v>
      </c>
      <c r="Z238" s="4" t="s">
        <v>234</v>
      </c>
      <c r="AA238" s="4" t="s">
        <v>234</v>
      </c>
      <c r="AC238" s="4" t="s">
        <v>2923</v>
      </c>
    </row>
    <row r="239" spans="1:29" hidden="1" x14ac:dyDescent="0.4">
      <c r="A239" s="4" t="s">
        <v>216</v>
      </c>
      <c r="B239" s="4">
        <v>1375</v>
      </c>
      <c r="C239" s="4" t="s">
        <v>315</v>
      </c>
      <c r="D239" s="4" t="s">
        <v>1103</v>
      </c>
      <c r="E239" s="4" t="s">
        <v>1104</v>
      </c>
      <c r="F239" s="4" t="s">
        <v>1105</v>
      </c>
      <c r="G239" s="4" t="s">
        <v>1106</v>
      </c>
      <c r="H239" s="4" t="s">
        <v>556</v>
      </c>
      <c r="I239" s="4" t="s">
        <v>1107</v>
      </c>
      <c r="J239" s="4" t="s">
        <v>1108</v>
      </c>
      <c r="K239" s="4" t="s">
        <v>224</v>
      </c>
      <c r="L239" s="6" t="s">
        <v>1109</v>
      </c>
      <c r="M239" s="4" t="s">
        <v>1110</v>
      </c>
      <c r="N239" s="4" t="s">
        <v>1111</v>
      </c>
      <c r="P239" s="4" t="s">
        <v>2867</v>
      </c>
      <c r="Q239" s="4" t="s">
        <v>1113</v>
      </c>
      <c r="R239" s="4" t="s">
        <v>53</v>
      </c>
      <c r="S239" s="4" t="s">
        <v>257</v>
      </c>
      <c r="T239" s="7">
        <v>44477</v>
      </c>
      <c r="U239" s="4">
        <v>0</v>
      </c>
      <c r="V239" s="4">
        <v>11</v>
      </c>
      <c r="W239" s="4" t="s">
        <v>132</v>
      </c>
      <c r="Y239" s="4" t="s">
        <v>233</v>
      </c>
      <c r="Z239" s="4" t="s">
        <v>234</v>
      </c>
      <c r="AA239" s="4" t="s">
        <v>234</v>
      </c>
      <c r="AC239" s="4" t="s">
        <v>2923</v>
      </c>
    </row>
    <row r="240" spans="1:29" x14ac:dyDescent="0.4">
      <c r="A240" s="4" t="s">
        <v>216</v>
      </c>
      <c r="B240" s="4">
        <v>1375</v>
      </c>
      <c r="C240" s="4" t="s">
        <v>315</v>
      </c>
      <c r="D240" s="4" t="s">
        <v>1103</v>
      </c>
      <c r="E240" s="4" t="s">
        <v>1104</v>
      </c>
      <c r="F240" s="4" t="s">
        <v>1105</v>
      </c>
      <c r="G240" s="4" t="s">
        <v>1106</v>
      </c>
      <c r="H240" s="4" t="s">
        <v>556</v>
      </c>
      <c r="I240" s="4" t="s">
        <v>1107</v>
      </c>
      <c r="J240" s="4" t="s">
        <v>1108</v>
      </c>
      <c r="K240" s="4" t="s">
        <v>224</v>
      </c>
      <c r="L240" s="6" t="s">
        <v>1109</v>
      </c>
      <c r="M240" s="4" t="s">
        <v>1110</v>
      </c>
      <c r="N240" s="4" t="s">
        <v>1111</v>
      </c>
      <c r="P240" s="4" t="s">
        <v>2868</v>
      </c>
      <c r="Q240" s="4" t="s">
        <v>1116</v>
      </c>
      <c r="R240" s="4" t="s">
        <v>129</v>
      </c>
      <c r="S240" s="4" t="s">
        <v>231</v>
      </c>
      <c r="T240" s="7">
        <v>44988</v>
      </c>
      <c r="U240" s="4">
        <v>0</v>
      </c>
      <c r="V240" s="4">
        <v>4</v>
      </c>
      <c r="W240" s="4" t="s">
        <v>2725</v>
      </c>
      <c r="Y240" s="4" t="s">
        <v>233</v>
      </c>
      <c r="Z240" s="4" t="s">
        <v>234</v>
      </c>
      <c r="AA240" s="4" t="s">
        <v>234</v>
      </c>
      <c r="AB240" s="4" t="s">
        <v>1121</v>
      </c>
      <c r="AC240" s="4" t="s">
        <v>2923</v>
      </c>
    </row>
    <row r="241" spans="1:29" hidden="1" x14ac:dyDescent="0.4">
      <c r="A241" s="4" t="s">
        <v>216</v>
      </c>
      <c r="B241" s="4">
        <v>5956</v>
      </c>
      <c r="C241" s="4" t="s">
        <v>242</v>
      </c>
      <c r="D241" s="4" t="s">
        <v>1122</v>
      </c>
      <c r="E241" s="4" t="s">
        <v>1123</v>
      </c>
      <c r="F241" s="4" t="s">
        <v>1124</v>
      </c>
      <c r="G241" s="4" t="s">
        <v>1125</v>
      </c>
      <c r="H241" s="4" t="s">
        <v>245</v>
      </c>
      <c r="I241" s="4" t="s">
        <v>154</v>
      </c>
      <c r="J241" s="4" t="s">
        <v>1126</v>
      </c>
      <c r="K241" s="4" t="s">
        <v>224</v>
      </c>
      <c r="L241" s="6" t="s">
        <v>1127</v>
      </c>
      <c r="M241" s="4" t="s">
        <v>1128</v>
      </c>
      <c r="N241" s="4" t="s">
        <v>1129</v>
      </c>
      <c r="P241" s="4" t="s">
        <v>2869</v>
      </c>
      <c r="Q241" s="4" t="s">
        <v>1130</v>
      </c>
      <c r="R241" s="4" t="s">
        <v>31</v>
      </c>
      <c r="S241" s="4" t="s">
        <v>257</v>
      </c>
      <c r="T241" s="7">
        <v>45015</v>
      </c>
      <c r="U241" s="4">
        <v>0</v>
      </c>
      <c r="V241" s="4">
        <v>6</v>
      </c>
      <c r="Y241" s="4" t="s">
        <v>233</v>
      </c>
      <c r="Z241" s="4" t="s">
        <v>234</v>
      </c>
      <c r="AA241" s="4" t="s">
        <v>234</v>
      </c>
      <c r="AC241" s="4" t="s">
        <v>2923</v>
      </c>
    </row>
    <row r="242" spans="1:29" hidden="1" x14ac:dyDescent="0.4">
      <c r="A242" s="4" t="s">
        <v>216</v>
      </c>
      <c r="B242" s="4">
        <v>5956</v>
      </c>
      <c r="C242" s="4" t="s">
        <v>242</v>
      </c>
      <c r="D242" s="4" t="s">
        <v>1122</v>
      </c>
      <c r="E242" s="4" t="s">
        <v>1123</v>
      </c>
      <c r="F242" s="4" t="s">
        <v>1124</v>
      </c>
      <c r="G242" s="4" t="s">
        <v>1125</v>
      </c>
      <c r="H242" s="4" t="s">
        <v>245</v>
      </c>
      <c r="I242" s="4" t="s">
        <v>154</v>
      </c>
      <c r="J242" s="4" t="s">
        <v>1126</v>
      </c>
      <c r="K242" s="4" t="s">
        <v>224</v>
      </c>
      <c r="L242" s="6" t="s">
        <v>1127</v>
      </c>
      <c r="M242" s="4" t="s">
        <v>1128</v>
      </c>
      <c r="N242" s="4" t="s">
        <v>1129</v>
      </c>
      <c r="P242" s="4" t="s">
        <v>2869</v>
      </c>
      <c r="Q242" s="4" t="s">
        <v>1130</v>
      </c>
      <c r="R242" s="4" t="s">
        <v>31</v>
      </c>
      <c r="S242" s="4" t="s">
        <v>257</v>
      </c>
      <c r="T242" s="7">
        <v>45015</v>
      </c>
      <c r="U242" s="4">
        <v>0</v>
      </c>
      <c r="V242" s="4">
        <v>12</v>
      </c>
      <c r="Y242" s="4" t="s">
        <v>233</v>
      </c>
      <c r="Z242" s="4" t="s">
        <v>234</v>
      </c>
      <c r="AA242" s="4" t="s">
        <v>234</v>
      </c>
      <c r="AC242" s="4" t="s">
        <v>2923</v>
      </c>
    </row>
    <row r="243" spans="1:29" hidden="1" x14ac:dyDescent="0.4">
      <c r="A243" s="4" t="s">
        <v>216</v>
      </c>
      <c r="B243" s="4">
        <v>818</v>
      </c>
      <c r="C243" s="4" t="s">
        <v>217</v>
      </c>
      <c r="D243" s="4" t="s">
        <v>584</v>
      </c>
      <c r="E243" s="4" t="s">
        <v>1133</v>
      </c>
      <c r="F243" s="4" t="s">
        <v>1134</v>
      </c>
      <c r="G243" s="4" t="s">
        <v>1135</v>
      </c>
      <c r="H243" s="4" t="s">
        <v>1136</v>
      </c>
      <c r="I243" s="4" t="s">
        <v>1137</v>
      </c>
      <c r="J243" s="4" t="s">
        <v>1138</v>
      </c>
      <c r="K243" s="4" t="s">
        <v>224</v>
      </c>
      <c r="L243" s="6" t="s">
        <v>1139</v>
      </c>
      <c r="M243" s="4" t="s">
        <v>1140</v>
      </c>
      <c r="N243" s="4" t="s">
        <v>1141</v>
      </c>
      <c r="P243" s="4" t="s">
        <v>1145</v>
      </c>
      <c r="Q243" s="4" t="s">
        <v>1146</v>
      </c>
      <c r="R243" s="4" t="s">
        <v>31</v>
      </c>
      <c r="S243" s="4" t="s">
        <v>231</v>
      </c>
      <c r="T243" s="7">
        <v>44538</v>
      </c>
      <c r="U243" s="4">
        <v>0</v>
      </c>
      <c r="V243" s="4">
        <v>7</v>
      </c>
      <c r="W243" s="4" t="s">
        <v>238</v>
      </c>
      <c r="X243" s="4" t="s">
        <v>293</v>
      </c>
      <c r="Y243" s="4" t="s">
        <v>233</v>
      </c>
      <c r="Z243" s="4" t="s">
        <v>234</v>
      </c>
      <c r="AA243" s="4" t="s">
        <v>234</v>
      </c>
      <c r="AC243" s="4" t="s">
        <v>2923</v>
      </c>
    </row>
    <row r="244" spans="1:29" hidden="1" x14ac:dyDescent="0.4">
      <c r="A244" s="4" t="s">
        <v>216</v>
      </c>
      <c r="B244" s="4">
        <v>818</v>
      </c>
      <c r="C244" s="4" t="s">
        <v>217</v>
      </c>
      <c r="D244" s="4" t="s">
        <v>584</v>
      </c>
      <c r="E244" s="4" t="s">
        <v>1133</v>
      </c>
      <c r="F244" s="4" t="s">
        <v>1134</v>
      </c>
      <c r="G244" s="4" t="s">
        <v>1135</v>
      </c>
      <c r="H244" s="4" t="s">
        <v>1136</v>
      </c>
      <c r="I244" s="4" t="s">
        <v>1137</v>
      </c>
      <c r="J244" s="4" t="s">
        <v>1138</v>
      </c>
      <c r="K244" s="4" t="s">
        <v>224</v>
      </c>
      <c r="L244" s="6" t="s">
        <v>1139</v>
      </c>
      <c r="M244" s="4" t="s">
        <v>1140</v>
      </c>
      <c r="N244" s="4" t="s">
        <v>1141</v>
      </c>
      <c r="P244" s="4" t="s">
        <v>1145</v>
      </c>
      <c r="Q244" s="4" t="s">
        <v>1146</v>
      </c>
      <c r="R244" s="4" t="s">
        <v>31</v>
      </c>
      <c r="S244" s="4" t="s">
        <v>231</v>
      </c>
      <c r="T244" s="7">
        <v>44538</v>
      </c>
      <c r="U244" s="4">
        <v>0</v>
      </c>
      <c r="V244" s="4">
        <v>6</v>
      </c>
      <c r="X244" s="4" t="s">
        <v>293</v>
      </c>
      <c r="Y244" s="4" t="s">
        <v>233</v>
      </c>
      <c r="Z244" s="4" t="s">
        <v>234</v>
      </c>
      <c r="AA244" s="4" t="s">
        <v>234</v>
      </c>
      <c r="AC244" s="4" t="s">
        <v>2923</v>
      </c>
    </row>
    <row r="245" spans="1:29" hidden="1" x14ac:dyDescent="0.4">
      <c r="A245" s="4" t="s">
        <v>216</v>
      </c>
      <c r="B245" s="4">
        <v>818</v>
      </c>
      <c r="C245" s="4" t="s">
        <v>217</v>
      </c>
      <c r="D245" s="4" t="s">
        <v>584</v>
      </c>
      <c r="E245" s="4" t="s">
        <v>1133</v>
      </c>
      <c r="F245" s="4" t="s">
        <v>1134</v>
      </c>
      <c r="G245" s="4" t="s">
        <v>1135</v>
      </c>
      <c r="H245" s="4" t="s">
        <v>1136</v>
      </c>
      <c r="I245" s="4" t="s">
        <v>1137</v>
      </c>
      <c r="J245" s="4" t="s">
        <v>1138</v>
      </c>
      <c r="K245" s="4" t="s">
        <v>224</v>
      </c>
      <c r="L245" s="6" t="s">
        <v>1139</v>
      </c>
      <c r="M245" s="4" t="s">
        <v>1140</v>
      </c>
      <c r="N245" s="4" t="s">
        <v>1141</v>
      </c>
      <c r="P245" s="4" t="s">
        <v>1147</v>
      </c>
      <c r="Q245" s="4" t="s">
        <v>1148</v>
      </c>
      <c r="R245" s="4" t="s">
        <v>31</v>
      </c>
      <c r="S245" s="4" t="s">
        <v>257</v>
      </c>
      <c r="T245" s="7">
        <v>42459</v>
      </c>
      <c r="U245" s="4">
        <v>0</v>
      </c>
      <c r="V245" s="4">
        <v>6</v>
      </c>
      <c r="X245" s="4" t="s">
        <v>293</v>
      </c>
      <c r="Y245" s="4" t="s">
        <v>233</v>
      </c>
      <c r="Z245" s="4" t="s">
        <v>234</v>
      </c>
      <c r="AA245" s="4" t="s">
        <v>234</v>
      </c>
      <c r="AC245" s="4" t="s">
        <v>2923</v>
      </c>
    </row>
    <row r="246" spans="1:29" hidden="1" x14ac:dyDescent="0.4">
      <c r="A246" s="4" t="s">
        <v>216</v>
      </c>
      <c r="B246" s="4">
        <v>818</v>
      </c>
      <c r="C246" s="4" t="s">
        <v>217</v>
      </c>
      <c r="D246" s="4" t="s">
        <v>584</v>
      </c>
      <c r="E246" s="4" t="s">
        <v>1133</v>
      </c>
      <c r="F246" s="4" t="s">
        <v>1134</v>
      </c>
      <c r="G246" s="4" t="s">
        <v>1135</v>
      </c>
      <c r="H246" s="4" t="s">
        <v>1136</v>
      </c>
      <c r="I246" s="4" t="s">
        <v>1137</v>
      </c>
      <c r="J246" s="4" t="s">
        <v>1138</v>
      </c>
      <c r="K246" s="4" t="s">
        <v>224</v>
      </c>
      <c r="L246" s="6" t="s">
        <v>1139</v>
      </c>
      <c r="M246" s="4" t="s">
        <v>1140</v>
      </c>
      <c r="N246" s="4" t="s">
        <v>1141</v>
      </c>
      <c r="P246" s="4" t="s">
        <v>1145</v>
      </c>
      <c r="Q246" s="4" t="s">
        <v>1146</v>
      </c>
      <c r="R246" s="4" t="s">
        <v>31</v>
      </c>
      <c r="S246" s="4" t="s">
        <v>231</v>
      </c>
      <c r="T246" s="7">
        <v>44538</v>
      </c>
      <c r="U246" s="4">
        <v>0</v>
      </c>
      <c r="V246" s="4">
        <v>13</v>
      </c>
      <c r="W246" s="4" t="s">
        <v>240</v>
      </c>
      <c r="X246" s="4" t="s">
        <v>293</v>
      </c>
      <c r="Y246" s="4" t="s">
        <v>233</v>
      </c>
      <c r="Z246" s="4" t="s">
        <v>234</v>
      </c>
      <c r="AA246" s="4" t="s">
        <v>234</v>
      </c>
      <c r="AC246" s="4" t="s">
        <v>2923</v>
      </c>
    </row>
    <row r="247" spans="1:29" hidden="1" x14ac:dyDescent="0.4">
      <c r="A247" s="4" t="s">
        <v>216</v>
      </c>
      <c r="B247" s="4">
        <v>818</v>
      </c>
      <c r="C247" s="4" t="s">
        <v>217</v>
      </c>
      <c r="D247" s="4" t="s">
        <v>584</v>
      </c>
      <c r="E247" s="4" t="s">
        <v>1133</v>
      </c>
      <c r="F247" s="4" t="s">
        <v>1134</v>
      </c>
      <c r="G247" s="4" t="s">
        <v>1135</v>
      </c>
      <c r="H247" s="4" t="s">
        <v>1136</v>
      </c>
      <c r="I247" s="4" t="s">
        <v>1137</v>
      </c>
      <c r="J247" s="4" t="s">
        <v>1138</v>
      </c>
      <c r="K247" s="4" t="s">
        <v>224</v>
      </c>
      <c r="L247" s="6" t="s">
        <v>1139</v>
      </c>
      <c r="M247" s="4" t="s">
        <v>1140</v>
      </c>
      <c r="N247" s="4" t="s">
        <v>1141</v>
      </c>
      <c r="P247" s="4" t="s">
        <v>1145</v>
      </c>
      <c r="Q247" s="4" t="s">
        <v>1146</v>
      </c>
      <c r="R247" s="4" t="s">
        <v>31</v>
      </c>
      <c r="S247" s="4" t="s">
        <v>231</v>
      </c>
      <c r="T247" s="7">
        <v>44538</v>
      </c>
      <c r="U247" s="4">
        <v>0</v>
      </c>
      <c r="V247" s="4">
        <v>12</v>
      </c>
      <c r="X247" s="4" t="s">
        <v>293</v>
      </c>
      <c r="Y247" s="4" t="s">
        <v>233</v>
      </c>
      <c r="Z247" s="4" t="s">
        <v>234</v>
      </c>
      <c r="AA247" s="4" t="s">
        <v>234</v>
      </c>
      <c r="AC247" s="4" t="s">
        <v>2923</v>
      </c>
    </row>
    <row r="248" spans="1:29" hidden="1" x14ac:dyDescent="0.4">
      <c r="A248" s="4" t="s">
        <v>216</v>
      </c>
      <c r="B248" s="4">
        <v>818</v>
      </c>
      <c r="C248" s="4" t="s">
        <v>217</v>
      </c>
      <c r="D248" s="4" t="s">
        <v>584</v>
      </c>
      <c r="E248" s="4" t="s">
        <v>1133</v>
      </c>
      <c r="F248" s="4" t="s">
        <v>1134</v>
      </c>
      <c r="G248" s="4" t="s">
        <v>1135</v>
      </c>
      <c r="H248" s="4" t="s">
        <v>1136</v>
      </c>
      <c r="I248" s="4" t="s">
        <v>1137</v>
      </c>
      <c r="J248" s="4" t="s">
        <v>1138</v>
      </c>
      <c r="K248" s="4" t="s">
        <v>224</v>
      </c>
      <c r="L248" s="6" t="s">
        <v>1139</v>
      </c>
      <c r="M248" s="4" t="s">
        <v>1140</v>
      </c>
      <c r="N248" s="4" t="s">
        <v>1141</v>
      </c>
      <c r="P248" s="4" t="s">
        <v>1147</v>
      </c>
      <c r="Q248" s="4" t="s">
        <v>1148</v>
      </c>
      <c r="R248" s="4" t="s">
        <v>31</v>
      </c>
      <c r="S248" s="4" t="s">
        <v>257</v>
      </c>
      <c r="T248" s="7">
        <v>42459</v>
      </c>
      <c r="U248" s="4">
        <v>0</v>
      </c>
      <c r="V248" s="4">
        <v>12</v>
      </c>
      <c r="X248" s="4" t="s">
        <v>293</v>
      </c>
      <c r="Y248" s="4" t="s">
        <v>233</v>
      </c>
      <c r="Z248" s="4" t="s">
        <v>234</v>
      </c>
      <c r="AA248" s="4" t="s">
        <v>234</v>
      </c>
      <c r="AC248" s="4" t="s">
        <v>2923</v>
      </c>
    </row>
    <row r="249" spans="1:29" hidden="1" x14ac:dyDescent="0.4">
      <c r="A249" s="4" t="s">
        <v>216</v>
      </c>
      <c r="B249" s="4">
        <v>764</v>
      </c>
      <c r="C249" s="4" t="s">
        <v>242</v>
      </c>
      <c r="D249" s="4" t="s">
        <v>1149</v>
      </c>
      <c r="E249" s="4" t="s">
        <v>1150</v>
      </c>
      <c r="F249" s="4" t="s">
        <v>1151</v>
      </c>
      <c r="G249" s="4" t="s">
        <v>1152</v>
      </c>
      <c r="H249" s="4" t="s">
        <v>1153</v>
      </c>
      <c r="I249" s="4" t="s">
        <v>1154</v>
      </c>
      <c r="J249" s="4" t="s">
        <v>1155</v>
      </c>
      <c r="K249" s="4" t="s">
        <v>224</v>
      </c>
      <c r="L249" s="6" t="s">
        <v>1156</v>
      </c>
      <c r="M249" s="4" t="s">
        <v>1157</v>
      </c>
      <c r="N249" s="4" t="s">
        <v>1158</v>
      </c>
      <c r="P249" s="4" t="s">
        <v>1165</v>
      </c>
      <c r="Q249" s="4" t="s">
        <v>1166</v>
      </c>
      <c r="R249" s="4" t="s">
        <v>1164</v>
      </c>
      <c r="S249" s="4" t="s">
        <v>231</v>
      </c>
      <c r="T249" s="7">
        <v>44383</v>
      </c>
      <c r="U249" s="4">
        <v>0</v>
      </c>
      <c r="V249" s="4">
        <v>4</v>
      </c>
      <c r="W249" s="4" t="s">
        <v>314</v>
      </c>
      <c r="X249" s="4" t="s">
        <v>293</v>
      </c>
      <c r="Y249" s="4" t="s">
        <v>233</v>
      </c>
      <c r="Z249" s="4" t="s">
        <v>234</v>
      </c>
      <c r="AA249" s="4" t="s">
        <v>234</v>
      </c>
      <c r="AC249" s="4" t="s">
        <v>2923</v>
      </c>
    </row>
    <row r="250" spans="1:29" hidden="1" x14ac:dyDescent="0.4">
      <c r="A250" s="4" t="s">
        <v>216</v>
      </c>
      <c r="B250" s="4">
        <v>764</v>
      </c>
      <c r="C250" s="4" t="s">
        <v>242</v>
      </c>
      <c r="D250" s="4" t="s">
        <v>1149</v>
      </c>
      <c r="E250" s="4" t="s">
        <v>1150</v>
      </c>
      <c r="F250" s="4" t="s">
        <v>1151</v>
      </c>
      <c r="G250" s="4" t="s">
        <v>1152</v>
      </c>
      <c r="H250" s="4" t="s">
        <v>1153</v>
      </c>
      <c r="I250" s="4" t="s">
        <v>1154</v>
      </c>
      <c r="J250" s="4" t="s">
        <v>1155</v>
      </c>
      <c r="K250" s="4" t="s">
        <v>224</v>
      </c>
      <c r="L250" s="6" t="s">
        <v>1156</v>
      </c>
      <c r="M250" s="4" t="s">
        <v>1157</v>
      </c>
      <c r="N250" s="4" t="s">
        <v>1158</v>
      </c>
      <c r="P250" s="4" t="s">
        <v>1165</v>
      </c>
      <c r="Q250" s="4" t="s">
        <v>1166</v>
      </c>
      <c r="R250" s="4" t="s">
        <v>1164</v>
      </c>
      <c r="S250" s="4" t="s">
        <v>231</v>
      </c>
      <c r="T250" s="7">
        <v>44383</v>
      </c>
      <c r="U250" s="4">
        <v>0</v>
      </c>
      <c r="V250" s="4">
        <v>5</v>
      </c>
      <c r="W250" s="4" t="s">
        <v>314</v>
      </c>
      <c r="X250" s="4" t="s">
        <v>293</v>
      </c>
      <c r="Y250" s="4" t="s">
        <v>233</v>
      </c>
      <c r="Z250" s="4" t="s">
        <v>234</v>
      </c>
      <c r="AA250" s="4" t="s">
        <v>234</v>
      </c>
      <c r="AC250" s="4" t="s">
        <v>2923</v>
      </c>
    </row>
    <row r="251" spans="1:29" hidden="1" x14ac:dyDescent="0.4">
      <c r="A251" s="4" t="s">
        <v>216</v>
      </c>
      <c r="B251" s="4">
        <v>764</v>
      </c>
      <c r="C251" s="4" t="s">
        <v>242</v>
      </c>
      <c r="D251" s="4" t="s">
        <v>1149</v>
      </c>
      <c r="E251" s="4" t="s">
        <v>1150</v>
      </c>
      <c r="F251" s="4" t="s">
        <v>1151</v>
      </c>
      <c r="G251" s="4" t="s">
        <v>1152</v>
      </c>
      <c r="H251" s="4" t="s">
        <v>1153</v>
      </c>
      <c r="I251" s="4" t="s">
        <v>1154</v>
      </c>
      <c r="J251" s="4" t="s">
        <v>1155</v>
      </c>
      <c r="K251" s="4" t="s">
        <v>224</v>
      </c>
      <c r="L251" s="6" t="s">
        <v>1156</v>
      </c>
      <c r="M251" s="4" t="s">
        <v>1157</v>
      </c>
      <c r="N251" s="4" t="s">
        <v>1158</v>
      </c>
      <c r="P251" s="4" t="s">
        <v>1165</v>
      </c>
      <c r="Q251" s="4" t="s">
        <v>1166</v>
      </c>
      <c r="R251" s="4" t="s">
        <v>1164</v>
      </c>
      <c r="S251" s="4" t="s">
        <v>231</v>
      </c>
      <c r="T251" s="7">
        <v>44383</v>
      </c>
      <c r="U251" s="4">
        <v>0</v>
      </c>
      <c r="V251" s="4">
        <v>10</v>
      </c>
      <c r="W251" s="4" t="s">
        <v>314</v>
      </c>
      <c r="X251" s="4" t="s">
        <v>293</v>
      </c>
      <c r="Y251" s="4" t="s">
        <v>233</v>
      </c>
      <c r="Z251" s="4" t="s">
        <v>234</v>
      </c>
      <c r="AA251" s="4" t="s">
        <v>234</v>
      </c>
      <c r="AC251" s="4" t="s">
        <v>2923</v>
      </c>
    </row>
    <row r="252" spans="1:29" hidden="1" x14ac:dyDescent="0.4">
      <c r="A252" s="4" t="s">
        <v>216</v>
      </c>
      <c r="B252" s="4">
        <v>764</v>
      </c>
      <c r="C252" s="4" t="s">
        <v>242</v>
      </c>
      <c r="D252" s="4" t="s">
        <v>1149</v>
      </c>
      <c r="E252" s="4" t="s">
        <v>1150</v>
      </c>
      <c r="F252" s="4" t="s">
        <v>1151</v>
      </c>
      <c r="G252" s="4" t="s">
        <v>1152</v>
      </c>
      <c r="H252" s="4" t="s">
        <v>1153</v>
      </c>
      <c r="I252" s="4" t="s">
        <v>1154</v>
      </c>
      <c r="J252" s="4" t="s">
        <v>1155</v>
      </c>
      <c r="K252" s="4" t="s">
        <v>224</v>
      </c>
      <c r="L252" s="6" t="s">
        <v>1156</v>
      </c>
      <c r="M252" s="4" t="s">
        <v>1157</v>
      </c>
      <c r="N252" s="4" t="s">
        <v>1158</v>
      </c>
      <c r="P252" s="4" t="s">
        <v>1165</v>
      </c>
      <c r="Q252" s="4" t="s">
        <v>1166</v>
      </c>
      <c r="R252" s="4" t="s">
        <v>1164</v>
      </c>
      <c r="S252" s="4" t="s">
        <v>231</v>
      </c>
      <c r="T252" s="7">
        <v>44383</v>
      </c>
      <c r="U252" s="4">
        <v>0</v>
      </c>
      <c r="V252" s="4">
        <v>11</v>
      </c>
      <c r="W252" s="4" t="s">
        <v>314</v>
      </c>
      <c r="X252" s="4" t="s">
        <v>293</v>
      </c>
      <c r="Y252" s="4" t="s">
        <v>233</v>
      </c>
      <c r="Z252" s="4" t="s">
        <v>234</v>
      </c>
      <c r="AA252" s="4" t="s">
        <v>234</v>
      </c>
      <c r="AC252" s="4" t="s">
        <v>2923</v>
      </c>
    </row>
    <row r="253" spans="1:29" hidden="1" x14ac:dyDescent="0.4">
      <c r="A253" s="4" t="s">
        <v>216</v>
      </c>
      <c r="B253" s="4">
        <v>764</v>
      </c>
      <c r="C253" s="4" t="s">
        <v>242</v>
      </c>
      <c r="D253" s="4" t="s">
        <v>1149</v>
      </c>
      <c r="E253" s="4" t="s">
        <v>1150</v>
      </c>
      <c r="F253" s="4" t="s">
        <v>1151</v>
      </c>
      <c r="G253" s="4" t="s">
        <v>1152</v>
      </c>
      <c r="H253" s="4" t="s">
        <v>1153</v>
      </c>
      <c r="I253" s="4" t="s">
        <v>1154</v>
      </c>
      <c r="J253" s="4" t="s">
        <v>1155</v>
      </c>
      <c r="K253" s="4" t="s">
        <v>224</v>
      </c>
      <c r="L253" s="6" t="s">
        <v>1156</v>
      </c>
      <c r="M253" s="4" t="s">
        <v>1157</v>
      </c>
      <c r="N253" s="4" t="s">
        <v>1158</v>
      </c>
      <c r="P253" s="4" t="s">
        <v>1165</v>
      </c>
      <c r="Q253" s="4" t="s">
        <v>1166</v>
      </c>
      <c r="R253" s="4" t="s">
        <v>1164</v>
      </c>
      <c r="S253" s="4" t="s">
        <v>231</v>
      </c>
      <c r="T253" s="7">
        <v>44383</v>
      </c>
      <c r="U253" s="4">
        <v>0</v>
      </c>
      <c r="V253" s="4">
        <v>14</v>
      </c>
      <c r="W253" s="4" t="s">
        <v>241</v>
      </c>
      <c r="X253" s="4" t="s">
        <v>293</v>
      </c>
      <c r="Y253" s="4" t="s">
        <v>233</v>
      </c>
      <c r="Z253" s="4" t="s">
        <v>234</v>
      </c>
      <c r="AA253" s="4" t="s">
        <v>234</v>
      </c>
      <c r="AC253" s="4" t="s">
        <v>2923</v>
      </c>
    </row>
    <row r="254" spans="1:29" x14ac:dyDescent="0.4">
      <c r="A254" s="4" t="s">
        <v>216</v>
      </c>
      <c r="B254" s="4">
        <v>1024</v>
      </c>
      <c r="C254" s="4" t="s">
        <v>242</v>
      </c>
      <c r="D254" s="4" t="s">
        <v>1167</v>
      </c>
      <c r="E254" s="4" t="s">
        <v>1168</v>
      </c>
      <c r="F254" s="4" t="s">
        <v>1169</v>
      </c>
      <c r="G254" s="4" t="s">
        <v>1170</v>
      </c>
      <c r="H254" s="4" t="s">
        <v>1016</v>
      </c>
      <c r="I254" s="4" t="s">
        <v>143</v>
      </c>
      <c r="J254" s="4" t="s">
        <v>1171</v>
      </c>
      <c r="K254" s="4" t="s">
        <v>224</v>
      </c>
      <c r="L254" s="5" t="s">
        <v>1172</v>
      </c>
      <c r="M254" s="4" t="s">
        <v>1173</v>
      </c>
      <c r="N254" s="4" t="s">
        <v>1174</v>
      </c>
      <c r="P254" s="4" t="s">
        <v>1175</v>
      </c>
      <c r="Q254" s="4" t="s">
        <v>1176</v>
      </c>
      <c r="R254" s="4" t="s">
        <v>313</v>
      </c>
      <c r="S254" s="4" t="s">
        <v>231</v>
      </c>
      <c r="T254" s="7">
        <v>42981</v>
      </c>
      <c r="U254" s="4">
        <v>0</v>
      </c>
      <c r="V254" s="4">
        <v>4</v>
      </c>
      <c r="W254" s="4" t="s">
        <v>97</v>
      </c>
      <c r="Y254" s="4" t="s">
        <v>233</v>
      </c>
      <c r="Z254" s="4" t="s">
        <v>234</v>
      </c>
      <c r="AA254" s="4" t="s">
        <v>234</v>
      </c>
      <c r="AB254" s="4" t="s">
        <v>1177</v>
      </c>
      <c r="AC254" s="4" t="s">
        <v>2923</v>
      </c>
    </row>
    <row r="255" spans="1:29" x14ac:dyDescent="0.4">
      <c r="A255" s="4" t="s">
        <v>216</v>
      </c>
      <c r="B255" s="4">
        <v>1024</v>
      </c>
      <c r="C255" s="4" t="s">
        <v>242</v>
      </c>
      <c r="D255" s="4" t="s">
        <v>1167</v>
      </c>
      <c r="E255" s="4" t="s">
        <v>1168</v>
      </c>
      <c r="F255" s="4" t="s">
        <v>1169</v>
      </c>
      <c r="G255" s="4" t="s">
        <v>1170</v>
      </c>
      <c r="H255" s="4" t="s">
        <v>1016</v>
      </c>
      <c r="I255" s="4" t="s">
        <v>143</v>
      </c>
      <c r="J255" s="4" t="s">
        <v>1171</v>
      </c>
      <c r="K255" s="4" t="s">
        <v>224</v>
      </c>
      <c r="L255" s="5" t="s">
        <v>1172</v>
      </c>
      <c r="M255" s="4" t="s">
        <v>1173</v>
      </c>
      <c r="N255" s="4" t="s">
        <v>1174</v>
      </c>
      <c r="P255" s="4" t="s">
        <v>1178</v>
      </c>
      <c r="Q255" s="4" t="s">
        <v>1179</v>
      </c>
      <c r="R255" s="4" t="s">
        <v>313</v>
      </c>
      <c r="S255" s="4" t="s">
        <v>231</v>
      </c>
      <c r="T255" s="7">
        <v>44760</v>
      </c>
      <c r="U255" s="4">
        <v>0</v>
      </c>
      <c r="V255" s="4">
        <v>4</v>
      </c>
      <c r="W255" s="4" t="s">
        <v>97</v>
      </c>
      <c r="Y255" s="4" t="s">
        <v>233</v>
      </c>
      <c r="Z255" s="4" t="s">
        <v>234</v>
      </c>
      <c r="AA255" s="4" t="s">
        <v>234</v>
      </c>
      <c r="AB255" s="4" t="s">
        <v>1177</v>
      </c>
      <c r="AC255" s="4" t="s">
        <v>2923</v>
      </c>
    </row>
    <row r="256" spans="1:29" hidden="1" x14ac:dyDescent="0.4">
      <c r="A256" s="4" t="s">
        <v>216</v>
      </c>
      <c r="B256" s="4">
        <v>1024</v>
      </c>
      <c r="C256" s="4" t="s">
        <v>242</v>
      </c>
      <c r="D256" s="4" t="s">
        <v>1167</v>
      </c>
      <c r="E256" s="4" t="s">
        <v>1168</v>
      </c>
      <c r="F256" s="4" t="s">
        <v>1169</v>
      </c>
      <c r="G256" s="4" t="s">
        <v>1170</v>
      </c>
      <c r="H256" s="4" t="s">
        <v>1016</v>
      </c>
      <c r="I256" s="4" t="s">
        <v>143</v>
      </c>
      <c r="J256" s="4" t="s">
        <v>1171</v>
      </c>
      <c r="K256" s="4" t="s">
        <v>224</v>
      </c>
      <c r="L256" s="5" t="s">
        <v>1172</v>
      </c>
      <c r="M256" s="4" t="s">
        <v>1173</v>
      </c>
      <c r="N256" s="4" t="s">
        <v>1174</v>
      </c>
      <c r="P256" s="4" t="s">
        <v>1178</v>
      </c>
      <c r="Q256" s="4" t="s">
        <v>1179</v>
      </c>
      <c r="R256" s="4" t="s">
        <v>313</v>
      </c>
      <c r="S256" s="4" t="s">
        <v>231</v>
      </c>
      <c r="T256" s="7">
        <v>44760</v>
      </c>
      <c r="U256" s="4">
        <v>0</v>
      </c>
      <c r="V256" s="4">
        <v>6</v>
      </c>
      <c r="Y256" s="4" t="s">
        <v>233</v>
      </c>
      <c r="Z256" s="4" t="s">
        <v>234</v>
      </c>
      <c r="AA256" s="4" t="s">
        <v>234</v>
      </c>
      <c r="AB256" s="4" t="s">
        <v>1177</v>
      </c>
      <c r="AC256" s="4" t="s">
        <v>2923</v>
      </c>
    </row>
    <row r="257" spans="1:29" hidden="1" x14ac:dyDescent="0.4">
      <c r="A257" s="4" t="s">
        <v>216</v>
      </c>
      <c r="B257" s="4">
        <v>5863</v>
      </c>
      <c r="C257" s="4" t="s">
        <v>417</v>
      </c>
      <c r="D257" s="4" t="s">
        <v>418</v>
      </c>
      <c r="E257" s="4" t="s">
        <v>1180</v>
      </c>
      <c r="F257" s="4" t="s">
        <v>1181</v>
      </c>
      <c r="G257" s="4" t="s">
        <v>1182</v>
      </c>
      <c r="H257" s="4" t="s">
        <v>222</v>
      </c>
      <c r="I257" s="4" t="s">
        <v>154</v>
      </c>
      <c r="J257" s="4" t="s">
        <v>1183</v>
      </c>
      <c r="K257" s="4" t="s">
        <v>224</v>
      </c>
      <c r="L257" s="6" t="s">
        <v>1184</v>
      </c>
      <c r="M257" s="4" t="s">
        <v>1185</v>
      </c>
      <c r="N257" s="4" t="s">
        <v>1186</v>
      </c>
      <c r="P257" s="4" t="s">
        <v>2870</v>
      </c>
      <c r="Q257" s="4" t="s">
        <v>1187</v>
      </c>
      <c r="R257" s="4" t="s">
        <v>2811</v>
      </c>
      <c r="S257" s="4" t="s">
        <v>231</v>
      </c>
      <c r="T257" s="7">
        <v>45133</v>
      </c>
      <c r="U257" s="4">
        <v>0</v>
      </c>
      <c r="V257" s="4">
        <v>10</v>
      </c>
      <c r="W257" s="4" t="s">
        <v>314</v>
      </c>
      <c r="Y257" s="4" t="s">
        <v>233</v>
      </c>
      <c r="Z257" s="4" t="s">
        <v>234</v>
      </c>
      <c r="AA257" s="4" t="s">
        <v>234</v>
      </c>
      <c r="AC257" s="4" t="s">
        <v>2923</v>
      </c>
    </row>
    <row r="258" spans="1:29" hidden="1" x14ac:dyDescent="0.4">
      <c r="A258" s="4" t="s">
        <v>216</v>
      </c>
      <c r="B258" s="4">
        <v>5863</v>
      </c>
      <c r="C258" s="4" t="s">
        <v>417</v>
      </c>
      <c r="D258" s="4" t="s">
        <v>418</v>
      </c>
      <c r="E258" s="4" t="s">
        <v>1180</v>
      </c>
      <c r="F258" s="4" t="s">
        <v>1181</v>
      </c>
      <c r="G258" s="4" t="s">
        <v>1182</v>
      </c>
      <c r="H258" s="4" t="s">
        <v>222</v>
      </c>
      <c r="I258" s="4" t="s">
        <v>154</v>
      </c>
      <c r="J258" s="4" t="s">
        <v>1183</v>
      </c>
      <c r="K258" s="4" t="s">
        <v>224</v>
      </c>
      <c r="L258" s="6" t="s">
        <v>1184</v>
      </c>
      <c r="M258" s="4" t="s">
        <v>1185</v>
      </c>
      <c r="N258" s="4" t="s">
        <v>1186</v>
      </c>
      <c r="P258" s="4" t="s">
        <v>2870</v>
      </c>
      <c r="Q258" s="4" t="s">
        <v>1187</v>
      </c>
      <c r="R258" s="4" t="s">
        <v>2811</v>
      </c>
      <c r="S258" s="4" t="s">
        <v>231</v>
      </c>
      <c r="T258" s="7">
        <v>45133</v>
      </c>
      <c r="U258" s="4">
        <v>0</v>
      </c>
      <c r="V258" s="4">
        <v>14</v>
      </c>
      <c r="W258" s="4" t="s">
        <v>241</v>
      </c>
      <c r="Y258" s="4" t="s">
        <v>233</v>
      </c>
      <c r="Z258" s="4" t="s">
        <v>234</v>
      </c>
      <c r="AA258" s="4" t="s">
        <v>234</v>
      </c>
      <c r="AC258" s="4" t="s">
        <v>2923</v>
      </c>
    </row>
    <row r="259" spans="1:29" hidden="1" x14ac:dyDescent="0.4">
      <c r="A259" s="4" t="s">
        <v>216</v>
      </c>
      <c r="B259" s="4">
        <v>5516</v>
      </c>
      <c r="C259" s="4" t="s">
        <v>242</v>
      </c>
      <c r="D259" s="4" t="s">
        <v>1188</v>
      </c>
      <c r="E259" s="4" t="s">
        <v>1180</v>
      </c>
      <c r="F259" s="4" t="s">
        <v>1189</v>
      </c>
      <c r="G259" s="4" t="s">
        <v>1190</v>
      </c>
      <c r="H259" s="4" t="s">
        <v>1191</v>
      </c>
      <c r="I259" s="4" t="s">
        <v>143</v>
      </c>
      <c r="J259" s="4" t="s">
        <v>1192</v>
      </c>
      <c r="K259" s="4" t="s">
        <v>224</v>
      </c>
      <c r="L259" s="6" t="s">
        <v>1193</v>
      </c>
      <c r="M259" s="4" t="s">
        <v>1194</v>
      </c>
      <c r="N259" s="4" t="s">
        <v>1195</v>
      </c>
      <c r="P259" s="4" t="s">
        <v>2871</v>
      </c>
      <c r="Q259" s="4" t="s">
        <v>1196</v>
      </c>
      <c r="R259" s="4" t="s">
        <v>53</v>
      </c>
      <c r="S259" s="4" t="s">
        <v>257</v>
      </c>
      <c r="T259" s="7">
        <v>42965</v>
      </c>
      <c r="U259" s="4">
        <v>0</v>
      </c>
      <c r="V259" s="4">
        <v>2</v>
      </c>
      <c r="W259" s="4" t="s">
        <v>254</v>
      </c>
      <c r="Y259" s="4" t="s">
        <v>233</v>
      </c>
      <c r="Z259" s="4" t="s">
        <v>234</v>
      </c>
      <c r="AA259" s="4" t="s">
        <v>234</v>
      </c>
      <c r="AC259" s="4" t="s">
        <v>2923</v>
      </c>
    </row>
    <row r="260" spans="1:29" hidden="1" x14ac:dyDescent="0.4">
      <c r="A260" s="4" t="s">
        <v>216</v>
      </c>
      <c r="B260" s="4">
        <v>5516</v>
      </c>
      <c r="C260" s="4" t="s">
        <v>242</v>
      </c>
      <c r="D260" s="4" t="s">
        <v>1188</v>
      </c>
      <c r="E260" s="4" t="s">
        <v>1180</v>
      </c>
      <c r="F260" s="4" t="s">
        <v>1189</v>
      </c>
      <c r="G260" s="4" t="s">
        <v>1190</v>
      </c>
      <c r="H260" s="4" t="s">
        <v>1191</v>
      </c>
      <c r="I260" s="4" t="s">
        <v>143</v>
      </c>
      <c r="J260" s="4" t="s">
        <v>1192</v>
      </c>
      <c r="K260" s="4" t="s">
        <v>224</v>
      </c>
      <c r="L260" s="6" t="s">
        <v>1193</v>
      </c>
      <c r="M260" s="4" t="s">
        <v>1194</v>
      </c>
      <c r="N260" s="4" t="s">
        <v>1195</v>
      </c>
      <c r="P260" s="4" t="s">
        <v>2871</v>
      </c>
      <c r="Q260" s="4" t="s">
        <v>1196</v>
      </c>
      <c r="R260" s="4" t="s">
        <v>53</v>
      </c>
      <c r="S260" s="4" t="s">
        <v>257</v>
      </c>
      <c r="T260" s="7">
        <v>42965</v>
      </c>
      <c r="U260" s="4">
        <v>0</v>
      </c>
      <c r="V260" s="4">
        <v>3</v>
      </c>
      <c r="W260" s="4" t="s">
        <v>258</v>
      </c>
      <c r="Y260" s="4" t="s">
        <v>233</v>
      </c>
      <c r="Z260" s="4" t="s">
        <v>234</v>
      </c>
      <c r="AA260" s="4" t="s">
        <v>234</v>
      </c>
      <c r="AC260" s="4" t="s">
        <v>2923</v>
      </c>
    </row>
    <row r="261" spans="1:29" hidden="1" x14ac:dyDescent="0.4">
      <c r="A261" s="4" t="s">
        <v>216</v>
      </c>
      <c r="B261" s="4">
        <v>5516</v>
      </c>
      <c r="C261" s="4" t="s">
        <v>242</v>
      </c>
      <c r="D261" s="4" t="s">
        <v>1188</v>
      </c>
      <c r="E261" s="4" t="s">
        <v>1180</v>
      </c>
      <c r="F261" s="4" t="s">
        <v>1189</v>
      </c>
      <c r="G261" s="4" t="s">
        <v>1190</v>
      </c>
      <c r="H261" s="4" t="s">
        <v>1191</v>
      </c>
      <c r="I261" s="4" t="s">
        <v>143</v>
      </c>
      <c r="J261" s="4" t="s">
        <v>1192</v>
      </c>
      <c r="K261" s="4" t="s">
        <v>224</v>
      </c>
      <c r="L261" s="6" t="s">
        <v>1193</v>
      </c>
      <c r="M261" s="4" t="s">
        <v>1194</v>
      </c>
      <c r="N261" s="4" t="s">
        <v>1195</v>
      </c>
      <c r="P261" s="4" t="s">
        <v>2871</v>
      </c>
      <c r="Q261" s="4" t="s">
        <v>1196</v>
      </c>
      <c r="R261" s="4" t="s">
        <v>53</v>
      </c>
      <c r="S261" s="4" t="s">
        <v>257</v>
      </c>
      <c r="T261" s="7">
        <v>42965</v>
      </c>
      <c r="U261" s="4">
        <v>0</v>
      </c>
      <c r="V261" s="4">
        <v>8</v>
      </c>
      <c r="W261" s="4" t="s">
        <v>281</v>
      </c>
      <c r="Y261" s="4" t="s">
        <v>233</v>
      </c>
      <c r="Z261" s="4" t="s">
        <v>234</v>
      </c>
      <c r="AA261" s="4" t="s">
        <v>234</v>
      </c>
      <c r="AC261" s="4" t="s">
        <v>2923</v>
      </c>
    </row>
    <row r="262" spans="1:29" hidden="1" x14ac:dyDescent="0.4">
      <c r="A262" s="4" t="s">
        <v>216</v>
      </c>
      <c r="B262" s="4">
        <v>5516</v>
      </c>
      <c r="C262" s="4" t="s">
        <v>242</v>
      </c>
      <c r="D262" s="4" t="s">
        <v>1188</v>
      </c>
      <c r="E262" s="4" t="s">
        <v>1180</v>
      </c>
      <c r="F262" s="4" t="s">
        <v>1189</v>
      </c>
      <c r="G262" s="4" t="s">
        <v>1190</v>
      </c>
      <c r="H262" s="4" t="s">
        <v>1191</v>
      </c>
      <c r="I262" s="4" t="s">
        <v>143</v>
      </c>
      <c r="J262" s="4" t="s">
        <v>1192</v>
      </c>
      <c r="K262" s="4" t="s">
        <v>224</v>
      </c>
      <c r="L262" s="6" t="s">
        <v>1193</v>
      </c>
      <c r="M262" s="4" t="s">
        <v>1194</v>
      </c>
      <c r="N262" s="4" t="s">
        <v>1195</v>
      </c>
      <c r="P262" s="4" t="s">
        <v>2871</v>
      </c>
      <c r="Q262" s="4" t="s">
        <v>1196</v>
      </c>
      <c r="R262" s="4" t="s">
        <v>53</v>
      </c>
      <c r="S262" s="4" t="s">
        <v>257</v>
      </c>
      <c r="T262" s="7">
        <v>42965</v>
      </c>
      <c r="U262" s="4">
        <v>0</v>
      </c>
      <c r="V262" s="4">
        <v>9</v>
      </c>
      <c r="W262" s="4" t="s">
        <v>358</v>
      </c>
      <c r="Y262" s="4" t="s">
        <v>233</v>
      </c>
      <c r="Z262" s="4" t="s">
        <v>234</v>
      </c>
      <c r="AA262" s="4" t="s">
        <v>234</v>
      </c>
      <c r="AC262" s="4" t="s">
        <v>2923</v>
      </c>
    </row>
    <row r="263" spans="1:29" hidden="1" x14ac:dyDescent="0.4">
      <c r="A263" s="4" t="s">
        <v>216</v>
      </c>
      <c r="B263" s="4">
        <v>1635</v>
      </c>
      <c r="C263" s="4" t="s">
        <v>217</v>
      </c>
      <c r="D263" s="4" t="s">
        <v>468</v>
      </c>
      <c r="E263" s="4" t="s">
        <v>1199</v>
      </c>
      <c r="F263" s="4" t="s">
        <v>1200</v>
      </c>
      <c r="H263" s="4" t="s">
        <v>1201</v>
      </c>
      <c r="I263" s="4" t="s">
        <v>1202</v>
      </c>
      <c r="J263" s="4" t="s">
        <v>1203</v>
      </c>
      <c r="K263" s="4" t="s">
        <v>224</v>
      </c>
      <c r="L263" s="5" t="s">
        <v>1204</v>
      </c>
      <c r="M263" s="4" t="s">
        <v>1205</v>
      </c>
      <c r="N263" s="4" t="s">
        <v>1206</v>
      </c>
      <c r="P263" s="4" t="s">
        <v>1210</v>
      </c>
      <c r="Q263" s="4" t="s">
        <v>1211</v>
      </c>
      <c r="R263" s="4" t="s">
        <v>31</v>
      </c>
      <c r="S263" s="4" t="s">
        <v>231</v>
      </c>
      <c r="T263" s="7">
        <v>44422</v>
      </c>
      <c r="U263" s="4">
        <v>0</v>
      </c>
      <c r="V263" s="4">
        <v>11</v>
      </c>
      <c r="W263" s="4" t="s">
        <v>314</v>
      </c>
      <c r="Y263" s="4" t="s">
        <v>233</v>
      </c>
      <c r="Z263" s="4" t="s">
        <v>234</v>
      </c>
      <c r="AA263" s="4" t="s">
        <v>233</v>
      </c>
      <c r="AB263" s="4" t="s">
        <v>1209</v>
      </c>
      <c r="AC263" s="4" t="s">
        <v>2923</v>
      </c>
    </row>
    <row r="264" spans="1:29" hidden="1" x14ac:dyDescent="0.4">
      <c r="A264" s="4" t="s">
        <v>216</v>
      </c>
      <c r="B264" s="4">
        <v>1635</v>
      </c>
      <c r="C264" s="4" t="s">
        <v>217</v>
      </c>
      <c r="D264" s="4" t="s">
        <v>468</v>
      </c>
      <c r="E264" s="4" t="s">
        <v>1199</v>
      </c>
      <c r="F264" s="4" t="s">
        <v>1200</v>
      </c>
      <c r="H264" s="4" t="s">
        <v>1201</v>
      </c>
      <c r="I264" s="4" t="s">
        <v>1202</v>
      </c>
      <c r="J264" s="4" t="s">
        <v>1203</v>
      </c>
      <c r="K264" s="4" t="s">
        <v>224</v>
      </c>
      <c r="L264" s="5" t="s">
        <v>1204</v>
      </c>
      <c r="M264" s="4" t="s">
        <v>1205</v>
      </c>
      <c r="N264" s="4" t="s">
        <v>1206</v>
      </c>
      <c r="P264" s="4" t="s">
        <v>1210</v>
      </c>
      <c r="Q264" s="4" t="s">
        <v>1211</v>
      </c>
      <c r="R264" s="4" t="s">
        <v>31</v>
      </c>
      <c r="S264" s="4" t="s">
        <v>231</v>
      </c>
      <c r="T264" s="7">
        <v>44422</v>
      </c>
      <c r="U264" s="4">
        <v>0</v>
      </c>
      <c r="V264" s="4">
        <v>12</v>
      </c>
      <c r="Y264" s="4" t="s">
        <v>233</v>
      </c>
      <c r="Z264" s="4" t="s">
        <v>234</v>
      </c>
      <c r="AA264" s="4" t="s">
        <v>233</v>
      </c>
      <c r="AB264" s="4" t="s">
        <v>1209</v>
      </c>
      <c r="AC264" s="4" t="s">
        <v>2923</v>
      </c>
    </row>
    <row r="265" spans="1:29" hidden="1" x14ac:dyDescent="0.4">
      <c r="A265" s="4" t="s">
        <v>216</v>
      </c>
      <c r="B265" s="4">
        <v>1635</v>
      </c>
      <c r="C265" s="4" t="s">
        <v>217</v>
      </c>
      <c r="D265" s="4" t="s">
        <v>468</v>
      </c>
      <c r="E265" s="4" t="s">
        <v>1199</v>
      </c>
      <c r="F265" s="4" t="s">
        <v>1200</v>
      </c>
      <c r="H265" s="4" t="s">
        <v>1201</v>
      </c>
      <c r="I265" s="4" t="s">
        <v>1202</v>
      </c>
      <c r="J265" s="4" t="s">
        <v>1203</v>
      </c>
      <c r="K265" s="4" t="s">
        <v>224</v>
      </c>
      <c r="L265" s="5" t="s">
        <v>1204</v>
      </c>
      <c r="M265" s="4" t="s">
        <v>1205</v>
      </c>
      <c r="N265" s="4" t="s">
        <v>1206</v>
      </c>
      <c r="P265" s="4" t="s">
        <v>1210</v>
      </c>
      <c r="Q265" s="4" t="s">
        <v>1211</v>
      </c>
      <c r="R265" s="4" t="s">
        <v>31</v>
      </c>
      <c r="S265" s="4" t="s">
        <v>231</v>
      </c>
      <c r="T265" s="7">
        <v>44422</v>
      </c>
      <c r="U265" s="4">
        <v>0</v>
      </c>
      <c r="V265" s="4">
        <v>13</v>
      </c>
      <c r="W265" s="4" t="s">
        <v>240</v>
      </c>
      <c r="Y265" s="4" t="s">
        <v>233</v>
      </c>
      <c r="Z265" s="4" t="s">
        <v>234</v>
      </c>
      <c r="AA265" s="4" t="s">
        <v>233</v>
      </c>
      <c r="AB265" s="4" t="s">
        <v>1209</v>
      </c>
      <c r="AC265" s="4" t="s">
        <v>2923</v>
      </c>
    </row>
    <row r="266" spans="1:29" x14ac:dyDescent="0.4">
      <c r="A266" s="4" t="s">
        <v>216</v>
      </c>
      <c r="B266" s="4">
        <v>112</v>
      </c>
      <c r="C266" s="4" t="s">
        <v>242</v>
      </c>
      <c r="D266" s="4" t="s">
        <v>762</v>
      </c>
      <c r="E266" s="4" t="s">
        <v>1212</v>
      </c>
      <c r="F266" s="4" t="s">
        <v>1213</v>
      </c>
      <c r="G266" s="4" t="s">
        <v>1214</v>
      </c>
      <c r="H266" s="4" t="s">
        <v>1215</v>
      </c>
      <c r="I266" s="4" t="s">
        <v>34</v>
      </c>
      <c r="J266" s="4" t="s">
        <v>1216</v>
      </c>
      <c r="K266" s="4" t="s">
        <v>224</v>
      </c>
      <c r="L266" s="6" t="s">
        <v>1217</v>
      </c>
      <c r="M266" s="4" t="s">
        <v>1218</v>
      </c>
      <c r="N266" s="4" t="s">
        <v>1219</v>
      </c>
      <c r="P266" s="4" t="s">
        <v>2872</v>
      </c>
      <c r="Q266" s="4" t="s">
        <v>1220</v>
      </c>
      <c r="R266" s="4" t="s">
        <v>2811</v>
      </c>
      <c r="S266" s="4" t="s">
        <v>257</v>
      </c>
      <c r="T266" s="7">
        <v>44846</v>
      </c>
      <c r="U266" s="4">
        <v>0</v>
      </c>
      <c r="V266" s="4">
        <v>4</v>
      </c>
      <c r="W266" s="4" t="s">
        <v>2725</v>
      </c>
      <c r="Y266" s="4" t="s">
        <v>233</v>
      </c>
      <c r="Z266" s="4" t="s">
        <v>234</v>
      </c>
      <c r="AA266" s="4" t="s">
        <v>234</v>
      </c>
      <c r="AC266" s="4" t="s">
        <v>2923</v>
      </c>
    </row>
    <row r="267" spans="1:29" hidden="1" x14ac:dyDescent="0.4">
      <c r="A267" s="4" t="s">
        <v>216</v>
      </c>
      <c r="B267" s="4">
        <v>112</v>
      </c>
      <c r="C267" s="4" t="s">
        <v>242</v>
      </c>
      <c r="D267" s="4" t="s">
        <v>762</v>
      </c>
      <c r="E267" s="4" t="s">
        <v>1212</v>
      </c>
      <c r="F267" s="4" t="s">
        <v>1213</v>
      </c>
      <c r="G267" s="4" t="s">
        <v>1214</v>
      </c>
      <c r="H267" s="4" t="s">
        <v>1215</v>
      </c>
      <c r="I267" s="4" t="s">
        <v>34</v>
      </c>
      <c r="J267" s="4" t="s">
        <v>1216</v>
      </c>
      <c r="K267" s="4" t="s">
        <v>224</v>
      </c>
      <c r="L267" s="6" t="s">
        <v>1217</v>
      </c>
      <c r="M267" s="4" t="s">
        <v>1218</v>
      </c>
      <c r="N267" s="4" t="s">
        <v>1219</v>
      </c>
      <c r="P267" s="4" t="s">
        <v>1221</v>
      </c>
      <c r="Q267" s="4" t="s">
        <v>1222</v>
      </c>
      <c r="R267" s="4" t="s">
        <v>53</v>
      </c>
      <c r="S267" s="4" t="s">
        <v>257</v>
      </c>
      <c r="T267" s="7">
        <v>43668</v>
      </c>
      <c r="U267" s="4">
        <v>0</v>
      </c>
      <c r="V267" s="4">
        <v>6</v>
      </c>
      <c r="Y267" s="4" t="s">
        <v>233</v>
      </c>
      <c r="Z267" s="4" t="s">
        <v>234</v>
      </c>
      <c r="AA267" s="4" t="s">
        <v>234</v>
      </c>
      <c r="AC267" s="4" t="s">
        <v>2923</v>
      </c>
    </row>
    <row r="268" spans="1:29" hidden="1" x14ac:dyDescent="0.4">
      <c r="A268" s="4" t="s">
        <v>216</v>
      </c>
      <c r="B268" s="4">
        <v>112</v>
      </c>
      <c r="C268" s="4" t="s">
        <v>242</v>
      </c>
      <c r="D268" s="4" t="s">
        <v>762</v>
      </c>
      <c r="E268" s="4" t="s">
        <v>1212</v>
      </c>
      <c r="F268" s="4" t="s">
        <v>1213</v>
      </c>
      <c r="G268" s="4" t="s">
        <v>1214</v>
      </c>
      <c r="H268" s="4" t="s">
        <v>1215</v>
      </c>
      <c r="I268" s="4" t="s">
        <v>34</v>
      </c>
      <c r="J268" s="4" t="s">
        <v>1216</v>
      </c>
      <c r="K268" s="4" t="s">
        <v>224</v>
      </c>
      <c r="L268" s="6" t="s">
        <v>1217</v>
      </c>
      <c r="M268" s="4" t="s">
        <v>1218</v>
      </c>
      <c r="N268" s="4" t="s">
        <v>1219</v>
      </c>
      <c r="P268" s="4" t="s">
        <v>1221</v>
      </c>
      <c r="Q268" s="4" t="s">
        <v>1222</v>
      </c>
      <c r="R268" s="4" t="s">
        <v>53</v>
      </c>
      <c r="S268" s="4" t="s">
        <v>257</v>
      </c>
      <c r="T268" s="7">
        <v>43668</v>
      </c>
      <c r="U268" s="4">
        <v>0</v>
      </c>
      <c r="V268" s="4">
        <v>7</v>
      </c>
      <c r="W268" s="4" t="s">
        <v>238</v>
      </c>
      <c r="Y268" s="4" t="s">
        <v>233</v>
      </c>
      <c r="Z268" s="4" t="s">
        <v>234</v>
      </c>
      <c r="AA268" s="4" t="s">
        <v>234</v>
      </c>
      <c r="AC268" s="4" t="s">
        <v>2923</v>
      </c>
    </row>
    <row r="269" spans="1:29" hidden="1" x14ac:dyDescent="0.4">
      <c r="A269" s="4" t="s">
        <v>216</v>
      </c>
      <c r="B269" s="4">
        <v>697</v>
      </c>
      <c r="C269" s="4" t="s">
        <v>242</v>
      </c>
      <c r="D269" s="4" t="s">
        <v>509</v>
      </c>
      <c r="E269" s="4" t="s">
        <v>1237</v>
      </c>
      <c r="F269" s="4" t="s">
        <v>1238</v>
      </c>
      <c r="G269" s="4" t="s">
        <v>1239</v>
      </c>
      <c r="H269" s="4" t="s">
        <v>1240</v>
      </c>
      <c r="I269" s="4" t="s">
        <v>1241</v>
      </c>
      <c r="J269" s="4" t="s">
        <v>1242</v>
      </c>
      <c r="K269" s="4" t="s">
        <v>224</v>
      </c>
      <c r="L269" s="6" t="s">
        <v>1243</v>
      </c>
      <c r="M269" s="4" t="s">
        <v>1244</v>
      </c>
      <c r="N269" s="4" t="s">
        <v>1245</v>
      </c>
      <c r="P269" s="4" t="s">
        <v>1246</v>
      </c>
      <c r="Q269" s="4" t="s">
        <v>1247</v>
      </c>
      <c r="R269" s="4" t="s">
        <v>53</v>
      </c>
      <c r="S269" s="4" t="s">
        <v>257</v>
      </c>
      <c r="T269" s="7">
        <v>45440</v>
      </c>
      <c r="U269" s="4">
        <v>0</v>
      </c>
      <c r="V269" s="4">
        <v>11</v>
      </c>
      <c r="W269" s="4" t="s">
        <v>314</v>
      </c>
      <c r="X269" s="4" t="s">
        <v>464</v>
      </c>
      <c r="Y269" s="4" t="s">
        <v>233</v>
      </c>
      <c r="Z269" s="4" t="s">
        <v>234</v>
      </c>
      <c r="AA269" s="4" t="s">
        <v>234</v>
      </c>
      <c r="AC269" s="4" t="s">
        <v>2923</v>
      </c>
    </row>
    <row r="270" spans="1:29" hidden="1" x14ac:dyDescent="0.4">
      <c r="A270" s="4" t="s">
        <v>216</v>
      </c>
      <c r="B270" s="4">
        <v>6317</v>
      </c>
      <c r="C270" s="4" t="s">
        <v>315</v>
      </c>
      <c r="D270" s="4" t="s">
        <v>1248</v>
      </c>
      <c r="E270" s="4" t="s">
        <v>1237</v>
      </c>
      <c r="F270" s="4" t="s">
        <v>1238</v>
      </c>
      <c r="G270" s="4" t="s">
        <v>1249</v>
      </c>
      <c r="H270" s="4" t="s">
        <v>1250</v>
      </c>
      <c r="I270" s="4" t="s">
        <v>154</v>
      </c>
      <c r="J270" s="4" t="s">
        <v>1251</v>
      </c>
      <c r="K270" s="4" t="s">
        <v>224</v>
      </c>
      <c r="L270" s="6" t="s">
        <v>1252</v>
      </c>
      <c r="M270" s="4" t="s">
        <v>1244</v>
      </c>
      <c r="N270" s="4" t="s">
        <v>1253</v>
      </c>
      <c r="P270" s="4" t="s">
        <v>1254</v>
      </c>
      <c r="Q270" s="4" t="s">
        <v>1255</v>
      </c>
      <c r="R270" s="4" t="s">
        <v>1256</v>
      </c>
      <c r="S270" s="4" t="s">
        <v>257</v>
      </c>
      <c r="T270" s="7">
        <v>45085</v>
      </c>
      <c r="U270" s="4">
        <v>0</v>
      </c>
      <c r="V270" s="4">
        <v>5</v>
      </c>
      <c r="W270" s="4" t="s">
        <v>176</v>
      </c>
      <c r="Y270" s="4" t="s">
        <v>233</v>
      </c>
      <c r="Z270" s="4" t="s">
        <v>234</v>
      </c>
      <c r="AA270" s="4" t="s">
        <v>234</v>
      </c>
      <c r="AC270" s="4" t="s">
        <v>2923</v>
      </c>
    </row>
    <row r="271" spans="1:29" hidden="1" x14ac:dyDescent="0.4">
      <c r="A271" s="4" t="s">
        <v>216</v>
      </c>
      <c r="B271" s="4">
        <v>6317</v>
      </c>
      <c r="C271" s="4" t="s">
        <v>315</v>
      </c>
      <c r="D271" s="4" t="s">
        <v>1248</v>
      </c>
      <c r="E271" s="4" t="s">
        <v>1237</v>
      </c>
      <c r="F271" s="4" t="s">
        <v>1238</v>
      </c>
      <c r="G271" s="4" t="s">
        <v>1249</v>
      </c>
      <c r="H271" s="4" t="s">
        <v>1250</v>
      </c>
      <c r="I271" s="4" t="s">
        <v>154</v>
      </c>
      <c r="J271" s="4" t="s">
        <v>1251</v>
      </c>
      <c r="K271" s="4" t="s">
        <v>224</v>
      </c>
      <c r="L271" s="6" t="s">
        <v>1252</v>
      </c>
      <c r="M271" s="4" t="s">
        <v>1244</v>
      </c>
      <c r="N271" s="4" t="s">
        <v>1253</v>
      </c>
      <c r="P271" s="4" t="s">
        <v>1254</v>
      </c>
      <c r="Q271" s="4" t="s">
        <v>1255</v>
      </c>
      <c r="R271" s="4" t="s">
        <v>1256</v>
      </c>
      <c r="S271" s="4" t="s">
        <v>257</v>
      </c>
      <c r="T271" s="7">
        <v>45085</v>
      </c>
      <c r="U271" s="4">
        <v>0</v>
      </c>
      <c r="V271" s="4">
        <v>11</v>
      </c>
      <c r="W271" s="4" t="s">
        <v>132</v>
      </c>
      <c r="Y271" s="4" t="s">
        <v>233</v>
      </c>
      <c r="Z271" s="4" t="s">
        <v>234</v>
      </c>
      <c r="AA271" s="4" t="s">
        <v>234</v>
      </c>
      <c r="AC271" s="4" t="s">
        <v>2923</v>
      </c>
    </row>
    <row r="272" spans="1:29" x14ac:dyDescent="0.4">
      <c r="A272" s="4" t="s">
        <v>216</v>
      </c>
      <c r="B272" s="4">
        <v>697</v>
      </c>
      <c r="C272" s="4" t="s">
        <v>242</v>
      </c>
      <c r="D272" s="4" t="s">
        <v>509</v>
      </c>
      <c r="E272" s="4" t="s">
        <v>1237</v>
      </c>
      <c r="F272" s="4" t="s">
        <v>1238</v>
      </c>
      <c r="G272" s="4" t="s">
        <v>1239</v>
      </c>
      <c r="H272" s="4" t="s">
        <v>1240</v>
      </c>
      <c r="I272" s="4" t="s">
        <v>1241</v>
      </c>
      <c r="J272" s="4" t="s">
        <v>1242</v>
      </c>
      <c r="K272" s="4" t="s">
        <v>224</v>
      </c>
      <c r="L272" s="6" t="s">
        <v>1243</v>
      </c>
      <c r="M272" s="4" t="s">
        <v>1244</v>
      </c>
      <c r="N272" s="4" t="s">
        <v>1245</v>
      </c>
      <c r="P272" s="4" t="s">
        <v>1246</v>
      </c>
      <c r="Q272" s="4" t="s">
        <v>1247</v>
      </c>
      <c r="R272" s="4" t="s">
        <v>53</v>
      </c>
      <c r="S272" s="4" t="s">
        <v>257</v>
      </c>
      <c r="T272" s="7">
        <v>45440</v>
      </c>
      <c r="U272" s="4">
        <v>0</v>
      </c>
      <c r="V272" s="4">
        <v>4</v>
      </c>
      <c r="W272" s="4" t="s">
        <v>2725</v>
      </c>
      <c r="Y272" s="4" t="s">
        <v>233</v>
      </c>
      <c r="Z272" s="4" t="s">
        <v>234</v>
      </c>
      <c r="AA272" s="4" t="s">
        <v>234</v>
      </c>
      <c r="AB272" s="4" t="s">
        <v>1260</v>
      </c>
      <c r="AC272" s="4" t="s">
        <v>2923</v>
      </c>
    </row>
    <row r="273" spans="1:29" hidden="1" x14ac:dyDescent="0.4">
      <c r="A273" s="4" t="s">
        <v>216</v>
      </c>
      <c r="B273" s="4">
        <v>697</v>
      </c>
      <c r="C273" s="4" t="s">
        <v>242</v>
      </c>
      <c r="D273" s="4" t="s">
        <v>509</v>
      </c>
      <c r="E273" s="4" t="s">
        <v>1237</v>
      </c>
      <c r="F273" s="4" t="s">
        <v>1238</v>
      </c>
      <c r="G273" s="4" t="s">
        <v>1239</v>
      </c>
      <c r="H273" s="4" t="s">
        <v>1240</v>
      </c>
      <c r="I273" s="4" t="s">
        <v>1241</v>
      </c>
      <c r="J273" s="4" t="s">
        <v>1242</v>
      </c>
      <c r="K273" s="4" t="s">
        <v>224</v>
      </c>
      <c r="L273" s="6" t="s">
        <v>1243</v>
      </c>
      <c r="M273" s="4" t="s">
        <v>1244</v>
      </c>
      <c r="N273" s="4" t="s">
        <v>1245</v>
      </c>
      <c r="P273" s="4" t="s">
        <v>1246</v>
      </c>
      <c r="Q273" s="4" t="s">
        <v>1247</v>
      </c>
      <c r="R273" s="4" t="s">
        <v>53</v>
      </c>
      <c r="S273" s="4" t="s">
        <v>257</v>
      </c>
      <c r="T273" s="7">
        <v>45440</v>
      </c>
      <c r="U273" s="4">
        <v>0</v>
      </c>
      <c r="V273" s="4">
        <v>5</v>
      </c>
      <c r="W273" s="4" t="s">
        <v>297</v>
      </c>
      <c r="Y273" s="4" t="s">
        <v>233</v>
      </c>
      <c r="Z273" s="4" t="s">
        <v>234</v>
      </c>
      <c r="AA273" s="4" t="s">
        <v>234</v>
      </c>
      <c r="AB273" s="4" t="s">
        <v>1260</v>
      </c>
      <c r="AC273" s="4" t="s">
        <v>2923</v>
      </c>
    </row>
    <row r="274" spans="1:29" hidden="1" x14ac:dyDescent="0.4">
      <c r="A274" s="4" t="s">
        <v>216</v>
      </c>
      <c r="B274" s="4">
        <v>697</v>
      </c>
      <c r="C274" s="4" t="s">
        <v>242</v>
      </c>
      <c r="D274" s="4" t="s">
        <v>509</v>
      </c>
      <c r="E274" s="4" t="s">
        <v>1237</v>
      </c>
      <c r="F274" s="4" t="s">
        <v>1238</v>
      </c>
      <c r="G274" s="4" t="s">
        <v>1239</v>
      </c>
      <c r="H274" s="4" t="s">
        <v>1240</v>
      </c>
      <c r="I274" s="4" t="s">
        <v>1241</v>
      </c>
      <c r="J274" s="4" t="s">
        <v>1242</v>
      </c>
      <c r="K274" s="4" t="s">
        <v>224</v>
      </c>
      <c r="L274" s="6" t="s">
        <v>1243</v>
      </c>
      <c r="M274" s="4" t="s">
        <v>1244</v>
      </c>
      <c r="N274" s="4" t="s">
        <v>1245</v>
      </c>
      <c r="P274" s="4" t="s">
        <v>1246</v>
      </c>
      <c r="Q274" s="4" t="s">
        <v>1247</v>
      </c>
      <c r="R274" s="4" t="s">
        <v>53</v>
      </c>
      <c r="S274" s="4" t="s">
        <v>257</v>
      </c>
      <c r="T274" s="7">
        <v>45440</v>
      </c>
      <c r="U274" s="4">
        <v>0</v>
      </c>
      <c r="V274" s="4">
        <v>10</v>
      </c>
      <c r="W274" s="4" t="s">
        <v>314</v>
      </c>
      <c r="Y274" s="4" t="s">
        <v>233</v>
      </c>
      <c r="Z274" s="4" t="s">
        <v>234</v>
      </c>
      <c r="AA274" s="4" t="s">
        <v>234</v>
      </c>
      <c r="AB274" s="4" t="s">
        <v>1260</v>
      </c>
      <c r="AC274" s="4" t="s">
        <v>2923</v>
      </c>
    </row>
    <row r="275" spans="1:29" hidden="1" x14ac:dyDescent="0.4">
      <c r="A275" s="4" t="s">
        <v>216</v>
      </c>
      <c r="B275" s="4">
        <v>6317</v>
      </c>
      <c r="C275" s="4" t="s">
        <v>315</v>
      </c>
      <c r="D275" s="4" t="s">
        <v>1248</v>
      </c>
      <c r="E275" s="4" t="s">
        <v>1237</v>
      </c>
      <c r="F275" s="4" t="s">
        <v>1238</v>
      </c>
      <c r="G275" s="4" t="s">
        <v>1249</v>
      </c>
      <c r="H275" s="4" t="s">
        <v>1250</v>
      </c>
      <c r="I275" s="4" t="s">
        <v>154</v>
      </c>
      <c r="J275" s="4" t="s">
        <v>1251</v>
      </c>
      <c r="K275" s="4" t="s">
        <v>224</v>
      </c>
      <c r="L275" s="6" t="s">
        <v>1252</v>
      </c>
      <c r="M275" s="4" t="s">
        <v>1244</v>
      </c>
      <c r="N275" s="4" t="s">
        <v>1253</v>
      </c>
      <c r="P275" s="4" t="s">
        <v>1254</v>
      </c>
      <c r="Q275" s="4" t="s">
        <v>1255</v>
      </c>
      <c r="R275" s="4" t="s">
        <v>1256</v>
      </c>
      <c r="S275" s="4" t="s">
        <v>257</v>
      </c>
      <c r="T275" s="7">
        <v>45085</v>
      </c>
      <c r="U275" s="4">
        <v>0</v>
      </c>
      <c r="V275" s="4">
        <v>6</v>
      </c>
      <c r="Y275" s="4" t="s">
        <v>233</v>
      </c>
      <c r="Z275" s="4" t="s">
        <v>234</v>
      </c>
      <c r="AA275" s="4" t="s">
        <v>234</v>
      </c>
      <c r="AC275" s="4" t="s">
        <v>2923</v>
      </c>
    </row>
    <row r="276" spans="1:29" hidden="1" x14ac:dyDescent="0.4">
      <c r="A276" s="4" t="s">
        <v>216</v>
      </c>
      <c r="B276" s="4">
        <v>2931</v>
      </c>
      <c r="C276" s="4" t="s">
        <v>217</v>
      </c>
      <c r="D276" s="4" t="s">
        <v>1266</v>
      </c>
      <c r="E276" s="4" t="s">
        <v>1267</v>
      </c>
      <c r="F276" s="4" t="s">
        <v>1268</v>
      </c>
      <c r="G276" s="4" t="s">
        <v>1269</v>
      </c>
      <c r="H276" s="4" t="s">
        <v>1270</v>
      </c>
      <c r="I276" s="4" t="s">
        <v>974</v>
      </c>
      <c r="J276" s="4" t="s">
        <v>1271</v>
      </c>
      <c r="K276" s="4" t="s">
        <v>224</v>
      </c>
      <c r="L276" s="6" t="s">
        <v>1272</v>
      </c>
      <c r="M276" s="4" t="s">
        <v>1273</v>
      </c>
      <c r="N276" s="4" t="s">
        <v>1274</v>
      </c>
      <c r="P276" s="4" t="s">
        <v>1275</v>
      </c>
      <c r="Q276" s="4" t="s">
        <v>1276</v>
      </c>
      <c r="R276" s="4" t="s">
        <v>53</v>
      </c>
      <c r="S276" s="4" t="s">
        <v>231</v>
      </c>
      <c r="T276" s="7">
        <v>43458</v>
      </c>
      <c r="U276" s="4">
        <v>0</v>
      </c>
      <c r="V276" s="4">
        <v>5</v>
      </c>
      <c r="W276" s="4" t="s">
        <v>176</v>
      </c>
      <c r="Y276" s="4" t="s">
        <v>233</v>
      </c>
      <c r="Z276" s="4" t="s">
        <v>234</v>
      </c>
      <c r="AA276" s="4" t="s">
        <v>234</v>
      </c>
      <c r="AC276" s="4" t="s">
        <v>2923</v>
      </c>
    </row>
    <row r="277" spans="1:29" x14ac:dyDescent="0.4">
      <c r="A277" s="4" t="s">
        <v>216</v>
      </c>
      <c r="B277" s="4">
        <v>2931</v>
      </c>
      <c r="C277" s="4" t="s">
        <v>217</v>
      </c>
      <c r="D277" s="4" t="s">
        <v>1266</v>
      </c>
      <c r="E277" s="4" t="s">
        <v>1267</v>
      </c>
      <c r="F277" s="4" t="s">
        <v>1268</v>
      </c>
      <c r="G277" s="4" t="s">
        <v>1269</v>
      </c>
      <c r="H277" s="4" t="s">
        <v>1270</v>
      </c>
      <c r="I277" s="4" t="s">
        <v>974</v>
      </c>
      <c r="J277" s="4" t="s">
        <v>1271</v>
      </c>
      <c r="K277" s="4" t="s">
        <v>224</v>
      </c>
      <c r="L277" s="6" t="s">
        <v>1272</v>
      </c>
      <c r="M277" s="4" t="s">
        <v>1273</v>
      </c>
      <c r="N277" s="4" t="s">
        <v>1274</v>
      </c>
      <c r="P277" s="4" t="s">
        <v>1275</v>
      </c>
      <c r="Q277" s="4" t="s">
        <v>1276</v>
      </c>
      <c r="R277" s="4" t="s">
        <v>53</v>
      </c>
      <c r="S277" s="4" t="s">
        <v>231</v>
      </c>
      <c r="T277" s="7">
        <v>43458</v>
      </c>
      <c r="U277" s="4">
        <v>0</v>
      </c>
      <c r="V277" s="4">
        <v>4</v>
      </c>
      <c r="W277" s="4" t="s">
        <v>2725</v>
      </c>
      <c r="Y277" s="4" t="s">
        <v>233</v>
      </c>
      <c r="Z277" s="4" t="s">
        <v>234</v>
      </c>
      <c r="AA277" s="4" t="s">
        <v>234</v>
      </c>
      <c r="AC277" s="4" t="s">
        <v>2923</v>
      </c>
    </row>
    <row r="278" spans="1:29" hidden="1" x14ac:dyDescent="0.4">
      <c r="A278" s="4" t="s">
        <v>216</v>
      </c>
      <c r="B278" s="4">
        <v>6415</v>
      </c>
      <c r="C278" s="4" t="s">
        <v>242</v>
      </c>
      <c r="D278" s="4" t="s">
        <v>566</v>
      </c>
      <c r="E278" s="4" t="s">
        <v>1267</v>
      </c>
      <c r="F278" s="4" t="s">
        <v>1277</v>
      </c>
      <c r="G278" s="4" t="s">
        <v>1278</v>
      </c>
      <c r="H278" s="4" t="s">
        <v>1279</v>
      </c>
      <c r="I278" s="4" t="s">
        <v>154</v>
      </c>
      <c r="J278" s="4" t="s">
        <v>1280</v>
      </c>
      <c r="K278" s="4" t="s">
        <v>224</v>
      </c>
      <c r="L278" s="5" t="s">
        <v>1281</v>
      </c>
      <c r="M278" s="4" t="s">
        <v>1282</v>
      </c>
      <c r="N278" s="4" t="s">
        <v>1283</v>
      </c>
      <c r="P278" s="4" t="s">
        <v>1284</v>
      </c>
      <c r="Q278" s="4" t="s">
        <v>1285</v>
      </c>
      <c r="R278" s="4" t="s">
        <v>313</v>
      </c>
      <c r="S278" s="4" t="s">
        <v>231</v>
      </c>
      <c r="T278" s="7">
        <v>44766</v>
      </c>
      <c r="U278" s="4">
        <v>0</v>
      </c>
      <c r="V278" s="4">
        <v>1</v>
      </c>
      <c r="W278" s="4" t="s">
        <v>253</v>
      </c>
      <c r="X278" s="4" t="s">
        <v>293</v>
      </c>
      <c r="Y278" s="4" t="s">
        <v>233</v>
      </c>
      <c r="Z278" s="4" t="s">
        <v>234</v>
      </c>
      <c r="AA278" s="4" t="s">
        <v>234</v>
      </c>
      <c r="AC278" s="4" t="s">
        <v>2923</v>
      </c>
    </row>
    <row r="279" spans="1:29" hidden="1" x14ac:dyDescent="0.4">
      <c r="A279" s="4" t="s">
        <v>216</v>
      </c>
      <c r="B279" s="4">
        <v>6415</v>
      </c>
      <c r="C279" s="4" t="s">
        <v>242</v>
      </c>
      <c r="D279" s="4" t="s">
        <v>566</v>
      </c>
      <c r="E279" s="4" t="s">
        <v>1267</v>
      </c>
      <c r="F279" s="4" t="s">
        <v>1277</v>
      </c>
      <c r="G279" s="4" t="s">
        <v>1278</v>
      </c>
      <c r="H279" s="4" t="s">
        <v>1279</v>
      </c>
      <c r="I279" s="4" t="s">
        <v>154</v>
      </c>
      <c r="J279" s="4" t="s">
        <v>1280</v>
      </c>
      <c r="K279" s="4" t="s">
        <v>224</v>
      </c>
      <c r="L279" s="5" t="s">
        <v>1281</v>
      </c>
      <c r="M279" s="4" t="s">
        <v>1282</v>
      </c>
      <c r="N279" s="4" t="s">
        <v>1283</v>
      </c>
      <c r="P279" s="4" t="s">
        <v>1286</v>
      </c>
      <c r="Q279" s="4" t="s">
        <v>1287</v>
      </c>
      <c r="R279" s="4" t="s">
        <v>1288</v>
      </c>
      <c r="S279" s="4" t="s">
        <v>257</v>
      </c>
      <c r="T279" s="7">
        <v>45380</v>
      </c>
      <c r="U279" s="4">
        <v>0</v>
      </c>
      <c r="V279" s="4">
        <v>1</v>
      </c>
      <c r="W279" s="4" t="s">
        <v>253</v>
      </c>
      <c r="X279" s="4" t="s">
        <v>293</v>
      </c>
      <c r="Y279" s="4" t="s">
        <v>233</v>
      </c>
      <c r="Z279" s="4" t="s">
        <v>234</v>
      </c>
      <c r="AA279" s="4" t="s">
        <v>234</v>
      </c>
      <c r="AC279" s="4" t="s">
        <v>2923</v>
      </c>
    </row>
    <row r="280" spans="1:29" hidden="1" x14ac:dyDescent="0.4">
      <c r="A280" s="4" t="s">
        <v>216</v>
      </c>
      <c r="B280" s="4">
        <v>6415</v>
      </c>
      <c r="C280" s="4" t="s">
        <v>242</v>
      </c>
      <c r="D280" s="4" t="s">
        <v>566</v>
      </c>
      <c r="E280" s="4" t="s">
        <v>1267</v>
      </c>
      <c r="F280" s="4" t="s">
        <v>1277</v>
      </c>
      <c r="G280" s="4" t="s">
        <v>1278</v>
      </c>
      <c r="H280" s="4" t="s">
        <v>1279</v>
      </c>
      <c r="I280" s="4" t="s">
        <v>154</v>
      </c>
      <c r="J280" s="4" t="s">
        <v>1280</v>
      </c>
      <c r="K280" s="4" t="s">
        <v>224</v>
      </c>
      <c r="L280" s="5" t="s">
        <v>1281</v>
      </c>
      <c r="M280" s="4" t="s">
        <v>1282</v>
      </c>
      <c r="N280" s="4" t="s">
        <v>1283</v>
      </c>
      <c r="P280" s="4" t="s">
        <v>1284</v>
      </c>
      <c r="Q280" s="4" t="s">
        <v>1285</v>
      </c>
      <c r="R280" s="4" t="s">
        <v>313</v>
      </c>
      <c r="S280" s="4" t="s">
        <v>231</v>
      </c>
      <c r="T280" s="7">
        <v>44766</v>
      </c>
      <c r="U280" s="4">
        <v>0</v>
      </c>
      <c r="V280" s="4">
        <v>2</v>
      </c>
      <c r="W280" s="4" t="s">
        <v>254</v>
      </c>
      <c r="X280" s="4" t="s">
        <v>293</v>
      </c>
      <c r="Y280" s="4" t="s">
        <v>233</v>
      </c>
      <c r="Z280" s="4" t="s">
        <v>234</v>
      </c>
      <c r="AA280" s="4" t="s">
        <v>234</v>
      </c>
      <c r="AC280" s="4" t="s">
        <v>2923</v>
      </c>
    </row>
    <row r="281" spans="1:29" hidden="1" x14ac:dyDescent="0.4">
      <c r="A281" s="4" t="s">
        <v>216</v>
      </c>
      <c r="B281" s="4">
        <v>6415</v>
      </c>
      <c r="C281" s="4" t="s">
        <v>242</v>
      </c>
      <c r="D281" s="4" t="s">
        <v>566</v>
      </c>
      <c r="E281" s="4" t="s">
        <v>1267</v>
      </c>
      <c r="F281" s="4" t="s">
        <v>1277</v>
      </c>
      <c r="G281" s="4" t="s">
        <v>1278</v>
      </c>
      <c r="H281" s="4" t="s">
        <v>1279</v>
      </c>
      <c r="I281" s="4" t="s">
        <v>154</v>
      </c>
      <c r="J281" s="4" t="s">
        <v>1280</v>
      </c>
      <c r="K281" s="4" t="s">
        <v>224</v>
      </c>
      <c r="L281" s="5" t="s">
        <v>1281</v>
      </c>
      <c r="M281" s="4" t="s">
        <v>1282</v>
      </c>
      <c r="N281" s="4" t="s">
        <v>1283</v>
      </c>
      <c r="P281" s="4" t="s">
        <v>1284</v>
      </c>
      <c r="Q281" s="4" t="s">
        <v>1285</v>
      </c>
      <c r="R281" s="4" t="s">
        <v>313</v>
      </c>
      <c r="S281" s="4" t="s">
        <v>231</v>
      </c>
      <c r="T281" s="7">
        <v>44766</v>
      </c>
      <c r="U281" s="4">
        <v>0</v>
      </c>
      <c r="V281" s="4">
        <v>3</v>
      </c>
      <c r="W281" s="4" t="s">
        <v>258</v>
      </c>
      <c r="X281" s="4" t="s">
        <v>293</v>
      </c>
      <c r="Y281" s="4" t="s">
        <v>233</v>
      </c>
      <c r="Z281" s="4" t="s">
        <v>234</v>
      </c>
      <c r="AA281" s="4" t="s">
        <v>234</v>
      </c>
      <c r="AC281" s="4" t="s">
        <v>2923</v>
      </c>
    </row>
    <row r="282" spans="1:29" hidden="1" x14ac:dyDescent="0.4">
      <c r="A282" s="4" t="s">
        <v>216</v>
      </c>
      <c r="B282" s="4">
        <v>6415</v>
      </c>
      <c r="C282" s="4" t="s">
        <v>242</v>
      </c>
      <c r="D282" s="4" t="s">
        <v>566</v>
      </c>
      <c r="E282" s="4" t="s">
        <v>1267</v>
      </c>
      <c r="F282" s="4" t="s">
        <v>1277</v>
      </c>
      <c r="G282" s="4" t="s">
        <v>1278</v>
      </c>
      <c r="H282" s="4" t="s">
        <v>1279</v>
      </c>
      <c r="I282" s="4" t="s">
        <v>154</v>
      </c>
      <c r="J282" s="4" t="s">
        <v>1280</v>
      </c>
      <c r="K282" s="4" t="s">
        <v>224</v>
      </c>
      <c r="L282" s="5" t="s">
        <v>1281</v>
      </c>
      <c r="M282" s="4" t="s">
        <v>1282</v>
      </c>
      <c r="N282" s="4" t="s">
        <v>1283</v>
      </c>
      <c r="P282" s="4" t="s">
        <v>1284</v>
      </c>
      <c r="Q282" s="4" t="s">
        <v>1285</v>
      </c>
      <c r="R282" s="4" t="s">
        <v>313</v>
      </c>
      <c r="S282" s="4" t="s">
        <v>231</v>
      </c>
      <c r="T282" s="7">
        <v>44766</v>
      </c>
      <c r="U282" s="4">
        <v>0</v>
      </c>
      <c r="V282" s="4">
        <v>8</v>
      </c>
      <c r="W282" s="4" t="s">
        <v>281</v>
      </c>
      <c r="X282" s="4" t="s">
        <v>293</v>
      </c>
      <c r="Y282" s="4" t="s">
        <v>233</v>
      </c>
      <c r="Z282" s="4" t="s">
        <v>234</v>
      </c>
      <c r="AA282" s="4" t="s">
        <v>234</v>
      </c>
      <c r="AC282" s="4" t="s">
        <v>2923</v>
      </c>
    </row>
    <row r="283" spans="1:29" hidden="1" x14ac:dyDescent="0.4">
      <c r="A283" s="4" t="s">
        <v>216</v>
      </c>
      <c r="B283" s="4">
        <v>6415</v>
      </c>
      <c r="C283" s="4" t="s">
        <v>242</v>
      </c>
      <c r="D283" s="4" t="s">
        <v>566</v>
      </c>
      <c r="E283" s="4" t="s">
        <v>1267</v>
      </c>
      <c r="F283" s="4" t="s">
        <v>1277</v>
      </c>
      <c r="G283" s="4" t="s">
        <v>1278</v>
      </c>
      <c r="H283" s="4" t="s">
        <v>1279</v>
      </c>
      <c r="I283" s="4" t="s">
        <v>154</v>
      </c>
      <c r="J283" s="4" t="s">
        <v>1280</v>
      </c>
      <c r="K283" s="4" t="s">
        <v>224</v>
      </c>
      <c r="L283" s="5" t="s">
        <v>1281</v>
      </c>
      <c r="M283" s="4" t="s">
        <v>1282</v>
      </c>
      <c r="N283" s="4" t="s">
        <v>1283</v>
      </c>
      <c r="P283" s="4" t="s">
        <v>1286</v>
      </c>
      <c r="Q283" s="4" t="s">
        <v>1287</v>
      </c>
      <c r="R283" s="4" t="s">
        <v>1288</v>
      </c>
      <c r="S283" s="4" t="s">
        <v>257</v>
      </c>
      <c r="T283" s="7">
        <v>45380</v>
      </c>
      <c r="U283" s="4">
        <v>0</v>
      </c>
      <c r="V283" s="4">
        <v>8</v>
      </c>
      <c r="W283" s="4" t="s">
        <v>281</v>
      </c>
      <c r="X283" s="4" t="s">
        <v>293</v>
      </c>
      <c r="Y283" s="4" t="s">
        <v>233</v>
      </c>
      <c r="Z283" s="4" t="s">
        <v>234</v>
      </c>
      <c r="AA283" s="4" t="s">
        <v>234</v>
      </c>
      <c r="AC283" s="4" t="s">
        <v>2923</v>
      </c>
    </row>
    <row r="284" spans="1:29" hidden="1" x14ac:dyDescent="0.4">
      <c r="A284" s="4" t="s">
        <v>216</v>
      </c>
      <c r="B284" s="4">
        <v>6415</v>
      </c>
      <c r="C284" s="4" t="s">
        <v>242</v>
      </c>
      <c r="D284" s="4" t="s">
        <v>566</v>
      </c>
      <c r="E284" s="4" t="s">
        <v>1267</v>
      </c>
      <c r="F284" s="4" t="s">
        <v>1277</v>
      </c>
      <c r="G284" s="4" t="s">
        <v>1278</v>
      </c>
      <c r="H284" s="4" t="s">
        <v>1279</v>
      </c>
      <c r="I284" s="4" t="s">
        <v>154</v>
      </c>
      <c r="J284" s="4" t="s">
        <v>1280</v>
      </c>
      <c r="K284" s="4" t="s">
        <v>224</v>
      </c>
      <c r="L284" s="5" t="s">
        <v>1281</v>
      </c>
      <c r="M284" s="4" t="s">
        <v>1282</v>
      </c>
      <c r="N284" s="4" t="s">
        <v>1283</v>
      </c>
      <c r="P284" s="4" t="s">
        <v>1284</v>
      </c>
      <c r="Q284" s="4" t="s">
        <v>1285</v>
      </c>
      <c r="R284" s="4" t="s">
        <v>313</v>
      </c>
      <c r="S284" s="4" t="s">
        <v>231</v>
      </c>
      <c r="T284" s="7">
        <v>44766</v>
      </c>
      <c r="U284" s="4">
        <v>0</v>
      </c>
      <c r="V284" s="4">
        <v>9</v>
      </c>
      <c r="W284" s="4" t="s">
        <v>358</v>
      </c>
      <c r="X284" s="4" t="s">
        <v>293</v>
      </c>
      <c r="Y284" s="4" t="s">
        <v>233</v>
      </c>
      <c r="Z284" s="4" t="s">
        <v>234</v>
      </c>
      <c r="AA284" s="4" t="s">
        <v>234</v>
      </c>
      <c r="AC284" s="4" t="s">
        <v>2923</v>
      </c>
    </row>
    <row r="285" spans="1:29" hidden="1" x14ac:dyDescent="0.4">
      <c r="A285" s="4" t="s">
        <v>216</v>
      </c>
      <c r="B285" s="4">
        <v>713</v>
      </c>
      <c r="C285" s="4" t="s">
        <v>242</v>
      </c>
      <c r="D285" s="4" t="s">
        <v>1289</v>
      </c>
      <c r="E285" s="4" t="s">
        <v>1290</v>
      </c>
      <c r="F285" s="4" t="s">
        <v>1291</v>
      </c>
      <c r="H285" s="4" t="s">
        <v>1292</v>
      </c>
      <c r="I285" s="4" t="s">
        <v>154</v>
      </c>
      <c r="J285" s="4" t="s">
        <v>1293</v>
      </c>
      <c r="K285" s="4" t="s">
        <v>224</v>
      </c>
      <c r="L285" s="5" t="s">
        <v>1294</v>
      </c>
      <c r="M285" s="4" t="s">
        <v>1295</v>
      </c>
      <c r="N285" s="4" t="s">
        <v>1296</v>
      </c>
      <c r="P285" s="4" t="s">
        <v>1297</v>
      </c>
      <c r="Q285" s="4" t="s">
        <v>1298</v>
      </c>
      <c r="R285" s="4" t="s">
        <v>2918</v>
      </c>
      <c r="S285" s="4" t="s">
        <v>231</v>
      </c>
      <c r="T285" s="7">
        <v>44699</v>
      </c>
      <c r="U285" s="4">
        <v>0</v>
      </c>
      <c r="V285" s="4">
        <v>11</v>
      </c>
      <c r="W285" s="4" t="s">
        <v>314</v>
      </c>
      <c r="Y285" s="4" t="s">
        <v>233</v>
      </c>
      <c r="Z285" s="4" t="s">
        <v>234</v>
      </c>
      <c r="AA285" s="4" t="s">
        <v>234</v>
      </c>
      <c r="AC285" s="4" t="s">
        <v>2923</v>
      </c>
    </row>
    <row r="286" spans="1:29" hidden="1" x14ac:dyDescent="0.4">
      <c r="A286" s="4" t="s">
        <v>216</v>
      </c>
      <c r="B286" s="4">
        <v>713</v>
      </c>
      <c r="C286" s="4" t="s">
        <v>242</v>
      </c>
      <c r="D286" s="4" t="s">
        <v>1289</v>
      </c>
      <c r="E286" s="4" t="s">
        <v>1290</v>
      </c>
      <c r="F286" s="4" t="s">
        <v>1291</v>
      </c>
      <c r="H286" s="4" t="s">
        <v>1292</v>
      </c>
      <c r="I286" s="4" t="s">
        <v>154</v>
      </c>
      <c r="J286" s="4" t="s">
        <v>1293</v>
      </c>
      <c r="K286" s="4" t="s">
        <v>224</v>
      </c>
      <c r="L286" s="5" t="s">
        <v>1294</v>
      </c>
      <c r="M286" s="4" t="s">
        <v>1295</v>
      </c>
      <c r="N286" s="4" t="s">
        <v>1296</v>
      </c>
      <c r="P286" s="4" t="s">
        <v>1297</v>
      </c>
      <c r="Q286" s="4" t="s">
        <v>1298</v>
      </c>
      <c r="R286" s="4" t="s">
        <v>2918</v>
      </c>
      <c r="S286" s="4" t="s">
        <v>231</v>
      </c>
      <c r="T286" s="7">
        <v>44699</v>
      </c>
      <c r="U286" s="4">
        <v>0</v>
      </c>
      <c r="V286" s="4">
        <v>12</v>
      </c>
      <c r="Y286" s="4" t="s">
        <v>233</v>
      </c>
      <c r="Z286" s="4" t="s">
        <v>234</v>
      </c>
      <c r="AA286" s="4" t="s">
        <v>234</v>
      </c>
      <c r="AC286" s="4" t="s">
        <v>2923</v>
      </c>
    </row>
    <row r="287" spans="1:29" hidden="1" x14ac:dyDescent="0.4">
      <c r="A287" s="4" t="s">
        <v>216</v>
      </c>
      <c r="B287" s="4">
        <v>1470</v>
      </c>
      <c r="C287" s="4" t="s">
        <v>417</v>
      </c>
      <c r="D287" s="4" t="s">
        <v>2821</v>
      </c>
      <c r="E287" s="4" t="s">
        <v>2822</v>
      </c>
      <c r="F287" s="4" t="s">
        <v>1300</v>
      </c>
      <c r="G287" s="4" t="s">
        <v>1301</v>
      </c>
      <c r="H287" s="4" t="s">
        <v>1302</v>
      </c>
      <c r="I287" s="4" t="s">
        <v>1303</v>
      </c>
      <c r="J287" s="4" t="s">
        <v>1304</v>
      </c>
      <c r="K287" s="4" t="s">
        <v>224</v>
      </c>
      <c r="L287" s="5" t="s">
        <v>1305</v>
      </c>
      <c r="M287" s="4" t="s">
        <v>1306</v>
      </c>
      <c r="N287" s="4" t="s">
        <v>1307</v>
      </c>
      <c r="P287" s="4" t="s">
        <v>1308</v>
      </c>
      <c r="Q287" s="4" t="s">
        <v>1309</v>
      </c>
      <c r="R287" s="4" t="s">
        <v>31</v>
      </c>
      <c r="S287" s="4" t="s">
        <v>257</v>
      </c>
      <c r="T287" s="7">
        <v>45747</v>
      </c>
      <c r="U287" s="4">
        <v>0</v>
      </c>
      <c r="V287" s="4">
        <v>10</v>
      </c>
      <c r="W287" s="4" t="s">
        <v>433</v>
      </c>
      <c r="Y287" s="4" t="s">
        <v>233</v>
      </c>
      <c r="Z287" s="4" t="s">
        <v>234</v>
      </c>
      <c r="AA287" s="4" t="s">
        <v>233</v>
      </c>
      <c r="AC287" s="4" t="s">
        <v>2923</v>
      </c>
    </row>
    <row r="288" spans="1:29" hidden="1" x14ac:dyDescent="0.4">
      <c r="A288" s="4" t="s">
        <v>216</v>
      </c>
      <c r="B288" s="4">
        <v>1470</v>
      </c>
      <c r="C288" s="4" t="s">
        <v>417</v>
      </c>
      <c r="D288" s="4" t="s">
        <v>2821</v>
      </c>
      <c r="E288" s="4" t="s">
        <v>2822</v>
      </c>
      <c r="F288" s="4" t="s">
        <v>1300</v>
      </c>
      <c r="G288" s="4" t="s">
        <v>1301</v>
      </c>
      <c r="H288" s="4" t="s">
        <v>1302</v>
      </c>
      <c r="I288" s="4" t="s">
        <v>1303</v>
      </c>
      <c r="J288" s="4" t="s">
        <v>1304</v>
      </c>
      <c r="K288" s="4" t="s">
        <v>224</v>
      </c>
      <c r="L288" s="5" t="s">
        <v>1305</v>
      </c>
      <c r="M288" s="4" t="s">
        <v>1306</v>
      </c>
      <c r="N288" s="4" t="s">
        <v>1307</v>
      </c>
      <c r="P288" s="4" t="s">
        <v>1311</v>
      </c>
      <c r="Q288" s="4" t="s">
        <v>1312</v>
      </c>
      <c r="R288" s="4" t="s">
        <v>129</v>
      </c>
      <c r="S288" s="4" t="s">
        <v>257</v>
      </c>
      <c r="T288" s="7">
        <v>44988</v>
      </c>
      <c r="U288" s="4">
        <v>0</v>
      </c>
      <c r="V288" s="4">
        <v>11</v>
      </c>
      <c r="W288" s="4" t="s">
        <v>314</v>
      </c>
      <c r="Y288" s="4" t="s">
        <v>233</v>
      </c>
      <c r="Z288" s="4" t="s">
        <v>234</v>
      </c>
      <c r="AA288" s="4" t="s">
        <v>233</v>
      </c>
      <c r="AC288" s="4" t="s">
        <v>2923</v>
      </c>
    </row>
    <row r="289" spans="1:29" hidden="1" x14ac:dyDescent="0.4">
      <c r="A289" s="4" t="s">
        <v>216</v>
      </c>
      <c r="B289" s="4">
        <v>1470</v>
      </c>
      <c r="C289" s="4" t="s">
        <v>417</v>
      </c>
      <c r="D289" s="4" t="s">
        <v>2821</v>
      </c>
      <c r="E289" s="4" t="s">
        <v>2822</v>
      </c>
      <c r="F289" s="4" t="s">
        <v>1300</v>
      </c>
      <c r="G289" s="4" t="s">
        <v>1301</v>
      </c>
      <c r="H289" s="4" t="s">
        <v>1302</v>
      </c>
      <c r="I289" s="4" t="s">
        <v>1303</v>
      </c>
      <c r="J289" s="4" t="s">
        <v>1304</v>
      </c>
      <c r="K289" s="4" t="s">
        <v>224</v>
      </c>
      <c r="L289" s="5" t="s">
        <v>1305</v>
      </c>
      <c r="M289" s="4" t="s">
        <v>1306</v>
      </c>
      <c r="N289" s="4" t="s">
        <v>1307</v>
      </c>
      <c r="P289" s="4" t="s">
        <v>1311</v>
      </c>
      <c r="Q289" s="4" t="s">
        <v>1312</v>
      </c>
      <c r="R289" s="4" t="s">
        <v>129</v>
      </c>
      <c r="S289" s="4" t="s">
        <v>257</v>
      </c>
      <c r="T289" s="7">
        <v>44988</v>
      </c>
      <c r="U289" s="4">
        <v>0</v>
      </c>
      <c r="V289" s="4">
        <v>12</v>
      </c>
      <c r="Y289" s="4" t="s">
        <v>233</v>
      </c>
      <c r="Z289" s="4" t="s">
        <v>234</v>
      </c>
      <c r="AA289" s="4" t="s">
        <v>233</v>
      </c>
      <c r="AC289" s="4" t="s">
        <v>2923</v>
      </c>
    </row>
    <row r="290" spans="1:29" hidden="1" x14ac:dyDescent="0.4">
      <c r="A290" s="4" t="s">
        <v>216</v>
      </c>
      <c r="B290" s="4">
        <v>1588</v>
      </c>
      <c r="C290" s="4" t="s">
        <v>315</v>
      </c>
      <c r="D290" s="4" t="s">
        <v>2823</v>
      </c>
      <c r="E290" s="4" t="s">
        <v>1313</v>
      </c>
      <c r="F290" s="4" t="s">
        <v>1314</v>
      </c>
      <c r="G290" s="4" t="s">
        <v>1315</v>
      </c>
      <c r="H290" s="4" t="s">
        <v>879</v>
      </c>
      <c r="I290" s="4" t="s">
        <v>501</v>
      </c>
      <c r="J290" s="4" t="s">
        <v>1316</v>
      </c>
      <c r="K290" s="4" t="s">
        <v>224</v>
      </c>
      <c r="L290" s="6" t="s">
        <v>1317</v>
      </c>
      <c r="M290" s="4" t="s">
        <v>1318</v>
      </c>
      <c r="N290" s="4" t="s">
        <v>1319</v>
      </c>
      <c r="P290" s="4" t="s">
        <v>1320</v>
      </c>
      <c r="Q290" s="4" t="s">
        <v>1321</v>
      </c>
      <c r="R290" s="4" t="s">
        <v>53</v>
      </c>
      <c r="S290" s="4" t="s">
        <v>231</v>
      </c>
      <c r="T290" s="7">
        <v>44536</v>
      </c>
      <c r="U290" s="4">
        <v>0</v>
      </c>
      <c r="V290" s="4">
        <v>13</v>
      </c>
      <c r="W290" s="4" t="s">
        <v>240</v>
      </c>
      <c r="Y290" s="4" t="s">
        <v>233</v>
      </c>
      <c r="Z290" s="4" t="s">
        <v>234</v>
      </c>
      <c r="AA290" s="4" t="s">
        <v>234</v>
      </c>
      <c r="AC290" s="4" t="s">
        <v>2923</v>
      </c>
    </row>
    <row r="291" spans="1:29" hidden="1" x14ac:dyDescent="0.4">
      <c r="A291" s="4" t="s">
        <v>216</v>
      </c>
      <c r="B291" s="4">
        <v>1588</v>
      </c>
      <c r="C291" s="4" t="s">
        <v>315</v>
      </c>
      <c r="D291" s="4" t="s">
        <v>2823</v>
      </c>
      <c r="E291" s="4" t="s">
        <v>1313</v>
      </c>
      <c r="F291" s="4" t="s">
        <v>1314</v>
      </c>
      <c r="G291" s="4" t="s">
        <v>1315</v>
      </c>
      <c r="H291" s="4" t="s">
        <v>879</v>
      </c>
      <c r="I291" s="4" t="s">
        <v>501</v>
      </c>
      <c r="J291" s="4" t="s">
        <v>1316</v>
      </c>
      <c r="K291" s="4" t="s">
        <v>224</v>
      </c>
      <c r="L291" s="6" t="s">
        <v>1317</v>
      </c>
      <c r="M291" s="4" t="s">
        <v>1318</v>
      </c>
      <c r="N291" s="4" t="s">
        <v>1319</v>
      </c>
      <c r="P291" s="4" t="s">
        <v>1322</v>
      </c>
      <c r="Q291" s="4" t="s">
        <v>1323</v>
      </c>
      <c r="R291" s="4" t="s">
        <v>53</v>
      </c>
      <c r="S291" s="4" t="s">
        <v>231</v>
      </c>
      <c r="T291" s="7">
        <v>45921</v>
      </c>
      <c r="U291" s="4">
        <v>0</v>
      </c>
      <c r="V291" s="4">
        <v>10</v>
      </c>
      <c r="W291" s="4" t="s">
        <v>433</v>
      </c>
      <c r="Y291" s="4" t="s">
        <v>233</v>
      </c>
      <c r="Z291" s="4" t="s">
        <v>234</v>
      </c>
      <c r="AA291" s="4" t="s">
        <v>234</v>
      </c>
      <c r="AC291" s="4" t="s">
        <v>2923</v>
      </c>
    </row>
    <row r="292" spans="1:29" hidden="1" x14ac:dyDescent="0.4">
      <c r="A292" s="4" t="s">
        <v>216</v>
      </c>
      <c r="B292" s="4">
        <v>1589</v>
      </c>
      <c r="C292" s="4" t="s">
        <v>242</v>
      </c>
      <c r="D292" s="4" t="s">
        <v>1324</v>
      </c>
      <c r="E292" s="4" t="s">
        <v>1313</v>
      </c>
      <c r="F292" s="4" t="s">
        <v>1314</v>
      </c>
      <c r="G292" s="4" t="s">
        <v>1315</v>
      </c>
      <c r="H292" s="4" t="s">
        <v>879</v>
      </c>
      <c r="I292" s="4" t="s">
        <v>501</v>
      </c>
      <c r="J292" s="4" t="s">
        <v>1316</v>
      </c>
      <c r="K292" s="4" t="s">
        <v>224</v>
      </c>
      <c r="L292" s="5" t="s">
        <v>1325</v>
      </c>
      <c r="M292" s="4" t="s">
        <v>1318</v>
      </c>
      <c r="N292" s="4" t="s">
        <v>1326</v>
      </c>
      <c r="P292" s="4" t="s">
        <v>1327</v>
      </c>
      <c r="Q292" s="4" t="s">
        <v>1328</v>
      </c>
      <c r="R292" s="4" t="s">
        <v>53</v>
      </c>
      <c r="S292" s="4" t="s">
        <v>257</v>
      </c>
      <c r="T292" s="7">
        <v>43780</v>
      </c>
      <c r="U292" s="4">
        <v>0</v>
      </c>
      <c r="V292" s="4">
        <v>13</v>
      </c>
      <c r="W292" s="4" t="s">
        <v>240</v>
      </c>
      <c r="Y292" s="4" t="s">
        <v>233</v>
      </c>
      <c r="Z292" s="4" t="s">
        <v>234</v>
      </c>
      <c r="AA292" s="4" t="s">
        <v>234</v>
      </c>
      <c r="AC292" s="4" t="s">
        <v>2923</v>
      </c>
    </row>
    <row r="293" spans="1:29" hidden="1" x14ac:dyDescent="0.4">
      <c r="A293" s="4" t="s">
        <v>216</v>
      </c>
      <c r="B293" s="4">
        <v>6063</v>
      </c>
      <c r="C293" s="4" t="s">
        <v>217</v>
      </c>
      <c r="D293" s="4" t="s">
        <v>418</v>
      </c>
      <c r="E293" s="4" t="s">
        <v>1329</v>
      </c>
      <c r="F293" s="4" t="s">
        <v>1330</v>
      </c>
      <c r="H293" s="4" t="s">
        <v>1331</v>
      </c>
      <c r="I293" s="4" t="s">
        <v>143</v>
      </c>
      <c r="J293" s="4" t="s">
        <v>1332</v>
      </c>
      <c r="K293" s="4" t="s">
        <v>224</v>
      </c>
      <c r="L293" s="6" t="s">
        <v>1333</v>
      </c>
      <c r="M293" s="4" t="s">
        <v>1334</v>
      </c>
      <c r="N293" s="4" t="s">
        <v>1335</v>
      </c>
      <c r="P293" s="4" t="s">
        <v>2873</v>
      </c>
      <c r="Q293" s="4" t="s">
        <v>1336</v>
      </c>
      <c r="R293" s="4" t="s">
        <v>1337</v>
      </c>
      <c r="S293" s="4" t="s">
        <v>231</v>
      </c>
      <c r="T293" s="7">
        <v>44433</v>
      </c>
      <c r="U293" s="4">
        <v>0</v>
      </c>
      <c r="V293" s="4">
        <v>1</v>
      </c>
      <c r="W293" s="4" t="s">
        <v>253</v>
      </c>
      <c r="Y293" s="4" t="s">
        <v>233</v>
      </c>
      <c r="Z293" s="4" t="s">
        <v>234</v>
      </c>
      <c r="AA293" s="4" t="s">
        <v>234</v>
      </c>
      <c r="AC293" s="4" t="s">
        <v>2923</v>
      </c>
    </row>
    <row r="294" spans="1:29" hidden="1" x14ac:dyDescent="0.4">
      <c r="A294" s="4" t="s">
        <v>216</v>
      </c>
      <c r="B294" s="4">
        <v>6063</v>
      </c>
      <c r="C294" s="4" t="s">
        <v>217</v>
      </c>
      <c r="D294" s="4" t="s">
        <v>418</v>
      </c>
      <c r="E294" s="4" t="s">
        <v>1329</v>
      </c>
      <c r="F294" s="4" t="s">
        <v>1330</v>
      </c>
      <c r="H294" s="4" t="s">
        <v>1331</v>
      </c>
      <c r="I294" s="4" t="s">
        <v>143</v>
      </c>
      <c r="J294" s="4" t="s">
        <v>1332</v>
      </c>
      <c r="K294" s="4" t="s">
        <v>224</v>
      </c>
      <c r="L294" s="6" t="s">
        <v>1333</v>
      </c>
      <c r="M294" s="4" t="s">
        <v>1334</v>
      </c>
      <c r="N294" s="4" t="s">
        <v>1335</v>
      </c>
      <c r="P294" s="4" t="s">
        <v>2873</v>
      </c>
      <c r="Q294" s="4" t="s">
        <v>1336</v>
      </c>
      <c r="R294" s="4" t="s">
        <v>1337</v>
      </c>
      <c r="S294" s="4" t="s">
        <v>231</v>
      </c>
      <c r="T294" s="7">
        <v>44433</v>
      </c>
      <c r="U294" s="4">
        <v>0</v>
      </c>
      <c r="V294" s="4">
        <v>2</v>
      </c>
      <c r="W294" s="4" t="s">
        <v>254</v>
      </c>
      <c r="Y294" s="4" t="s">
        <v>233</v>
      </c>
      <c r="Z294" s="4" t="s">
        <v>234</v>
      </c>
      <c r="AA294" s="4" t="s">
        <v>234</v>
      </c>
      <c r="AC294" s="4" t="s">
        <v>2923</v>
      </c>
    </row>
    <row r="295" spans="1:29" hidden="1" x14ac:dyDescent="0.4">
      <c r="A295" s="4" t="s">
        <v>216</v>
      </c>
      <c r="B295" s="4">
        <v>3359</v>
      </c>
      <c r="C295" s="4" t="s">
        <v>242</v>
      </c>
      <c r="D295" s="4" t="s">
        <v>1338</v>
      </c>
      <c r="E295" s="4" t="s">
        <v>1339</v>
      </c>
      <c r="F295" s="4" t="s">
        <v>1340</v>
      </c>
      <c r="G295" s="4" t="s">
        <v>1341</v>
      </c>
      <c r="H295" s="4" t="s">
        <v>438</v>
      </c>
      <c r="I295" s="4" t="s">
        <v>154</v>
      </c>
      <c r="J295" s="4" t="s">
        <v>1342</v>
      </c>
      <c r="K295" s="4" t="s">
        <v>224</v>
      </c>
      <c r="L295" s="5" t="s">
        <v>1343</v>
      </c>
      <c r="M295" s="4" t="s">
        <v>1344</v>
      </c>
      <c r="N295" s="4" t="s">
        <v>1345</v>
      </c>
      <c r="P295" s="4" t="s">
        <v>1346</v>
      </c>
      <c r="Q295" s="4" t="s">
        <v>1347</v>
      </c>
      <c r="R295" s="4" t="s">
        <v>53</v>
      </c>
      <c r="S295" s="4" t="s">
        <v>231</v>
      </c>
      <c r="T295" s="7">
        <v>43684</v>
      </c>
      <c r="U295" s="4">
        <v>0</v>
      </c>
      <c r="V295" s="4">
        <v>4</v>
      </c>
      <c r="W295" s="4" t="s">
        <v>314</v>
      </c>
      <c r="Y295" s="4" t="s">
        <v>233</v>
      </c>
      <c r="Z295" s="4" t="s">
        <v>234</v>
      </c>
      <c r="AA295" s="4" t="s">
        <v>234</v>
      </c>
      <c r="AC295" s="4" t="s">
        <v>2923</v>
      </c>
    </row>
    <row r="296" spans="1:29" hidden="1" x14ac:dyDescent="0.4">
      <c r="A296" s="4" t="s">
        <v>216</v>
      </c>
      <c r="B296" s="4">
        <v>3359</v>
      </c>
      <c r="C296" s="4" t="s">
        <v>242</v>
      </c>
      <c r="D296" s="4" t="s">
        <v>1338</v>
      </c>
      <c r="E296" s="4" t="s">
        <v>1339</v>
      </c>
      <c r="F296" s="4" t="s">
        <v>1340</v>
      </c>
      <c r="G296" s="4" t="s">
        <v>1341</v>
      </c>
      <c r="H296" s="4" t="s">
        <v>438</v>
      </c>
      <c r="I296" s="4" t="s">
        <v>154</v>
      </c>
      <c r="J296" s="4" t="s">
        <v>1342</v>
      </c>
      <c r="K296" s="4" t="s">
        <v>224</v>
      </c>
      <c r="L296" s="5" t="s">
        <v>1343</v>
      </c>
      <c r="M296" s="4" t="s">
        <v>1344</v>
      </c>
      <c r="N296" s="4" t="s">
        <v>1345</v>
      </c>
      <c r="P296" s="4" t="s">
        <v>1346</v>
      </c>
      <c r="Q296" s="4" t="s">
        <v>1347</v>
      </c>
      <c r="R296" s="4" t="s">
        <v>53</v>
      </c>
      <c r="S296" s="4" t="s">
        <v>231</v>
      </c>
      <c r="T296" s="7">
        <v>43684</v>
      </c>
      <c r="U296" s="4">
        <v>0</v>
      </c>
      <c r="V296" s="4">
        <v>5</v>
      </c>
      <c r="W296" s="4" t="s">
        <v>314</v>
      </c>
      <c r="Y296" s="4" t="s">
        <v>233</v>
      </c>
      <c r="Z296" s="4" t="s">
        <v>234</v>
      </c>
      <c r="AA296" s="4" t="s">
        <v>234</v>
      </c>
      <c r="AC296" s="4" t="s">
        <v>2923</v>
      </c>
    </row>
    <row r="297" spans="1:29" hidden="1" x14ac:dyDescent="0.4">
      <c r="A297" s="4" t="s">
        <v>216</v>
      </c>
      <c r="B297" s="4">
        <v>3359</v>
      </c>
      <c r="C297" s="4" t="s">
        <v>242</v>
      </c>
      <c r="D297" s="4" t="s">
        <v>1338</v>
      </c>
      <c r="E297" s="4" t="s">
        <v>1339</v>
      </c>
      <c r="F297" s="4" t="s">
        <v>1340</v>
      </c>
      <c r="G297" s="4" t="s">
        <v>1341</v>
      </c>
      <c r="H297" s="4" t="s">
        <v>438</v>
      </c>
      <c r="I297" s="4" t="s">
        <v>154</v>
      </c>
      <c r="J297" s="4" t="s">
        <v>1342</v>
      </c>
      <c r="K297" s="4" t="s">
        <v>224</v>
      </c>
      <c r="L297" s="5" t="s">
        <v>1343</v>
      </c>
      <c r="M297" s="4" t="s">
        <v>1344</v>
      </c>
      <c r="N297" s="4" t="s">
        <v>1345</v>
      </c>
      <c r="P297" s="4" t="s">
        <v>1346</v>
      </c>
      <c r="Q297" s="4" t="s">
        <v>1347</v>
      </c>
      <c r="R297" s="4" t="s">
        <v>53</v>
      </c>
      <c r="S297" s="4" t="s">
        <v>231</v>
      </c>
      <c r="T297" s="7">
        <v>43684</v>
      </c>
      <c r="U297" s="4">
        <v>0</v>
      </c>
      <c r="V297" s="4">
        <v>10</v>
      </c>
      <c r="W297" s="4" t="s">
        <v>314</v>
      </c>
      <c r="Y297" s="4" t="s">
        <v>233</v>
      </c>
      <c r="Z297" s="4" t="s">
        <v>234</v>
      </c>
      <c r="AA297" s="4" t="s">
        <v>234</v>
      </c>
      <c r="AC297" s="4" t="s">
        <v>2923</v>
      </c>
    </row>
    <row r="298" spans="1:29" hidden="1" x14ac:dyDescent="0.4">
      <c r="A298" s="4" t="s">
        <v>216</v>
      </c>
      <c r="B298" s="4">
        <v>3359</v>
      </c>
      <c r="C298" s="4" t="s">
        <v>242</v>
      </c>
      <c r="D298" s="4" t="s">
        <v>1338</v>
      </c>
      <c r="E298" s="4" t="s">
        <v>1339</v>
      </c>
      <c r="F298" s="4" t="s">
        <v>1340</v>
      </c>
      <c r="G298" s="4" t="s">
        <v>1341</v>
      </c>
      <c r="H298" s="4" t="s">
        <v>438</v>
      </c>
      <c r="I298" s="4" t="s">
        <v>154</v>
      </c>
      <c r="J298" s="4" t="s">
        <v>1342</v>
      </c>
      <c r="K298" s="4" t="s">
        <v>224</v>
      </c>
      <c r="L298" s="5" t="s">
        <v>1343</v>
      </c>
      <c r="M298" s="4" t="s">
        <v>1344</v>
      </c>
      <c r="N298" s="4" t="s">
        <v>1345</v>
      </c>
      <c r="P298" s="4" t="s">
        <v>1346</v>
      </c>
      <c r="Q298" s="4" t="s">
        <v>1347</v>
      </c>
      <c r="R298" s="4" t="s">
        <v>53</v>
      </c>
      <c r="S298" s="4" t="s">
        <v>231</v>
      </c>
      <c r="T298" s="7">
        <v>43684</v>
      </c>
      <c r="U298" s="4">
        <v>0</v>
      </c>
      <c r="V298" s="4">
        <v>11</v>
      </c>
      <c r="W298" s="4" t="s">
        <v>314</v>
      </c>
      <c r="Y298" s="4" t="s">
        <v>233</v>
      </c>
      <c r="Z298" s="4" t="s">
        <v>234</v>
      </c>
      <c r="AA298" s="4" t="s">
        <v>234</v>
      </c>
      <c r="AC298" s="4" t="s">
        <v>2923</v>
      </c>
    </row>
    <row r="299" spans="1:29" hidden="1" x14ac:dyDescent="0.4">
      <c r="A299" s="4" t="s">
        <v>216</v>
      </c>
      <c r="B299" s="4">
        <v>2109</v>
      </c>
      <c r="C299" s="4" t="s">
        <v>242</v>
      </c>
      <c r="D299" s="4" t="s">
        <v>1348</v>
      </c>
      <c r="E299" s="4" t="s">
        <v>1349</v>
      </c>
      <c r="F299" s="4" t="s">
        <v>1350</v>
      </c>
      <c r="G299" s="4" t="s">
        <v>1351</v>
      </c>
      <c r="H299" s="4" t="s">
        <v>1352</v>
      </c>
      <c r="I299" s="4" t="s">
        <v>377</v>
      </c>
      <c r="J299" s="4" t="s">
        <v>1353</v>
      </c>
      <c r="K299" s="4" t="s">
        <v>224</v>
      </c>
      <c r="L299" s="5">
        <v>441476405360</v>
      </c>
      <c r="M299" s="4" t="s">
        <v>1354</v>
      </c>
      <c r="N299" s="4" t="s">
        <v>1355</v>
      </c>
      <c r="P299" s="4" t="s">
        <v>1356</v>
      </c>
      <c r="Q299" s="4" t="s">
        <v>1357</v>
      </c>
      <c r="R299" s="4" t="s">
        <v>1358</v>
      </c>
      <c r="S299" s="4" t="s">
        <v>231</v>
      </c>
      <c r="T299" s="7">
        <v>44032</v>
      </c>
      <c r="U299" s="4">
        <v>0</v>
      </c>
      <c r="V299" s="4">
        <v>7</v>
      </c>
      <c r="W299" s="4" t="s">
        <v>238</v>
      </c>
      <c r="Y299" s="4" t="s">
        <v>233</v>
      </c>
      <c r="Z299" s="4" t="s">
        <v>234</v>
      </c>
      <c r="AA299" s="4" t="s">
        <v>234</v>
      </c>
      <c r="AC299" s="4" t="s">
        <v>2923</v>
      </c>
    </row>
    <row r="300" spans="1:29" hidden="1" x14ac:dyDescent="0.4">
      <c r="A300" s="4" t="s">
        <v>216</v>
      </c>
      <c r="B300" s="4">
        <v>2957</v>
      </c>
      <c r="C300" s="4" t="s">
        <v>242</v>
      </c>
      <c r="D300" s="4" t="s">
        <v>1359</v>
      </c>
      <c r="E300" s="4" t="s">
        <v>1360</v>
      </c>
      <c r="F300" s="4" t="s">
        <v>1361</v>
      </c>
      <c r="G300" s="4" t="s">
        <v>1362</v>
      </c>
      <c r="H300" s="4" t="s">
        <v>1363</v>
      </c>
      <c r="I300" s="4" t="s">
        <v>154</v>
      </c>
      <c r="J300" s="4" t="s">
        <v>1364</v>
      </c>
      <c r="K300" s="4" t="s">
        <v>224</v>
      </c>
      <c r="L300" s="6" t="s">
        <v>1365</v>
      </c>
      <c r="M300" s="4" t="s">
        <v>1366</v>
      </c>
      <c r="N300" s="4" t="s">
        <v>1367</v>
      </c>
      <c r="P300" s="4" t="s">
        <v>1368</v>
      </c>
      <c r="Q300" s="4" t="s">
        <v>1369</v>
      </c>
      <c r="R300" s="4" t="s">
        <v>1370</v>
      </c>
      <c r="S300" s="4" t="s">
        <v>231</v>
      </c>
      <c r="T300" s="7">
        <v>43174</v>
      </c>
      <c r="U300" s="4">
        <v>0</v>
      </c>
      <c r="V300" s="4">
        <v>5</v>
      </c>
      <c r="W300" s="4" t="s">
        <v>314</v>
      </c>
      <c r="Y300" s="4" t="s">
        <v>233</v>
      </c>
      <c r="Z300" s="4" t="s">
        <v>234</v>
      </c>
      <c r="AA300" s="4" t="s">
        <v>234</v>
      </c>
      <c r="AC300" s="4" t="s">
        <v>2923</v>
      </c>
    </row>
    <row r="301" spans="1:29" hidden="1" x14ac:dyDescent="0.4">
      <c r="A301" s="4" t="s">
        <v>216</v>
      </c>
      <c r="B301" s="4">
        <v>2957</v>
      </c>
      <c r="C301" s="4" t="s">
        <v>242</v>
      </c>
      <c r="D301" s="4" t="s">
        <v>1359</v>
      </c>
      <c r="E301" s="4" t="s">
        <v>1360</v>
      </c>
      <c r="F301" s="4" t="s">
        <v>1361</v>
      </c>
      <c r="G301" s="4" t="s">
        <v>1362</v>
      </c>
      <c r="H301" s="4" t="s">
        <v>1363</v>
      </c>
      <c r="I301" s="4" t="s">
        <v>154</v>
      </c>
      <c r="J301" s="4" t="s">
        <v>1364</v>
      </c>
      <c r="K301" s="4" t="s">
        <v>224</v>
      </c>
      <c r="L301" s="6" t="s">
        <v>1365</v>
      </c>
      <c r="M301" s="4" t="s">
        <v>1366</v>
      </c>
      <c r="N301" s="4" t="s">
        <v>1367</v>
      </c>
      <c r="P301" s="4" t="s">
        <v>1368</v>
      </c>
      <c r="Q301" s="4" t="s">
        <v>1369</v>
      </c>
      <c r="R301" s="4" t="s">
        <v>1370</v>
      </c>
      <c r="S301" s="4" t="s">
        <v>231</v>
      </c>
      <c r="T301" s="7">
        <v>43174</v>
      </c>
      <c r="U301" s="4">
        <v>0</v>
      </c>
      <c r="V301" s="4">
        <v>6</v>
      </c>
      <c r="Y301" s="4" t="s">
        <v>233</v>
      </c>
      <c r="Z301" s="4" t="s">
        <v>234</v>
      </c>
      <c r="AA301" s="4" t="s">
        <v>234</v>
      </c>
      <c r="AC301" s="4" t="s">
        <v>2923</v>
      </c>
    </row>
    <row r="302" spans="1:29" hidden="1" x14ac:dyDescent="0.4">
      <c r="A302" s="4" t="s">
        <v>216</v>
      </c>
      <c r="B302" s="4">
        <v>2957</v>
      </c>
      <c r="C302" s="4" t="s">
        <v>242</v>
      </c>
      <c r="D302" s="4" t="s">
        <v>1359</v>
      </c>
      <c r="E302" s="4" t="s">
        <v>1360</v>
      </c>
      <c r="F302" s="4" t="s">
        <v>1361</v>
      </c>
      <c r="G302" s="4" t="s">
        <v>1362</v>
      </c>
      <c r="H302" s="4" t="s">
        <v>1363</v>
      </c>
      <c r="I302" s="4" t="s">
        <v>154</v>
      </c>
      <c r="J302" s="4" t="s">
        <v>1364</v>
      </c>
      <c r="K302" s="4" t="s">
        <v>224</v>
      </c>
      <c r="L302" s="6" t="s">
        <v>1365</v>
      </c>
      <c r="M302" s="4" t="s">
        <v>1366</v>
      </c>
      <c r="N302" s="4" t="s">
        <v>1367</v>
      </c>
      <c r="P302" s="4" t="s">
        <v>1368</v>
      </c>
      <c r="Q302" s="4" t="s">
        <v>1369</v>
      </c>
      <c r="R302" s="4" t="s">
        <v>1370</v>
      </c>
      <c r="S302" s="4" t="s">
        <v>231</v>
      </c>
      <c r="T302" s="7">
        <v>43174</v>
      </c>
      <c r="U302" s="4">
        <v>0</v>
      </c>
      <c r="V302" s="4">
        <v>11</v>
      </c>
      <c r="W302" s="4" t="s">
        <v>314</v>
      </c>
      <c r="Y302" s="4" t="s">
        <v>233</v>
      </c>
      <c r="Z302" s="4" t="s">
        <v>234</v>
      </c>
      <c r="AA302" s="4" t="s">
        <v>234</v>
      </c>
      <c r="AC302" s="4" t="s">
        <v>2923</v>
      </c>
    </row>
    <row r="303" spans="1:29" hidden="1" x14ac:dyDescent="0.4">
      <c r="A303" s="4" t="s">
        <v>216</v>
      </c>
      <c r="B303" s="4">
        <v>2957</v>
      </c>
      <c r="C303" s="4" t="s">
        <v>242</v>
      </c>
      <c r="D303" s="4" t="s">
        <v>1359</v>
      </c>
      <c r="E303" s="4" t="s">
        <v>1360</v>
      </c>
      <c r="F303" s="4" t="s">
        <v>1361</v>
      </c>
      <c r="G303" s="4" t="s">
        <v>1362</v>
      </c>
      <c r="H303" s="4" t="s">
        <v>1363</v>
      </c>
      <c r="I303" s="4" t="s">
        <v>154</v>
      </c>
      <c r="J303" s="4" t="s">
        <v>1364</v>
      </c>
      <c r="K303" s="4" t="s">
        <v>224</v>
      </c>
      <c r="L303" s="6" t="s">
        <v>1365</v>
      </c>
      <c r="M303" s="4" t="s">
        <v>1366</v>
      </c>
      <c r="N303" s="4" t="s">
        <v>1367</v>
      </c>
      <c r="P303" s="4" t="s">
        <v>1368</v>
      </c>
      <c r="Q303" s="4" t="s">
        <v>1369</v>
      </c>
      <c r="R303" s="4" t="s">
        <v>1370</v>
      </c>
      <c r="S303" s="4" t="s">
        <v>231</v>
      </c>
      <c r="T303" s="7">
        <v>43174</v>
      </c>
      <c r="U303" s="4">
        <v>0</v>
      </c>
      <c r="V303" s="4">
        <v>12</v>
      </c>
      <c r="Y303" s="4" t="s">
        <v>233</v>
      </c>
      <c r="Z303" s="4" t="s">
        <v>234</v>
      </c>
      <c r="AA303" s="4" t="s">
        <v>234</v>
      </c>
      <c r="AC303" s="4" t="s">
        <v>2923</v>
      </c>
    </row>
    <row r="304" spans="1:29" hidden="1" x14ac:dyDescent="0.4">
      <c r="A304" s="4" t="s">
        <v>216</v>
      </c>
      <c r="B304" s="4">
        <v>2957</v>
      </c>
      <c r="C304" s="4" t="s">
        <v>242</v>
      </c>
      <c r="D304" s="4" t="s">
        <v>1359</v>
      </c>
      <c r="E304" s="4" t="s">
        <v>1360</v>
      </c>
      <c r="F304" s="4" t="s">
        <v>1361</v>
      </c>
      <c r="G304" s="4" t="s">
        <v>1362</v>
      </c>
      <c r="H304" s="4" t="s">
        <v>1363</v>
      </c>
      <c r="I304" s="4" t="s">
        <v>154</v>
      </c>
      <c r="J304" s="4" t="s">
        <v>1364</v>
      </c>
      <c r="K304" s="4" t="s">
        <v>224</v>
      </c>
      <c r="L304" s="6" t="s">
        <v>1365</v>
      </c>
      <c r="M304" s="4" t="s">
        <v>1366</v>
      </c>
      <c r="N304" s="4" t="s">
        <v>1367</v>
      </c>
      <c r="P304" s="4" t="s">
        <v>1371</v>
      </c>
      <c r="Q304" s="4" t="s">
        <v>1372</v>
      </c>
      <c r="R304" s="4" t="s">
        <v>1370</v>
      </c>
      <c r="S304" s="4" t="s">
        <v>231</v>
      </c>
      <c r="T304" s="7">
        <v>43906</v>
      </c>
      <c r="U304" s="4">
        <v>0</v>
      </c>
      <c r="V304" s="4">
        <v>10</v>
      </c>
      <c r="W304" s="4" t="s">
        <v>314</v>
      </c>
      <c r="Y304" s="4" t="s">
        <v>233</v>
      </c>
      <c r="Z304" s="4" t="s">
        <v>234</v>
      </c>
      <c r="AA304" s="4" t="s">
        <v>234</v>
      </c>
      <c r="AC304" s="4" t="s">
        <v>2923</v>
      </c>
    </row>
    <row r="305" spans="1:29" x14ac:dyDescent="0.4">
      <c r="A305" s="4" t="s">
        <v>216</v>
      </c>
      <c r="B305" s="4">
        <v>2957</v>
      </c>
      <c r="C305" s="4" t="s">
        <v>242</v>
      </c>
      <c r="D305" s="4" t="s">
        <v>1359</v>
      </c>
      <c r="E305" s="4" t="s">
        <v>1360</v>
      </c>
      <c r="F305" s="4" t="s">
        <v>1361</v>
      </c>
      <c r="G305" s="4" t="s">
        <v>1362</v>
      </c>
      <c r="H305" s="4" t="s">
        <v>1363</v>
      </c>
      <c r="I305" s="4" t="s">
        <v>154</v>
      </c>
      <c r="J305" s="4" t="s">
        <v>1364</v>
      </c>
      <c r="K305" s="4" t="s">
        <v>224</v>
      </c>
      <c r="L305" s="6" t="s">
        <v>1365</v>
      </c>
      <c r="M305" s="4" t="s">
        <v>1366</v>
      </c>
      <c r="N305" s="4" t="s">
        <v>1367</v>
      </c>
      <c r="P305" s="4" t="s">
        <v>1371</v>
      </c>
      <c r="Q305" s="4" t="s">
        <v>1372</v>
      </c>
      <c r="R305" s="4" t="s">
        <v>1370</v>
      </c>
      <c r="S305" s="4" t="s">
        <v>231</v>
      </c>
      <c r="T305" s="7">
        <v>43906</v>
      </c>
      <c r="U305" s="4">
        <v>0</v>
      </c>
      <c r="V305" s="4">
        <v>4</v>
      </c>
      <c r="W305" s="4" t="s">
        <v>97</v>
      </c>
      <c r="Y305" s="4" t="s">
        <v>233</v>
      </c>
      <c r="Z305" s="4" t="s">
        <v>234</v>
      </c>
      <c r="AA305" s="4" t="s">
        <v>234</v>
      </c>
      <c r="AC305" s="4" t="s">
        <v>2923</v>
      </c>
    </row>
    <row r="306" spans="1:29" hidden="1" x14ac:dyDescent="0.4">
      <c r="A306" s="4" t="s">
        <v>216</v>
      </c>
      <c r="B306" s="4">
        <v>676</v>
      </c>
      <c r="C306" s="4" t="s">
        <v>242</v>
      </c>
      <c r="D306" s="4" t="s">
        <v>1348</v>
      </c>
      <c r="E306" s="4" t="s">
        <v>1373</v>
      </c>
      <c r="F306" s="4">
        <v>16</v>
      </c>
      <c r="G306" s="4" t="s">
        <v>1374</v>
      </c>
      <c r="H306" s="4" t="s">
        <v>1375</v>
      </c>
      <c r="I306" s="4" t="s">
        <v>34</v>
      </c>
      <c r="J306" s="4" t="s">
        <v>1376</v>
      </c>
      <c r="K306" s="4" t="s">
        <v>224</v>
      </c>
      <c r="L306" s="6" t="s">
        <v>1377</v>
      </c>
      <c r="M306" s="4" t="s">
        <v>1378</v>
      </c>
      <c r="N306" s="4" t="s">
        <v>1379</v>
      </c>
      <c r="P306" s="4" t="s">
        <v>2874</v>
      </c>
      <c r="Q306" s="4" t="s">
        <v>1380</v>
      </c>
      <c r="R306" s="4" t="s">
        <v>32</v>
      </c>
      <c r="S306" s="4" t="s">
        <v>231</v>
      </c>
      <c r="T306" s="7">
        <v>44791</v>
      </c>
      <c r="U306" s="4">
        <v>0</v>
      </c>
      <c r="V306" s="4">
        <v>10</v>
      </c>
      <c r="W306" s="4" t="s">
        <v>314</v>
      </c>
      <c r="Y306" s="4" t="s">
        <v>233</v>
      </c>
      <c r="Z306" s="4" t="s">
        <v>234</v>
      </c>
      <c r="AA306" s="4" t="s">
        <v>234</v>
      </c>
      <c r="AC306" s="4" t="s">
        <v>2923</v>
      </c>
    </row>
    <row r="307" spans="1:29" hidden="1" x14ac:dyDescent="0.4">
      <c r="A307" s="4" t="s">
        <v>216</v>
      </c>
      <c r="B307" s="4">
        <v>676</v>
      </c>
      <c r="C307" s="4" t="s">
        <v>242</v>
      </c>
      <c r="D307" s="4" t="s">
        <v>1348</v>
      </c>
      <c r="E307" s="4" t="s">
        <v>1373</v>
      </c>
      <c r="F307" s="4">
        <v>16</v>
      </c>
      <c r="G307" s="4" t="s">
        <v>1374</v>
      </c>
      <c r="H307" s="4" t="s">
        <v>1375</v>
      </c>
      <c r="I307" s="4" t="s">
        <v>34</v>
      </c>
      <c r="J307" s="4" t="s">
        <v>1376</v>
      </c>
      <c r="K307" s="4" t="s">
        <v>224</v>
      </c>
      <c r="L307" s="6" t="s">
        <v>1377</v>
      </c>
      <c r="M307" s="4" t="s">
        <v>1378</v>
      </c>
      <c r="N307" s="4" t="s">
        <v>1379</v>
      </c>
      <c r="P307" s="4" t="s">
        <v>2874</v>
      </c>
      <c r="Q307" s="4" t="s">
        <v>1380</v>
      </c>
      <c r="R307" s="4" t="s">
        <v>32</v>
      </c>
      <c r="S307" s="4" t="s">
        <v>231</v>
      </c>
      <c r="T307" s="7">
        <v>44791</v>
      </c>
      <c r="U307" s="4">
        <v>0</v>
      </c>
      <c r="V307" s="4">
        <v>11</v>
      </c>
      <c r="W307" s="4" t="s">
        <v>314</v>
      </c>
      <c r="Y307" s="4" t="s">
        <v>233</v>
      </c>
      <c r="Z307" s="4" t="s">
        <v>234</v>
      </c>
      <c r="AA307" s="4" t="s">
        <v>234</v>
      </c>
      <c r="AC307" s="4" t="s">
        <v>2923</v>
      </c>
    </row>
    <row r="308" spans="1:29" hidden="1" x14ac:dyDescent="0.4">
      <c r="A308" s="4" t="s">
        <v>216</v>
      </c>
      <c r="B308" s="4">
        <v>140</v>
      </c>
      <c r="C308" s="4" t="s">
        <v>315</v>
      </c>
      <c r="D308" s="4" t="s">
        <v>1382</v>
      </c>
      <c r="E308" s="4" t="s">
        <v>1383</v>
      </c>
      <c r="F308" s="4" t="s">
        <v>1384</v>
      </c>
      <c r="H308" s="4" t="s">
        <v>1385</v>
      </c>
      <c r="I308" s="4" t="s">
        <v>1386</v>
      </c>
      <c r="J308" s="4" t="s">
        <v>1387</v>
      </c>
      <c r="K308" s="4" t="s">
        <v>224</v>
      </c>
      <c r="L308" s="6" t="s">
        <v>1388</v>
      </c>
      <c r="M308" s="4" t="s">
        <v>1389</v>
      </c>
      <c r="N308" s="4" t="s">
        <v>1390</v>
      </c>
      <c r="P308" s="4" t="s">
        <v>1391</v>
      </c>
      <c r="Q308" s="4" t="s">
        <v>1392</v>
      </c>
      <c r="R308" s="4" t="s">
        <v>31</v>
      </c>
      <c r="S308" s="4" t="s">
        <v>257</v>
      </c>
      <c r="T308" s="7">
        <v>44164</v>
      </c>
      <c r="U308" s="4">
        <v>0</v>
      </c>
      <c r="V308" s="4">
        <v>7</v>
      </c>
      <c r="W308" s="4" t="s">
        <v>238</v>
      </c>
      <c r="Y308" s="4" t="s">
        <v>233</v>
      </c>
      <c r="Z308" s="4" t="s">
        <v>234</v>
      </c>
      <c r="AA308" s="4" t="s">
        <v>233</v>
      </c>
      <c r="AC308" s="4" t="s">
        <v>2923</v>
      </c>
    </row>
    <row r="309" spans="1:29" hidden="1" x14ac:dyDescent="0.4">
      <c r="A309" s="4" t="s">
        <v>216</v>
      </c>
      <c r="B309" s="4">
        <v>140</v>
      </c>
      <c r="C309" s="4" t="s">
        <v>315</v>
      </c>
      <c r="D309" s="4" t="s">
        <v>1382</v>
      </c>
      <c r="E309" s="4" t="s">
        <v>1383</v>
      </c>
      <c r="F309" s="4" t="s">
        <v>1384</v>
      </c>
      <c r="H309" s="4" t="s">
        <v>1385</v>
      </c>
      <c r="I309" s="4" t="s">
        <v>1386</v>
      </c>
      <c r="J309" s="4" t="s">
        <v>1387</v>
      </c>
      <c r="K309" s="4" t="s">
        <v>224</v>
      </c>
      <c r="L309" s="6" t="s">
        <v>1388</v>
      </c>
      <c r="M309" s="4" t="s">
        <v>1389</v>
      </c>
      <c r="N309" s="4" t="s">
        <v>1390</v>
      </c>
      <c r="P309" s="4" t="s">
        <v>1391</v>
      </c>
      <c r="Q309" s="4" t="s">
        <v>1392</v>
      </c>
      <c r="R309" s="4" t="s">
        <v>31</v>
      </c>
      <c r="S309" s="4" t="s">
        <v>257</v>
      </c>
      <c r="T309" s="7">
        <v>44164</v>
      </c>
      <c r="U309" s="4">
        <v>0</v>
      </c>
      <c r="V309" s="4">
        <v>13</v>
      </c>
      <c r="W309" s="4" t="s">
        <v>240</v>
      </c>
      <c r="Y309" s="4" t="s">
        <v>233</v>
      </c>
      <c r="Z309" s="4" t="s">
        <v>234</v>
      </c>
      <c r="AA309" s="4" t="s">
        <v>233</v>
      </c>
      <c r="AC309" s="4" t="s">
        <v>2923</v>
      </c>
    </row>
    <row r="310" spans="1:29" x14ac:dyDescent="0.4">
      <c r="A310" s="4" t="s">
        <v>216</v>
      </c>
      <c r="B310" s="4">
        <v>1767</v>
      </c>
      <c r="C310" s="4" t="s">
        <v>242</v>
      </c>
      <c r="D310" s="4" t="s">
        <v>2824</v>
      </c>
      <c r="E310" s="4" t="s">
        <v>2825</v>
      </c>
      <c r="F310" s="4" t="s">
        <v>1393</v>
      </c>
      <c r="G310" s="4" t="s">
        <v>1394</v>
      </c>
      <c r="H310" s="4" t="s">
        <v>1395</v>
      </c>
      <c r="I310" s="4" t="s">
        <v>1396</v>
      </c>
      <c r="J310" s="4" t="s">
        <v>1397</v>
      </c>
      <c r="K310" s="4" t="s">
        <v>224</v>
      </c>
      <c r="L310" s="5" t="s">
        <v>1398</v>
      </c>
      <c r="M310" s="4" t="s">
        <v>1399</v>
      </c>
      <c r="N310" s="4" t="s">
        <v>1400</v>
      </c>
      <c r="P310" s="4" t="s">
        <v>2875</v>
      </c>
      <c r="Q310" s="4" t="s">
        <v>1401</v>
      </c>
      <c r="R310" s="4" t="s">
        <v>53</v>
      </c>
      <c r="S310" s="4" t="s">
        <v>257</v>
      </c>
      <c r="T310" s="7">
        <v>43089</v>
      </c>
      <c r="U310" s="4">
        <v>0</v>
      </c>
      <c r="V310" s="4">
        <v>4</v>
      </c>
      <c r="W310" s="4" t="s">
        <v>2725</v>
      </c>
      <c r="Y310" s="4" t="s">
        <v>233</v>
      </c>
      <c r="Z310" s="4" t="s">
        <v>234</v>
      </c>
      <c r="AA310" s="4" t="s">
        <v>233</v>
      </c>
      <c r="AC310" s="4" t="s">
        <v>2923</v>
      </c>
    </row>
    <row r="311" spans="1:29" hidden="1" x14ac:dyDescent="0.4">
      <c r="A311" s="4" t="s">
        <v>216</v>
      </c>
      <c r="B311" s="4">
        <v>1767</v>
      </c>
      <c r="C311" s="4" t="s">
        <v>242</v>
      </c>
      <c r="D311" s="4" t="s">
        <v>2824</v>
      </c>
      <c r="E311" s="4" t="s">
        <v>2825</v>
      </c>
      <c r="F311" s="4" t="s">
        <v>1393</v>
      </c>
      <c r="G311" s="4" t="s">
        <v>1394</v>
      </c>
      <c r="H311" s="4" t="s">
        <v>1395</v>
      </c>
      <c r="I311" s="4" t="s">
        <v>1396</v>
      </c>
      <c r="J311" s="4" t="s">
        <v>1397</v>
      </c>
      <c r="K311" s="4" t="s">
        <v>224</v>
      </c>
      <c r="L311" s="5" t="s">
        <v>1398</v>
      </c>
      <c r="M311" s="4" t="s">
        <v>1399</v>
      </c>
      <c r="N311" s="4" t="s">
        <v>1400</v>
      </c>
      <c r="P311" s="4" t="s">
        <v>2875</v>
      </c>
      <c r="Q311" s="4" t="s">
        <v>1401</v>
      </c>
      <c r="R311" s="4" t="s">
        <v>53</v>
      </c>
      <c r="S311" s="4" t="s">
        <v>257</v>
      </c>
      <c r="T311" s="7">
        <v>43089</v>
      </c>
      <c r="U311" s="4">
        <v>0</v>
      </c>
      <c r="V311" s="4">
        <v>6</v>
      </c>
      <c r="Y311" s="4" t="s">
        <v>233</v>
      </c>
      <c r="Z311" s="4" t="s">
        <v>234</v>
      </c>
      <c r="AA311" s="4" t="s">
        <v>233</v>
      </c>
      <c r="AC311" s="4" t="s">
        <v>2923</v>
      </c>
    </row>
    <row r="312" spans="1:29" hidden="1" x14ac:dyDescent="0.4">
      <c r="A312" s="4" t="s">
        <v>216</v>
      </c>
      <c r="B312" s="4">
        <v>1767</v>
      </c>
      <c r="C312" s="4" t="s">
        <v>242</v>
      </c>
      <c r="D312" s="4" t="s">
        <v>2824</v>
      </c>
      <c r="E312" s="4" t="s">
        <v>2825</v>
      </c>
      <c r="F312" s="4" t="s">
        <v>1393</v>
      </c>
      <c r="G312" s="4" t="s">
        <v>1394</v>
      </c>
      <c r="H312" s="4" t="s">
        <v>1395</v>
      </c>
      <c r="I312" s="4" t="s">
        <v>1396</v>
      </c>
      <c r="J312" s="4" t="s">
        <v>1397</v>
      </c>
      <c r="K312" s="4" t="s">
        <v>224</v>
      </c>
      <c r="L312" s="5" t="s">
        <v>1398</v>
      </c>
      <c r="M312" s="4" t="s">
        <v>1399</v>
      </c>
      <c r="N312" s="4" t="s">
        <v>1400</v>
      </c>
      <c r="P312" s="4" t="s">
        <v>2875</v>
      </c>
      <c r="Q312" s="4" t="s">
        <v>1401</v>
      </c>
      <c r="R312" s="4" t="s">
        <v>53</v>
      </c>
      <c r="S312" s="4" t="s">
        <v>257</v>
      </c>
      <c r="T312" s="7">
        <v>43089</v>
      </c>
      <c r="U312" s="4">
        <v>0</v>
      </c>
      <c r="V312" s="4">
        <v>10</v>
      </c>
      <c r="W312" s="4" t="s">
        <v>314</v>
      </c>
      <c r="Y312" s="4" t="s">
        <v>233</v>
      </c>
      <c r="Z312" s="4" t="s">
        <v>234</v>
      </c>
      <c r="AA312" s="4" t="s">
        <v>233</v>
      </c>
      <c r="AC312" s="4" t="s">
        <v>2923</v>
      </c>
    </row>
    <row r="313" spans="1:29" hidden="1" x14ac:dyDescent="0.4">
      <c r="A313" s="4" t="s">
        <v>216</v>
      </c>
      <c r="B313" s="4">
        <v>1767</v>
      </c>
      <c r="C313" s="4" t="s">
        <v>242</v>
      </c>
      <c r="D313" s="4" t="s">
        <v>2824</v>
      </c>
      <c r="E313" s="4" t="s">
        <v>2825</v>
      </c>
      <c r="F313" s="4" t="s">
        <v>1393</v>
      </c>
      <c r="G313" s="4" t="s">
        <v>1394</v>
      </c>
      <c r="H313" s="4" t="s">
        <v>1395</v>
      </c>
      <c r="I313" s="4" t="s">
        <v>1396</v>
      </c>
      <c r="J313" s="4" t="s">
        <v>1397</v>
      </c>
      <c r="K313" s="4" t="s">
        <v>224</v>
      </c>
      <c r="L313" s="5" t="s">
        <v>1398</v>
      </c>
      <c r="M313" s="4" t="s">
        <v>1399</v>
      </c>
      <c r="N313" s="4" t="s">
        <v>1400</v>
      </c>
      <c r="P313" s="4" t="s">
        <v>2875</v>
      </c>
      <c r="Q313" s="4" t="s">
        <v>1401</v>
      </c>
      <c r="R313" s="4" t="s">
        <v>53</v>
      </c>
      <c r="S313" s="4" t="s">
        <v>257</v>
      </c>
      <c r="T313" s="7">
        <v>43089</v>
      </c>
      <c r="U313" s="4">
        <v>0</v>
      </c>
      <c r="V313" s="4">
        <v>14</v>
      </c>
      <c r="W313" s="4" t="s">
        <v>241</v>
      </c>
      <c r="Y313" s="4" t="s">
        <v>233</v>
      </c>
      <c r="Z313" s="4" t="s">
        <v>234</v>
      </c>
      <c r="AA313" s="4" t="s">
        <v>233</v>
      </c>
      <c r="AC313" s="4" t="s">
        <v>2923</v>
      </c>
    </row>
    <row r="314" spans="1:29" x14ac:dyDescent="0.4">
      <c r="A314" s="4" t="s">
        <v>216</v>
      </c>
      <c r="B314" s="4">
        <v>645</v>
      </c>
      <c r="C314" s="4" t="s">
        <v>242</v>
      </c>
      <c r="D314" s="4" t="s">
        <v>2827</v>
      </c>
      <c r="E314" s="4" t="s">
        <v>2826</v>
      </c>
      <c r="F314" s="4" t="s">
        <v>1402</v>
      </c>
      <c r="G314" s="4" t="s">
        <v>1403</v>
      </c>
      <c r="H314" s="4" t="s">
        <v>1404</v>
      </c>
      <c r="I314" s="4" t="s">
        <v>143</v>
      </c>
      <c r="J314" s="4" t="s">
        <v>1405</v>
      </c>
      <c r="K314" s="4" t="s">
        <v>224</v>
      </c>
      <c r="L314" s="6" t="s">
        <v>1406</v>
      </c>
      <c r="M314" s="4" t="s">
        <v>1407</v>
      </c>
      <c r="N314" s="4" t="s">
        <v>1408</v>
      </c>
      <c r="P314" s="4" t="s">
        <v>1409</v>
      </c>
      <c r="Q314" s="4" t="s">
        <v>1410</v>
      </c>
      <c r="R314" s="4" t="s">
        <v>53</v>
      </c>
      <c r="S314" s="4" t="s">
        <v>231</v>
      </c>
      <c r="T314" s="7">
        <v>45501</v>
      </c>
      <c r="U314" s="4">
        <v>0</v>
      </c>
      <c r="V314" s="4">
        <v>4</v>
      </c>
      <c r="W314" s="4" t="s">
        <v>97</v>
      </c>
      <c r="Y314" s="4" t="s">
        <v>233</v>
      </c>
      <c r="Z314" s="4" t="s">
        <v>234</v>
      </c>
      <c r="AA314" s="4" t="s">
        <v>234</v>
      </c>
      <c r="AC314" s="4" t="s">
        <v>2923</v>
      </c>
    </row>
    <row r="315" spans="1:29" hidden="1" x14ac:dyDescent="0.4">
      <c r="A315" s="4" t="s">
        <v>216</v>
      </c>
      <c r="B315" s="4">
        <v>645</v>
      </c>
      <c r="C315" s="4" t="s">
        <v>242</v>
      </c>
      <c r="D315" s="4" t="s">
        <v>2827</v>
      </c>
      <c r="E315" s="4" t="s">
        <v>2826</v>
      </c>
      <c r="F315" s="4" t="s">
        <v>1402</v>
      </c>
      <c r="G315" s="4" t="s">
        <v>1403</v>
      </c>
      <c r="H315" s="4" t="s">
        <v>1404</v>
      </c>
      <c r="I315" s="4" t="s">
        <v>143</v>
      </c>
      <c r="J315" s="4" t="s">
        <v>1405</v>
      </c>
      <c r="K315" s="4" t="s">
        <v>224</v>
      </c>
      <c r="L315" s="6" t="s">
        <v>1406</v>
      </c>
      <c r="M315" s="4" t="s">
        <v>1407</v>
      </c>
      <c r="N315" s="4" t="s">
        <v>1408</v>
      </c>
      <c r="P315" s="4" t="s">
        <v>1409</v>
      </c>
      <c r="Q315" s="4" t="s">
        <v>1410</v>
      </c>
      <c r="R315" s="4" t="s">
        <v>53</v>
      </c>
      <c r="S315" s="4" t="s">
        <v>231</v>
      </c>
      <c r="T315" s="7">
        <v>45501</v>
      </c>
      <c r="U315" s="4">
        <v>0</v>
      </c>
      <c r="V315" s="4">
        <v>10</v>
      </c>
      <c r="W315" s="4" t="s">
        <v>433</v>
      </c>
      <c r="Y315" s="4" t="s">
        <v>233</v>
      </c>
      <c r="Z315" s="4" t="s">
        <v>234</v>
      </c>
      <c r="AA315" s="4" t="s">
        <v>234</v>
      </c>
      <c r="AC315" s="4" t="s">
        <v>2923</v>
      </c>
    </row>
    <row r="316" spans="1:29" hidden="1" x14ac:dyDescent="0.4">
      <c r="A316" s="4" t="s">
        <v>216</v>
      </c>
      <c r="B316" s="4">
        <v>645</v>
      </c>
      <c r="C316" s="4" t="s">
        <v>242</v>
      </c>
      <c r="D316" s="4" t="s">
        <v>2827</v>
      </c>
      <c r="E316" s="4" t="s">
        <v>2826</v>
      </c>
      <c r="F316" s="4" t="s">
        <v>1402</v>
      </c>
      <c r="G316" s="4" t="s">
        <v>1403</v>
      </c>
      <c r="H316" s="4" t="s">
        <v>1404</v>
      </c>
      <c r="I316" s="4" t="s">
        <v>143</v>
      </c>
      <c r="J316" s="4" t="s">
        <v>1405</v>
      </c>
      <c r="K316" s="4" t="s">
        <v>224</v>
      </c>
      <c r="L316" s="6" t="s">
        <v>1406</v>
      </c>
      <c r="M316" s="4" t="s">
        <v>1407</v>
      </c>
      <c r="N316" s="4" t="s">
        <v>1408</v>
      </c>
      <c r="P316" s="4" t="s">
        <v>1411</v>
      </c>
      <c r="Q316" s="4" t="s">
        <v>1412</v>
      </c>
      <c r="R316" s="4" t="s">
        <v>53</v>
      </c>
      <c r="S316" s="4" t="s">
        <v>231</v>
      </c>
      <c r="T316" s="7">
        <v>42745</v>
      </c>
      <c r="U316" s="4">
        <v>0</v>
      </c>
      <c r="V316" s="4">
        <v>7</v>
      </c>
      <c r="W316" s="4" t="s">
        <v>238</v>
      </c>
      <c r="Y316" s="4" t="s">
        <v>233</v>
      </c>
      <c r="Z316" s="4" t="s">
        <v>234</v>
      </c>
      <c r="AA316" s="4" t="s">
        <v>234</v>
      </c>
      <c r="AC316" s="4" t="s">
        <v>2923</v>
      </c>
    </row>
    <row r="317" spans="1:29" hidden="1" x14ac:dyDescent="0.4">
      <c r="A317" s="4" t="s">
        <v>216</v>
      </c>
      <c r="B317" s="4">
        <v>645</v>
      </c>
      <c r="C317" s="4" t="s">
        <v>242</v>
      </c>
      <c r="D317" s="4" t="s">
        <v>2827</v>
      </c>
      <c r="E317" s="4" t="s">
        <v>2826</v>
      </c>
      <c r="F317" s="4" t="s">
        <v>1402</v>
      </c>
      <c r="G317" s="4" t="s">
        <v>1403</v>
      </c>
      <c r="H317" s="4" t="s">
        <v>1404</v>
      </c>
      <c r="I317" s="4" t="s">
        <v>143</v>
      </c>
      <c r="J317" s="4" t="s">
        <v>1405</v>
      </c>
      <c r="K317" s="4" t="s">
        <v>224</v>
      </c>
      <c r="L317" s="6" t="s">
        <v>1406</v>
      </c>
      <c r="M317" s="4" t="s">
        <v>1407</v>
      </c>
      <c r="N317" s="4" t="s">
        <v>1408</v>
      </c>
      <c r="P317" s="4" t="s">
        <v>1411</v>
      </c>
      <c r="Q317" s="4" t="s">
        <v>1412</v>
      </c>
      <c r="R317" s="4" t="s">
        <v>53</v>
      </c>
      <c r="S317" s="4" t="s">
        <v>231</v>
      </c>
      <c r="T317" s="7">
        <v>42745</v>
      </c>
      <c r="U317" s="4">
        <v>0</v>
      </c>
      <c r="V317" s="4">
        <v>13</v>
      </c>
      <c r="W317" s="4" t="s">
        <v>240</v>
      </c>
      <c r="Y317" s="4" t="s">
        <v>233</v>
      </c>
      <c r="Z317" s="4" t="s">
        <v>234</v>
      </c>
      <c r="AA317" s="4" t="s">
        <v>234</v>
      </c>
      <c r="AC317" s="4" t="s">
        <v>2923</v>
      </c>
    </row>
    <row r="318" spans="1:29" hidden="1" x14ac:dyDescent="0.4">
      <c r="A318" s="4" t="s">
        <v>216</v>
      </c>
      <c r="B318" s="4">
        <v>553</v>
      </c>
      <c r="C318" s="4" t="s">
        <v>242</v>
      </c>
      <c r="D318" s="4" t="s">
        <v>178</v>
      </c>
      <c r="E318" s="4" t="s">
        <v>1413</v>
      </c>
      <c r="F318" s="4" t="s">
        <v>1414</v>
      </c>
      <c r="H318" s="4" t="s">
        <v>1415</v>
      </c>
      <c r="I318" s="4" t="s">
        <v>154</v>
      </c>
      <c r="J318" s="4" t="s">
        <v>1416</v>
      </c>
      <c r="K318" s="4" t="s">
        <v>224</v>
      </c>
      <c r="L318" s="6" t="s">
        <v>1417</v>
      </c>
      <c r="M318" s="4" t="s">
        <v>1418</v>
      </c>
      <c r="N318" s="4" t="s">
        <v>1419</v>
      </c>
      <c r="P318" s="4" t="s">
        <v>1425</v>
      </c>
      <c r="Q318" s="4" t="s">
        <v>1426</v>
      </c>
      <c r="R318" s="4" t="s">
        <v>53</v>
      </c>
      <c r="S318" s="4" t="s">
        <v>231</v>
      </c>
      <c r="T318" s="7">
        <v>44536</v>
      </c>
      <c r="U318" s="4">
        <v>0</v>
      </c>
      <c r="V318" s="4">
        <v>4</v>
      </c>
      <c r="W318" s="4" t="s">
        <v>314</v>
      </c>
      <c r="Y318" s="4" t="s">
        <v>233</v>
      </c>
      <c r="Z318" s="4" t="s">
        <v>234</v>
      </c>
      <c r="AA318" s="4" t="s">
        <v>233</v>
      </c>
      <c r="AC318" s="4" t="s">
        <v>2923</v>
      </c>
    </row>
    <row r="319" spans="1:29" hidden="1" x14ac:dyDescent="0.4">
      <c r="A319" s="4" t="s">
        <v>216</v>
      </c>
      <c r="B319" s="4">
        <v>553</v>
      </c>
      <c r="C319" s="4" t="s">
        <v>242</v>
      </c>
      <c r="D319" s="4" t="s">
        <v>178</v>
      </c>
      <c r="E319" s="4" t="s">
        <v>1413</v>
      </c>
      <c r="F319" s="4" t="s">
        <v>1414</v>
      </c>
      <c r="H319" s="4" t="s">
        <v>1415</v>
      </c>
      <c r="I319" s="4" t="s">
        <v>154</v>
      </c>
      <c r="J319" s="4" t="s">
        <v>1416</v>
      </c>
      <c r="K319" s="4" t="s">
        <v>224</v>
      </c>
      <c r="L319" s="6" t="s">
        <v>1417</v>
      </c>
      <c r="M319" s="4" t="s">
        <v>1418</v>
      </c>
      <c r="N319" s="4" t="s">
        <v>1419</v>
      </c>
      <c r="P319" s="4" t="s">
        <v>1425</v>
      </c>
      <c r="Q319" s="4" t="s">
        <v>1426</v>
      </c>
      <c r="R319" s="4" t="s">
        <v>53</v>
      </c>
      <c r="S319" s="4" t="s">
        <v>231</v>
      </c>
      <c r="T319" s="7">
        <v>44536</v>
      </c>
      <c r="U319" s="4">
        <v>0</v>
      </c>
      <c r="V319" s="4">
        <v>10</v>
      </c>
      <c r="W319" s="4" t="s">
        <v>433</v>
      </c>
      <c r="Y319" s="4" t="s">
        <v>233</v>
      </c>
      <c r="Z319" s="4" t="s">
        <v>234</v>
      </c>
      <c r="AA319" s="4" t="s">
        <v>233</v>
      </c>
      <c r="AC319" s="4" t="s">
        <v>2923</v>
      </c>
    </row>
    <row r="320" spans="1:29" hidden="1" x14ac:dyDescent="0.4">
      <c r="A320" s="4" t="s">
        <v>216</v>
      </c>
      <c r="B320" s="4">
        <v>553</v>
      </c>
      <c r="C320" s="4" t="s">
        <v>242</v>
      </c>
      <c r="D320" s="4" t="s">
        <v>178</v>
      </c>
      <c r="E320" s="4" t="s">
        <v>1413</v>
      </c>
      <c r="F320" s="4" t="s">
        <v>1414</v>
      </c>
      <c r="H320" s="4" t="s">
        <v>1415</v>
      </c>
      <c r="I320" s="4" t="s">
        <v>154</v>
      </c>
      <c r="J320" s="4" t="s">
        <v>1416</v>
      </c>
      <c r="K320" s="4" t="s">
        <v>224</v>
      </c>
      <c r="L320" s="6" t="s">
        <v>1417</v>
      </c>
      <c r="M320" s="4" t="s">
        <v>1418</v>
      </c>
      <c r="N320" s="4" t="s">
        <v>1419</v>
      </c>
      <c r="P320" s="4" t="s">
        <v>1425</v>
      </c>
      <c r="Q320" s="4" t="s">
        <v>1426</v>
      </c>
      <c r="R320" s="4" t="s">
        <v>53</v>
      </c>
      <c r="S320" s="4" t="s">
        <v>231</v>
      </c>
      <c r="T320" s="7">
        <v>44536</v>
      </c>
      <c r="U320" s="4">
        <v>0</v>
      </c>
      <c r="V320" s="4">
        <v>12</v>
      </c>
      <c r="Y320" s="4" t="s">
        <v>233</v>
      </c>
      <c r="Z320" s="4" t="s">
        <v>234</v>
      </c>
      <c r="AA320" s="4" t="s">
        <v>233</v>
      </c>
      <c r="AC320" s="4" t="s">
        <v>2923</v>
      </c>
    </row>
    <row r="321" spans="1:29" hidden="1" x14ac:dyDescent="0.4">
      <c r="A321" s="4" t="s">
        <v>216</v>
      </c>
      <c r="B321" s="4">
        <v>553</v>
      </c>
      <c r="C321" s="4" t="s">
        <v>242</v>
      </c>
      <c r="D321" s="4" t="s">
        <v>178</v>
      </c>
      <c r="E321" s="4" t="s">
        <v>1413</v>
      </c>
      <c r="F321" s="4" t="s">
        <v>1414</v>
      </c>
      <c r="H321" s="4" t="s">
        <v>1415</v>
      </c>
      <c r="I321" s="4" t="s">
        <v>154</v>
      </c>
      <c r="J321" s="4" t="s">
        <v>1416</v>
      </c>
      <c r="K321" s="4" t="s">
        <v>224</v>
      </c>
      <c r="L321" s="6" t="s">
        <v>1417</v>
      </c>
      <c r="M321" s="4" t="s">
        <v>1418</v>
      </c>
      <c r="N321" s="4" t="s">
        <v>1419</v>
      </c>
      <c r="P321" s="4" t="s">
        <v>1425</v>
      </c>
      <c r="Q321" s="4" t="s">
        <v>1426</v>
      </c>
      <c r="R321" s="4" t="s">
        <v>53</v>
      </c>
      <c r="S321" s="4" t="s">
        <v>231</v>
      </c>
      <c r="T321" s="7">
        <v>44536</v>
      </c>
      <c r="U321" s="4">
        <v>0</v>
      </c>
      <c r="V321" s="4">
        <v>6</v>
      </c>
      <c r="Y321" s="4" t="s">
        <v>233</v>
      </c>
      <c r="Z321" s="4" t="s">
        <v>234</v>
      </c>
      <c r="AA321" s="4" t="s">
        <v>233</v>
      </c>
      <c r="AC321" s="4" t="s">
        <v>2923</v>
      </c>
    </row>
    <row r="322" spans="1:29" x14ac:dyDescent="0.4">
      <c r="A322" s="4" t="s">
        <v>216</v>
      </c>
      <c r="B322" s="4">
        <v>2236</v>
      </c>
      <c r="C322" s="4" t="s">
        <v>217</v>
      </c>
      <c r="D322" s="4" t="s">
        <v>1427</v>
      </c>
      <c r="E322" s="4" t="s">
        <v>1428</v>
      </c>
      <c r="F322" s="4" t="s">
        <v>1429</v>
      </c>
      <c r="G322" s="4" t="s">
        <v>1430</v>
      </c>
      <c r="H322" s="4" t="s">
        <v>1431</v>
      </c>
      <c r="I322" s="4" t="s">
        <v>34</v>
      </c>
      <c r="J322" s="4" t="s">
        <v>1432</v>
      </c>
      <c r="K322" s="4" t="s">
        <v>224</v>
      </c>
      <c r="L322" s="5">
        <v>447587132666</v>
      </c>
      <c r="M322" s="4" t="s">
        <v>1433</v>
      </c>
      <c r="N322" s="4" t="s">
        <v>1434</v>
      </c>
      <c r="P322" s="4" t="s">
        <v>1441</v>
      </c>
      <c r="Q322" s="4" t="s">
        <v>1442</v>
      </c>
      <c r="R322" s="4" t="s">
        <v>313</v>
      </c>
      <c r="S322" s="4" t="s">
        <v>257</v>
      </c>
      <c r="T322" s="7">
        <v>44852</v>
      </c>
      <c r="U322" s="4">
        <v>0</v>
      </c>
      <c r="V322" s="4">
        <v>4</v>
      </c>
      <c r="W322" s="4" t="s">
        <v>97</v>
      </c>
      <c r="X322" s="4" t="s">
        <v>293</v>
      </c>
      <c r="Y322" s="4" t="s">
        <v>233</v>
      </c>
      <c r="Z322" s="4" t="s">
        <v>234</v>
      </c>
      <c r="AA322" s="4" t="s">
        <v>233</v>
      </c>
      <c r="AC322" s="4" t="s">
        <v>2923</v>
      </c>
    </row>
    <row r="323" spans="1:29" hidden="1" x14ac:dyDescent="0.4">
      <c r="A323" s="4" t="s">
        <v>216</v>
      </c>
      <c r="B323" s="4">
        <v>2236</v>
      </c>
      <c r="C323" s="4" t="s">
        <v>217</v>
      </c>
      <c r="D323" s="4" t="s">
        <v>1427</v>
      </c>
      <c r="E323" s="4" t="s">
        <v>1428</v>
      </c>
      <c r="F323" s="4" t="s">
        <v>1429</v>
      </c>
      <c r="G323" s="4" t="s">
        <v>1430</v>
      </c>
      <c r="H323" s="4" t="s">
        <v>1431</v>
      </c>
      <c r="I323" s="4" t="s">
        <v>34</v>
      </c>
      <c r="J323" s="4" t="s">
        <v>1432</v>
      </c>
      <c r="K323" s="4" t="s">
        <v>224</v>
      </c>
      <c r="L323" s="5">
        <v>447587132666</v>
      </c>
      <c r="M323" s="4" t="s">
        <v>1433</v>
      </c>
      <c r="N323" s="4" t="s">
        <v>1434</v>
      </c>
      <c r="P323" s="4" t="s">
        <v>1441</v>
      </c>
      <c r="Q323" s="4" t="s">
        <v>1442</v>
      </c>
      <c r="R323" s="4" t="s">
        <v>313</v>
      </c>
      <c r="S323" s="4" t="s">
        <v>257</v>
      </c>
      <c r="T323" s="7">
        <v>44852</v>
      </c>
      <c r="U323" s="4">
        <v>0</v>
      </c>
      <c r="V323" s="4">
        <v>5</v>
      </c>
      <c r="W323" s="4" t="s">
        <v>176</v>
      </c>
      <c r="X323" s="4" t="s">
        <v>293</v>
      </c>
      <c r="Y323" s="4" t="s">
        <v>233</v>
      </c>
      <c r="Z323" s="4" t="s">
        <v>234</v>
      </c>
      <c r="AA323" s="4" t="s">
        <v>233</v>
      </c>
      <c r="AC323" s="4" t="s">
        <v>2923</v>
      </c>
    </row>
    <row r="324" spans="1:29" x14ac:dyDescent="0.4">
      <c r="A324" s="4" t="s">
        <v>216</v>
      </c>
      <c r="B324" s="4">
        <v>2784</v>
      </c>
      <c r="C324" s="4" t="s">
        <v>242</v>
      </c>
      <c r="D324" s="4" t="s">
        <v>1443</v>
      </c>
      <c r="E324" s="4" t="s">
        <v>1444</v>
      </c>
      <c r="F324" s="4" t="s">
        <v>1445</v>
      </c>
      <c r="G324" s="4" t="s">
        <v>1446</v>
      </c>
      <c r="H324" s="4" t="s">
        <v>1447</v>
      </c>
      <c r="I324" s="4" t="s">
        <v>143</v>
      </c>
      <c r="J324" s="4" t="s">
        <v>1448</v>
      </c>
      <c r="K324" s="4" t="s">
        <v>224</v>
      </c>
      <c r="L324" s="6" t="s">
        <v>1449</v>
      </c>
      <c r="M324" s="4" t="s">
        <v>1450</v>
      </c>
      <c r="N324" s="4" t="s">
        <v>1451</v>
      </c>
      <c r="P324" s="4" t="s">
        <v>1452</v>
      </c>
      <c r="Q324" s="4" t="s">
        <v>1453</v>
      </c>
      <c r="R324" s="4" t="s">
        <v>333</v>
      </c>
      <c r="S324" s="4" t="s">
        <v>257</v>
      </c>
      <c r="T324" s="7">
        <v>44636</v>
      </c>
      <c r="U324" s="4">
        <v>0</v>
      </c>
      <c r="V324" s="4">
        <v>4</v>
      </c>
      <c r="W324" s="4" t="s">
        <v>97</v>
      </c>
      <c r="Y324" s="4" t="s">
        <v>233</v>
      </c>
      <c r="Z324" s="4" t="s">
        <v>234</v>
      </c>
      <c r="AA324" s="4" t="s">
        <v>234</v>
      </c>
      <c r="AB324" s="4" t="s">
        <v>1454</v>
      </c>
      <c r="AC324" s="4" t="s">
        <v>2923</v>
      </c>
    </row>
    <row r="325" spans="1:29" hidden="1" x14ac:dyDescent="0.4">
      <c r="A325" s="4" t="s">
        <v>216</v>
      </c>
      <c r="B325" s="4">
        <v>2784</v>
      </c>
      <c r="C325" s="4" t="s">
        <v>242</v>
      </c>
      <c r="D325" s="4" t="s">
        <v>1443</v>
      </c>
      <c r="E325" s="4" t="s">
        <v>1444</v>
      </c>
      <c r="F325" s="4" t="s">
        <v>1445</v>
      </c>
      <c r="G325" s="4" t="s">
        <v>1446</v>
      </c>
      <c r="H325" s="4" t="s">
        <v>1447</v>
      </c>
      <c r="I325" s="4" t="s">
        <v>143</v>
      </c>
      <c r="J325" s="4" t="s">
        <v>1448</v>
      </c>
      <c r="K325" s="4" t="s">
        <v>224</v>
      </c>
      <c r="L325" s="6" t="s">
        <v>1449</v>
      </c>
      <c r="M325" s="4" t="s">
        <v>1450</v>
      </c>
      <c r="N325" s="4" t="s">
        <v>1451</v>
      </c>
      <c r="P325" s="4" t="s">
        <v>1452</v>
      </c>
      <c r="Q325" s="4" t="s">
        <v>1453</v>
      </c>
      <c r="R325" s="4" t="s">
        <v>333</v>
      </c>
      <c r="S325" s="4" t="s">
        <v>257</v>
      </c>
      <c r="T325" s="7">
        <v>44636</v>
      </c>
      <c r="U325" s="4">
        <v>0</v>
      </c>
      <c r="V325" s="4">
        <v>5</v>
      </c>
      <c r="W325" s="4" t="s">
        <v>314</v>
      </c>
      <c r="Y325" s="4" t="s">
        <v>233</v>
      </c>
      <c r="Z325" s="4" t="s">
        <v>234</v>
      </c>
      <c r="AA325" s="4" t="s">
        <v>234</v>
      </c>
      <c r="AB325" s="4" t="s">
        <v>1454</v>
      </c>
      <c r="AC325" s="4" t="s">
        <v>2923</v>
      </c>
    </row>
    <row r="326" spans="1:29" hidden="1" x14ac:dyDescent="0.4">
      <c r="A326" s="4" t="s">
        <v>216</v>
      </c>
      <c r="B326" s="4">
        <v>2784</v>
      </c>
      <c r="C326" s="4" t="s">
        <v>242</v>
      </c>
      <c r="D326" s="4" t="s">
        <v>1443</v>
      </c>
      <c r="E326" s="4" t="s">
        <v>1444</v>
      </c>
      <c r="F326" s="4" t="s">
        <v>1445</v>
      </c>
      <c r="G326" s="4" t="s">
        <v>1446</v>
      </c>
      <c r="H326" s="4" t="s">
        <v>1447</v>
      </c>
      <c r="I326" s="4" t="s">
        <v>143</v>
      </c>
      <c r="J326" s="4" t="s">
        <v>1448</v>
      </c>
      <c r="K326" s="4" t="s">
        <v>224</v>
      </c>
      <c r="L326" s="6" t="s">
        <v>1449</v>
      </c>
      <c r="M326" s="4" t="s">
        <v>1450</v>
      </c>
      <c r="N326" s="4" t="s">
        <v>1451</v>
      </c>
      <c r="P326" s="4" t="s">
        <v>1452</v>
      </c>
      <c r="Q326" s="4" t="s">
        <v>1453</v>
      </c>
      <c r="R326" s="4" t="s">
        <v>333</v>
      </c>
      <c r="S326" s="4" t="s">
        <v>257</v>
      </c>
      <c r="T326" s="7">
        <v>44636</v>
      </c>
      <c r="U326" s="4">
        <v>0</v>
      </c>
      <c r="V326" s="4">
        <v>10</v>
      </c>
      <c r="W326" s="4" t="s">
        <v>524</v>
      </c>
      <c r="Y326" s="4" t="s">
        <v>233</v>
      </c>
      <c r="Z326" s="4" t="s">
        <v>234</v>
      </c>
      <c r="AA326" s="4" t="s">
        <v>234</v>
      </c>
      <c r="AB326" s="4" t="s">
        <v>1454</v>
      </c>
      <c r="AC326" s="4" t="s">
        <v>2923</v>
      </c>
    </row>
    <row r="327" spans="1:29" hidden="1" x14ac:dyDescent="0.4">
      <c r="A327" s="4" t="s">
        <v>216</v>
      </c>
      <c r="B327" s="4">
        <v>2784</v>
      </c>
      <c r="C327" s="4" t="s">
        <v>242</v>
      </c>
      <c r="D327" s="4" t="s">
        <v>1443</v>
      </c>
      <c r="E327" s="4" t="s">
        <v>1444</v>
      </c>
      <c r="F327" s="4" t="s">
        <v>1445</v>
      </c>
      <c r="G327" s="4" t="s">
        <v>1446</v>
      </c>
      <c r="H327" s="4" t="s">
        <v>1447</v>
      </c>
      <c r="I327" s="4" t="s">
        <v>143</v>
      </c>
      <c r="J327" s="4" t="s">
        <v>1448</v>
      </c>
      <c r="K327" s="4" t="s">
        <v>224</v>
      </c>
      <c r="L327" s="6" t="s">
        <v>1449</v>
      </c>
      <c r="M327" s="4" t="s">
        <v>1450</v>
      </c>
      <c r="N327" s="4" t="s">
        <v>1451</v>
      </c>
      <c r="P327" s="4" t="s">
        <v>1452</v>
      </c>
      <c r="Q327" s="4" t="s">
        <v>1453</v>
      </c>
      <c r="R327" s="4" t="s">
        <v>333</v>
      </c>
      <c r="S327" s="4" t="s">
        <v>257</v>
      </c>
      <c r="T327" s="7">
        <v>44636</v>
      </c>
      <c r="U327" s="4">
        <v>0</v>
      </c>
      <c r="V327" s="4">
        <v>11</v>
      </c>
      <c r="W327" s="4" t="s">
        <v>314</v>
      </c>
      <c r="Y327" s="4" t="s">
        <v>233</v>
      </c>
      <c r="Z327" s="4" t="s">
        <v>234</v>
      </c>
      <c r="AA327" s="4" t="s">
        <v>234</v>
      </c>
      <c r="AB327" s="4" t="s">
        <v>1454</v>
      </c>
      <c r="AC327" s="4" t="s">
        <v>2923</v>
      </c>
    </row>
    <row r="328" spans="1:29" hidden="1" x14ac:dyDescent="0.4">
      <c r="A328" s="4" t="s">
        <v>216</v>
      </c>
      <c r="B328" s="4">
        <v>2883</v>
      </c>
      <c r="C328" s="4" t="s">
        <v>242</v>
      </c>
      <c r="D328" s="4" t="s">
        <v>2828</v>
      </c>
      <c r="E328" s="4" t="s">
        <v>2829</v>
      </c>
      <c r="F328" s="4" t="s">
        <v>1455</v>
      </c>
      <c r="G328" s="4" t="s">
        <v>1456</v>
      </c>
      <c r="H328" s="4" t="s">
        <v>1457</v>
      </c>
      <c r="I328" s="4" t="s">
        <v>1458</v>
      </c>
      <c r="J328" s="4" t="s">
        <v>1459</v>
      </c>
      <c r="K328" s="4" t="s">
        <v>224</v>
      </c>
      <c r="L328" s="5" t="s">
        <v>1460</v>
      </c>
      <c r="M328" s="4" t="s">
        <v>1461</v>
      </c>
      <c r="N328" s="4" t="s">
        <v>1462</v>
      </c>
      <c r="P328" s="4" t="s">
        <v>2876</v>
      </c>
      <c r="Q328" s="4" t="s">
        <v>1463</v>
      </c>
      <c r="R328" s="4" t="s">
        <v>31</v>
      </c>
      <c r="S328" s="4" t="s">
        <v>231</v>
      </c>
      <c r="T328" s="7">
        <v>45710</v>
      </c>
      <c r="U328" s="4">
        <v>0</v>
      </c>
      <c r="V328" s="4">
        <v>4</v>
      </c>
      <c r="W328" s="4" t="s">
        <v>314</v>
      </c>
      <c r="X328" s="4" t="s">
        <v>293</v>
      </c>
      <c r="Y328" s="4" t="s">
        <v>233</v>
      </c>
      <c r="Z328" s="4" t="s">
        <v>234</v>
      </c>
      <c r="AA328" s="4" t="s">
        <v>233</v>
      </c>
      <c r="AC328" s="4" t="s">
        <v>2923</v>
      </c>
    </row>
    <row r="329" spans="1:29" hidden="1" x14ac:dyDescent="0.4">
      <c r="A329" s="4" t="s">
        <v>216</v>
      </c>
      <c r="B329" s="4">
        <v>2883</v>
      </c>
      <c r="C329" s="4" t="s">
        <v>242</v>
      </c>
      <c r="D329" s="4" t="s">
        <v>2828</v>
      </c>
      <c r="E329" s="4" t="s">
        <v>2829</v>
      </c>
      <c r="F329" s="4" t="s">
        <v>1455</v>
      </c>
      <c r="G329" s="4" t="s">
        <v>1456</v>
      </c>
      <c r="H329" s="4" t="s">
        <v>1457</v>
      </c>
      <c r="I329" s="4" t="s">
        <v>1458</v>
      </c>
      <c r="J329" s="4" t="s">
        <v>1459</v>
      </c>
      <c r="K329" s="4" t="s">
        <v>224</v>
      </c>
      <c r="L329" s="5" t="s">
        <v>1460</v>
      </c>
      <c r="M329" s="4" t="s">
        <v>1461</v>
      </c>
      <c r="N329" s="4" t="s">
        <v>1462</v>
      </c>
      <c r="P329" s="4" t="s">
        <v>2876</v>
      </c>
      <c r="Q329" s="4" t="s">
        <v>1463</v>
      </c>
      <c r="R329" s="4" t="s">
        <v>31</v>
      </c>
      <c r="S329" s="4" t="s">
        <v>231</v>
      </c>
      <c r="T329" s="7">
        <v>45710</v>
      </c>
      <c r="U329" s="4">
        <v>0</v>
      </c>
      <c r="V329" s="4">
        <v>6</v>
      </c>
      <c r="X329" s="4" t="s">
        <v>293</v>
      </c>
      <c r="Y329" s="4" t="s">
        <v>233</v>
      </c>
      <c r="Z329" s="4" t="s">
        <v>234</v>
      </c>
      <c r="AA329" s="4" t="s">
        <v>233</v>
      </c>
      <c r="AC329" s="4" t="s">
        <v>2923</v>
      </c>
    </row>
    <row r="330" spans="1:29" hidden="1" x14ac:dyDescent="0.4">
      <c r="A330" s="4" t="s">
        <v>216</v>
      </c>
      <c r="B330" s="4">
        <v>2883</v>
      </c>
      <c r="C330" s="4" t="s">
        <v>242</v>
      </c>
      <c r="D330" s="4" t="s">
        <v>2828</v>
      </c>
      <c r="E330" s="4" t="s">
        <v>2829</v>
      </c>
      <c r="F330" s="4" t="s">
        <v>1455</v>
      </c>
      <c r="G330" s="4" t="s">
        <v>1456</v>
      </c>
      <c r="H330" s="4" t="s">
        <v>1457</v>
      </c>
      <c r="I330" s="4" t="s">
        <v>1458</v>
      </c>
      <c r="J330" s="4" t="s">
        <v>1459</v>
      </c>
      <c r="K330" s="4" t="s">
        <v>224</v>
      </c>
      <c r="L330" s="5" t="s">
        <v>1460</v>
      </c>
      <c r="M330" s="4" t="s">
        <v>1461</v>
      </c>
      <c r="N330" s="4" t="s">
        <v>1462</v>
      </c>
      <c r="P330" s="4" t="s">
        <v>2876</v>
      </c>
      <c r="Q330" s="4" t="s">
        <v>1463</v>
      </c>
      <c r="R330" s="4" t="s">
        <v>31</v>
      </c>
      <c r="S330" s="4" t="s">
        <v>231</v>
      </c>
      <c r="T330" s="7">
        <v>45710</v>
      </c>
      <c r="U330" s="4">
        <v>0</v>
      </c>
      <c r="V330" s="4">
        <v>10</v>
      </c>
      <c r="W330" s="4" t="s">
        <v>314</v>
      </c>
      <c r="X330" s="4" t="s">
        <v>293</v>
      </c>
      <c r="Y330" s="4" t="s">
        <v>233</v>
      </c>
      <c r="Z330" s="4" t="s">
        <v>234</v>
      </c>
      <c r="AA330" s="4" t="s">
        <v>233</v>
      </c>
      <c r="AC330" s="4" t="s">
        <v>2923</v>
      </c>
    </row>
    <row r="331" spans="1:29" hidden="1" x14ac:dyDescent="0.4">
      <c r="A331" s="4" t="s">
        <v>216</v>
      </c>
      <c r="B331" s="4">
        <v>2883</v>
      </c>
      <c r="C331" s="4" t="s">
        <v>242</v>
      </c>
      <c r="D331" s="4" t="s">
        <v>2828</v>
      </c>
      <c r="E331" s="4" t="s">
        <v>2829</v>
      </c>
      <c r="F331" s="4" t="s">
        <v>1455</v>
      </c>
      <c r="G331" s="4" t="s">
        <v>1456</v>
      </c>
      <c r="H331" s="4" t="s">
        <v>1457</v>
      </c>
      <c r="I331" s="4" t="s">
        <v>1458</v>
      </c>
      <c r="J331" s="4" t="s">
        <v>1459</v>
      </c>
      <c r="K331" s="4" t="s">
        <v>224</v>
      </c>
      <c r="L331" s="5" t="s">
        <v>1460</v>
      </c>
      <c r="M331" s="4" t="s">
        <v>1461</v>
      </c>
      <c r="N331" s="4" t="s">
        <v>1462</v>
      </c>
      <c r="P331" s="4" t="s">
        <v>2876</v>
      </c>
      <c r="Q331" s="4" t="s">
        <v>1463</v>
      </c>
      <c r="R331" s="4" t="s">
        <v>31</v>
      </c>
      <c r="S331" s="4" t="s">
        <v>231</v>
      </c>
      <c r="T331" s="7">
        <v>45710</v>
      </c>
      <c r="U331" s="4">
        <v>0</v>
      </c>
      <c r="V331" s="4">
        <v>12</v>
      </c>
      <c r="X331" s="4" t="s">
        <v>293</v>
      </c>
      <c r="Y331" s="4" t="s">
        <v>233</v>
      </c>
      <c r="Z331" s="4" t="s">
        <v>234</v>
      </c>
      <c r="AA331" s="4" t="s">
        <v>233</v>
      </c>
      <c r="AC331" s="4" t="s">
        <v>2923</v>
      </c>
    </row>
    <row r="332" spans="1:29" hidden="1" x14ac:dyDescent="0.4">
      <c r="A332" s="4" t="s">
        <v>216</v>
      </c>
      <c r="B332" s="4">
        <v>2883</v>
      </c>
      <c r="C332" s="4" t="s">
        <v>242</v>
      </c>
      <c r="D332" s="4" t="s">
        <v>2828</v>
      </c>
      <c r="E332" s="4" t="s">
        <v>2829</v>
      </c>
      <c r="F332" s="4" t="s">
        <v>1455</v>
      </c>
      <c r="G332" s="4" t="s">
        <v>1456</v>
      </c>
      <c r="H332" s="4" t="s">
        <v>1457</v>
      </c>
      <c r="I332" s="4" t="s">
        <v>1458</v>
      </c>
      <c r="J332" s="4" t="s">
        <v>1459</v>
      </c>
      <c r="K332" s="4" t="s">
        <v>224</v>
      </c>
      <c r="L332" s="5" t="s">
        <v>1460</v>
      </c>
      <c r="M332" s="4" t="s">
        <v>1461</v>
      </c>
      <c r="N332" s="4" t="s">
        <v>1462</v>
      </c>
      <c r="P332" s="4" t="s">
        <v>2877</v>
      </c>
      <c r="Q332" s="4" t="s">
        <v>1464</v>
      </c>
      <c r="R332" s="4" t="s">
        <v>53</v>
      </c>
      <c r="S332" s="4" t="s">
        <v>257</v>
      </c>
      <c r="T332" s="7">
        <v>42743</v>
      </c>
      <c r="U332" s="4">
        <v>0</v>
      </c>
      <c r="V332" s="4">
        <v>5</v>
      </c>
      <c r="W332" s="4" t="s">
        <v>314</v>
      </c>
      <c r="X332" s="4" t="s">
        <v>293</v>
      </c>
      <c r="Y332" s="4" t="s">
        <v>233</v>
      </c>
      <c r="Z332" s="4" t="s">
        <v>234</v>
      </c>
      <c r="AA332" s="4" t="s">
        <v>233</v>
      </c>
      <c r="AC332" s="4" t="s">
        <v>2923</v>
      </c>
    </row>
    <row r="333" spans="1:29" hidden="1" x14ac:dyDescent="0.4">
      <c r="A333" s="4" t="s">
        <v>216</v>
      </c>
      <c r="B333" s="4">
        <v>2883</v>
      </c>
      <c r="C333" s="4" t="s">
        <v>242</v>
      </c>
      <c r="D333" s="4" t="s">
        <v>2828</v>
      </c>
      <c r="E333" s="4" t="s">
        <v>2829</v>
      </c>
      <c r="F333" s="4" t="s">
        <v>1455</v>
      </c>
      <c r="G333" s="4" t="s">
        <v>1456</v>
      </c>
      <c r="H333" s="4" t="s">
        <v>1457</v>
      </c>
      <c r="I333" s="4" t="s">
        <v>1458</v>
      </c>
      <c r="J333" s="4" t="s">
        <v>1459</v>
      </c>
      <c r="K333" s="4" t="s">
        <v>224</v>
      </c>
      <c r="L333" s="5" t="s">
        <v>1460</v>
      </c>
      <c r="M333" s="4" t="s">
        <v>1461</v>
      </c>
      <c r="N333" s="4" t="s">
        <v>1462</v>
      </c>
      <c r="P333" s="4" t="s">
        <v>2877</v>
      </c>
      <c r="Q333" s="4" t="s">
        <v>1464</v>
      </c>
      <c r="R333" s="4" t="s">
        <v>53</v>
      </c>
      <c r="S333" s="4" t="s">
        <v>257</v>
      </c>
      <c r="T333" s="7">
        <v>42743</v>
      </c>
      <c r="U333" s="4">
        <v>0</v>
      </c>
      <c r="V333" s="4">
        <v>11</v>
      </c>
      <c r="W333" s="4" t="s">
        <v>314</v>
      </c>
      <c r="X333" s="4" t="s">
        <v>293</v>
      </c>
      <c r="Y333" s="4" t="s">
        <v>233</v>
      </c>
      <c r="Z333" s="4" t="s">
        <v>234</v>
      </c>
      <c r="AA333" s="4" t="s">
        <v>233</v>
      </c>
      <c r="AC333" s="4" t="s">
        <v>2923</v>
      </c>
    </row>
    <row r="334" spans="1:29" hidden="1" x14ac:dyDescent="0.4">
      <c r="A334" s="4" t="s">
        <v>216</v>
      </c>
      <c r="B334" s="4">
        <v>4499</v>
      </c>
      <c r="C334" s="4" t="s">
        <v>242</v>
      </c>
      <c r="D334" s="4" t="s">
        <v>1465</v>
      </c>
      <c r="E334" s="4" t="s">
        <v>1466</v>
      </c>
      <c r="F334" s="4" t="s">
        <v>1467</v>
      </c>
      <c r="G334" s="4" t="s">
        <v>1468</v>
      </c>
      <c r="H334" s="4" t="s">
        <v>945</v>
      </c>
      <c r="I334" s="4" t="s">
        <v>154</v>
      </c>
      <c r="J334" s="4" t="s">
        <v>1469</v>
      </c>
      <c r="K334" s="4" t="s">
        <v>224</v>
      </c>
      <c r="L334" s="5" t="s">
        <v>1470</v>
      </c>
      <c r="M334" s="4" t="s">
        <v>1471</v>
      </c>
      <c r="N334" s="4" t="s">
        <v>1472</v>
      </c>
      <c r="P334" s="4" t="s">
        <v>1473</v>
      </c>
      <c r="Q334" s="4" t="s">
        <v>1474</v>
      </c>
      <c r="R334" s="4" t="s">
        <v>2917</v>
      </c>
      <c r="S334" s="4" t="s">
        <v>231</v>
      </c>
      <c r="T334" s="7">
        <v>44572</v>
      </c>
      <c r="U334" s="4">
        <v>0</v>
      </c>
      <c r="V334" s="4">
        <v>4</v>
      </c>
      <c r="W334" s="4" t="s">
        <v>314</v>
      </c>
      <c r="Y334" s="4" t="s">
        <v>233</v>
      </c>
      <c r="Z334" s="4" t="s">
        <v>234</v>
      </c>
      <c r="AA334" s="4" t="s">
        <v>234</v>
      </c>
      <c r="AC334" s="4" t="s">
        <v>2923</v>
      </c>
    </row>
    <row r="335" spans="1:29" hidden="1" x14ac:dyDescent="0.4">
      <c r="A335" s="4" t="s">
        <v>216</v>
      </c>
      <c r="B335" s="4">
        <v>4499</v>
      </c>
      <c r="C335" s="4" t="s">
        <v>242</v>
      </c>
      <c r="D335" s="4" t="s">
        <v>1465</v>
      </c>
      <c r="E335" s="4" t="s">
        <v>1466</v>
      </c>
      <c r="F335" s="4" t="s">
        <v>1467</v>
      </c>
      <c r="G335" s="4" t="s">
        <v>1468</v>
      </c>
      <c r="H335" s="4" t="s">
        <v>945</v>
      </c>
      <c r="I335" s="4" t="s">
        <v>154</v>
      </c>
      <c r="J335" s="4" t="s">
        <v>1469</v>
      </c>
      <c r="K335" s="4" t="s">
        <v>224</v>
      </c>
      <c r="L335" s="5" t="s">
        <v>1470</v>
      </c>
      <c r="M335" s="4" t="s">
        <v>1471</v>
      </c>
      <c r="N335" s="4" t="s">
        <v>1472</v>
      </c>
      <c r="P335" s="4" t="s">
        <v>1473</v>
      </c>
      <c r="Q335" s="4" t="s">
        <v>1474</v>
      </c>
      <c r="R335" s="4" t="s">
        <v>2917</v>
      </c>
      <c r="S335" s="4" t="s">
        <v>231</v>
      </c>
      <c r="T335" s="7">
        <v>44572</v>
      </c>
      <c r="U335" s="4">
        <v>0</v>
      </c>
      <c r="V335" s="4">
        <v>10</v>
      </c>
      <c r="W335" s="4" t="s">
        <v>314</v>
      </c>
      <c r="Y335" s="4" t="s">
        <v>233</v>
      </c>
      <c r="Z335" s="4" t="s">
        <v>234</v>
      </c>
      <c r="AA335" s="4" t="s">
        <v>234</v>
      </c>
      <c r="AC335" s="4" t="s">
        <v>2923</v>
      </c>
    </row>
    <row r="336" spans="1:29" hidden="1" x14ac:dyDescent="0.4">
      <c r="A336" s="4" t="s">
        <v>216</v>
      </c>
      <c r="B336" s="4">
        <v>5642</v>
      </c>
      <c r="C336" s="4" t="s">
        <v>242</v>
      </c>
      <c r="D336" s="4" t="s">
        <v>282</v>
      </c>
      <c r="E336" s="4" t="s">
        <v>1478</v>
      </c>
      <c r="F336" s="4" t="s">
        <v>1479</v>
      </c>
      <c r="H336" s="4" t="s">
        <v>1480</v>
      </c>
      <c r="I336" s="4" t="s">
        <v>34</v>
      </c>
      <c r="J336" s="4" t="s">
        <v>1481</v>
      </c>
      <c r="K336" s="4" t="s">
        <v>224</v>
      </c>
      <c r="L336" s="6" t="s">
        <v>1482</v>
      </c>
      <c r="M336" s="4" t="s">
        <v>1483</v>
      </c>
      <c r="N336" s="4" t="s">
        <v>1484</v>
      </c>
      <c r="P336" s="4" t="s">
        <v>1489</v>
      </c>
      <c r="Q336" s="4" t="s">
        <v>1490</v>
      </c>
      <c r="R336" s="4" t="s">
        <v>31</v>
      </c>
      <c r="S336" s="4" t="s">
        <v>257</v>
      </c>
      <c r="T336" s="7">
        <v>44841</v>
      </c>
      <c r="U336" s="4">
        <v>0</v>
      </c>
      <c r="V336" s="4">
        <v>14</v>
      </c>
      <c r="W336" s="4" t="s">
        <v>241</v>
      </c>
      <c r="X336" s="4" t="s">
        <v>1488</v>
      </c>
      <c r="Y336" s="4" t="s">
        <v>233</v>
      </c>
      <c r="Z336" s="4" t="s">
        <v>234</v>
      </c>
      <c r="AA336" s="4" t="s">
        <v>234</v>
      </c>
      <c r="AC336" s="4" t="s">
        <v>2923</v>
      </c>
    </row>
    <row r="337" spans="1:29" hidden="1" x14ac:dyDescent="0.4">
      <c r="A337" s="4" t="s">
        <v>216</v>
      </c>
      <c r="B337" s="4">
        <v>5642</v>
      </c>
      <c r="C337" s="4" t="s">
        <v>242</v>
      </c>
      <c r="D337" s="4" t="s">
        <v>282</v>
      </c>
      <c r="E337" s="4" t="s">
        <v>1478</v>
      </c>
      <c r="F337" s="4" t="s">
        <v>1479</v>
      </c>
      <c r="H337" s="4" t="s">
        <v>1480</v>
      </c>
      <c r="I337" s="4" t="s">
        <v>34</v>
      </c>
      <c r="J337" s="4" t="s">
        <v>1481</v>
      </c>
      <c r="K337" s="4" t="s">
        <v>224</v>
      </c>
      <c r="L337" s="6" t="s">
        <v>1482</v>
      </c>
      <c r="M337" s="4" t="s">
        <v>1483</v>
      </c>
      <c r="N337" s="4" t="s">
        <v>1484</v>
      </c>
      <c r="P337" s="4" t="s">
        <v>1489</v>
      </c>
      <c r="Q337" s="4" t="s">
        <v>1490</v>
      </c>
      <c r="R337" s="4" t="s">
        <v>31</v>
      </c>
      <c r="S337" s="4" t="s">
        <v>257</v>
      </c>
      <c r="T337" s="7">
        <v>44841</v>
      </c>
      <c r="U337" s="4">
        <v>0</v>
      </c>
      <c r="V337" s="4">
        <v>4</v>
      </c>
      <c r="W337" s="4" t="s">
        <v>314</v>
      </c>
      <c r="X337" s="4" t="s">
        <v>1488</v>
      </c>
      <c r="Y337" s="4" t="s">
        <v>233</v>
      </c>
      <c r="Z337" s="4" t="s">
        <v>234</v>
      </c>
      <c r="AA337" s="4" t="s">
        <v>234</v>
      </c>
      <c r="AC337" s="4" t="s">
        <v>2923</v>
      </c>
    </row>
    <row r="338" spans="1:29" hidden="1" x14ac:dyDescent="0.4">
      <c r="A338" s="4" t="s">
        <v>216</v>
      </c>
      <c r="B338" s="4">
        <v>5642</v>
      </c>
      <c r="C338" s="4" t="s">
        <v>242</v>
      </c>
      <c r="D338" s="4" t="s">
        <v>282</v>
      </c>
      <c r="E338" s="4" t="s">
        <v>1478</v>
      </c>
      <c r="F338" s="4" t="s">
        <v>1479</v>
      </c>
      <c r="H338" s="4" t="s">
        <v>1480</v>
      </c>
      <c r="I338" s="4" t="s">
        <v>34</v>
      </c>
      <c r="J338" s="4" t="s">
        <v>1481</v>
      </c>
      <c r="K338" s="4" t="s">
        <v>224</v>
      </c>
      <c r="L338" s="6" t="s">
        <v>1482</v>
      </c>
      <c r="M338" s="4" t="s">
        <v>1483</v>
      </c>
      <c r="N338" s="4" t="s">
        <v>1484</v>
      </c>
      <c r="P338" s="4" t="s">
        <v>1489</v>
      </c>
      <c r="Q338" s="4" t="s">
        <v>1490</v>
      </c>
      <c r="R338" s="4" t="s">
        <v>31</v>
      </c>
      <c r="S338" s="4" t="s">
        <v>257</v>
      </c>
      <c r="T338" s="7">
        <v>44841</v>
      </c>
      <c r="U338" s="4">
        <v>0</v>
      </c>
      <c r="V338" s="4">
        <v>10</v>
      </c>
      <c r="W338" s="4" t="s">
        <v>314</v>
      </c>
      <c r="X338" s="4" t="s">
        <v>1488</v>
      </c>
      <c r="Y338" s="4" t="s">
        <v>233</v>
      </c>
      <c r="Z338" s="4" t="s">
        <v>234</v>
      </c>
      <c r="AA338" s="4" t="s">
        <v>234</v>
      </c>
      <c r="AC338" s="4" t="s">
        <v>2923</v>
      </c>
    </row>
    <row r="339" spans="1:29" hidden="1" x14ac:dyDescent="0.4">
      <c r="A339" s="4" t="s">
        <v>216</v>
      </c>
      <c r="B339" s="4">
        <v>1792</v>
      </c>
      <c r="C339" s="4" t="s">
        <v>217</v>
      </c>
      <c r="D339" s="4" t="s">
        <v>814</v>
      </c>
      <c r="E339" s="4" t="s">
        <v>1491</v>
      </c>
      <c r="F339" s="4">
        <v>19</v>
      </c>
      <c r="G339" s="4" t="s">
        <v>1492</v>
      </c>
      <c r="H339" s="4" t="s">
        <v>33</v>
      </c>
      <c r="I339" s="4" t="s">
        <v>28</v>
      </c>
      <c r="J339" s="4" t="s">
        <v>1493</v>
      </c>
      <c r="K339" s="4" t="s">
        <v>224</v>
      </c>
      <c r="L339" s="6" t="s">
        <v>1494</v>
      </c>
      <c r="M339" s="4" t="s">
        <v>1495</v>
      </c>
      <c r="N339" s="4" t="s">
        <v>1496</v>
      </c>
      <c r="P339" s="4" t="s">
        <v>1497</v>
      </c>
      <c r="Q339" s="4" t="s">
        <v>1498</v>
      </c>
      <c r="R339" s="4" t="s">
        <v>53</v>
      </c>
      <c r="S339" s="4" t="s">
        <v>257</v>
      </c>
      <c r="T339" s="7">
        <v>44072</v>
      </c>
      <c r="U339" s="4">
        <v>0</v>
      </c>
      <c r="V339" s="4">
        <v>6</v>
      </c>
      <c r="Y339" s="4" t="s">
        <v>233</v>
      </c>
      <c r="Z339" s="4" t="s">
        <v>234</v>
      </c>
      <c r="AA339" s="4" t="s">
        <v>234</v>
      </c>
      <c r="AC339" s="4" t="s">
        <v>2923</v>
      </c>
    </row>
    <row r="340" spans="1:29" hidden="1" x14ac:dyDescent="0.4">
      <c r="A340" s="4" t="s">
        <v>216</v>
      </c>
      <c r="B340" s="4">
        <v>1792</v>
      </c>
      <c r="C340" s="4" t="s">
        <v>217</v>
      </c>
      <c r="D340" s="4" t="s">
        <v>814</v>
      </c>
      <c r="E340" s="4" t="s">
        <v>1491</v>
      </c>
      <c r="F340" s="4">
        <v>19</v>
      </c>
      <c r="G340" s="4" t="s">
        <v>1492</v>
      </c>
      <c r="H340" s="4" t="s">
        <v>33</v>
      </c>
      <c r="I340" s="4" t="s">
        <v>28</v>
      </c>
      <c r="J340" s="4" t="s">
        <v>1493</v>
      </c>
      <c r="K340" s="4" t="s">
        <v>224</v>
      </c>
      <c r="L340" s="6" t="s">
        <v>1494</v>
      </c>
      <c r="M340" s="4" t="s">
        <v>1495</v>
      </c>
      <c r="N340" s="4" t="s">
        <v>1496</v>
      </c>
      <c r="P340" s="4" t="s">
        <v>1497</v>
      </c>
      <c r="Q340" s="4" t="s">
        <v>1498</v>
      </c>
      <c r="R340" s="4" t="s">
        <v>53</v>
      </c>
      <c r="S340" s="4" t="s">
        <v>257</v>
      </c>
      <c r="T340" s="7">
        <v>44072</v>
      </c>
      <c r="U340" s="4">
        <v>0</v>
      </c>
      <c r="V340" s="4">
        <v>12</v>
      </c>
      <c r="Y340" s="4" t="s">
        <v>233</v>
      </c>
      <c r="Z340" s="4" t="s">
        <v>234</v>
      </c>
      <c r="AA340" s="4" t="s">
        <v>234</v>
      </c>
      <c r="AC340" s="4" t="s">
        <v>2923</v>
      </c>
    </row>
    <row r="341" spans="1:29" hidden="1" x14ac:dyDescent="0.4">
      <c r="A341" s="4" t="s">
        <v>216</v>
      </c>
      <c r="B341" s="4">
        <v>1792</v>
      </c>
      <c r="C341" s="4" t="s">
        <v>217</v>
      </c>
      <c r="D341" s="4" t="s">
        <v>814</v>
      </c>
      <c r="E341" s="4" t="s">
        <v>1491</v>
      </c>
      <c r="F341" s="4">
        <v>19</v>
      </c>
      <c r="G341" s="4" t="s">
        <v>1492</v>
      </c>
      <c r="H341" s="4" t="s">
        <v>33</v>
      </c>
      <c r="I341" s="4" t="s">
        <v>28</v>
      </c>
      <c r="J341" s="4" t="s">
        <v>1493</v>
      </c>
      <c r="K341" s="4" t="s">
        <v>224</v>
      </c>
      <c r="L341" s="6" t="s">
        <v>1494</v>
      </c>
      <c r="M341" s="4" t="s">
        <v>1495</v>
      </c>
      <c r="N341" s="4" t="s">
        <v>1496</v>
      </c>
      <c r="P341" s="4" t="s">
        <v>1497</v>
      </c>
      <c r="Q341" s="4" t="s">
        <v>1498</v>
      </c>
      <c r="R341" s="4" t="s">
        <v>53</v>
      </c>
      <c r="S341" s="4" t="s">
        <v>257</v>
      </c>
      <c r="T341" s="7">
        <v>44072</v>
      </c>
      <c r="U341" s="4">
        <v>0</v>
      </c>
      <c r="V341" s="4">
        <v>7</v>
      </c>
      <c r="W341" s="4" t="s">
        <v>238</v>
      </c>
      <c r="Y341" s="4" t="s">
        <v>233</v>
      </c>
      <c r="Z341" s="4" t="s">
        <v>234</v>
      </c>
      <c r="AA341" s="4" t="s">
        <v>234</v>
      </c>
      <c r="AC341" s="4" t="s">
        <v>2923</v>
      </c>
    </row>
    <row r="342" spans="1:29" hidden="1" x14ac:dyDescent="0.4">
      <c r="A342" s="4" t="s">
        <v>216</v>
      </c>
      <c r="B342" s="4">
        <v>1792</v>
      </c>
      <c r="C342" s="4" t="s">
        <v>217</v>
      </c>
      <c r="D342" s="4" t="s">
        <v>814</v>
      </c>
      <c r="E342" s="4" t="s">
        <v>1491</v>
      </c>
      <c r="F342" s="4">
        <v>19</v>
      </c>
      <c r="G342" s="4" t="s">
        <v>1492</v>
      </c>
      <c r="H342" s="4" t="s">
        <v>33</v>
      </c>
      <c r="I342" s="4" t="s">
        <v>28</v>
      </c>
      <c r="J342" s="4" t="s">
        <v>1493</v>
      </c>
      <c r="K342" s="4" t="s">
        <v>224</v>
      </c>
      <c r="L342" s="6" t="s">
        <v>1494</v>
      </c>
      <c r="M342" s="4" t="s">
        <v>1495</v>
      </c>
      <c r="N342" s="4" t="s">
        <v>1496</v>
      </c>
      <c r="P342" s="4" t="s">
        <v>1497</v>
      </c>
      <c r="Q342" s="4" t="s">
        <v>1498</v>
      </c>
      <c r="R342" s="4" t="s">
        <v>53</v>
      </c>
      <c r="S342" s="4" t="s">
        <v>257</v>
      </c>
      <c r="T342" s="7">
        <v>44072</v>
      </c>
      <c r="U342" s="4">
        <v>0</v>
      </c>
      <c r="V342" s="4">
        <v>13</v>
      </c>
      <c r="W342" s="4" t="s">
        <v>240</v>
      </c>
      <c r="Y342" s="4" t="s">
        <v>233</v>
      </c>
      <c r="Z342" s="4" t="s">
        <v>234</v>
      </c>
      <c r="AA342" s="4" t="s">
        <v>234</v>
      </c>
      <c r="AC342" s="4" t="s">
        <v>2923</v>
      </c>
    </row>
    <row r="343" spans="1:29" hidden="1" x14ac:dyDescent="0.4">
      <c r="A343" s="4" t="s">
        <v>216</v>
      </c>
      <c r="B343" s="4">
        <v>2157</v>
      </c>
      <c r="C343" s="4" t="s">
        <v>242</v>
      </c>
      <c r="D343" s="4" t="s">
        <v>453</v>
      </c>
      <c r="E343" s="4" t="s">
        <v>1499</v>
      </c>
      <c r="F343" s="4">
        <v>4</v>
      </c>
      <c r="G343" s="4" t="s">
        <v>1500</v>
      </c>
      <c r="H343" s="4" t="s">
        <v>1501</v>
      </c>
      <c r="I343" s="4" t="s">
        <v>34</v>
      </c>
      <c r="J343" s="4" t="s">
        <v>1502</v>
      </c>
      <c r="K343" s="4" t="s">
        <v>224</v>
      </c>
      <c r="L343" s="6" t="s">
        <v>1503</v>
      </c>
      <c r="M343" s="4" t="s">
        <v>1504</v>
      </c>
      <c r="N343" s="4" t="s">
        <v>1505</v>
      </c>
      <c r="P343" s="4" t="s">
        <v>2878</v>
      </c>
      <c r="Q343" s="4" t="s">
        <v>1506</v>
      </c>
      <c r="R343" s="4" t="s">
        <v>31</v>
      </c>
      <c r="S343" s="4" t="s">
        <v>231</v>
      </c>
      <c r="T343" s="7">
        <v>44778</v>
      </c>
      <c r="U343" s="4">
        <v>0</v>
      </c>
      <c r="V343" s="4">
        <v>6</v>
      </c>
      <c r="X343" s="4" t="s">
        <v>464</v>
      </c>
      <c r="Y343" s="4" t="s">
        <v>233</v>
      </c>
      <c r="Z343" s="4" t="s">
        <v>234</v>
      </c>
      <c r="AA343" s="4" t="s">
        <v>234</v>
      </c>
      <c r="AC343" s="4" t="s">
        <v>2923</v>
      </c>
    </row>
    <row r="344" spans="1:29" hidden="1" x14ac:dyDescent="0.4">
      <c r="A344" s="4" t="s">
        <v>216</v>
      </c>
      <c r="B344" s="4">
        <v>2157</v>
      </c>
      <c r="C344" s="4" t="s">
        <v>242</v>
      </c>
      <c r="D344" s="4" t="s">
        <v>453</v>
      </c>
      <c r="E344" s="4" t="s">
        <v>1499</v>
      </c>
      <c r="F344" s="4">
        <v>4</v>
      </c>
      <c r="G344" s="4" t="s">
        <v>1500</v>
      </c>
      <c r="H344" s="4" t="s">
        <v>1501</v>
      </c>
      <c r="I344" s="4" t="s">
        <v>34</v>
      </c>
      <c r="J344" s="4" t="s">
        <v>1502</v>
      </c>
      <c r="K344" s="4" t="s">
        <v>224</v>
      </c>
      <c r="L344" s="6" t="s">
        <v>1503</v>
      </c>
      <c r="M344" s="4" t="s">
        <v>1504</v>
      </c>
      <c r="N344" s="4" t="s">
        <v>1505</v>
      </c>
      <c r="P344" s="4" t="s">
        <v>2878</v>
      </c>
      <c r="Q344" s="4" t="s">
        <v>1506</v>
      </c>
      <c r="R344" s="4" t="s">
        <v>31</v>
      </c>
      <c r="S344" s="4" t="s">
        <v>231</v>
      </c>
      <c r="T344" s="7">
        <v>44778</v>
      </c>
      <c r="U344" s="4">
        <v>0</v>
      </c>
      <c r="V344" s="4">
        <v>7</v>
      </c>
      <c r="W344" s="4" t="s">
        <v>238</v>
      </c>
      <c r="X344" s="4" t="s">
        <v>464</v>
      </c>
      <c r="Y344" s="4" t="s">
        <v>233</v>
      </c>
      <c r="Z344" s="4" t="s">
        <v>234</v>
      </c>
      <c r="AA344" s="4" t="s">
        <v>234</v>
      </c>
      <c r="AC344" s="4" t="s">
        <v>2923</v>
      </c>
    </row>
    <row r="345" spans="1:29" hidden="1" x14ac:dyDescent="0.4">
      <c r="A345" s="4" t="s">
        <v>216</v>
      </c>
      <c r="B345" s="4">
        <v>2157</v>
      </c>
      <c r="C345" s="4" t="s">
        <v>242</v>
      </c>
      <c r="D345" s="4" t="s">
        <v>453</v>
      </c>
      <c r="E345" s="4" t="s">
        <v>1499</v>
      </c>
      <c r="F345" s="4">
        <v>4</v>
      </c>
      <c r="G345" s="4" t="s">
        <v>1500</v>
      </c>
      <c r="H345" s="4" t="s">
        <v>1501</v>
      </c>
      <c r="I345" s="4" t="s">
        <v>34</v>
      </c>
      <c r="J345" s="4" t="s">
        <v>1502</v>
      </c>
      <c r="K345" s="4" t="s">
        <v>224</v>
      </c>
      <c r="L345" s="6" t="s">
        <v>1503</v>
      </c>
      <c r="M345" s="4" t="s">
        <v>1504</v>
      </c>
      <c r="N345" s="4" t="s">
        <v>1505</v>
      </c>
      <c r="P345" s="4" t="s">
        <v>2878</v>
      </c>
      <c r="Q345" s="4" t="s">
        <v>1506</v>
      </c>
      <c r="R345" s="4" t="s">
        <v>31</v>
      </c>
      <c r="S345" s="4" t="s">
        <v>231</v>
      </c>
      <c r="T345" s="7">
        <v>44778</v>
      </c>
      <c r="U345" s="4">
        <v>0</v>
      </c>
      <c r="V345" s="4">
        <v>12</v>
      </c>
      <c r="X345" s="4" t="s">
        <v>464</v>
      </c>
      <c r="Y345" s="4" t="s">
        <v>233</v>
      </c>
      <c r="Z345" s="4" t="s">
        <v>234</v>
      </c>
      <c r="AA345" s="4" t="s">
        <v>234</v>
      </c>
      <c r="AC345" s="4" t="s">
        <v>2923</v>
      </c>
    </row>
    <row r="346" spans="1:29" hidden="1" x14ac:dyDescent="0.4">
      <c r="A346" s="4" t="s">
        <v>216</v>
      </c>
      <c r="B346" s="4">
        <v>2157</v>
      </c>
      <c r="C346" s="4" t="s">
        <v>242</v>
      </c>
      <c r="D346" s="4" t="s">
        <v>453</v>
      </c>
      <c r="E346" s="4" t="s">
        <v>1499</v>
      </c>
      <c r="F346" s="4">
        <v>4</v>
      </c>
      <c r="G346" s="4" t="s">
        <v>1500</v>
      </c>
      <c r="H346" s="4" t="s">
        <v>1501</v>
      </c>
      <c r="I346" s="4" t="s">
        <v>34</v>
      </c>
      <c r="J346" s="4" t="s">
        <v>1502</v>
      </c>
      <c r="K346" s="4" t="s">
        <v>224</v>
      </c>
      <c r="L346" s="6" t="s">
        <v>1503</v>
      </c>
      <c r="M346" s="4" t="s">
        <v>1504</v>
      </c>
      <c r="N346" s="4" t="s">
        <v>1505</v>
      </c>
      <c r="P346" s="4" t="s">
        <v>2878</v>
      </c>
      <c r="Q346" s="4" t="s">
        <v>1506</v>
      </c>
      <c r="R346" s="4" t="s">
        <v>31</v>
      </c>
      <c r="S346" s="4" t="s">
        <v>231</v>
      </c>
      <c r="T346" s="7">
        <v>44778</v>
      </c>
      <c r="U346" s="4">
        <v>0</v>
      </c>
      <c r="V346" s="4">
        <v>13</v>
      </c>
      <c r="W346" s="4" t="s">
        <v>240</v>
      </c>
      <c r="X346" s="4" t="s">
        <v>464</v>
      </c>
      <c r="Y346" s="4" t="s">
        <v>233</v>
      </c>
      <c r="Z346" s="4" t="s">
        <v>234</v>
      </c>
      <c r="AA346" s="4" t="s">
        <v>234</v>
      </c>
      <c r="AC346" s="4" t="s">
        <v>2923</v>
      </c>
    </row>
    <row r="347" spans="1:29" hidden="1" x14ac:dyDescent="0.4">
      <c r="A347" s="4" t="s">
        <v>216</v>
      </c>
      <c r="B347" s="4">
        <v>2157</v>
      </c>
      <c r="C347" s="4" t="s">
        <v>242</v>
      </c>
      <c r="D347" s="4" t="s">
        <v>453</v>
      </c>
      <c r="E347" s="4" t="s">
        <v>1499</v>
      </c>
      <c r="F347" s="4">
        <v>4</v>
      </c>
      <c r="G347" s="4" t="s">
        <v>1500</v>
      </c>
      <c r="H347" s="4" t="s">
        <v>1501</v>
      </c>
      <c r="I347" s="4" t="s">
        <v>34</v>
      </c>
      <c r="J347" s="4" t="s">
        <v>1502</v>
      </c>
      <c r="K347" s="4" t="s">
        <v>224</v>
      </c>
      <c r="L347" s="6" t="s">
        <v>1503</v>
      </c>
      <c r="M347" s="4" t="s">
        <v>1504</v>
      </c>
      <c r="N347" s="4" t="s">
        <v>1505</v>
      </c>
      <c r="P347" s="4" t="s">
        <v>2879</v>
      </c>
      <c r="Q347" s="4" t="s">
        <v>1507</v>
      </c>
      <c r="R347" s="4" t="s">
        <v>53</v>
      </c>
      <c r="S347" s="4" t="s">
        <v>257</v>
      </c>
      <c r="T347" s="7">
        <v>43089</v>
      </c>
      <c r="U347" s="4">
        <v>0</v>
      </c>
      <c r="V347" s="4">
        <v>12</v>
      </c>
      <c r="X347" s="4" t="s">
        <v>464</v>
      </c>
      <c r="Y347" s="4" t="s">
        <v>233</v>
      </c>
      <c r="Z347" s="4" t="s">
        <v>234</v>
      </c>
      <c r="AA347" s="4" t="s">
        <v>234</v>
      </c>
      <c r="AC347" s="4" t="s">
        <v>2923</v>
      </c>
    </row>
    <row r="348" spans="1:29" hidden="1" x14ac:dyDescent="0.4">
      <c r="A348" s="4" t="s">
        <v>216</v>
      </c>
      <c r="B348" s="4">
        <v>2038</v>
      </c>
      <c r="C348" s="4" t="s">
        <v>242</v>
      </c>
      <c r="D348" s="4" t="s">
        <v>1508</v>
      </c>
      <c r="E348" s="4" t="s">
        <v>1509</v>
      </c>
      <c r="F348" s="4" t="s">
        <v>1510</v>
      </c>
      <c r="G348" s="4" t="s">
        <v>1511</v>
      </c>
      <c r="H348" s="4" t="s">
        <v>1512</v>
      </c>
      <c r="I348" s="4" t="s">
        <v>1513</v>
      </c>
      <c r="J348" s="4" t="s">
        <v>1514</v>
      </c>
      <c r="K348" s="4" t="s">
        <v>224</v>
      </c>
      <c r="L348" s="6" t="s">
        <v>1515</v>
      </c>
      <c r="M348" s="4" t="s">
        <v>1516</v>
      </c>
      <c r="N348" s="4" t="s">
        <v>1517</v>
      </c>
      <c r="P348" s="4" t="s">
        <v>1520</v>
      </c>
      <c r="Q348" s="4" t="s">
        <v>1521</v>
      </c>
      <c r="R348" s="4" t="s">
        <v>2811</v>
      </c>
      <c r="S348" s="4" t="s">
        <v>257</v>
      </c>
      <c r="T348" s="7">
        <v>44354</v>
      </c>
      <c r="U348" s="4">
        <v>0</v>
      </c>
      <c r="V348" s="4">
        <v>5</v>
      </c>
      <c r="W348" s="4" t="s">
        <v>314</v>
      </c>
      <c r="Y348" s="4" t="s">
        <v>233</v>
      </c>
      <c r="Z348" s="4" t="s">
        <v>234</v>
      </c>
      <c r="AA348" s="4" t="s">
        <v>234</v>
      </c>
      <c r="AC348" s="4" t="s">
        <v>2923</v>
      </c>
    </row>
    <row r="349" spans="1:29" hidden="1" x14ac:dyDescent="0.4">
      <c r="A349" s="4" t="s">
        <v>216</v>
      </c>
      <c r="B349" s="4">
        <v>2038</v>
      </c>
      <c r="C349" s="4" t="s">
        <v>242</v>
      </c>
      <c r="D349" s="4" t="s">
        <v>1508</v>
      </c>
      <c r="E349" s="4" t="s">
        <v>1509</v>
      </c>
      <c r="F349" s="4" t="s">
        <v>1510</v>
      </c>
      <c r="G349" s="4" t="s">
        <v>1511</v>
      </c>
      <c r="H349" s="4" t="s">
        <v>1512</v>
      </c>
      <c r="I349" s="4" t="s">
        <v>1513</v>
      </c>
      <c r="J349" s="4" t="s">
        <v>1514</v>
      </c>
      <c r="K349" s="4" t="s">
        <v>224</v>
      </c>
      <c r="L349" s="6" t="s">
        <v>1515</v>
      </c>
      <c r="M349" s="4" t="s">
        <v>1516</v>
      </c>
      <c r="N349" s="4" t="s">
        <v>1517</v>
      </c>
      <c r="P349" s="4" t="s">
        <v>1520</v>
      </c>
      <c r="Q349" s="4" t="s">
        <v>1521</v>
      </c>
      <c r="R349" s="4" t="s">
        <v>2811</v>
      </c>
      <c r="S349" s="4" t="s">
        <v>257</v>
      </c>
      <c r="T349" s="7">
        <v>44354</v>
      </c>
      <c r="U349" s="4">
        <v>0</v>
      </c>
      <c r="V349" s="4">
        <v>6</v>
      </c>
      <c r="W349" s="4" t="s">
        <v>237</v>
      </c>
      <c r="Y349" s="4" t="s">
        <v>233</v>
      </c>
      <c r="Z349" s="4" t="s">
        <v>234</v>
      </c>
      <c r="AA349" s="4" t="s">
        <v>234</v>
      </c>
      <c r="AC349" s="4" t="s">
        <v>2923</v>
      </c>
    </row>
    <row r="350" spans="1:29" hidden="1" x14ac:dyDescent="0.4">
      <c r="A350" s="4" t="s">
        <v>216</v>
      </c>
      <c r="B350" s="4">
        <v>6886</v>
      </c>
      <c r="C350" s="4" t="s">
        <v>242</v>
      </c>
      <c r="D350" s="4" t="s">
        <v>1522</v>
      </c>
      <c r="E350" s="4" t="s">
        <v>1523</v>
      </c>
      <c r="F350" s="4" t="s">
        <v>1524</v>
      </c>
      <c r="G350" s="4" t="s">
        <v>1525</v>
      </c>
      <c r="H350" s="4" t="s">
        <v>69</v>
      </c>
      <c r="I350" s="4" t="s">
        <v>30</v>
      </c>
      <c r="J350" s="4" t="s">
        <v>1526</v>
      </c>
      <c r="K350" s="4" t="s">
        <v>224</v>
      </c>
      <c r="L350" s="6" t="s">
        <v>1527</v>
      </c>
      <c r="M350" s="4" t="s">
        <v>1528</v>
      </c>
      <c r="N350" s="4" t="s">
        <v>1529</v>
      </c>
      <c r="P350" s="4" t="s">
        <v>1530</v>
      </c>
      <c r="Q350" s="4" t="s">
        <v>1531</v>
      </c>
      <c r="R350" s="4" t="s">
        <v>1532</v>
      </c>
      <c r="S350" s="4" t="s">
        <v>257</v>
      </c>
      <c r="T350" s="7">
        <v>44524</v>
      </c>
      <c r="U350" s="4">
        <v>0</v>
      </c>
      <c r="V350" s="4">
        <v>1</v>
      </c>
      <c r="W350" s="4" t="s">
        <v>253</v>
      </c>
      <c r="Y350" s="4" t="s">
        <v>233</v>
      </c>
      <c r="Z350" s="4" t="s">
        <v>234</v>
      </c>
      <c r="AA350" s="4" t="s">
        <v>233</v>
      </c>
      <c r="AC350" s="4" t="s">
        <v>2923</v>
      </c>
    </row>
    <row r="351" spans="1:29" hidden="1" x14ac:dyDescent="0.4">
      <c r="A351" s="4" t="s">
        <v>216</v>
      </c>
      <c r="B351" s="4">
        <v>2241</v>
      </c>
      <c r="C351" s="4" t="s">
        <v>242</v>
      </c>
      <c r="D351" s="4" t="s">
        <v>701</v>
      </c>
      <c r="E351" s="4" t="s">
        <v>1533</v>
      </c>
      <c r="F351" s="4" t="s">
        <v>1534</v>
      </c>
      <c r="G351" s="4" t="s">
        <v>1535</v>
      </c>
      <c r="H351" s="4" t="s">
        <v>1536</v>
      </c>
      <c r="I351" s="4" t="s">
        <v>154</v>
      </c>
      <c r="J351" s="4" t="s">
        <v>1537</v>
      </c>
      <c r="K351" s="4" t="s">
        <v>224</v>
      </c>
      <c r="L351" s="6" t="s">
        <v>1538</v>
      </c>
      <c r="M351" s="4" t="s">
        <v>1539</v>
      </c>
      <c r="N351" s="4" t="s">
        <v>1540</v>
      </c>
      <c r="P351" s="4" t="s">
        <v>1543</v>
      </c>
      <c r="Q351" s="4" t="s">
        <v>1544</v>
      </c>
      <c r="R351" s="4" t="s">
        <v>53</v>
      </c>
      <c r="S351" s="4" t="s">
        <v>257</v>
      </c>
      <c r="T351" s="7">
        <v>45366</v>
      </c>
      <c r="U351" s="4">
        <v>0</v>
      </c>
      <c r="V351" s="4">
        <v>10</v>
      </c>
      <c r="W351" s="4" t="s">
        <v>314</v>
      </c>
      <c r="X351" s="4" t="s">
        <v>464</v>
      </c>
      <c r="Y351" s="4" t="s">
        <v>233</v>
      </c>
      <c r="Z351" s="4" t="s">
        <v>234</v>
      </c>
      <c r="AA351" s="4" t="s">
        <v>234</v>
      </c>
      <c r="AC351" s="4" t="s">
        <v>2923</v>
      </c>
    </row>
    <row r="352" spans="1:29" hidden="1" x14ac:dyDescent="0.4">
      <c r="A352" s="4" t="s">
        <v>216</v>
      </c>
      <c r="B352" s="4">
        <v>3010</v>
      </c>
      <c r="C352" s="4" t="s">
        <v>242</v>
      </c>
      <c r="D352" s="4" t="s">
        <v>1149</v>
      </c>
      <c r="E352" s="4" t="s">
        <v>2830</v>
      </c>
      <c r="F352" s="4" t="s">
        <v>1561</v>
      </c>
      <c r="H352" s="4" t="s">
        <v>1562</v>
      </c>
      <c r="I352" s="4" t="s">
        <v>1137</v>
      </c>
      <c r="J352" s="4" t="s">
        <v>1563</v>
      </c>
      <c r="K352" s="4" t="s">
        <v>224</v>
      </c>
      <c r="L352" s="6" t="s">
        <v>1564</v>
      </c>
      <c r="M352" s="4" t="s">
        <v>1565</v>
      </c>
      <c r="N352" s="4" t="s">
        <v>1566</v>
      </c>
      <c r="P352" s="4" t="s">
        <v>1567</v>
      </c>
      <c r="Q352" s="4" t="s">
        <v>1568</v>
      </c>
      <c r="R352" s="4" t="s">
        <v>31</v>
      </c>
      <c r="S352" s="4" t="s">
        <v>231</v>
      </c>
      <c r="T352" s="7">
        <v>45038</v>
      </c>
      <c r="U352" s="4">
        <v>0</v>
      </c>
      <c r="V352" s="4">
        <v>7</v>
      </c>
      <c r="W352" s="4" t="s">
        <v>238</v>
      </c>
      <c r="Y352" s="4" t="s">
        <v>233</v>
      </c>
      <c r="Z352" s="4" t="s">
        <v>234</v>
      </c>
      <c r="AA352" s="4" t="s">
        <v>234</v>
      </c>
      <c r="AC352" s="4" t="s">
        <v>2923</v>
      </c>
    </row>
    <row r="353" spans="1:29" hidden="1" x14ac:dyDescent="0.4">
      <c r="A353" s="4" t="s">
        <v>216</v>
      </c>
      <c r="B353" s="4">
        <v>3010</v>
      </c>
      <c r="C353" s="4" t="s">
        <v>242</v>
      </c>
      <c r="D353" s="4" t="s">
        <v>1149</v>
      </c>
      <c r="E353" s="4" t="s">
        <v>2830</v>
      </c>
      <c r="F353" s="4" t="s">
        <v>1561</v>
      </c>
      <c r="H353" s="4" t="s">
        <v>1562</v>
      </c>
      <c r="I353" s="4" t="s">
        <v>1137</v>
      </c>
      <c r="J353" s="4" t="s">
        <v>1563</v>
      </c>
      <c r="K353" s="4" t="s">
        <v>224</v>
      </c>
      <c r="L353" s="6" t="s">
        <v>1564</v>
      </c>
      <c r="M353" s="4" t="s">
        <v>1565</v>
      </c>
      <c r="N353" s="4" t="s">
        <v>1566</v>
      </c>
      <c r="P353" s="4" t="s">
        <v>1567</v>
      </c>
      <c r="Q353" s="4" t="s">
        <v>1568</v>
      </c>
      <c r="R353" s="4" t="s">
        <v>31</v>
      </c>
      <c r="S353" s="4" t="s">
        <v>231</v>
      </c>
      <c r="T353" s="7">
        <v>45038</v>
      </c>
      <c r="U353" s="4">
        <v>0</v>
      </c>
      <c r="V353" s="4">
        <v>6</v>
      </c>
      <c r="Y353" s="4" t="s">
        <v>233</v>
      </c>
      <c r="Z353" s="4" t="s">
        <v>234</v>
      </c>
      <c r="AA353" s="4" t="s">
        <v>234</v>
      </c>
      <c r="AC353" s="4" t="s">
        <v>2923</v>
      </c>
    </row>
    <row r="354" spans="1:29" hidden="1" x14ac:dyDescent="0.4">
      <c r="A354" s="4" t="s">
        <v>216</v>
      </c>
      <c r="B354" s="4">
        <v>6474</v>
      </c>
      <c r="C354" s="4" t="s">
        <v>217</v>
      </c>
      <c r="D354" s="4" t="s">
        <v>1167</v>
      </c>
      <c r="E354" s="4" t="s">
        <v>1569</v>
      </c>
      <c r="F354" s="4" t="s">
        <v>1570</v>
      </c>
      <c r="H354" s="4" t="s">
        <v>1571</v>
      </c>
      <c r="I354" s="4" t="s">
        <v>154</v>
      </c>
      <c r="J354" s="4" t="s">
        <v>1572</v>
      </c>
      <c r="K354" s="4" t="s">
        <v>224</v>
      </c>
      <c r="L354" s="6" t="s">
        <v>1573</v>
      </c>
      <c r="M354" s="4" t="s">
        <v>1574</v>
      </c>
      <c r="N354" s="4" t="s">
        <v>1575</v>
      </c>
      <c r="P354" s="4" t="s">
        <v>1576</v>
      </c>
      <c r="Q354" s="4" t="s">
        <v>1577</v>
      </c>
      <c r="R354" s="4" t="s">
        <v>53</v>
      </c>
      <c r="S354" s="4" t="s">
        <v>231</v>
      </c>
      <c r="T354" s="7">
        <v>44454</v>
      </c>
      <c r="U354" s="4">
        <v>0</v>
      </c>
      <c r="V354" s="4">
        <v>14</v>
      </c>
      <c r="W354" s="4" t="s">
        <v>241</v>
      </c>
      <c r="Y354" s="4" t="s">
        <v>233</v>
      </c>
      <c r="Z354" s="4" t="s">
        <v>234</v>
      </c>
      <c r="AA354" s="4" t="s">
        <v>233</v>
      </c>
      <c r="AC354" s="4" t="s">
        <v>2923</v>
      </c>
    </row>
    <row r="355" spans="1:29" hidden="1" x14ac:dyDescent="0.4">
      <c r="A355" s="4" t="s">
        <v>216</v>
      </c>
      <c r="B355" s="4">
        <v>6474</v>
      </c>
      <c r="C355" s="4" t="s">
        <v>217</v>
      </c>
      <c r="D355" s="4" t="s">
        <v>1167</v>
      </c>
      <c r="E355" s="4" t="s">
        <v>1569</v>
      </c>
      <c r="F355" s="4" t="s">
        <v>1570</v>
      </c>
      <c r="H355" s="4" t="s">
        <v>1571</v>
      </c>
      <c r="I355" s="4" t="s">
        <v>154</v>
      </c>
      <c r="J355" s="4" t="s">
        <v>1572</v>
      </c>
      <c r="K355" s="4" t="s">
        <v>224</v>
      </c>
      <c r="L355" s="6" t="s">
        <v>1573</v>
      </c>
      <c r="M355" s="4" t="s">
        <v>1574</v>
      </c>
      <c r="N355" s="4" t="s">
        <v>1575</v>
      </c>
      <c r="P355" s="4" t="s">
        <v>1576</v>
      </c>
      <c r="Q355" s="4" t="s">
        <v>1577</v>
      </c>
      <c r="R355" s="4" t="s">
        <v>53</v>
      </c>
      <c r="S355" s="4" t="s">
        <v>231</v>
      </c>
      <c r="T355" s="7">
        <v>44454</v>
      </c>
      <c r="U355" s="4">
        <v>0</v>
      </c>
      <c r="V355" s="4">
        <v>8</v>
      </c>
      <c r="W355" s="4" t="s">
        <v>281</v>
      </c>
      <c r="Y355" s="4" t="s">
        <v>233</v>
      </c>
      <c r="Z355" s="4" t="s">
        <v>234</v>
      </c>
      <c r="AA355" s="4" t="s">
        <v>233</v>
      </c>
      <c r="AC355" s="4" t="s">
        <v>2923</v>
      </c>
    </row>
    <row r="356" spans="1:29" hidden="1" x14ac:dyDescent="0.4">
      <c r="A356" s="4" t="s">
        <v>216</v>
      </c>
      <c r="B356" s="4">
        <v>6474</v>
      </c>
      <c r="C356" s="4" t="s">
        <v>217</v>
      </c>
      <c r="D356" s="4" t="s">
        <v>1167</v>
      </c>
      <c r="E356" s="4" t="s">
        <v>1569</v>
      </c>
      <c r="F356" s="4" t="s">
        <v>1570</v>
      </c>
      <c r="H356" s="4" t="s">
        <v>1571</v>
      </c>
      <c r="I356" s="4" t="s">
        <v>154</v>
      </c>
      <c r="J356" s="4" t="s">
        <v>1572</v>
      </c>
      <c r="K356" s="4" t="s">
        <v>224</v>
      </c>
      <c r="L356" s="6" t="s">
        <v>1573</v>
      </c>
      <c r="M356" s="4" t="s">
        <v>1574</v>
      </c>
      <c r="N356" s="4" t="s">
        <v>1575</v>
      </c>
      <c r="P356" s="4" t="s">
        <v>1576</v>
      </c>
      <c r="Q356" s="4" t="s">
        <v>1577</v>
      </c>
      <c r="R356" s="4" t="s">
        <v>53</v>
      </c>
      <c r="S356" s="4" t="s">
        <v>231</v>
      </c>
      <c r="T356" s="7">
        <v>44454</v>
      </c>
      <c r="U356" s="4">
        <v>0</v>
      </c>
      <c r="V356" s="4">
        <v>9</v>
      </c>
      <c r="W356" s="4" t="s">
        <v>358</v>
      </c>
      <c r="Y356" s="4" t="s">
        <v>233</v>
      </c>
      <c r="Z356" s="4" t="s">
        <v>234</v>
      </c>
      <c r="AA356" s="4" t="s">
        <v>233</v>
      </c>
      <c r="AC356" s="4" t="s">
        <v>2923</v>
      </c>
    </row>
    <row r="357" spans="1:29" hidden="1" x14ac:dyDescent="0.4">
      <c r="A357" s="4" t="s">
        <v>216</v>
      </c>
      <c r="B357" s="4">
        <v>5510</v>
      </c>
      <c r="C357" s="4" t="s">
        <v>242</v>
      </c>
      <c r="D357" s="4" t="s">
        <v>88</v>
      </c>
      <c r="E357" s="4" t="s">
        <v>1569</v>
      </c>
      <c r="F357" s="4" t="s">
        <v>1588</v>
      </c>
      <c r="H357" s="4" t="s">
        <v>1589</v>
      </c>
      <c r="I357" s="4" t="s">
        <v>30</v>
      </c>
      <c r="J357" s="4" t="s">
        <v>1590</v>
      </c>
      <c r="K357" s="4" t="s">
        <v>224</v>
      </c>
      <c r="L357" s="5" t="s">
        <v>1591</v>
      </c>
      <c r="M357" s="4" t="s">
        <v>1592</v>
      </c>
      <c r="N357" s="4" t="s">
        <v>1593</v>
      </c>
      <c r="P357" s="4" t="s">
        <v>1594</v>
      </c>
      <c r="Q357" s="4" t="s">
        <v>1595</v>
      </c>
      <c r="R357" s="4" t="s">
        <v>53</v>
      </c>
      <c r="S357" s="4" t="s">
        <v>231</v>
      </c>
      <c r="T357" s="7">
        <v>44677</v>
      </c>
      <c r="U357" s="4">
        <v>0</v>
      </c>
      <c r="V357" s="4">
        <v>10</v>
      </c>
      <c r="W357" s="4" t="s">
        <v>314</v>
      </c>
      <c r="Y357" s="4" t="s">
        <v>233</v>
      </c>
      <c r="Z357" s="4" t="s">
        <v>234</v>
      </c>
      <c r="AA357" s="4" t="s">
        <v>234</v>
      </c>
      <c r="AC357" s="4" t="s">
        <v>2923</v>
      </c>
    </row>
    <row r="358" spans="1:29" hidden="1" x14ac:dyDescent="0.4">
      <c r="A358" s="4" t="s">
        <v>216</v>
      </c>
      <c r="B358" s="4">
        <v>5510</v>
      </c>
      <c r="C358" s="4" t="s">
        <v>242</v>
      </c>
      <c r="D358" s="4" t="s">
        <v>88</v>
      </c>
      <c r="E358" s="4" t="s">
        <v>1569</v>
      </c>
      <c r="F358" s="4" t="s">
        <v>1588</v>
      </c>
      <c r="H358" s="4" t="s">
        <v>1589</v>
      </c>
      <c r="I358" s="4" t="s">
        <v>30</v>
      </c>
      <c r="J358" s="4" t="s">
        <v>1590</v>
      </c>
      <c r="K358" s="4" t="s">
        <v>224</v>
      </c>
      <c r="L358" s="5" t="s">
        <v>1591</v>
      </c>
      <c r="M358" s="4" t="s">
        <v>1592</v>
      </c>
      <c r="N358" s="4" t="s">
        <v>1593</v>
      </c>
      <c r="P358" s="4" t="s">
        <v>1594</v>
      </c>
      <c r="Q358" s="4" t="s">
        <v>1595</v>
      </c>
      <c r="R358" s="4" t="s">
        <v>53</v>
      </c>
      <c r="S358" s="4" t="s">
        <v>231</v>
      </c>
      <c r="T358" s="7">
        <v>44677</v>
      </c>
      <c r="U358" s="4">
        <v>0</v>
      </c>
      <c r="V358" s="4">
        <v>11</v>
      </c>
      <c r="W358" s="4" t="s">
        <v>314</v>
      </c>
      <c r="Y358" s="4" t="s">
        <v>233</v>
      </c>
      <c r="Z358" s="4" t="s">
        <v>234</v>
      </c>
      <c r="AA358" s="4" t="s">
        <v>234</v>
      </c>
      <c r="AC358" s="4" t="s">
        <v>2923</v>
      </c>
    </row>
    <row r="359" spans="1:29" hidden="1" x14ac:dyDescent="0.4">
      <c r="A359" s="4" t="s">
        <v>216</v>
      </c>
      <c r="B359" s="4">
        <v>5344</v>
      </c>
      <c r="C359" s="4" t="s">
        <v>417</v>
      </c>
      <c r="D359" s="4" t="s">
        <v>1596</v>
      </c>
      <c r="E359" s="4" t="s">
        <v>1597</v>
      </c>
      <c r="F359" s="4" t="s">
        <v>1598</v>
      </c>
      <c r="H359" s="4" t="s">
        <v>1599</v>
      </c>
      <c r="I359" s="4" t="s">
        <v>1600</v>
      </c>
      <c r="J359" s="4" t="s">
        <v>1601</v>
      </c>
      <c r="K359" s="4" t="s">
        <v>224</v>
      </c>
      <c r="L359" s="6" t="s">
        <v>1602</v>
      </c>
      <c r="M359" s="4" t="s">
        <v>1603</v>
      </c>
      <c r="N359" s="4" t="s">
        <v>1604</v>
      </c>
      <c r="P359" s="4" t="s">
        <v>2880</v>
      </c>
      <c r="Q359" s="4" t="s">
        <v>1605</v>
      </c>
      <c r="R359" s="4" t="s">
        <v>2918</v>
      </c>
      <c r="S359" s="4" t="s">
        <v>231</v>
      </c>
      <c r="T359" s="7">
        <v>44432</v>
      </c>
      <c r="U359" s="4">
        <v>0</v>
      </c>
      <c r="V359" s="4">
        <v>3</v>
      </c>
      <c r="W359" s="4" t="s">
        <v>258</v>
      </c>
      <c r="Y359" s="4" t="s">
        <v>233</v>
      </c>
      <c r="Z359" s="4" t="s">
        <v>234</v>
      </c>
      <c r="AA359" s="4" t="s">
        <v>234</v>
      </c>
      <c r="AC359" s="4" t="s">
        <v>2923</v>
      </c>
    </row>
    <row r="360" spans="1:29" hidden="1" x14ac:dyDescent="0.4">
      <c r="A360" s="4" t="s">
        <v>216</v>
      </c>
      <c r="B360" s="4">
        <v>5344</v>
      </c>
      <c r="C360" s="4" t="s">
        <v>417</v>
      </c>
      <c r="D360" s="4" t="s">
        <v>1596</v>
      </c>
      <c r="E360" s="4" t="s">
        <v>1597</v>
      </c>
      <c r="F360" s="4" t="s">
        <v>1598</v>
      </c>
      <c r="H360" s="4" t="s">
        <v>1599</v>
      </c>
      <c r="I360" s="4" t="s">
        <v>1600</v>
      </c>
      <c r="J360" s="4" t="s">
        <v>1601</v>
      </c>
      <c r="K360" s="4" t="s">
        <v>224</v>
      </c>
      <c r="L360" s="6" t="s">
        <v>1602</v>
      </c>
      <c r="M360" s="4" t="s">
        <v>1603</v>
      </c>
      <c r="N360" s="4" t="s">
        <v>1604</v>
      </c>
      <c r="P360" s="4" t="s">
        <v>2880</v>
      </c>
      <c r="Q360" s="4" t="s">
        <v>1605</v>
      </c>
      <c r="R360" s="4" t="s">
        <v>2918</v>
      </c>
      <c r="S360" s="4" t="s">
        <v>231</v>
      </c>
      <c r="T360" s="7">
        <v>44432</v>
      </c>
      <c r="U360" s="4">
        <v>0</v>
      </c>
      <c r="V360" s="4">
        <v>4</v>
      </c>
      <c r="W360" s="4" t="s">
        <v>314</v>
      </c>
      <c r="Y360" s="4" t="s">
        <v>233</v>
      </c>
      <c r="Z360" s="4" t="s">
        <v>234</v>
      </c>
      <c r="AA360" s="4" t="s">
        <v>234</v>
      </c>
      <c r="AC360" s="4" t="s">
        <v>2923</v>
      </c>
    </row>
    <row r="361" spans="1:29" x14ac:dyDescent="0.4">
      <c r="A361" s="4" t="s">
        <v>216</v>
      </c>
      <c r="B361" s="4">
        <v>1337</v>
      </c>
      <c r="C361" s="4" t="s">
        <v>242</v>
      </c>
      <c r="D361" s="4" t="s">
        <v>1606</v>
      </c>
      <c r="E361" s="4" t="s">
        <v>1607</v>
      </c>
      <c r="F361" s="4">
        <v>29</v>
      </c>
      <c r="G361" s="4" t="s">
        <v>1608</v>
      </c>
      <c r="H361" s="4" t="s">
        <v>1446</v>
      </c>
      <c r="I361" s="4" t="s">
        <v>143</v>
      </c>
      <c r="J361" s="4" t="s">
        <v>1609</v>
      </c>
      <c r="K361" s="4" t="s">
        <v>224</v>
      </c>
      <c r="L361" s="6" t="s">
        <v>1610</v>
      </c>
      <c r="M361" s="4" t="s">
        <v>1611</v>
      </c>
      <c r="N361" s="4" t="s">
        <v>1612</v>
      </c>
      <c r="P361" s="4" t="s">
        <v>1613</v>
      </c>
      <c r="Q361" s="4" t="s">
        <v>1614</v>
      </c>
      <c r="R361" s="4" t="s">
        <v>313</v>
      </c>
      <c r="S361" s="4" t="s">
        <v>231</v>
      </c>
      <c r="T361" s="7">
        <v>44163</v>
      </c>
      <c r="U361" s="4">
        <v>0</v>
      </c>
      <c r="V361" s="4">
        <v>4</v>
      </c>
      <c r="W361" s="4" t="s">
        <v>97</v>
      </c>
      <c r="Y361" s="4" t="s">
        <v>233</v>
      </c>
      <c r="Z361" s="4" t="s">
        <v>234</v>
      </c>
      <c r="AA361" s="4" t="s">
        <v>234</v>
      </c>
      <c r="AB361" t="s">
        <v>65</v>
      </c>
      <c r="AC361" s="4" t="s">
        <v>2923</v>
      </c>
    </row>
    <row r="362" spans="1:29" hidden="1" x14ac:dyDescent="0.4">
      <c r="A362" s="4" t="s">
        <v>216</v>
      </c>
      <c r="B362" s="4">
        <v>1337</v>
      </c>
      <c r="C362" s="4" t="s">
        <v>242</v>
      </c>
      <c r="D362" s="4" t="s">
        <v>1606</v>
      </c>
      <c r="E362" s="4" t="s">
        <v>1607</v>
      </c>
      <c r="F362" s="4">
        <v>29</v>
      </c>
      <c r="G362" s="4" t="s">
        <v>1608</v>
      </c>
      <c r="H362" s="4" t="s">
        <v>1446</v>
      </c>
      <c r="I362" s="4" t="s">
        <v>143</v>
      </c>
      <c r="J362" s="4" t="s">
        <v>1609</v>
      </c>
      <c r="K362" s="4" t="s">
        <v>224</v>
      </c>
      <c r="L362" s="6" t="s">
        <v>1610</v>
      </c>
      <c r="M362" s="4" t="s">
        <v>1611</v>
      </c>
      <c r="N362" s="4" t="s">
        <v>1612</v>
      </c>
      <c r="P362" s="4" t="s">
        <v>1613</v>
      </c>
      <c r="Q362" s="4" t="s">
        <v>1614</v>
      </c>
      <c r="R362" s="4" t="s">
        <v>313</v>
      </c>
      <c r="S362" s="4" t="s">
        <v>231</v>
      </c>
      <c r="T362" s="7">
        <v>44163</v>
      </c>
      <c r="U362" s="4">
        <v>0</v>
      </c>
      <c r="V362" s="4">
        <v>5</v>
      </c>
      <c r="W362" s="4" t="s">
        <v>314</v>
      </c>
      <c r="Y362" s="4" t="s">
        <v>233</v>
      </c>
      <c r="Z362" s="4" t="s">
        <v>234</v>
      </c>
      <c r="AA362" s="4" t="s">
        <v>234</v>
      </c>
      <c r="AB362" t="s">
        <v>65</v>
      </c>
      <c r="AC362" s="4" t="s">
        <v>2923</v>
      </c>
    </row>
    <row r="363" spans="1:29" x14ac:dyDescent="0.4">
      <c r="A363" s="4" t="s">
        <v>216</v>
      </c>
      <c r="B363" s="4">
        <v>2394</v>
      </c>
      <c r="C363" s="4" t="s">
        <v>217</v>
      </c>
      <c r="D363" s="4" t="s">
        <v>453</v>
      </c>
      <c r="E363" s="4" t="s">
        <v>1623</v>
      </c>
      <c r="F363" s="4" t="s">
        <v>1624</v>
      </c>
      <c r="G363" s="4" t="s">
        <v>1625</v>
      </c>
      <c r="H363" s="4" t="s">
        <v>1626</v>
      </c>
      <c r="I363" s="4" t="s">
        <v>1137</v>
      </c>
      <c r="J363" s="4" t="s">
        <v>1627</v>
      </c>
      <c r="K363" s="4" t="s">
        <v>224</v>
      </c>
      <c r="L363" s="6" t="s">
        <v>1628</v>
      </c>
      <c r="M363" s="4" t="s">
        <v>1629</v>
      </c>
      <c r="N363" s="4" t="s">
        <v>1630</v>
      </c>
      <c r="P363" s="4" t="s">
        <v>1631</v>
      </c>
      <c r="Q363" s="4" t="s">
        <v>1632</v>
      </c>
      <c r="R363" s="4" t="s">
        <v>31</v>
      </c>
      <c r="S363" s="4" t="s">
        <v>257</v>
      </c>
      <c r="T363" s="7">
        <v>45710</v>
      </c>
      <c r="U363" s="4">
        <v>0</v>
      </c>
      <c r="V363" s="4">
        <v>4</v>
      </c>
      <c r="W363" s="4" t="s">
        <v>2725</v>
      </c>
      <c r="Y363" s="4" t="s">
        <v>233</v>
      </c>
      <c r="Z363" s="4" t="s">
        <v>234</v>
      </c>
      <c r="AA363" s="4" t="s">
        <v>234</v>
      </c>
      <c r="AC363" s="4" t="s">
        <v>2923</v>
      </c>
    </row>
    <row r="364" spans="1:29" hidden="1" x14ac:dyDescent="0.4">
      <c r="A364" s="4" t="s">
        <v>216</v>
      </c>
      <c r="B364" s="4">
        <v>2394</v>
      </c>
      <c r="C364" s="4" t="s">
        <v>217</v>
      </c>
      <c r="D364" s="4" t="s">
        <v>453</v>
      </c>
      <c r="E364" s="4" t="s">
        <v>1623</v>
      </c>
      <c r="F364" s="4" t="s">
        <v>1624</v>
      </c>
      <c r="G364" s="4" t="s">
        <v>1625</v>
      </c>
      <c r="H364" s="4" t="s">
        <v>1626</v>
      </c>
      <c r="I364" s="4" t="s">
        <v>1137</v>
      </c>
      <c r="J364" s="4" t="s">
        <v>1627</v>
      </c>
      <c r="K364" s="4" t="s">
        <v>224</v>
      </c>
      <c r="L364" s="6" t="s">
        <v>1628</v>
      </c>
      <c r="M364" s="4" t="s">
        <v>1629</v>
      </c>
      <c r="N364" s="4" t="s">
        <v>1630</v>
      </c>
      <c r="P364" s="4" t="s">
        <v>1631</v>
      </c>
      <c r="Q364" s="4" t="s">
        <v>1632</v>
      </c>
      <c r="R364" s="4" t="s">
        <v>31</v>
      </c>
      <c r="S364" s="4" t="s">
        <v>257</v>
      </c>
      <c r="T364" s="7">
        <v>45710</v>
      </c>
      <c r="U364" s="4">
        <v>0</v>
      </c>
      <c r="V364" s="4">
        <v>5</v>
      </c>
      <c r="W364" s="4" t="s">
        <v>176</v>
      </c>
      <c r="Y364" s="4" t="s">
        <v>233</v>
      </c>
      <c r="Z364" s="4" t="s">
        <v>234</v>
      </c>
      <c r="AA364" s="4" t="s">
        <v>234</v>
      </c>
      <c r="AC364" s="4" t="s">
        <v>2923</v>
      </c>
    </row>
    <row r="365" spans="1:29" hidden="1" x14ac:dyDescent="0.4">
      <c r="A365" s="4" t="s">
        <v>216</v>
      </c>
      <c r="B365" s="4">
        <v>6853</v>
      </c>
      <c r="C365" s="4" t="s">
        <v>242</v>
      </c>
      <c r="D365" s="4" t="s">
        <v>1359</v>
      </c>
      <c r="E365" s="4" t="s">
        <v>1633</v>
      </c>
      <c r="F365" s="4" t="s">
        <v>1634</v>
      </c>
      <c r="H365" s="4" t="s">
        <v>693</v>
      </c>
      <c r="I365" s="4" t="s">
        <v>154</v>
      </c>
      <c r="J365" s="4" t="s">
        <v>1635</v>
      </c>
      <c r="K365" s="4" t="s">
        <v>224</v>
      </c>
      <c r="L365" s="6" t="s">
        <v>1636</v>
      </c>
      <c r="M365" s="4" t="s">
        <v>1637</v>
      </c>
      <c r="N365" s="4" t="s">
        <v>1638</v>
      </c>
      <c r="P365" s="4" t="s">
        <v>1639</v>
      </c>
      <c r="Q365" s="4" t="s">
        <v>1640</v>
      </c>
      <c r="R365" s="4" t="s">
        <v>333</v>
      </c>
      <c r="S365" s="4" t="s">
        <v>231</v>
      </c>
      <c r="T365" s="7">
        <v>45828</v>
      </c>
      <c r="U365" s="4">
        <v>0</v>
      </c>
      <c r="V365" s="4">
        <v>8</v>
      </c>
      <c r="W365" s="4" t="s">
        <v>281</v>
      </c>
      <c r="Y365" s="4" t="s">
        <v>233</v>
      </c>
      <c r="Z365" s="4" t="s">
        <v>234</v>
      </c>
      <c r="AA365" s="4" t="s">
        <v>234</v>
      </c>
      <c r="AC365" s="4" t="s">
        <v>2923</v>
      </c>
    </row>
    <row r="366" spans="1:29" x14ac:dyDescent="0.4">
      <c r="A366" s="4" t="s">
        <v>216</v>
      </c>
      <c r="B366" s="4">
        <v>5479</v>
      </c>
      <c r="C366" s="4" t="s">
        <v>242</v>
      </c>
      <c r="D366" s="4" t="s">
        <v>1149</v>
      </c>
      <c r="E366" s="4" t="s">
        <v>1641</v>
      </c>
      <c r="F366" s="4" t="s">
        <v>1642</v>
      </c>
      <c r="G366" s="4" t="s">
        <v>1643</v>
      </c>
      <c r="H366" s="4" t="s">
        <v>60</v>
      </c>
      <c r="I366" s="4" t="s">
        <v>154</v>
      </c>
      <c r="J366" s="4" t="s">
        <v>1644</v>
      </c>
      <c r="K366" s="4" t="s">
        <v>224</v>
      </c>
      <c r="L366" s="6" t="s">
        <v>1645</v>
      </c>
      <c r="M366" s="4" t="s">
        <v>1646</v>
      </c>
      <c r="N366" s="4" t="s">
        <v>1647</v>
      </c>
      <c r="P366" s="4" t="s">
        <v>1648</v>
      </c>
      <c r="Q366" s="4" t="s">
        <v>1649</v>
      </c>
      <c r="R366" s="4" t="s">
        <v>1650</v>
      </c>
      <c r="S366" s="4" t="s">
        <v>231</v>
      </c>
      <c r="T366" s="7">
        <v>43564</v>
      </c>
      <c r="U366" s="4">
        <v>0</v>
      </c>
      <c r="V366" s="4">
        <v>4</v>
      </c>
      <c r="W366" s="4" t="s">
        <v>2725</v>
      </c>
      <c r="Y366" s="4" t="s">
        <v>233</v>
      </c>
      <c r="Z366" s="4" t="s">
        <v>234</v>
      </c>
      <c r="AA366" s="4" t="s">
        <v>234</v>
      </c>
      <c r="AB366" t="s">
        <v>65</v>
      </c>
      <c r="AC366" s="4" t="s">
        <v>2923</v>
      </c>
    </row>
    <row r="367" spans="1:29" hidden="1" x14ac:dyDescent="0.4">
      <c r="A367" s="4" t="s">
        <v>216</v>
      </c>
      <c r="B367" s="4">
        <v>5479</v>
      </c>
      <c r="C367" s="4" t="s">
        <v>242</v>
      </c>
      <c r="D367" s="4" t="s">
        <v>1149</v>
      </c>
      <c r="E367" s="4" t="s">
        <v>1641</v>
      </c>
      <c r="F367" s="4" t="s">
        <v>1642</v>
      </c>
      <c r="G367" s="4" t="s">
        <v>1643</v>
      </c>
      <c r="H367" s="4" t="s">
        <v>60</v>
      </c>
      <c r="I367" s="4" t="s">
        <v>154</v>
      </c>
      <c r="J367" s="4" t="s">
        <v>1644</v>
      </c>
      <c r="K367" s="4" t="s">
        <v>224</v>
      </c>
      <c r="L367" s="6" t="s">
        <v>1645</v>
      </c>
      <c r="M367" s="4" t="s">
        <v>1646</v>
      </c>
      <c r="N367" s="4" t="s">
        <v>1647</v>
      </c>
      <c r="P367" s="4" t="s">
        <v>1648</v>
      </c>
      <c r="Q367" s="4" t="s">
        <v>1649</v>
      </c>
      <c r="R367" s="4" t="s">
        <v>1650</v>
      </c>
      <c r="S367" s="4" t="s">
        <v>231</v>
      </c>
      <c r="T367" s="7">
        <v>43564</v>
      </c>
      <c r="U367" s="4">
        <v>0</v>
      </c>
      <c r="V367" s="4">
        <v>6</v>
      </c>
      <c r="Y367" s="4" t="s">
        <v>233</v>
      </c>
      <c r="Z367" s="4" t="s">
        <v>234</v>
      </c>
      <c r="AA367" s="4" t="s">
        <v>234</v>
      </c>
      <c r="AB367" t="s">
        <v>65</v>
      </c>
      <c r="AC367" s="4" t="s">
        <v>2923</v>
      </c>
    </row>
    <row r="368" spans="1:29" hidden="1" x14ac:dyDescent="0.4">
      <c r="A368" s="4" t="s">
        <v>216</v>
      </c>
      <c r="B368" s="4">
        <v>5479</v>
      </c>
      <c r="C368" s="4" t="s">
        <v>242</v>
      </c>
      <c r="D368" s="4" t="s">
        <v>1149</v>
      </c>
      <c r="E368" s="4" t="s">
        <v>1641</v>
      </c>
      <c r="F368" s="4" t="s">
        <v>1642</v>
      </c>
      <c r="G368" s="4" t="s">
        <v>1643</v>
      </c>
      <c r="H368" s="4" t="s">
        <v>60</v>
      </c>
      <c r="I368" s="4" t="s">
        <v>154</v>
      </c>
      <c r="J368" s="4" t="s">
        <v>1644</v>
      </c>
      <c r="K368" s="4" t="s">
        <v>224</v>
      </c>
      <c r="L368" s="6" t="s">
        <v>1645</v>
      </c>
      <c r="M368" s="4" t="s">
        <v>1646</v>
      </c>
      <c r="N368" s="4" t="s">
        <v>1647</v>
      </c>
      <c r="P368" s="4" t="s">
        <v>1648</v>
      </c>
      <c r="Q368" s="4" t="s">
        <v>1649</v>
      </c>
      <c r="R368" s="4" t="s">
        <v>1650</v>
      </c>
      <c r="S368" s="4" t="s">
        <v>231</v>
      </c>
      <c r="T368" s="7">
        <v>43564</v>
      </c>
      <c r="U368" s="4">
        <v>0</v>
      </c>
      <c r="V368" s="4">
        <v>10</v>
      </c>
      <c r="W368" s="4" t="s">
        <v>433</v>
      </c>
      <c r="Y368" s="4" t="s">
        <v>233</v>
      </c>
      <c r="Z368" s="4" t="s">
        <v>234</v>
      </c>
      <c r="AA368" s="4" t="s">
        <v>234</v>
      </c>
      <c r="AB368" t="s">
        <v>65</v>
      </c>
      <c r="AC368" s="4" t="s">
        <v>2923</v>
      </c>
    </row>
    <row r="369" spans="1:29" hidden="1" x14ac:dyDescent="0.4">
      <c r="A369" s="4" t="s">
        <v>216</v>
      </c>
      <c r="B369" s="4">
        <v>5479</v>
      </c>
      <c r="C369" s="4" t="s">
        <v>242</v>
      </c>
      <c r="D369" s="4" t="s">
        <v>1149</v>
      </c>
      <c r="E369" s="4" t="s">
        <v>1641</v>
      </c>
      <c r="F369" s="4" t="s">
        <v>1642</v>
      </c>
      <c r="G369" s="4" t="s">
        <v>1643</v>
      </c>
      <c r="H369" s="4" t="s">
        <v>60</v>
      </c>
      <c r="I369" s="4" t="s">
        <v>154</v>
      </c>
      <c r="J369" s="4" t="s">
        <v>1644</v>
      </c>
      <c r="K369" s="4" t="s">
        <v>224</v>
      </c>
      <c r="L369" s="6" t="s">
        <v>1645</v>
      </c>
      <c r="M369" s="4" t="s">
        <v>1646</v>
      </c>
      <c r="N369" s="4" t="s">
        <v>1647</v>
      </c>
      <c r="P369" s="4" t="s">
        <v>1648</v>
      </c>
      <c r="Q369" s="4" t="s">
        <v>1649</v>
      </c>
      <c r="R369" s="4" t="s">
        <v>1650</v>
      </c>
      <c r="S369" s="4" t="s">
        <v>231</v>
      </c>
      <c r="T369" s="7">
        <v>43564</v>
      </c>
      <c r="U369" s="4">
        <v>0</v>
      </c>
      <c r="V369" s="4">
        <v>14</v>
      </c>
      <c r="W369" s="4" t="s">
        <v>241</v>
      </c>
      <c r="Y369" s="4" t="s">
        <v>233</v>
      </c>
      <c r="Z369" s="4" t="s">
        <v>234</v>
      </c>
      <c r="AA369" s="4" t="s">
        <v>234</v>
      </c>
      <c r="AB369" t="s">
        <v>65</v>
      </c>
      <c r="AC369" s="4" t="s">
        <v>2923</v>
      </c>
    </row>
    <row r="370" spans="1:29" hidden="1" x14ac:dyDescent="0.4">
      <c r="A370" s="4" t="s">
        <v>216</v>
      </c>
      <c r="B370" s="4">
        <v>2364</v>
      </c>
      <c r="C370" s="4" t="s">
        <v>417</v>
      </c>
      <c r="D370" s="4" t="s">
        <v>1651</v>
      </c>
      <c r="E370" s="4" t="s">
        <v>1652</v>
      </c>
      <c r="F370" s="4" t="s">
        <v>1653</v>
      </c>
      <c r="H370" s="4" t="s">
        <v>1654</v>
      </c>
      <c r="I370" s="4" t="s">
        <v>1655</v>
      </c>
      <c r="J370" s="4">
        <v>45136</v>
      </c>
      <c r="K370" s="4" t="s">
        <v>1656</v>
      </c>
      <c r="L370" s="5" t="s">
        <v>1657</v>
      </c>
      <c r="M370" s="4" t="s">
        <v>1658</v>
      </c>
      <c r="N370" s="4" t="s">
        <v>1659</v>
      </c>
      <c r="P370" s="4" t="s">
        <v>1660</v>
      </c>
      <c r="Q370" s="4" t="s">
        <v>1661</v>
      </c>
      <c r="R370" s="4" t="s">
        <v>1662</v>
      </c>
      <c r="S370" s="4" t="s">
        <v>257</v>
      </c>
      <c r="T370" s="7">
        <v>43149</v>
      </c>
      <c r="U370" s="4">
        <v>0</v>
      </c>
      <c r="V370" s="4">
        <v>7</v>
      </c>
      <c r="W370" s="4" t="s">
        <v>238</v>
      </c>
      <c r="X370" s="4" t="s">
        <v>464</v>
      </c>
      <c r="Y370" s="4" t="s">
        <v>233</v>
      </c>
      <c r="Z370" s="4" t="s">
        <v>234</v>
      </c>
      <c r="AA370" s="4" t="s">
        <v>234</v>
      </c>
      <c r="AC370" s="4" t="s">
        <v>2923</v>
      </c>
    </row>
    <row r="371" spans="1:29" hidden="1" x14ac:dyDescent="0.4">
      <c r="A371" s="4" t="s">
        <v>216</v>
      </c>
      <c r="B371" s="4">
        <v>2364</v>
      </c>
      <c r="C371" s="4" t="s">
        <v>417</v>
      </c>
      <c r="D371" s="4" t="s">
        <v>1651</v>
      </c>
      <c r="E371" s="4" t="s">
        <v>1652</v>
      </c>
      <c r="F371" s="4" t="s">
        <v>1653</v>
      </c>
      <c r="H371" s="4" t="s">
        <v>1654</v>
      </c>
      <c r="I371" s="4" t="s">
        <v>1655</v>
      </c>
      <c r="J371" s="4">
        <v>45136</v>
      </c>
      <c r="K371" s="4" t="s">
        <v>1656</v>
      </c>
      <c r="L371" s="5" t="s">
        <v>1657</v>
      </c>
      <c r="M371" s="4" t="s">
        <v>1658</v>
      </c>
      <c r="N371" s="4" t="s">
        <v>1659</v>
      </c>
      <c r="P371" s="4" t="s">
        <v>1660</v>
      </c>
      <c r="Q371" s="4" t="s">
        <v>1661</v>
      </c>
      <c r="R371" s="4" t="s">
        <v>1662</v>
      </c>
      <c r="S371" s="4" t="s">
        <v>257</v>
      </c>
      <c r="T371" s="7">
        <v>43149</v>
      </c>
      <c r="U371" s="4">
        <v>0</v>
      </c>
      <c r="V371" s="4">
        <v>13</v>
      </c>
      <c r="W371" s="4" t="s">
        <v>240</v>
      </c>
      <c r="X371" s="4" t="s">
        <v>464</v>
      </c>
      <c r="Y371" s="4" t="s">
        <v>233</v>
      </c>
      <c r="Z371" s="4" t="s">
        <v>234</v>
      </c>
      <c r="AA371" s="4" t="s">
        <v>234</v>
      </c>
      <c r="AC371" s="4" t="s">
        <v>2923</v>
      </c>
    </row>
    <row r="372" spans="1:29" hidden="1" x14ac:dyDescent="0.4">
      <c r="A372" s="4" t="s">
        <v>216</v>
      </c>
      <c r="B372" s="4">
        <v>2364</v>
      </c>
      <c r="C372" s="4" t="s">
        <v>417</v>
      </c>
      <c r="D372" s="4" t="s">
        <v>1651</v>
      </c>
      <c r="E372" s="4" t="s">
        <v>1652</v>
      </c>
      <c r="F372" s="4" t="s">
        <v>1653</v>
      </c>
      <c r="H372" s="4" t="s">
        <v>1654</v>
      </c>
      <c r="I372" s="4" t="s">
        <v>1655</v>
      </c>
      <c r="J372" s="4">
        <v>45136</v>
      </c>
      <c r="K372" s="4" t="s">
        <v>1656</v>
      </c>
      <c r="L372" s="5" t="s">
        <v>1657</v>
      </c>
      <c r="M372" s="4" t="s">
        <v>1658</v>
      </c>
      <c r="N372" s="4" t="s">
        <v>1659</v>
      </c>
      <c r="P372" s="4" t="s">
        <v>2881</v>
      </c>
      <c r="Q372" s="4" t="s">
        <v>1663</v>
      </c>
      <c r="R372" s="4" t="s">
        <v>1662</v>
      </c>
      <c r="S372" s="4" t="s">
        <v>231</v>
      </c>
      <c r="T372" s="7">
        <v>45379</v>
      </c>
      <c r="U372" s="4">
        <v>0</v>
      </c>
      <c r="V372" s="4">
        <v>12</v>
      </c>
      <c r="X372" s="4" t="s">
        <v>464</v>
      </c>
      <c r="Y372" s="4" t="s">
        <v>233</v>
      </c>
      <c r="Z372" s="4" t="s">
        <v>234</v>
      </c>
      <c r="AA372" s="4" t="s">
        <v>234</v>
      </c>
      <c r="AC372" s="4" t="s">
        <v>2923</v>
      </c>
    </row>
    <row r="373" spans="1:29" hidden="1" x14ac:dyDescent="0.4">
      <c r="A373" s="4" t="s">
        <v>216</v>
      </c>
      <c r="B373" s="4">
        <v>2364</v>
      </c>
      <c r="C373" s="4" t="s">
        <v>417</v>
      </c>
      <c r="D373" s="4" t="s">
        <v>1651</v>
      </c>
      <c r="E373" s="4" t="s">
        <v>1652</v>
      </c>
      <c r="F373" s="4" t="s">
        <v>1653</v>
      </c>
      <c r="H373" s="4" t="s">
        <v>1654</v>
      </c>
      <c r="I373" s="4" t="s">
        <v>1655</v>
      </c>
      <c r="J373" s="4">
        <v>45136</v>
      </c>
      <c r="K373" s="4" t="s">
        <v>1656</v>
      </c>
      <c r="L373" s="5" t="s">
        <v>1657</v>
      </c>
      <c r="M373" s="4" t="s">
        <v>1658</v>
      </c>
      <c r="N373" s="4" t="s">
        <v>1659</v>
      </c>
      <c r="P373" s="4" t="s">
        <v>2881</v>
      </c>
      <c r="Q373" s="4" t="s">
        <v>1663</v>
      </c>
      <c r="R373" s="4" t="s">
        <v>1662</v>
      </c>
      <c r="S373" s="4" t="s">
        <v>231</v>
      </c>
      <c r="T373" s="7">
        <v>45379</v>
      </c>
      <c r="U373" s="4">
        <v>0</v>
      </c>
      <c r="V373" s="4">
        <v>6</v>
      </c>
      <c r="X373" s="4" t="s">
        <v>464</v>
      </c>
      <c r="Y373" s="4" t="s">
        <v>233</v>
      </c>
      <c r="Z373" s="4" t="s">
        <v>234</v>
      </c>
      <c r="AA373" s="4" t="s">
        <v>234</v>
      </c>
      <c r="AC373" s="4" t="s">
        <v>2923</v>
      </c>
    </row>
    <row r="374" spans="1:29" x14ac:dyDescent="0.4">
      <c r="A374" s="4" t="s">
        <v>216</v>
      </c>
      <c r="B374" s="4">
        <v>2364</v>
      </c>
      <c r="C374" s="4" t="s">
        <v>417</v>
      </c>
      <c r="D374" s="4" t="s">
        <v>1651</v>
      </c>
      <c r="E374" s="4" t="s">
        <v>1652</v>
      </c>
      <c r="F374" s="4" t="s">
        <v>1653</v>
      </c>
      <c r="H374" s="4" t="s">
        <v>1654</v>
      </c>
      <c r="I374" s="4" t="s">
        <v>1655</v>
      </c>
      <c r="J374" s="4">
        <v>45136</v>
      </c>
      <c r="K374" s="4" t="s">
        <v>1656</v>
      </c>
      <c r="L374" s="5" t="s">
        <v>1657</v>
      </c>
      <c r="M374" s="4" t="s">
        <v>1658</v>
      </c>
      <c r="N374" s="4" t="s">
        <v>1659</v>
      </c>
      <c r="P374" s="4" t="s">
        <v>2881</v>
      </c>
      <c r="Q374" s="4" t="s">
        <v>1663</v>
      </c>
      <c r="R374" s="4" t="s">
        <v>1662</v>
      </c>
      <c r="S374" s="4" t="s">
        <v>231</v>
      </c>
      <c r="T374" s="7">
        <v>45379</v>
      </c>
      <c r="U374" s="4">
        <v>0</v>
      </c>
      <c r="V374" s="4">
        <v>4</v>
      </c>
      <c r="W374" s="4" t="s">
        <v>2725</v>
      </c>
      <c r="X374" s="4" t="s">
        <v>464</v>
      </c>
      <c r="Y374" s="4" t="s">
        <v>233</v>
      </c>
      <c r="Z374" s="4" t="s">
        <v>234</v>
      </c>
      <c r="AA374" s="4" t="s">
        <v>234</v>
      </c>
      <c r="AC374" s="4" t="s">
        <v>2923</v>
      </c>
    </row>
    <row r="375" spans="1:29" hidden="1" x14ac:dyDescent="0.4">
      <c r="A375" s="4" t="s">
        <v>216</v>
      </c>
      <c r="B375" s="4">
        <v>2364</v>
      </c>
      <c r="C375" s="4" t="s">
        <v>417</v>
      </c>
      <c r="D375" s="4" t="s">
        <v>1651</v>
      </c>
      <c r="E375" s="4" t="s">
        <v>1652</v>
      </c>
      <c r="F375" s="4" t="s">
        <v>1653</v>
      </c>
      <c r="H375" s="4" t="s">
        <v>1654</v>
      </c>
      <c r="I375" s="4" t="s">
        <v>1655</v>
      </c>
      <c r="J375" s="4">
        <v>45136</v>
      </c>
      <c r="K375" s="4" t="s">
        <v>1656</v>
      </c>
      <c r="L375" s="5" t="s">
        <v>1657</v>
      </c>
      <c r="M375" s="4" t="s">
        <v>1658</v>
      </c>
      <c r="N375" s="4" t="s">
        <v>1659</v>
      </c>
      <c r="P375" s="4" t="s">
        <v>2881</v>
      </c>
      <c r="Q375" s="4" t="s">
        <v>1663</v>
      </c>
      <c r="R375" s="4" t="s">
        <v>1662</v>
      </c>
      <c r="S375" s="4" t="s">
        <v>231</v>
      </c>
      <c r="T375" s="7">
        <v>45379</v>
      </c>
      <c r="U375" s="4">
        <v>0</v>
      </c>
      <c r="V375" s="4">
        <v>10</v>
      </c>
      <c r="W375" s="4" t="s">
        <v>433</v>
      </c>
      <c r="X375" s="4" t="s">
        <v>464</v>
      </c>
      <c r="Y375" s="4" t="s">
        <v>233</v>
      </c>
      <c r="Z375" s="4" t="s">
        <v>234</v>
      </c>
      <c r="AA375" s="4" t="s">
        <v>234</v>
      </c>
      <c r="AC375" s="4" t="s">
        <v>2923</v>
      </c>
    </row>
    <row r="376" spans="1:29" hidden="1" x14ac:dyDescent="0.4">
      <c r="A376" s="4" t="s">
        <v>216</v>
      </c>
      <c r="B376" s="4">
        <v>6727</v>
      </c>
      <c r="C376" s="4" t="s">
        <v>217</v>
      </c>
      <c r="D376" s="4" t="s">
        <v>1664</v>
      </c>
      <c r="E376" s="4" t="s">
        <v>1665</v>
      </c>
      <c r="F376" s="4" t="s">
        <v>1666</v>
      </c>
      <c r="G376" s="4" t="s">
        <v>1667</v>
      </c>
      <c r="H376" s="4" t="s">
        <v>1668</v>
      </c>
      <c r="I376" s="4" t="s">
        <v>633</v>
      </c>
      <c r="J376" s="4" t="s">
        <v>1669</v>
      </c>
      <c r="K376" s="4" t="s">
        <v>224</v>
      </c>
      <c r="L376" s="6" t="s">
        <v>1670</v>
      </c>
      <c r="M376" s="4" t="s">
        <v>1671</v>
      </c>
      <c r="N376" s="4" t="s">
        <v>1672</v>
      </c>
      <c r="P376" s="4" t="s">
        <v>1673</v>
      </c>
      <c r="Q376" s="4" t="s">
        <v>1674</v>
      </c>
      <c r="S376" s="4" t="s">
        <v>231</v>
      </c>
      <c r="T376" s="7">
        <v>45113</v>
      </c>
      <c r="U376" s="4">
        <v>0</v>
      </c>
      <c r="V376" s="4">
        <v>1</v>
      </c>
      <c r="W376" s="4" t="s">
        <v>253</v>
      </c>
      <c r="Y376" s="4" t="s">
        <v>233</v>
      </c>
      <c r="Z376" s="4" t="s">
        <v>234</v>
      </c>
      <c r="AA376" s="4" t="s">
        <v>234</v>
      </c>
      <c r="AC376" s="4" t="s">
        <v>2923</v>
      </c>
    </row>
    <row r="377" spans="1:29" hidden="1" x14ac:dyDescent="0.4">
      <c r="A377" s="4" t="s">
        <v>216</v>
      </c>
      <c r="B377" s="4">
        <v>6727</v>
      </c>
      <c r="C377" s="4" t="s">
        <v>217</v>
      </c>
      <c r="D377" s="4" t="s">
        <v>1664</v>
      </c>
      <c r="E377" s="4" t="s">
        <v>1665</v>
      </c>
      <c r="F377" s="4" t="s">
        <v>1666</v>
      </c>
      <c r="G377" s="4" t="s">
        <v>1667</v>
      </c>
      <c r="H377" s="4" t="s">
        <v>1668</v>
      </c>
      <c r="I377" s="4" t="s">
        <v>633</v>
      </c>
      <c r="J377" s="4" t="s">
        <v>1669</v>
      </c>
      <c r="K377" s="4" t="s">
        <v>224</v>
      </c>
      <c r="L377" s="6" t="s">
        <v>1670</v>
      </c>
      <c r="M377" s="4" t="s">
        <v>1671</v>
      </c>
      <c r="N377" s="4" t="s">
        <v>1672</v>
      </c>
      <c r="P377" s="4" t="s">
        <v>1673</v>
      </c>
      <c r="Q377" s="4" t="s">
        <v>1674</v>
      </c>
      <c r="S377" s="4" t="s">
        <v>231</v>
      </c>
      <c r="T377" s="7">
        <v>45113</v>
      </c>
      <c r="U377" s="4">
        <v>0</v>
      </c>
      <c r="V377" s="4">
        <v>2</v>
      </c>
      <c r="W377" s="4" t="s">
        <v>254</v>
      </c>
      <c r="Y377" s="4" t="s">
        <v>233</v>
      </c>
      <c r="Z377" s="4" t="s">
        <v>234</v>
      </c>
      <c r="AA377" s="4" t="s">
        <v>234</v>
      </c>
      <c r="AC377" s="4" t="s">
        <v>2923</v>
      </c>
    </row>
    <row r="378" spans="1:29" hidden="1" x14ac:dyDescent="0.4">
      <c r="A378" s="4" t="s">
        <v>216</v>
      </c>
      <c r="B378" s="4">
        <v>3051</v>
      </c>
      <c r="C378" s="4" t="s">
        <v>242</v>
      </c>
      <c r="D378" s="4" t="s">
        <v>1675</v>
      </c>
      <c r="E378" s="4" t="s">
        <v>1676</v>
      </c>
      <c r="F378" s="4" t="s">
        <v>1677</v>
      </c>
      <c r="H378" s="4" t="s">
        <v>1678</v>
      </c>
      <c r="I378" s="4" t="s">
        <v>610</v>
      </c>
      <c r="J378" s="4" t="s">
        <v>1679</v>
      </c>
      <c r="K378" s="4" t="s">
        <v>224</v>
      </c>
      <c r="L378" s="6" t="s">
        <v>1680</v>
      </c>
      <c r="M378" s="4" t="s">
        <v>1681</v>
      </c>
      <c r="N378" s="4" t="s">
        <v>1682</v>
      </c>
      <c r="P378" s="4" t="s">
        <v>1683</v>
      </c>
      <c r="Q378" s="4" t="s">
        <v>1684</v>
      </c>
      <c r="R378" s="4" t="s">
        <v>313</v>
      </c>
      <c r="S378" s="4" t="s">
        <v>257</v>
      </c>
      <c r="T378" s="7">
        <v>45620</v>
      </c>
      <c r="U378" s="4">
        <v>0</v>
      </c>
      <c r="V378" s="4">
        <v>9</v>
      </c>
      <c r="W378" s="4" t="s">
        <v>358</v>
      </c>
      <c r="Y378" s="4" t="s">
        <v>233</v>
      </c>
      <c r="Z378" s="4" t="s">
        <v>234</v>
      </c>
      <c r="AA378" s="4" t="s">
        <v>234</v>
      </c>
      <c r="AC378" s="4" t="s">
        <v>2923</v>
      </c>
    </row>
    <row r="379" spans="1:29" hidden="1" x14ac:dyDescent="0.4">
      <c r="A379" s="4" t="s">
        <v>216</v>
      </c>
      <c r="B379" s="4">
        <v>3051</v>
      </c>
      <c r="C379" s="4" t="s">
        <v>242</v>
      </c>
      <c r="D379" s="4" t="s">
        <v>1675</v>
      </c>
      <c r="E379" s="4" t="s">
        <v>1676</v>
      </c>
      <c r="F379" s="4" t="s">
        <v>1677</v>
      </c>
      <c r="H379" s="4" t="s">
        <v>1678</v>
      </c>
      <c r="I379" s="4" t="s">
        <v>610</v>
      </c>
      <c r="J379" s="4" t="s">
        <v>1679</v>
      </c>
      <c r="K379" s="4" t="s">
        <v>224</v>
      </c>
      <c r="L379" s="6" t="s">
        <v>1680</v>
      </c>
      <c r="M379" s="4" t="s">
        <v>1681</v>
      </c>
      <c r="N379" s="4" t="s">
        <v>1682</v>
      </c>
      <c r="P379" s="4" t="s">
        <v>1683</v>
      </c>
      <c r="Q379" s="4" t="s">
        <v>1684</v>
      </c>
      <c r="R379" s="4" t="s">
        <v>313</v>
      </c>
      <c r="S379" s="4" t="s">
        <v>257</v>
      </c>
      <c r="T379" s="7">
        <v>45620</v>
      </c>
      <c r="U379" s="4">
        <v>0</v>
      </c>
      <c r="V379" s="4">
        <v>14</v>
      </c>
      <c r="W379" s="4" t="s">
        <v>241</v>
      </c>
      <c r="Y379" s="4" t="s">
        <v>233</v>
      </c>
      <c r="Z379" s="4" t="s">
        <v>234</v>
      </c>
      <c r="AA379" s="4" t="s">
        <v>234</v>
      </c>
      <c r="AC379" s="4" t="s">
        <v>2923</v>
      </c>
    </row>
    <row r="380" spans="1:29" hidden="1" x14ac:dyDescent="0.4">
      <c r="A380" s="4" t="s">
        <v>216</v>
      </c>
      <c r="B380" s="4">
        <v>2037</v>
      </c>
      <c r="C380" s="4" t="s">
        <v>315</v>
      </c>
      <c r="D380" s="4" t="s">
        <v>2831</v>
      </c>
      <c r="E380" s="4" t="s">
        <v>1676</v>
      </c>
      <c r="F380" s="4" t="s">
        <v>1685</v>
      </c>
      <c r="H380" s="4" t="s">
        <v>1686</v>
      </c>
      <c r="I380" s="4" t="s">
        <v>1687</v>
      </c>
      <c r="J380" s="4" t="s">
        <v>1688</v>
      </c>
      <c r="K380" s="4" t="s">
        <v>224</v>
      </c>
      <c r="L380" s="6" t="s">
        <v>1680</v>
      </c>
      <c r="M380" s="4" t="s">
        <v>1689</v>
      </c>
      <c r="N380" s="4" t="s">
        <v>1690</v>
      </c>
      <c r="P380" s="4" t="s">
        <v>1691</v>
      </c>
      <c r="Q380" s="4" t="s">
        <v>1692</v>
      </c>
      <c r="R380" s="4" t="s">
        <v>313</v>
      </c>
      <c r="S380" s="4" t="s">
        <v>257</v>
      </c>
      <c r="T380" s="7">
        <v>42674</v>
      </c>
      <c r="U380" s="4">
        <v>0</v>
      </c>
      <c r="V380" s="4">
        <v>10</v>
      </c>
      <c r="W380" s="4" t="s">
        <v>314</v>
      </c>
      <c r="Y380" s="4" t="s">
        <v>233</v>
      </c>
      <c r="Z380" s="4" t="s">
        <v>234</v>
      </c>
      <c r="AA380" s="4" t="s">
        <v>234</v>
      </c>
      <c r="AC380" s="4" t="s">
        <v>2923</v>
      </c>
    </row>
    <row r="381" spans="1:29" hidden="1" x14ac:dyDescent="0.4">
      <c r="A381" s="4" t="s">
        <v>216</v>
      </c>
      <c r="B381" s="4">
        <v>2037</v>
      </c>
      <c r="C381" s="4" t="s">
        <v>315</v>
      </c>
      <c r="D381" s="4" t="s">
        <v>2831</v>
      </c>
      <c r="E381" s="4" t="s">
        <v>1676</v>
      </c>
      <c r="F381" s="4" t="s">
        <v>1685</v>
      </c>
      <c r="H381" s="4" t="s">
        <v>1686</v>
      </c>
      <c r="I381" s="4" t="s">
        <v>1687</v>
      </c>
      <c r="J381" s="4" t="s">
        <v>1688</v>
      </c>
      <c r="K381" s="4" t="s">
        <v>224</v>
      </c>
      <c r="L381" s="6" t="s">
        <v>1680</v>
      </c>
      <c r="M381" s="4" t="s">
        <v>1689</v>
      </c>
      <c r="N381" s="4" t="s">
        <v>1690</v>
      </c>
      <c r="P381" s="4" t="s">
        <v>1691</v>
      </c>
      <c r="Q381" s="4" t="s">
        <v>1692</v>
      </c>
      <c r="R381" s="4" t="s">
        <v>313</v>
      </c>
      <c r="S381" s="4" t="s">
        <v>257</v>
      </c>
      <c r="T381" s="7">
        <v>42674</v>
      </c>
      <c r="U381" s="4">
        <v>0</v>
      </c>
      <c r="V381" s="4">
        <v>14</v>
      </c>
      <c r="W381" s="4" t="s">
        <v>241</v>
      </c>
      <c r="Y381" s="4" t="s">
        <v>233</v>
      </c>
      <c r="Z381" s="4" t="s">
        <v>234</v>
      </c>
      <c r="AA381" s="4" t="s">
        <v>234</v>
      </c>
      <c r="AC381" s="4" t="s">
        <v>2923</v>
      </c>
    </row>
    <row r="382" spans="1:29" hidden="1" x14ac:dyDescent="0.4">
      <c r="A382" s="4" t="s">
        <v>216</v>
      </c>
      <c r="B382" s="4">
        <v>3599</v>
      </c>
      <c r="C382" s="4" t="s">
        <v>217</v>
      </c>
      <c r="D382" s="4" t="s">
        <v>1266</v>
      </c>
      <c r="E382" s="4" t="s">
        <v>1693</v>
      </c>
      <c r="F382" s="4" t="s">
        <v>1694</v>
      </c>
      <c r="H382" s="4" t="s">
        <v>1695</v>
      </c>
      <c r="I382" s="4" t="s">
        <v>154</v>
      </c>
      <c r="J382" s="4" t="s">
        <v>1696</v>
      </c>
      <c r="K382" s="4" t="s">
        <v>224</v>
      </c>
      <c r="L382" s="6" t="s">
        <v>1697</v>
      </c>
      <c r="M382" s="4" t="s">
        <v>1698</v>
      </c>
      <c r="N382" s="4" t="s">
        <v>1699</v>
      </c>
      <c r="P382" s="4" t="s">
        <v>1700</v>
      </c>
      <c r="Q382" s="4" t="s">
        <v>1701</v>
      </c>
      <c r="R382" s="4" t="s">
        <v>1702</v>
      </c>
      <c r="S382" s="4" t="s">
        <v>231</v>
      </c>
      <c r="T382" s="7">
        <v>42887</v>
      </c>
      <c r="U382" s="4">
        <v>0</v>
      </c>
      <c r="V382" s="4">
        <v>3</v>
      </c>
      <c r="W382" s="4" t="s">
        <v>258</v>
      </c>
      <c r="Y382" s="4" t="s">
        <v>233</v>
      </c>
      <c r="Z382" s="4" t="s">
        <v>234</v>
      </c>
      <c r="AA382" s="4" t="s">
        <v>234</v>
      </c>
      <c r="AC382" s="4" t="s">
        <v>2923</v>
      </c>
    </row>
    <row r="383" spans="1:29" hidden="1" x14ac:dyDescent="0.4">
      <c r="A383" s="4" t="s">
        <v>216</v>
      </c>
      <c r="B383" s="4">
        <v>3599</v>
      </c>
      <c r="C383" s="4" t="s">
        <v>217</v>
      </c>
      <c r="D383" s="4" t="s">
        <v>1266</v>
      </c>
      <c r="E383" s="4" t="s">
        <v>1693</v>
      </c>
      <c r="F383" s="4" t="s">
        <v>1694</v>
      </c>
      <c r="H383" s="4" t="s">
        <v>1695</v>
      </c>
      <c r="I383" s="4" t="s">
        <v>154</v>
      </c>
      <c r="J383" s="4" t="s">
        <v>1696</v>
      </c>
      <c r="K383" s="4" t="s">
        <v>224</v>
      </c>
      <c r="L383" s="6" t="s">
        <v>1697</v>
      </c>
      <c r="M383" s="4" t="s">
        <v>1698</v>
      </c>
      <c r="N383" s="4" t="s">
        <v>1699</v>
      </c>
      <c r="P383" s="4" t="s">
        <v>1700</v>
      </c>
      <c r="Q383" s="4" t="s">
        <v>1701</v>
      </c>
      <c r="R383" s="4" t="s">
        <v>1702</v>
      </c>
      <c r="S383" s="4" t="s">
        <v>231</v>
      </c>
      <c r="T383" s="7">
        <v>42887</v>
      </c>
      <c r="U383" s="4">
        <v>0</v>
      </c>
      <c r="V383" s="4">
        <v>4</v>
      </c>
      <c r="W383" s="4" t="s">
        <v>314</v>
      </c>
      <c r="Y383" s="4" t="s">
        <v>233</v>
      </c>
      <c r="Z383" s="4" t="s">
        <v>234</v>
      </c>
      <c r="AA383" s="4" t="s">
        <v>234</v>
      </c>
      <c r="AC383" s="4" t="s">
        <v>2923</v>
      </c>
    </row>
    <row r="384" spans="1:29" hidden="1" x14ac:dyDescent="0.4">
      <c r="A384" s="4" t="s">
        <v>216</v>
      </c>
      <c r="B384" s="4">
        <v>3599</v>
      </c>
      <c r="C384" s="4" t="s">
        <v>217</v>
      </c>
      <c r="D384" s="4" t="s">
        <v>1266</v>
      </c>
      <c r="E384" s="4" t="s">
        <v>1693</v>
      </c>
      <c r="F384" s="4" t="s">
        <v>1694</v>
      </c>
      <c r="H384" s="4" t="s">
        <v>1695</v>
      </c>
      <c r="I384" s="4" t="s">
        <v>154</v>
      </c>
      <c r="J384" s="4" t="s">
        <v>1696</v>
      </c>
      <c r="K384" s="4" t="s">
        <v>224</v>
      </c>
      <c r="L384" s="6" t="s">
        <v>1697</v>
      </c>
      <c r="M384" s="4" t="s">
        <v>1698</v>
      </c>
      <c r="N384" s="4" t="s">
        <v>1699</v>
      </c>
      <c r="P384" s="4" t="s">
        <v>1703</v>
      </c>
      <c r="Q384" s="4" t="s">
        <v>1704</v>
      </c>
      <c r="R384" s="4" t="s">
        <v>32</v>
      </c>
      <c r="S384" s="4" t="s">
        <v>257</v>
      </c>
      <c r="T384" s="7">
        <v>43781</v>
      </c>
      <c r="U384" s="4">
        <v>0</v>
      </c>
      <c r="V384" s="4">
        <v>9</v>
      </c>
      <c r="W384" s="4" t="s">
        <v>358</v>
      </c>
      <c r="Y384" s="4" t="s">
        <v>233</v>
      </c>
      <c r="Z384" s="4" t="s">
        <v>234</v>
      </c>
      <c r="AA384" s="4" t="s">
        <v>234</v>
      </c>
      <c r="AC384" s="4" t="s">
        <v>2923</v>
      </c>
    </row>
    <row r="385" spans="1:29" hidden="1" x14ac:dyDescent="0.4">
      <c r="A385" s="4" t="s">
        <v>216</v>
      </c>
      <c r="B385" s="4">
        <v>3599</v>
      </c>
      <c r="C385" s="4" t="s">
        <v>217</v>
      </c>
      <c r="D385" s="4" t="s">
        <v>1266</v>
      </c>
      <c r="E385" s="4" t="s">
        <v>1693</v>
      </c>
      <c r="F385" s="4" t="s">
        <v>1694</v>
      </c>
      <c r="H385" s="4" t="s">
        <v>1695</v>
      </c>
      <c r="I385" s="4" t="s">
        <v>154</v>
      </c>
      <c r="J385" s="4" t="s">
        <v>1696</v>
      </c>
      <c r="K385" s="4" t="s">
        <v>224</v>
      </c>
      <c r="L385" s="6" t="s">
        <v>1697</v>
      </c>
      <c r="M385" s="4" t="s">
        <v>1698</v>
      </c>
      <c r="N385" s="4" t="s">
        <v>1699</v>
      </c>
      <c r="P385" s="4" t="s">
        <v>1700</v>
      </c>
      <c r="Q385" s="4" t="s">
        <v>1701</v>
      </c>
      <c r="R385" s="4" t="s">
        <v>1702</v>
      </c>
      <c r="S385" s="4" t="s">
        <v>231</v>
      </c>
      <c r="T385" s="7">
        <v>42887</v>
      </c>
      <c r="U385" s="4">
        <v>0</v>
      </c>
      <c r="V385" s="4">
        <v>9</v>
      </c>
      <c r="W385" s="4" t="s">
        <v>358</v>
      </c>
      <c r="Y385" s="4" t="s">
        <v>233</v>
      </c>
      <c r="Z385" s="4" t="s">
        <v>234</v>
      </c>
      <c r="AA385" s="4" t="s">
        <v>234</v>
      </c>
      <c r="AC385" s="4" t="s">
        <v>2923</v>
      </c>
    </row>
    <row r="386" spans="1:29" hidden="1" x14ac:dyDescent="0.4">
      <c r="A386" s="4" t="s">
        <v>216</v>
      </c>
      <c r="B386" s="4">
        <v>3599</v>
      </c>
      <c r="C386" s="4" t="s">
        <v>217</v>
      </c>
      <c r="D386" s="4" t="s">
        <v>1266</v>
      </c>
      <c r="E386" s="4" t="s">
        <v>1693</v>
      </c>
      <c r="F386" s="4" t="s">
        <v>1694</v>
      </c>
      <c r="H386" s="4" t="s">
        <v>1695</v>
      </c>
      <c r="I386" s="4" t="s">
        <v>154</v>
      </c>
      <c r="J386" s="4" t="s">
        <v>1696</v>
      </c>
      <c r="K386" s="4" t="s">
        <v>224</v>
      </c>
      <c r="L386" s="6" t="s">
        <v>1697</v>
      </c>
      <c r="M386" s="4" t="s">
        <v>1698</v>
      </c>
      <c r="N386" s="4" t="s">
        <v>1699</v>
      </c>
      <c r="P386" s="4" t="s">
        <v>1700</v>
      </c>
      <c r="Q386" s="4" t="s">
        <v>1701</v>
      </c>
      <c r="R386" s="4" t="s">
        <v>1702</v>
      </c>
      <c r="S386" s="4" t="s">
        <v>231</v>
      </c>
      <c r="T386" s="7">
        <v>42887</v>
      </c>
      <c r="U386" s="4">
        <v>0</v>
      </c>
      <c r="V386" s="4">
        <v>10</v>
      </c>
      <c r="W386" s="4" t="s">
        <v>314</v>
      </c>
      <c r="Y386" s="4" t="s">
        <v>233</v>
      </c>
      <c r="Z386" s="4" t="s">
        <v>234</v>
      </c>
      <c r="AA386" s="4" t="s">
        <v>234</v>
      </c>
      <c r="AC386" s="4" t="s">
        <v>2923</v>
      </c>
    </row>
    <row r="387" spans="1:29" x14ac:dyDescent="0.4">
      <c r="A387" s="4" t="s">
        <v>216</v>
      </c>
      <c r="B387" s="4">
        <v>193</v>
      </c>
      <c r="C387" s="4" t="s">
        <v>217</v>
      </c>
      <c r="D387" s="4" t="s">
        <v>1705</v>
      </c>
      <c r="E387" s="4" t="s">
        <v>1706</v>
      </c>
      <c r="F387" s="4" t="s">
        <v>1707</v>
      </c>
      <c r="G387" s="4" t="s">
        <v>1708</v>
      </c>
      <c r="H387" s="4" t="s">
        <v>1709</v>
      </c>
      <c r="I387" s="4" t="s">
        <v>1710</v>
      </c>
      <c r="J387" s="4" t="s">
        <v>1711</v>
      </c>
      <c r="K387" s="4" t="s">
        <v>224</v>
      </c>
      <c r="L387" s="6" t="s">
        <v>1712</v>
      </c>
      <c r="M387" s="4" t="s">
        <v>1713</v>
      </c>
      <c r="N387" s="4" t="s">
        <v>1714</v>
      </c>
      <c r="P387" s="4" t="s">
        <v>2882</v>
      </c>
      <c r="Q387" s="4" t="s">
        <v>1715</v>
      </c>
      <c r="R387" s="4" t="s">
        <v>1716</v>
      </c>
      <c r="S387" s="4" t="s">
        <v>257</v>
      </c>
      <c r="T387" s="7">
        <v>44987</v>
      </c>
      <c r="U387" s="4">
        <v>0</v>
      </c>
      <c r="V387" s="4">
        <v>4</v>
      </c>
      <c r="W387" s="4" t="s">
        <v>2725</v>
      </c>
      <c r="X387" s="4" t="s">
        <v>293</v>
      </c>
      <c r="Y387" s="4" t="s">
        <v>233</v>
      </c>
      <c r="Z387" s="4" t="s">
        <v>234</v>
      </c>
      <c r="AA387" s="4" t="s">
        <v>234</v>
      </c>
      <c r="AC387" s="4" t="s">
        <v>2923</v>
      </c>
    </row>
    <row r="388" spans="1:29" hidden="1" x14ac:dyDescent="0.4">
      <c r="A388" s="4" t="s">
        <v>216</v>
      </c>
      <c r="B388" s="4">
        <v>193</v>
      </c>
      <c r="C388" s="4" t="s">
        <v>217</v>
      </c>
      <c r="D388" s="4" t="s">
        <v>1705</v>
      </c>
      <c r="E388" s="4" t="s">
        <v>1706</v>
      </c>
      <c r="F388" s="4" t="s">
        <v>1707</v>
      </c>
      <c r="G388" s="4" t="s">
        <v>1708</v>
      </c>
      <c r="H388" s="4" t="s">
        <v>1709</v>
      </c>
      <c r="I388" s="4" t="s">
        <v>1710</v>
      </c>
      <c r="J388" s="4" t="s">
        <v>1711</v>
      </c>
      <c r="K388" s="4" t="s">
        <v>224</v>
      </c>
      <c r="L388" s="6" t="s">
        <v>1712</v>
      </c>
      <c r="M388" s="4" t="s">
        <v>1713</v>
      </c>
      <c r="N388" s="4" t="s">
        <v>1714</v>
      </c>
      <c r="P388" s="4" t="s">
        <v>2882</v>
      </c>
      <c r="Q388" s="4" t="s">
        <v>1715</v>
      </c>
      <c r="R388" s="4" t="s">
        <v>1716</v>
      </c>
      <c r="S388" s="4" t="s">
        <v>257</v>
      </c>
      <c r="T388" s="7">
        <v>44987</v>
      </c>
      <c r="U388" s="4">
        <v>0</v>
      </c>
      <c r="V388" s="4">
        <v>5</v>
      </c>
      <c r="W388" s="4" t="s">
        <v>176</v>
      </c>
      <c r="X388" s="4" t="s">
        <v>293</v>
      </c>
      <c r="Y388" s="4" t="s">
        <v>233</v>
      </c>
      <c r="Z388" s="4" t="s">
        <v>234</v>
      </c>
      <c r="AA388" s="4" t="s">
        <v>234</v>
      </c>
      <c r="AC388" s="4" t="s">
        <v>2923</v>
      </c>
    </row>
    <row r="389" spans="1:29" hidden="1" x14ac:dyDescent="0.4">
      <c r="A389" s="4" t="s">
        <v>216</v>
      </c>
      <c r="B389" s="4">
        <v>193</v>
      </c>
      <c r="C389" s="4" t="s">
        <v>217</v>
      </c>
      <c r="D389" s="4" t="s">
        <v>1705</v>
      </c>
      <c r="E389" s="4" t="s">
        <v>1706</v>
      </c>
      <c r="F389" s="4" t="s">
        <v>1707</v>
      </c>
      <c r="G389" s="4" t="s">
        <v>1708</v>
      </c>
      <c r="H389" s="4" t="s">
        <v>1709</v>
      </c>
      <c r="I389" s="4" t="s">
        <v>1710</v>
      </c>
      <c r="J389" s="4" t="s">
        <v>1711</v>
      </c>
      <c r="K389" s="4" t="s">
        <v>224</v>
      </c>
      <c r="L389" s="6" t="s">
        <v>1712</v>
      </c>
      <c r="M389" s="4" t="s">
        <v>1713</v>
      </c>
      <c r="N389" s="4" t="s">
        <v>1714</v>
      </c>
      <c r="P389" s="4" t="s">
        <v>2883</v>
      </c>
      <c r="Q389" s="4" t="s">
        <v>1717</v>
      </c>
      <c r="R389" s="4" t="s">
        <v>2917</v>
      </c>
      <c r="S389" s="4" t="s">
        <v>257</v>
      </c>
      <c r="T389" s="7">
        <v>43195</v>
      </c>
      <c r="U389" s="4">
        <v>0</v>
      </c>
      <c r="V389" s="4">
        <v>7</v>
      </c>
      <c r="W389" s="4" t="s">
        <v>238</v>
      </c>
      <c r="X389" s="4" t="s">
        <v>293</v>
      </c>
      <c r="Y389" s="4" t="s">
        <v>233</v>
      </c>
      <c r="Z389" s="4" t="s">
        <v>234</v>
      </c>
      <c r="AA389" s="4" t="s">
        <v>234</v>
      </c>
      <c r="AC389" s="4" t="s">
        <v>2923</v>
      </c>
    </row>
    <row r="390" spans="1:29" hidden="1" x14ac:dyDescent="0.4">
      <c r="A390" s="4" t="s">
        <v>216</v>
      </c>
      <c r="B390" s="4">
        <v>193</v>
      </c>
      <c r="C390" s="4" t="s">
        <v>217</v>
      </c>
      <c r="D390" s="4" t="s">
        <v>1705</v>
      </c>
      <c r="E390" s="4" t="s">
        <v>1706</v>
      </c>
      <c r="F390" s="4" t="s">
        <v>1707</v>
      </c>
      <c r="G390" s="4" t="s">
        <v>1708</v>
      </c>
      <c r="H390" s="4" t="s">
        <v>1709</v>
      </c>
      <c r="I390" s="4" t="s">
        <v>1710</v>
      </c>
      <c r="J390" s="4" t="s">
        <v>1711</v>
      </c>
      <c r="K390" s="4" t="s">
        <v>224</v>
      </c>
      <c r="L390" s="6" t="s">
        <v>1712</v>
      </c>
      <c r="M390" s="4" t="s">
        <v>1713</v>
      </c>
      <c r="N390" s="4" t="s">
        <v>1714</v>
      </c>
      <c r="P390" s="4" t="s">
        <v>2882</v>
      </c>
      <c r="Q390" s="4" t="s">
        <v>1715</v>
      </c>
      <c r="R390" s="4" t="s">
        <v>1716</v>
      </c>
      <c r="S390" s="4" t="s">
        <v>257</v>
      </c>
      <c r="T390" s="7">
        <v>44987</v>
      </c>
      <c r="U390" s="4">
        <v>0</v>
      </c>
      <c r="V390" s="4">
        <v>11</v>
      </c>
      <c r="W390" s="4" t="s">
        <v>314</v>
      </c>
      <c r="X390" s="4" t="s">
        <v>293</v>
      </c>
      <c r="Y390" s="4" t="s">
        <v>233</v>
      </c>
      <c r="Z390" s="4" t="s">
        <v>234</v>
      </c>
      <c r="AA390" s="4" t="s">
        <v>234</v>
      </c>
      <c r="AC390" s="4" t="s">
        <v>2923</v>
      </c>
    </row>
    <row r="391" spans="1:29" hidden="1" x14ac:dyDescent="0.4">
      <c r="A391" s="4" t="s">
        <v>216</v>
      </c>
      <c r="B391" s="4">
        <v>193</v>
      </c>
      <c r="C391" s="4" t="s">
        <v>217</v>
      </c>
      <c r="D391" s="4" t="s">
        <v>1705</v>
      </c>
      <c r="E391" s="4" t="s">
        <v>1706</v>
      </c>
      <c r="F391" s="4" t="s">
        <v>1707</v>
      </c>
      <c r="G391" s="4" t="s">
        <v>1708</v>
      </c>
      <c r="H391" s="4" t="s">
        <v>1709</v>
      </c>
      <c r="I391" s="4" t="s">
        <v>1710</v>
      </c>
      <c r="J391" s="4" t="s">
        <v>1711</v>
      </c>
      <c r="K391" s="4" t="s">
        <v>224</v>
      </c>
      <c r="L391" s="6" t="s">
        <v>1712</v>
      </c>
      <c r="M391" s="4" t="s">
        <v>1713</v>
      </c>
      <c r="N391" s="4" t="s">
        <v>1714</v>
      </c>
      <c r="P391" s="4" t="s">
        <v>2883</v>
      </c>
      <c r="Q391" s="4" t="s">
        <v>1717</v>
      </c>
      <c r="R391" s="4" t="s">
        <v>2917</v>
      </c>
      <c r="S391" s="4" t="s">
        <v>257</v>
      </c>
      <c r="T391" s="7">
        <v>43195</v>
      </c>
      <c r="U391" s="4">
        <v>0</v>
      </c>
      <c r="V391" s="4">
        <v>13</v>
      </c>
      <c r="W391" s="4" t="s">
        <v>240</v>
      </c>
      <c r="X391" s="4" t="s">
        <v>293</v>
      </c>
      <c r="Y391" s="4" t="s">
        <v>233</v>
      </c>
      <c r="Z391" s="4" t="s">
        <v>234</v>
      </c>
      <c r="AA391" s="4" t="s">
        <v>234</v>
      </c>
      <c r="AC391" s="4" t="s">
        <v>2923</v>
      </c>
    </row>
    <row r="392" spans="1:29" hidden="1" x14ac:dyDescent="0.4">
      <c r="A392" s="4" t="s">
        <v>216</v>
      </c>
      <c r="B392" s="4">
        <v>193</v>
      </c>
      <c r="C392" s="4" t="s">
        <v>217</v>
      </c>
      <c r="D392" s="4" t="s">
        <v>1705</v>
      </c>
      <c r="E392" s="4" t="s">
        <v>1706</v>
      </c>
      <c r="F392" s="4" t="s">
        <v>1707</v>
      </c>
      <c r="G392" s="4" t="s">
        <v>1708</v>
      </c>
      <c r="H392" s="4" t="s">
        <v>1709</v>
      </c>
      <c r="I392" s="4" t="s">
        <v>1710</v>
      </c>
      <c r="J392" s="4" t="s">
        <v>1711</v>
      </c>
      <c r="K392" s="4" t="s">
        <v>224</v>
      </c>
      <c r="L392" s="6" t="s">
        <v>1712</v>
      </c>
      <c r="M392" s="4" t="s">
        <v>1713</v>
      </c>
      <c r="N392" s="4" t="s">
        <v>1714</v>
      </c>
      <c r="P392" s="4" t="s">
        <v>2882</v>
      </c>
      <c r="Q392" s="4" t="s">
        <v>1715</v>
      </c>
      <c r="R392" s="4" t="s">
        <v>1716</v>
      </c>
      <c r="S392" s="4" t="s">
        <v>257</v>
      </c>
      <c r="T392" s="7">
        <v>44987</v>
      </c>
      <c r="U392" s="4">
        <v>0</v>
      </c>
      <c r="V392" s="4">
        <v>10</v>
      </c>
      <c r="W392" s="4" t="s">
        <v>433</v>
      </c>
      <c r="X392" s="4" t="s">
        <v>293</v>
      </c>
      <c r="Y392" s="4" t="s">
        <v>233</v>
      </c>
      <c r="Z392" s="4" t="s">
        <v>234</v>
      </c>
      <c r="AA392" s="4" t="s">
        <v>234</v>
      </c>
      <c r="AC392" s="4" t="s">
        <v>2923</v>
      </c>
    </row>
    <row r="393" spans="1:29" hidden="1" x14ac:dyDescent="0.4">
      <c r="A393" s="4" t="s">
        <v>216</v>
      </c>
      <c r="B393" s="4">
        <v>2939</v>
      </c>
      <c r="C393" s="4" t="s">
        <v>417</v>
      </c>
      <c r="D393" s="4" t="s">
        <v>1726</v>
      </c>
      <c r="E393" s="4" t="s">
        <v>1727</v>
      </c>
      <c r="F393" s="4">
        <v>17</v>
      </c>
      <c r="G393" s="4" t="s">
        <v>1728</v>
      </c>
      <c r="H393" s="4" t="s">
        <v>398</v>
      </c>
      <c r="I393" s="4" t="s">
        <v>143</v>
      </c>
      <c r="J393" s="4" t="s">
        <v>1729</v>
      </c>
      <c r="K393" s="4" t="s">
        <v>224</v>
      </c>
      <c r="L393" s="6" t="s">
        <v>1730</v>
      </c>
      <c r="M393" s="4" t="s">
        <v>1731</v>
      </c>
      <c r="N393" s="4" t="s">
        <v>1732</v>
      </c>
      <c r="P393" s="4" t="s">
        <v>1733</v>
      </c>
      <c r="Q393" s="4" t="s">
        <v>1734</v>
      </c>
      <c r="R393" s="4" t="s">
        <v>53</v>
      </c>
      <c r="S393" s="4" t="s">
        <v>231</v>
      </c>
      <c r="T393" s="7">
        <v>45072</v>
      </c>
      <c r="U393" s="4">
        <v>0</v>
      </c>
      <c r="V393" s="4">
        <v>12</v>
      </c>
      <c r="Y393" s="4" t="s">
        <v>233</v>
      </c>
      <c r="Z393" s="4" t="s">
        <v>234</v>
      </c>
      <c r="AA393" s="4" t="s">
        <v>234</v>
      </c>
      <c r="AC393" s="4" t="s">
        <v>2923</v>
      </c>
    </row>
    <row r="394" spans="1:29" hidden="1" x14ac:dyDescent="0.4">
      <c r="A394" s="4" t="s">
        <v>216</v>
      </c>
      <c r="B394" s="4">
        <v>2939</v>
      </c>
      <c r="C394" s="4" t="s">
        <v>417</v>
      </c>
      <c r="D394" s="4" t="s">
        <v>1726</v>
      </c>
      <c r="E394" s="4" t="s">
        <v>1727</v>
      </c>
      <c r="F394" s="4">
        <v>17</v>
      </c>
      <c r="G394" s="4" t="s">
        <v>1728</v>
      </c>
      <c r="H394" s="4" t="s">
        <v>398</v>
      </c>
      <c r="I394" s="4" t="s">
        <v>143</v>
      </c>
      <c r="J394" s="4" t="s">
        <v>1729</v>
      </c>
      <c r="K394" s="4" t="s">
        <v>224</v>
      </c>
      <c r="L394" s="6" t="s">
        <v>1730</v>
      </c>
      <c r="M394" s="4" t="s">
        <v>1731</v>
      </c>
      <c r="N394" s="4" t="s">
        <v>1732</v>
      </c>
      <c r="P394" s="4" t="s">
        <v>1735</v>
      </c>
      <c r="Q394" s="4" t="s">
        <v>1736</v>
      </c>
      <c r="R394" s="4" t="s">
        <v>53</v>
      </c>
      <c r="S394" s="4" t="s">
        <v>257</v>
      </c>
      <c r="T394" s="7">
        <v>41908</v>
      </c>
      <c r="U394" s="4">
        <v>0</v>
      </c>
      <c r="V394" s="4">
        <v>13</v>
      </c>
      <c r="W394" s="4" t="s">
        <v>240</v>
      </c>
      <c r="Y394" s="4" t="s">
        <v>233</v>
      </c>
      <c r="Z394" s="4" t="s">
        <v>234</v>
      </c>
      <c r="AA394" s="4" t="s">
        <v>234</v>
      </c>
      <c r="AC394" s="4" t="s">
        <v>2923</v>
      </c>
    </row>
    <row r="395" spans="1:29" hidden="1" x14ac:dyDescent="0.4">
      <c r="A395" s="4" t="s">
        <v>216</v>
      </c>
      <c r="B395" s="4">
        <v>2939</v>
      </c>
      <c r="C395" s="4" t="s">
        <v>417</v>
      </c>
      <c r="D395" s="4" t="s">
        <v>1726</v>
      </c>
      <c r="E395" s="4" t="s">
        <v>1727</v>
      </c>
      <c r="F395" s="4">
        <v>17</v>
      </c>
      <c r="G395" s="4" t="s">
        <v>1728</v>
      </c>
      <c r="H395" s="4" t="s">
        <v>398</v>
      </c>
      <c r="I395" s="4" t="s">
        <v>143</v>
      </c>
      <c r="J395" s="4" t="s">
        <v>1729</v>
      </c>
      <c r="K395" s="4" t="s">
        <v>224</v>
      </c>
      <c r="L395" s="6" t="s">
        <v>1730</v>
      </c>
      <c r="M395" s="4" t="s">
        <v>1731</v>
      </c>
      <c r="N395" s="4" t="s">
        <v>1732</v>
      </c>
      <c r="P395" s="4" t="s">
        <v>1733</v>
      </c>
      <c r="Q395" s="4" t="s">
        <v>1734</v>
      </c>
      <c r="R395" s="4" t="s">
        <v>53</v>
      </c>
      <c r="S395" s="4" t="s">
        <v>231</v>
      </c>
      <c r="T395" s="7">
        <v>45072</v>
      </c>
      <c r="U395" s="4">
        <v>0</v>
      </c>
      <c r="V395" s="4">
        <v>13</v>
      </c>
      <c r="W395" s="4" t="s">
        <v>240</v>
      </c>
      <c r="Y395" s="4" t="s">
        <v>233</v>
      </c>
      <c r="Z395" s="4" t="s">
        <v>234</v>
      </c>
      <c r="AA395" s="4" t="s">
        <v>234</v>
      </c>
      <c r="AC395" s="4" t="s">
        <v>2923</v>
      </c>
    </row>
    <row r="396" spans="1:29" hidden="1" x14ac:dyDescent="0.4">
      <c r="A396" s="4" t="s">
        <v>216</v>
      </c>
      <c r="B396" s="4">
        <v>3991</v>
      </c>
      <c r="C396" s="4" t="s">
        <v>417</v>
      </c>
      <c r="D396" s="4" t="s">
        <v>1737</v>
      </c>
      <c r="E396" s="4" t="s">
        <v>1738</v>
      </c>
      <c r="F396" s="4" t="s">
        <v>1739</v>
      </c>
      <c r="G396" s="4" t="s">
        <v>1740</v>
      </c>
      <c r="H396" s="4" t="s">
        <v>376</v>
      </c>
      <c r="I396" s="4" t="s">
        <v>377</v>
      </c>
      <c r="J396" s="4" t="s">
        <v>1741</v>
      </c>
      <c r="K396" s="4" t="s">
        <v>224</v>
      </c>
      <c r="L396" s="6" t="s">
        <v>1742</v>
      </c>
      <c r="M396" s="4" t="s">
        <v>1743</v>
      </c>
      <c r="N396" s="4" t="s">
        <v>1744</v>
      </c>
      <c r="P396" s="4" t="s">
        <v>1745</v>
      </c>
      <c r="Q396" s="4" t="s">
        <v>1746</v>
      </c>
      <c r="R396" s="4" t="s">
        <v>53</v>
      </c>
      <c r="S396" s="4" t="s">
        <v>257</v>
      </c>
      <c r="T396" s="7">
        <v>44592</v>
      </c>
      <c r="U396" s="4">
        <v>0</v>
      </c>
      <c r="V396" s="4">
        <v>5</v>
      </c>
      <c r="W396" s="4" t="s">
        <v>314</v>
      </c>
      <c r="Y396" s="4" t="s">
        <v>233</v>
      </c>
      <c r="Z396" s="4" t="s">
        <v>234</v>
      </c>
      <c r="AA396" s="4" t="s">
        <v>233</v>
      </c>
      <c r="AB396" s="4" t="s">
        <v>1747</v>
      </c>
      <c r="AC396" s="4" t="s">
        <v>2923</v>
      </c>
    </row>
    <row r="397" spans="1:29" hidden="1" x14ac:dyDescent="0.4">
      <c r="A397" s="4" t="s">
        <v>216</v>
      </c>
      <c r="B397" s="4">
        <v>3991</v>
      </c>
      <c r="C397" s="4" t="s">
        <v>417</v>
      </c>
      <c r="D397" s="4" t="s">
        <v>1737</v>
      </c>
      <c r="E397" s="4" t="s">
        <v>1738</v>
      </c>
      <c r="F397" s="4" t="s">
        <v>1739</v>
      </c>
      <c r="G397" s="4" t="s">
        <v>1740</v>
      </c>
      <c r="H397" s="4" t="s">
        <v>376</v>
      </c>
      <c r="I397" s="4" t="s">
        <v>377</v>
      </c>
      <c r="J397" s="4" t="s">
        <v>1741</v>
      </c>
      <c r="K397" s="4" t="s">
        <v>224</v>
      </c>
      <c r="L397" s="6" t="s">
        <v>1742</v>
      </c>
      <c r="M397" s="4" t="s">
        <v>1743</v>
      </c>
      <c r="N397" s="4" t="s">
        <v>1744</v>
      </c>
      <c r="P397" s="4" t="s">
        <v>1745</v>
      </c>
      <c r="Q397" s="4" t="s">
        <v>1746</v>
      </c>
      <c r="R397" s="4" t="s">
        <v>53</v>
      </c>
      <c r="S397" s="4" t="s">
        <v>257</v>
      </c>
      <c r="T397" s="7">
        <v>44592</v>
      </c>
      <c r="U397" s="4">
        <v>0</v>
      </c>
      <c r="V397" s="4">
        <v>6</v>
      </c>
      <c r="Y397" s="4" t="s">
        <v>233</v>
      </c>
      <c r="Z397" s="4" t="s">
        <v>234</v>
      </c>
      <c r="AA397" s="4" t="s">
        <v>233</v>
      </c>
      <c r="AB397" s="4" t="s">
        <v>1747</v>
      </c>
      <c r="AC397" s="4" t="s">
        <v>2923</v>
      </c>
    </row>
    <row r="398" spans="1:29" hidden="1" x14ac:dyDescent="0.4">
      <c r="A398" s="4" t="s">
        <v>216</v>
      </c>
      <c r="B398" s="4">
        <v>3991</v>
      </c>
      <c r="C398" s="4" t="s">
        <v>417</v>
      </c>
      <c r="D398" s="4" t="s">
        <v>1737</v>
      </c>
      <c r="E398" s="4" t="s">
        <v>1738</v>
      </c>
      <c r="F398" s="4" t="s">
        <v>1739</v>
      </c>
      <c r="G398" s="4" t="s">
        <v>1740</v>
      </c>
      <c r="H398" s="4" t="s">
        <v>376</v>
      </c>
      <c r="I398" s="4" t="s">
        <v>377</v>
      </c>
      <c r="J398" s="4" t="s">
        <v>1741</v>
      </c>
      <c r="K398" s="4" t="s">
        <v>224</v>
      </c>
      <c r="L398" s="6" t="s">
        <v>1742</v>
      </c>
      <c r="M398" s="4" t="s">
        <v>1743</v>
      </c>
      <c r="N398" s="4" t="s">
        <v>1744</v>
      </c>
      <c r="P398" s="4" t="s">
        <v>1748</v>
      </c>
      <c r="Q398" s="4" t="s">
        <v>1749</v>
      </c>
      <c r="R398" s="4" t="s">
        <v>31</v>
      </c>
      <c r="S398" s="4" t="s">
        <v>257</v>
      </c>
      <c r="T398" s="7">
        <v>43127</v>
      </c>
      <c r="U398" s="4">
        <v>0</v>
      </c>
      <c r="V398" s="4">
        <v>10</v>
      </c>
      <c r="W398" s="4" t="s">
        <v>433</v>
      </c>
      <c r="Y398" s="4" t="s">
        <v>233</v>
      </c>
      <c r="Z398" s="4" t="s">
        <v>234</v>
      </c>
      <c r="AA398" s="4" t="s">
        <v>233</v>
      </c>
      <c r="AB398" s="4" t="s">
        <v>1747</v>
      </c>
      <c r="AC398" s="4" t="s">
        <v>2923</v>
      </c>
    </row>
    <row r="399" spans="1:29" hidden="1" x14ac:dyDescent="0.4">
      <c r="A399" s="4" t="s">
        <v>216</v>
      </c>
      <c r="B399" s="4">
        <v>3991</v>
      </c>
      <c r="C399" s="4" t="s">
        <v>417</v>
      </c>
      <c r="D399" s="4" t="s">
        <v>1737</v>
      </c>
      <c r="E399" s="4" t="s">
        <v>1738</v>
      </c>
      <c r="F399" s="4" t="s">
        <v>1739</v>
      </c>
      <c r="G399" s="4" t="s">
        <v>1740</v>
      </c>
      <c r="H399" s="4" t="s">
        <v>376</v>
      </c>
      <c r="I399" s="4" t="s">
        <v>377</v>
      </c>
      <c r="J399" s="4" t="s">
        <v>1741</v>
      </c>
      <c r="K399" s="4" t="s">
        <v>224</v>
      </c>
      <c r="L399" s="6" t="s">
        <v>1742</v>
      </c>
      <c r="M399" s="4" t="s">
        <v>1743</v>
      </c>
      <c r="N399" s="4" t="s">
        <v>1744</v>
      </c>
      <c r="P399" s="4" t="s">
        <v>1745</v>
      </c>
      <c r="Q399" s="4" t="s">
        <v>1746</v>
      </c>
      <c r="R399" s="4" t="s">
        <v>53</v>
      </c>
      <c r="S399" s="4" t="s">
        <v>257</v>
      </c>
      <c r="T399" s="7">
        <v>44592</v>
      </c>
      <c r="U399" s="4">
        <v>0</v>
      </c>
      <c r="V399" s="4">
        <v>11</v>
      </c>
      <c r="W399" s="4" t="s">
        <v>132</v>
      </c>
      <c r="Y399" s="4" t="s">
        <v>233</v>
      </c>
      <c r="Z399" s="4" t="s">
        <v>234</v>
      </c>
      <c r="AA399" s="4" t="s">
        <v>233</v>
      </c>
      <c r="AB399" s="4" t="s">
        <v>1747</v>
      </c>
      <c r="AC399" s="4" t="s">
        <v>2923</v>
      </c>
    </row>
    <row r="400" spans="1:29" hidden="1" x14ac:dyDescent="0.4">
      <c r="A400" s="4" t="s">
        <v>216</v>
      </c>
      <c r="B400" s="4">
        <v>3991</v>
      </c>
      <c r="C400" s="4" t="s">
        <v>417</v>
      </c>
      <c r="D400" s="4" t="s">
        <v>1737</v>
      </c>
      <c r="E400" s="4" t="s">
        <v>1738</v>
      </c>
      <c r="F400" s="4" t="s">
        <v>1739</v>
      </c>
      <c r="G400" s="4" t="s">
        <v>1740</v>
      </c>
      <c r="H400" s="4" t="s">
        <v>376</v>
      </c>
      <c r="I400" s="4" t="s">
        <v>377</v>
      </c>
      <c r="J400" s="4" t="s">
        <v>1741</v>
      </c>
      <c r="K400" s="4" t="s">
        <v>224</v>
      </c>
      <c r="L400" s="6" t="s">
        <v>1742</v>
      </c>
      <c r="M400" s="4" t="s">
        <v>1743</v>
      </c>
      <c r="N400" s="4" t="s">
        <v>1744</v>
      </c>
      <c r="P400" s="4" t="s">
        <v>1745</v>
      </c>
      <c r="Q400" s="4" t="s">
        <v>1746</v>
      </c>
      <c r="R400" s="4" t="s">
        <v>53</v>
      </c>
      <c r="S400" s="4" t="s">
        <v>257</v>
      </c>
      <c r="T400" s="7">
        <v>44592</v>
      </c>
      <c r="U400" s="4">
        <v>0</v>
      </c>
      <c r="V400" s="4">
        <v>12</v>
      </c>
      <c r="Y400" s="4" t="s">
        <v>233</v>
      </c>
      <c r="Z400" s="4" t="s">
        <v>234</v>
      </c>
      <c r="AA400" s="4" t="s">
        <v>233</v>
      </c>
      <c r="AB400" s="4" t="s">
        <v>1747</v>
      </c>
      <c r="AC400" s="4" t="s">
        <v>2923</v>
      </c>
    </row>
    <row r="401" spans="1:29" x14ac:dyDescent="0.4">
      <c r="A401" s="4" t="s">
        <v>216</v>
      </c>
      <c r="B401" s="4">
        <v>1679</v>
      </c>
      <c r="C401" s="4" t="s">
        <v>217</v>
      </c>
      <c r="D401" s="4" t="s">
        <v>1750</v>
      </c>
      <c r="E401" s="4" t="s">
        <v>1751</v>
      </c>
      <c r="F401" s="4" t="s">
        <v>1752</v>
      </c>
      <c r="G401" s="4" t="s">
        <v>1753</v>
      </c>
      <c r="H401" s="4" t="s">
        <v>1754</v>
      </c>
      <c r="I401" s="4" t="s">
        <v>1755</v>
      </c>
      <c r="J401" s="4" t="s">
        <v>1756</v>
      </c>
      <c r="K401" s="4" t="s">
        <v>224</v>
      </c>
      <c r="L401" s="5" t="s">
        <v>1757</v>
      </c>
      <c r="M401" s="4" t="s">
        <v>1758</v>
      </c>
      <c r="N401" s="4" t="s">
        <v>1759</v>
      </c>
      <c r="P401" s="4" t="s">
        <v>1760</v>
      </c>
      <c r="Q401" s="4" t="s">
        <v>1761</v>
      </c>
      <c r="R401" s="4" t="s">
        <v>2811</v>
      </c>
      <c r="S401" s="4" t="s">
        <v>231</v>
      </c>
      <c r="T401" s="7">
        <v>44965</v>
      </c>
      <c r="U401" s="4">
        <v>0</v>
      </c>
      <c r="V401" s="4">
        <v>4</v>
      </c>
      <c r="W401" s="4" t="s">
        <v>97</v>
      </c>
      <c r="X401" s="4" t="s">
        <v>293</v>
      </c>
      <c r="Y401" s="4" t="s">
        <v>233</v>
      </c>
      <c r="Z401" s="4" t="s">
        <v>234</v>
      </c>
      <c r="AA401" s="4" t="s">
        <v>234</v>
      </c>
      <c r="AC401" s="4" t="s">
        <v>2923</v>
      </c>
    </row>
    <row r="402" spans="1:29" hidden="1" x14ac:dyDescent="0.4">
      <c r="A402" s="4" t="s">
        <v>216</v>
      </c>
      <c r="B402" s="4">
        <v>1679</v>
      </c>
      <c r="C402" s="4" t="s">
        <v>217</v>
      </c>
      <c r="D402" s="4" t="s">
        <v>1750</v>
      </c>
      <c r="E402" s="4" t="s">
        <v>1751</v>
      </c>
      <c r="F402" s="4" t="s">
        <v>1752</v>
      </c>
      <c r="G402" s="4" t="s">
        <v>1753</v>
      </c>
      <c r="H402" s="4" t="s">
        <v>1754</v>
      </c>
      <c r="I402" s="4" t="s">
        <v>1755</v>
      </c>
      <c r="J402" s="4" t="s">
        <v>1756</v>
      </c>
      <c r="K402" s="4" t="s">
        <v>224</v>
      </c>
      <c r="L402" s="5" t="s">
        <v>1757</v>
      </c>
      <c r="M402" s="4" t="s">
        <v>1758</v>
      </c>
      <c r="N402" s="4" t="s">
        <v>1759</v>
      </c>
      <c r="P402" s="4" t="s">
        <v>1760</v>
      </c>
      <c r="Q402" s="4" t="s">
        <v>1761</v>
      </c>
      <c r="R402" s="4" t="s">
        <v>2811</v>
      </c>
      <c r="S402" s="4" t="s">
        <v>231</v>
      </c>
      <c r="T402" s="7">
        <v>44965</v>
      </c>
      <c r="U402" s="4">
        <v>0</v>
      </c>
      <c r="V402" s="4">
        <v>10</v>
      </c>
      <c r="W402" s="4" t="s">
        <v>524</v>
      </c>
      <c r="X402" s="4" t="s">
        <v>293</v>
      </c>
      <c r="Y402" s="4" t="s">
        <v>233</v>
      </c>
      <c r="Z402" s="4" t="s">
        <v>234</v>
      </c>
      <c r="AA402" s="4" t="s">
        <v>234</v>
      </c>
      <c r="AC402" s="4" t="s">
        <v>2923</v>
      </c>
    </row>
    <row r="403" spans="1:29" hidden="1" x14ac:dyDescent="0.4">
      <c r="A403" s="4" t="s">
        <v>216</v>
      </c>
      <c r="B403" s="4">
        <v>1679</v>
      </c>
      <c r="C403" s="4" t="s">
        <v>217</v>
      </c>
      <c r="D403" s="4" t="s">
        <v>1750</v>
      </c>
      <c r="E403" s="4" t="s">
        <v>1751</v>
      </c>
      <c r="F403" s="4" t="s">
        <v>1752</v>
      </c>
      <c r="G403" s="4" t="s">
        <v>1753</v>
      </c>
      <c r="H403" s="4" t="s">
        <v>1754</v>
      </c>
      <c r="I403" s="4" t="s">
        <v>1755</v>
      </c>
      <c r="J403" s="4" t="s">
        <v>1756</v>
      </c>
      <c r="K403" s="4" t="s">
        <v>224</v>
      </c>
      <c r="L403" s="5" t="s">
        <v>1757</v>
      </c>
      <c r="M403" s="4" t="s">
        <v>1758</v>
      </c>
      <c r="N403" s="4" t="s">
        <v>1759</v>
      </c>
      <c r="P403" s="4" t="s">
        <v>1760</v>
      </c>
      <c r="Q403" s="4" t="s">
        <v>1761</v>
      </c>
      <c r="R403" s="4" t="s">
        <v>2811</v>
      </c>
      <c r="S403" s="4" t="s">
        <v>231</v>
      </c>
      <c r="T403" s="7">
        <v>44965</v>
      </c>
      <c r="U403" s="4">
        <v>0</v>
      </c>
      <c r="V403" s="4">
        <v>14</v>
      </c>
      <c r="W403" s="4" t="s">
        <v>241</v>
      </c>
      <c r="X403" s="4" t="s">
        <v>293</v>
      </c>
      <c r="Y403" s="4" t="s">
        <v>233</v>
      </c>
      <c r="Z403" s="4" t="s">
        <v>234</v>
      </c>
      <c r="AA403" s="4" t="s">
        <v>234</v>
      </c>
      <c r="AC403" s="4" t="s">
        <v>2923</v>
      </c>
    </row>
    <row r="404" spans="1:29" hidden="1" x14ac:dyDescent="0.4">
      <c r="A404" s="4" t="s">
        <v>216</v>
      </c>
      <c r="B404" s="4">
        <v>2471</v>
      </c>
      <c r="C404" s="4" t="s">
        <v>242</v>
      </c>
      <c r="D404" s="4" t="s">
        <v>1764</v>
      </c>
      <c r="E404" s="4" t="s">
        <v>1765</v>
      </c>
      <c r="F404" s="4" t="s">
        <v>1766</v>
      </c>
      <c r="G404" s="4" t="s">
        <v>1767</v>
      </c>
      <c r="H404" s="4" t="s">
        <v>1768</v>
      </c>
      <c r="I404" s="4" t="s">
        <v>753</v>
      </c>
      <c r="J404" s="4" t="s">
        <v>1769</v>
      </c>
      <c r="K404" s="4" t="s">
        <v>224</v>
      </c>
      <c r="L404" s="6" t="s">
        <v>1770</v>
      </c>
      <c r="M404" s="4" t="s">
        <v>1771</v>
      </c>
      <c r="N404" s="4" t="s">
        <v>1772</v>
      </c>
      <c r="P404" s="4" t="s">
        <v>1777</v>
      </c>
      <c r="Q404" s="4" t="s">
        <v>1778</v>
      </c>
      <c r="R404" s="4" t="s">
        <v>159</v>
      </c>
      <c r="S404" s="4" t="s">
        <v>257</v>
      </c>
      <c r="T404" s="7">
        <v>44030</v>
      </c>
      <c r="U404" s="4">
        <v>0</v>
      </c>
      <c r="V404" s="4">
        <v>4</v>
      </c>
      <c r="W404" s="4" t="s">
        <v>314</v>
      </c>
      <c r="X404" s="4" t="s">
        <v>293</v>
      </c>
      <c r="Y404" s="4" t="s">
        <v>233</v>
      </c>
      <c r="Z404" s="4" t="s">
        <v>234</v>
      </c>
      <c r="AA404" s="4" t="s">
        <v>234</v>
      </c>
      <c r="AB404" s="4" t="s">
        <v>1776</v>
      </c>
      <c r="AC404" s="4" t="s">
        <v>2923</v>
      </c>
    </row>
    <row r="405" spans="1:29" hidden="1" x14ac:dyDescent="0.4">
      <c r="A405" s="4" t="s">
        <v>216</v>
      </c>
      <c r="B405" s="4">
        <v>2471</v>
      </c>
      <c r="C405" s="4" t="s">
        <v>242</v>
      </c>
      <c r="D405" s="4" t="s">
        <v>1764</v>
      </c>
      <c r="E405" s="4" t="s">
        <v>1765</v>
      </c>
      <c r="F405" s="4" t="s">
        <v>1766</v>
      </c>
      <c r="G405" s="4" t="s">
        <v>1767</v>
      </c>
      <c r="H405" s="4" t="s">
        <v>1768</v>
      </c>
      <c r="I405" s="4" t="s">
        <v>753</v>
      </c>
      <c r="J405" s="4" t="s">
        <v>1769</v>
      </c>
      <c r="K405" s="4" t="s">
        <v>224</v>
      </c>
      <c r="L405" s="6" t="s">
        <v>1770</v>
      </c>
      <c r="M405" s="4" t="s">
        <v>1771</v>
      </c>
      <c r="N405" s="4" t="s">
        <v>1772</v>
      </c>
      <c r="P405" s="4" t="s">
        <v>1777</v>
      </c>
      <c r="Q405" s="4" t="s">
        <v>1778</v>
      </c>
      <c r="R405" s="4" t="s">
        <v>159</v>
      </c>
      <c r="S405" s="4" t="s">
        <v>257</v>
      </c>
      <c r="T405" s="7">
        <v>44030</v>
      </c>
      <c r="U405" s="4">
        <v>0</v>
      </c>
      <c r="V405" s="4">
        <v>10</v>
      </c>
      <c r="W405" s="4" t="s">
        <v>314</v>
      </c>
      <c r="X405" s="4" t="s">
        <v>293</v>
      </c>
      <c r="Y405" s="4" t="s">
        <v>233</v>
      </c>
      <c r="Z405" s="4" t="s">
        <v>234</v>
      </c>
      <c r="AA405" s="4" t="s">
        <v>234</v>
      </c>
      <c r="AB405" s="4" t="s">
        <v>1776</v>
      </c>
      <c r="AC405" s="4" t="s">
        <v>2923</v>
      </c>
    </row>
    <row r="406" spans="1:29" hidden="1" x14ac:dyDescent="0.4">
      <c r="A406" s="4" t="s">
        <v>216</v>
      </c>
      <c r="B406" s="4">
        <v>2471</v>
      </c>
      <c r="C406" s="4" t="s">
        <v>242</v>
      </c>
      <c r="D406" s="4" t="s">
        <v>1764</v>
      </c>
      <c r="E406" s="4" t="s">
        <v>1765</v>
      </c>
      <c r="F406" s="4" t="s">
        <v>1766</v>
      </c>
      <c r="G406" s="4" t="s">
        <v>1767</v>
      </c>
      <c r="H406" s="4" t="s">
        <v>1768</v>
      </c>
      <c r="I406" s="4" t="s">
        <v>753</v>
      </c>
      <c r="J406" s="4" t="s">
        <v>1769</v>
      </c>
      <c r="K406" s="4" t="s">
        <v>224</v>
      </c>
      <c r="L406" s="6" t="s">
        <v>1770</v>
      </c>
      <c r="M406" s="4" t="s">
        <v>1771</v>
      </c>
      <c r="N406" s="4" t="s">
        <v>1772</v>
      </c>
      <c r="P406" s="4" t="s">
        <v>1777</v>
      </c>
      <c r="Q406" s="4" t="s">
        <v>1778</v>
      </c>
      <c r="R406" s="4" t="s">
        <v>159</v>
      </c>
      <c r="S406" s="4" t="s">
        <v>257</v>
      </c>
      <c r="T406" s="7">
        <v>44030</v>
      </c>
      <c r="U406" s="4">
        <v>0</v>
      </c>
      <c r="V406" s="4">
        <v>14</v>
      </c>
      <c r="W406" s="4" t="s">
        <v>241</v>
      </c>
      <c r="X406" s="4" t="s">
        <v>293</v>
      </c>
      <c r="Y406" s="4" t="s">
        <v>233</v>
      </c>
      <c r="Z406" s="4" t="s">
        <v>234</v>
      </c>
      <c r="AA406" s="4" t="s">
        <v>234</v>
      </c>
      <c r="AB406" s="4" t="s">
        <v>1776</v>
      </c>
      <c r="AC406" s="4" t="s">
        <v>2923</v>
      </c>
    </row>
    <row r="407" spans="1:29" hidden="1" x14ac:dyDescent="0.4">
      <c r="A407" s="4" t="s">
        <v>216</v>
      </c>
      <c r="B407" s="4">
        <v>2272</v>
      </c>
      <c r="C407" s="4" t="s">
        <v>242</v>
      </c>
      <c r="D407" s="4" t="s">
        <v>1780</v>
      </c>
      <c r="E407" s="4" t="s">
        <v>1781</v>
      </c>
      <c r="F407" s="4" t="s">
        <v>1782</v>
      </c>
      <c r="G407" s="4" t="s">
        <v>1783</v>
      </c>
      <c r="H407" s="4" t="s">
        <v>409</v>
      </c>
      <c r="I407" s="4" t="s">
        <v>34</v>
      </c>
      <c r="J407" s="4" t="s">
        <v>1784</v>
      </c>
      <c r="K407" s="4" t="s">
        <v>224</v>
      </c>
      <c r="L407" s="6" t="s">
        <v>1785</v>
      </c>
      <c r="M407" s="4" t="s">
        <v>1786</v>
      </c>
      <c r="N407" s="4" t="s">
        <v>1787</v>
      </c>
      <c r="P407" s="4" t="s">
        <v>1788</v>
      </c>
      <c r="Q407" s="4" t="s">
        <v>1789</v>
      </c>
      <c r="R407" s="4" t="s">
        <v>31</v>
      </c>
      <c r="S407" s="4" t="s">
        <v>231</v>
      </c>
      <c r="T407" s="7">
        <v>42464</v>
      </c>
      <c r="U407" s="4">
        <v>0</v>
      </c>
      <c r="V407" s="4">
        <v>7</v>
      </c>
      <c r="W407" s="4" t="s">
        <v>238</v>
      </c>
      <c r="Y407" s="4" t="s">
        <v>233</v>
      </c>
      <c r="Z407" s="4" t="s">
        <v>234</v>
      </c>
      <c r="AA407" s="4" t="s">
        <v>234</v>
      </c>
      <c r="AC407" s="4" t="s">
        <v>2923</v>
      </c>
    </row>
    <row r="408" spans="1:29" hidden="1" x14ac:dyDescent="0.4">
      <c r="A408" s="4" t="s">
        <v>216</v>
      </c>
      <c r="B408" s="4">
        <v>2272</v>
      </c>
      <c r="C408" s="4" t="s">
        <v>242</v>
      </c>
      <c r="D408" s="4" t="s">
        <v>1780</v>
      </c>
      <c r="E408" s="4" t="s">
        <v>1781</v>
      </c>
      <c r="F408" s="4" t="s">
        <v>1782</v>
      </c>
      <c r="G408" s="4" t="s">
        <v>1783</v>
      </c>
      <c r="H408" s="4" t="s">
        <v>409</v>
      </c>
      <c r="I408" s="4" t="s">
        <v>34</v>
      </c>
      <c r="J408" s="4" t="s">
        <v>1784</v>
      </c>
      <c r="K408" s="4" t="s">
        <v>224</v>
      </c>
      <c r="L408" s="6" t="s">
        <v>1785</v>
      </c>
      <c r="M408" s="4" t="s">
        <v>1786</v>
      </c>
      <c r="N408" s="4" t="s">
        <v>1787</v>
      </c>
      <c r="P408" s="4" t="s">
        <v>1790</v>
      </c>
      <c r="Q408" s="4" t="s">
        <v>1791</v>
      </c>
      <c r="R408" s="4" t="s">
        <v>31</v>
      </c>
      <c r="S408" s="4" t="s">
        <v>257</v>
      </c>
      <c r="T408" s="7">
        <v>44224</v>
      </c>
      <c r="U408" s="4">
        <v>0</v>
      </c>
      <c r="V408" s="4">
        <v>6</v>
      </c>
      <c r="Y408" s="4" t="s">
        <v>233</v>
      </c>
      <c r="Z408" s="4" t="s">
        <v>234</v>
      </c>
      <c r="AA408" s="4" t="s">
        <v>234</v>
      </c>
      <c r="AC408" s="4" t="s">
        <v>2923</v>
      </c>
    </row>
    <row r="409" spans="1:29" hidden="1" x14ac:dyDescent="0.4">
      <c r="A409" s="4" t="s">
        <v>216</v>
      </c>
      <c r="B409" s="4">
        <v>2272</v>
      </c>
      <c r="C409" s="4" t="s">
        <v>242</v>
      </c>
      <c r="D409" s="4" t="s">
        <v>1780</v>
      </c>
      <c r="E409" s="4" t="s">
        <v>1781</v>
      </c>
      <c r="F409" s="4" t="s">
        <v>1782</v>
      </c>
      <c r="G409" s="4" t="s">
        <v>1783</v>
      </c>
      <c r="H409" s="4" t="s">
        <v>409</v>
      </c>
      <c r="I409" s="4" t="s">
        <v>34</v>
      </c>
      <c r="J409" s="4" t="s">
        <v>1784</v>
      </c>
      <c r="K409" s="4" t="s">
        <v>224</v>
      </c>
      <c r="L409" s="6" t="s">
        <v>1785</v>
      </c>
      <c r="M409" s="4" t="s">
        <v>1786</v>
      </c>
      <c r="N409" s="4" t="s">
        <v>1787</v>
      </c>
      <c r="P409" s="4" t="s">
        <v>1790</v>
      </c>
      <c r="Q409" s="4" t="s">
        <v>1791</v>
      </c>
      <c r="R409" s="4" t="s">
        <v>31</v>
      </c>
      <c r="S409" s="4" t="s">
        <v>257</v>
      </c>
      <c r="T409" s="7">
        <v>44224</v>
      </c>
      <c r="U409" s="4">
        <v>0</v>
      </c>
      <c r="V409" s="4">
        <v>12</v>
      </c>
      <c r="Y409" s="4" t="s">
        <v>233</v>
      </c>
      <c r="Z409" s="4" t="s">
        <v>234</v>
      </c>
      <c r="AA409" s="4" t="s">
        <v>234</v>
      </c>
      <c r="AC409" s="4" t="s">
        <v>2923</v>
      </c>
    </row>
    <row r="410" spans="1:29" hidden="1" x14ac:dyDescent="0.4">
      <c r="A410" s="4" t="s">
        <v>216</v>
      </c>
      <c r="B410" s="4">
        <v>2272</v>
      </c>
      <c r="C410" s="4" t="s">
        <v>242</v>
      </c>
      <c r="D410" s="4" t="s">
        <v>1780</v>
      </c>
      <c r="E410" s="4" t="s">
        <v>1781</v>
      </c>
      <c r="F410" s="4" t="s">
        <v>1782</v>
      </c>
      <c r="G410" s="4" t="s">
        <v>1783</v>
      </c>
      <c r="H410" s="4" t="s">
        <v>409</v>
      </c>
      <c r="I410" s="4" t="s">
        <v>34</v>
      </c>
      <c r="J410" s="4" t="s">
        <v>1784</v>
      </c>
      <c r="K410" s="4" t="s">
        <v>224</v>
      </c>
      <c r="L410" s="6" t="s">
        <v>1785</v>
      </c>
      <c r="M410" s="4" t="s">
        <v>1786</v>
      </c>
      <c r="N410" s="4" t="s">
        <v>1787</v>
      </c>
      <c r="P410" s="4" t="s">
        <v>1788</v>
      </c>
      <c r="Q410" s="4" t="s">
        <v>1789</v>
      </c>
      <c r="R410" s="4" t="s">
        <v>31</v>
      </c>
      <c r="S410" s="4" t="s">
        <v>231</v>
      </c>
      <c r="T410" s="7">
        <v>42464</v>
      </c>
      <c r="U410" s="4">
        <v>0</v>
      </c>
      <c r="V410" s="4">
        <v>13</v>
      </c>
      <c r="W410" s="4" t="s">
        <v>240</v>
      </c>
      <c r="Y410" s="4" t="s">
        <v>233</v>
      </c>
      <c r="Z410" s="4" t="s">
        <v>234</v>
      </c>
      <c r="AA410" s="4" t="s">
        <v>234</v>
      </c>
      <c r="AC410" s="4" t="s">
        <v>2923</v>
      </c>
    </row>
    <row r="411" spans="1:29" hidden="1" x14ac:dyDescent="0.4">
      <c r="A411" s="4" t="s">
        <v>216</v>
      </c>
      <c r="B411" s="4">
        <v>3789</v>
      </c>
      <c r="C411" s="4" t="s">
        <v>217</v>
      </c>
      <c r="D411" s="4" t="s">
        <v>774</v>
      </c>
      <c r="E411" s="4" t="s">
        <v>1792</v>
      </c>
      <c r="F411" s="4" t="s">
        <v>1793</v>
      </c>
      <c r="H411" s="4" t="s">
        <v>1794</v>
      </c>
      <c r="I411" s="4" t="s">
        <v>1137</v>
      </c>
      <c r="J411" s="4" t="s">
        <v>1795</v>
      </c>
      <c r="K411" s="4" t="s">
        <v>224</v>
      </c>
      <c r="L411" s="6" t="s">
        <v>1796</v>
      </c>
      <c r="M411" s="4" t="s">
        <v>1797</v>
      </c>
      <c r="N411" s="4" t="s">
        <v>1798</v>
      </c>
      <c r="P411" s="4" t="s">
        <v>1799</v>
      </c>
      <c r="Q411" s="4" t="s">
        <v>1800</v>
      </c>
      <c r="R411" s="4" t="s">
        <v>2426</v>
      </c>
      <c r="S411" s="4" t="s">
        <v>257</v>
      </c>
      <c r="T411" s="7">
        <v>44727</v>
      </c>
      <c r="U411" s="4">
        <v>0</v>
      </c>
      <c r="V411" s="4">
        <v>3</v>
      </c>
      <c r="W411" s="4" t="s">
        <v>258</v>
      </c>
      <c r="X411" s="4" t="s">
        <v>293</v>
      </c>
      <c r="Y411" s="4" t="s">
        <v>233</v>
      </c>
      <c r="Z411" s="4" t="s">
        <v>234</v>
      </c>
      <c r="AA411" s="4" t="s">
        <v>234</v>
      </c>
      <c r="AC411" s="4" t="s">
        <v>2923</v>
      </c>
    </row>
    <row r="412" spans="1:29" hidden="1" x14ac:dyDescent="0.4">
      <c r="A412" s="4" t="s">
        <v>216</v>
      </c>
      <c r="B412" s="4">
        <v>3789</v>
      </c>
      <c r="C412" s="4" t="s">
        <v>217</v>
      </c>
      <c r="D412" s="4" t="s">
        <v>774</v>
      </c>
      <c r="E412" s="4" t="s">
        <v>1792</v>
      </c>
      <c r="F412" s="4" t="s">
        <v>1793</v>
      </c>
      <c r="H412" s="4" t="s">
        <v>1794</v>
      </c>
      <c r="I412" s="4" t="s">
        <v>1137</v>
      </c>
      <c r="J412" s="4" t="s">
        <v>1795</v>
      </c>
      <c r="K412" s="4" t="s">
        <v>224</v>
      </c>
      <c r="L412" s="6" t="s">
        <v>1796</v>
      </c>
      <c r="M412" s="4" t="s">
        <v>1797</v>
      </c>
      <c r="N412" s="4" t="s">
        <v>1798</v>
      </c>
      <c r="P412" s="4" t="s">
        <v>1799</v>
      </c>
      <c r="Q412" s="4" t="s">
        <v>1800</v>
      </c>
      <c r="R412" s="4" t="s">
        <v>2426</v>
      </c>
      <c r="S412" s="4" t="s">
        <v>257</v>
      </c>
      <c r="T412" s="7">
        <v>44727</v>
      </c>
      <c r="U412" s="4">
        <v>0</v>
      </c>
      <c r="V412" s="4">
        <v>4</v>
      </c>
      <c r="W412" s="4" t="s">
        <v>314</v>
      </c>
      <c r="X412" s="4" t="s">
        <v>293</v>
      </c>
      <c r="Y412" s="4" t="s">
        <v>233</v>
      </c>
      <c r="Z412" s="4" t="s">
        <v>234</v>
      </c>
      <c r="AA412" s="4" t="s">
        <v>234</v>
      </c>
      <c r="AC412" s="4" t="s">
        <v>2923</v>
      </c>
    </row>
    <row r="413" spans="1:29" hidden="1" x14ac:dyDescent="0.4">
      <c r="A413" s="4" t="s">
        <v>216</v>
      </c>
      <c r="B413" s="4">
        <v>3789</v>
      </c>
      <c r="C413" s="4" t="s">
        <v>217</v>
      </c>
      <c r="D413" s="4" t="s">
        <v>774</v>
      </c>
      <c r="E413" s="4" t="s">
        <v>1792</v>
      </c>
      <c r="F413" s="4" t="s">
        <v>1793</v>
      </c>
      <c r="H413" s="4" t="s">
        <v>1794</v>
      </c>
      <c r="I413" s="4" t="s">
        <v>1137</v>
      </c>
      <c r="J413" s="4" t="s">
        <v>1795</v>
      </c>
      <c r="K413" s="4" t="s">
        <v>224</v>
      </c>
      <c r="L413" s="6" t="s">
        <v>1796</v>
      </c>
      <c r="M413" s="4" t="s">
        <v>1797</v>
      </c>
      <c r="N413" s="4" t="s">
        <v>1798</v>
      </c>
      <c r="P413" s="4" t="s">
        <v>1799</v>
      </c>
      <c r="Q413" s="4" t="s">
        <v>1800</v>
      </c>
      <c r="R413" s="4" t="s">
        <v>2426</v>
      </c>
      <c r="S413" s="4" t="s">
        <v>257</v>
      </c>
      <c r="T413" s="7">
        <v>44727</v>
      </c>
      <c r="U413" s="4">
        <v>0</v>
      </c>
      <c r="V413" s="4">
        <v>9</v>
      </c>
      <c r="W413" s="4" t="s">
        <v>358</v>
      </c>
      <c r="X413" s="4" t="s">
        <v>293</v>
      </c>
      <c r="Y413" s="4" t="s">
        <v>233</v>
      </c>
      <c r="Z413" s="4" t="s">
        <v>234</v>
      </c>
      <c r="AA413" s="4" t="s">
        <v>234</v>
      </c>
      <c r="AC413" s="4" t="s">
        <v>2923</v>
      </c>
    </row>
    <row r="414" spans="1:29" hidden="1" x14ac:dyDescent="0.4">
      <c r="A414" s="4" t="s">
        <v>216</v>
      </c>
      <c r="B414" s="4">
        <v>3789</v>
      </c>
      <c r="C414" s="4" t="s">
        <v>217</v>
      </c>
      <c r="D414" s="4" t="s">
        <v>774</v>
      </c>
      <c r="E414" s="4" t="s">
        <v>1792</v>
      </c>
      <c r="F414" s="4" t="s">
        <v>1793</v>
      </c>
      <c r="H414" s="4" t="s">
        <v>1794</v>
      </c>
      <c r="I414" s="4" t="s">
        <v>1137</v>
      </c>
      <c r="J414" s="4" t="s">
        <v>1795</v>
      </c>
      <c r="K414" s="4" t="s">
        <v>224</v>
      </c>
      <c r="L414" s="6" t="s">
        <v>1796</v>
      </c>
      <c r="M414" s="4" t="s">
        <v>1797</v>
      </c>
      <c r="N414" s="4" t="s">
        <v>1798</v>
      </c>
      <c r="P414" s="4" t="s">
        <v>1799</v>
      </c>
      <c r="Q414" s="4" t="s">
        <v>1800</v>
      </c>
      <c r="R414" s="4" t="s">
        <v>2426</v>
      </c>
      <c r="S414" s="4" t="s">
        <v>257</v>
      </c>
      <c r="T414" s="7">
        <v>44727</v>
      </c>
      <c r="U414" s="4">
        <v>0</v>
      </c>
      <c r="V414" s="4">
        <v>10</v>
      </c>
      <c r="W414" s="4" t="s">
        <v>314</v>
      </c>
      <c r="X414" s="4" t="s">
        <v>293</v>
      </c>
      <c r="Y414" s="4" t="s">
        <v>233</v>
      </c>
      <c r="Z414" s="4" t="s">
        <v>234</v>
      </c>
      <c r="AA414" s="4" t="s">
        <v>234</v>
      </c>
      <c r="AC414" s="4" t="s">
        <v>2923</v>
      </c>
    </row>
    <row r="415" spans="1:29" hidden="1" x14ac:dyDescent="0.4">
      <c r="A415" s="4" t="s">
        <v>216</v>
      </c>
      <c r="B415" s="4">
        <v>4236</v>
      </c>
      <c r="C415" s="4" t="s">
        <v>242</v>
      </c>
      <c r="D415" s="4" t="s">
        <v>952</v>
      </c>
      <c r="E415" s="4" t="s">
        <v>1792</v>
      </c>
      <c r="F415" s="4" t="s">
        <v>1801</v>
      </c>
      <c r="H415" s="4" t="s">
        <v>1802</v>
      </c>
      <c r="I415" s="4" t="s">
        <v>1137</v>
      </c>
      <c r="J415" s="4" t="s">
        <v>1803</v>
      </c>
      <c r="K415" s="4" t="s">
        <v>224</v>
      </c>
      <c r="L415" s="6" t="s">
        <v>1804</v>
      </c>
      <c r="M415" s="4" t="s">
        <v>1805</v>
      </c>
      <c r="N415" s="4" t="s">
        <v>1806</v>
      </c>
      <c r="P415" s="4" t="s">
        <v>1807</v>
      </c>
      <c r="Q415" s="4" t="s">
        <v>1808</v>
      </c>
      <c r="R415" s="4" t="s">
        <v>2811</v>
      </c>
      <c r="S415" s="4" t="s">
        <v>231</v>
      </c>
      <c r="T415" s="7">
        <v>42610</v>
      </c>
      <c r="U415" s="4">
        <v>0</v>
      </c>
      <c r="V415" s="4">
        <v>8</v>
      </c>
      <c r="W415" s="4" t="s">
        <v>281</v>
      </c>
      <c r="Y415" s="4" t="s">
        <v>233</v>
      </c>
      <c r="Z415" s="4" t="s">
        <v>234</v>
      </c>
      <c r="AA415" s="4" t="s">
        <v>234</v>
      </c>
      <c r="AC415" s="4" t="s">
        <v>2923</v>
      </c>
    </row>
    <row r="416" spans="1:29" hidden="1" x14ac:dyDescent="0.4">
      <c r="A416" s="4" t="s">
        <v>216</v>
      </c>
      <c r="B416" s="4">
        <v>1018</v>
      </c>
      <c r="C416" s="4" t="s">
        <v>242</v>
      </c>
      <c r="D416" s="4" t="s">
        <v>334</v>
      </c>
      <c r="E416" s="4" t="s">
        <v>1809</v>
      </c>
      <c r="F416" s="4" t="s">
        <v>1810</v>
      </c>
      <c r="G416" s="4" t="s">
        <v>1811</v>
      </c>
      <c r="H416" s="4" t="s">
        <v>1812</v>
      </c>
      <c r="I416" s="4" t="s">
        <v>143</v>
      </c>
      <c r="J416" s="4" t="s">
        <v>1813</v>
      </c>
      <c r="K416" s="4" t="s">
        <v>224</v>
      </c>
      <c r="L416" s="6" t="s">
        <v>1814</v>
      </c>
      <c r="M416" s="4" t="s">
        <v>1815</v>
      </c>
      <c r="N416" s="4" t="s">
        <v>1816</v>
      </c>
      <c r="P416" s="4" t="s">
        <v>1817</v>
      </c>
      <c r="Q416" s="4" t="s">
        <v>1818</v>
      </c>
      <c r="R416" s="4" t="s">
        <v>2811</v>
      </c>
      <c r="S416" s="4" t="s">
        <v>257</v>
      </c>
      <c r="T416" s="7">
        <v>43657</v>
      </c>
      <c r="U416" s="4">
        <v>0</v>
      </c>
      <c r="V416" s="4">
        <v>6</v>
      </c>
      <c r="Y416" s="4" t="s">
        <v>233</v>
      </c>
      <c r="Z416" s="4" t="s">
        <v>234</v>
      </c>
      <c r="AA416" s="4" t="s">
        <v>234</v>
      </c>
      <c r="AC416" s="4" t="s">
        <v>2923</v>
      </c>
    </row>
    <row r="417" spans="1:29" hidden="1" x14ac:dyDescent="0.4">
      <c r="A417" s="4" t="s">
        <v>216</v>
      </c>
      <c r="B417" s="4">
        <v>1018</v>
      </c>
      <c r="C417" s="4" t="s">
        <v>242</v>
      </c>
      <c r="D417" s="4" t="s">
        <v>334</v>
      </c>
      <c r="E417" s="4" t="s">
        <v>1809</v>
      </c>
      <c r="F417" s="4" t="s">
        <v>1810</v>
      </c>
      <c r="G417" s="4" t="s">
        <v>1811</v>
      </c>
      <c r="H417" s="4" t="s">
        <v>1812</v>
      </c>
      <c r="I417" s="4" t="s">
        <v>143</v>
      </c>
      <c r="J417" s="4" t="s">
        <v>1813</v>
      </c>
      <c r="K417" s="4" t="s">
        <v>224</v>
      </c>
      <c r="L417" s="6" t="s">
        <v>1814</v>
      </c>
      <c r="M417" s="4" t="s">
        <v>1815</v>
      </c>
      <c r="N417" s="4" t="s">
        <v>1816</v>
      </c>
      <c r="P417" s="4" t="s">
        <v>1817</v>
      </c>
      <c r="Q417" s="4" t="s">
        <v>1818</v>
      </c>
      <c r="R417" s="4" t="s">
        <v>2811</v>
      </c>
      <c r="S417" s="4" t="s">
        <v>257</v>
      </c>
      <c r="T417" s="7">
        <v>43657</v>
      </c>
      <c r="U417" s="4">
        <v>0</v>
      </c>
      <c r="V417" s="4">
        <v>12</v>
      </c>
      <c r="Y417" s="4" t="s">
        <v>233</v>
      </c>
      <c r="Z417" s="4" t="s">
        <v>234</v>
      </c>
      <c r="AA417" s="4" t="s">
        <v>234</v>
      </c>
      <c r="AC417" s="4" t="s">
        <v>2923</v>
      </c>
    </row>
    <row r="418" spans="1:29" hidden="1" x14ac:dyDescent="0.4">
      <c r="A418" s="4" t="s">
        <v>216</v>
      </c>
      <c r="B418" s="4">
        <v>5286</v>
      </c>
      <c r="C418" s="4" t="s">
        <v>315</v>
      </c>
      <c r="D418" s="4" t="s">
        <v>1819</v>
      </c>
      <c r="E418" s="4" t="s">
        <v>1820</v>
      </c>
      <c r="F418" s="4" t="s">
        <v>1821</v>
      </c>
      <c r="H418" s="4" t="s">
        <v>1822</v>
      </c>
      <c r="I418" s="4" t="s">
        <v>34</v>
      </c>
      <c r="J418" s="4" t="s">
        <v>1823</v>
      </c>
      <c r="K418" s="4" t="s">
        <v>224</v>
      </c>
      <c r="L418" s="5" t="s">
        <v>1824</v>
      </c>
      <c r="M418" s="4" t="s">
        <v>1825</v>
      </c>
      <c r="N418" s="4" t="s">
        <v>1826</v>
      </c>
      <c r="P418" s="4" t="s">
        <v>1831</v>
      </c>
      <c r="Q418" s="4" t="s">
        <v>1832</v>
      </c>
      <c r="R418" s="4" t="s">
        <v>2426</v>
      </c>
      <c r="S418" s="4" t="s">
        <v>257</v>
      </c>
      <c r="T418" s="7">
        <v>44655</v>
      </c>
      <c r="U418" s="4">
        <v>0</v>
      </c>
      <c r="V418" s="4">
        <v>5</v>
      </c>
      <c r="W418" s="4" t="s">
        <v>314</v>
      </c>
      <c r="Y418" s="4" t="s">
        <v>233</v>
      </c>
      <c r="Z418" s="4" t="s">
        <v>234</v>
      </c>
      <c r="AA418" s="4" t="s">
        <v>234</v>
      </c>
      <c r="AB418" t="s">
        <v>65</v>
      </c>
      <c r="AC418" s="4" t="s">
        <v>2923</v>
      </c>
    </row>
    <row r="419" spans="1:29" hidden="1" x14ac:dyDescent="0.4">
      <c r="A419" s="4" t="s">
        <v>216</v>
      </c>
      <c r="B419" s="4">
        <v>5286</v>
      </c>
      <c r="C419" s="4" t="s">
        <v>315</v>
      </c>
      <c r="D419" s="4" t="s">
        <v>1819</v>
      </c>
      <c r="E419" s="4" t="s">
        <v>1820</v>
      </c>
      <c r="F419" s="4" t="s">
        <v>1821</v>
      </c>
      <c r="H419" s="4" t="s">
        <v>1822</v>
      </c>
      <c r="I419" s="4" t="s">
        <v>34</v>
      </c>
      <c r="J419" s="4" t="s">
        <v>1823</v>
      </c>
      <c r="K419" s="4" t="s">
        <v>224</v>
      </c>
      <c r="L419" s="5" t="s">
        <v>1824</v>
      </c>
      <c r="M419" s="4" t="s">
        <v>1825</v>
      </c>
      <c r="N419" s="4" t="s">
        <v>1826</v>
      </c>
      <c r="P419" s="4" t="s">
        <v>1831</v>
      </c>
      <c r="Q419" s="4" t="s">
        <v>1832</v>
      </c>
      <c r="R419" s="4" t="s">
        <v>2426</v>
      </c>
      <c r="S419" s="4" t="s">
        <v>257</v>
      </c>
      <c r="T419" s="7">
        <v>44655</v>
      </c>
      <c r="U419" s="4">
        <v>0</v>
      </c>
      <c r="V419" s="4">
        <v>6</v>
      </c>
      <c r="Y419" s="4" t="s">
        <v>233</v>
      </c>
      <c r="Z419" s="4" t="s">
        <v>234</v>
      </c>
      <c r="AA419" s="4" t="s">
        <v>234</v>
      </c>
      <c r="AB419" t="s">
        <v>65</v>
      </c>
      <c r="AC419" s="4" t="s">
        <v>2923</v>
      </c>
    </row>
    <row r="420" spans="1:29" hidden="1" x14ac:dyDescent="0.4">
      <c r="A420" s="4" t="s">
        <v>216</v>
      </c>
      <c r="B420" s="4">
        <v>5286</v>
      </c>
      <c r="C420" s="4" t="s">
        <v>315</v>
      </c>
      <c r="D420" s="4" t="s">
        <v>1819</v>
      </c>
      <c r="E420" s="4" t="s">
        <v>1820</v>
      </c>
      <c r="F420" s="4" t="s">
        <v>1821</v>
      </c>
      <c r="H420" s="4" t="s">
        <v>1822</v>
      </c>
      <c r="I420" s="4" t="s">
        <v>34</v>
      </c>
      <c r="J420" s="4" t="s">
        <v>1823</v>
      </c>
      <c r="K420" s="4" t="s">
        <v>224</v>
      </c>
      <c r="L420" s="5" t="s">
        <v>1824</v>
      </c>
      <c r="M420" s="4" t="s">
        <v>1825</v>
      </c>
      <c r="N420" s="4" t="s">
        <v>1826</v>
      </c>
      <c r="P420" s="4" t="s">
        <v>1831</v>
      </c>
      <c r="Q420" s="4" t="s">
        <v>1832</v>
      </c>
      <c r="R420" s="4" t="s">
        <v>2426</v>
      </c>
      <c r="S420" s="4" t="s">
        <v>257</v>
      </c>
      <c r="T420" s="7">
        <v>44655</v>
      </c>
      <c r="U420" s="4">
        <v>0</v>
      </c>
      <c r="V420" s="4">
        <v>10</v>
      </c>
      <c r="W420" s="4" t="s">
        <v>524</v>
      </c>
      <c r="Y420" s="4" t="s">
        <v>233</v>
      </c>
      <c r="Z420" s="4" t="s">
        <v>234</v>
      </c>
      <c r="AA420" s="4" t="s">
        <v>234</v>
      </c>
      <c r="AB420" t="s">
        <v>65</v>
      </c>
      <c r="AC420" s="4" t="s">
        <v>2923</v>
      </c>
    </row>
    <row r="421" spans="1:29" x14ac:dyDescent="0.4">
      <c r="A421" s="4" t="s">
        <v>216</v>
      </c>
      <c r="B421" s="4">
        <v>5286</v>
      </c>
      <c r="C421" s="4" t="s">
        <v>315</v>
      </c>
      <c r="D421" s="4" t="s">
        <v>1819</v>
      </c>
      <c r="E421" s="4" t="s">
        <v>1820</v>
      </c>
      <c r="F421" s="4" t="s">
        <v>1821</v>
      </c>
      <c r="H421" s="4" t="s">
        <v>1822</v>
      </c>
      <c r="I421" s="4" t="s">
        <v>34</v>
      </c>
      <c r="J421" s="4" t="s">
        <v>1823</v>
      </c>
      <c r="K421" s="4" t="s">
        <v>224</v>
      </c>
      <c r="L421" s="5" t="s">
        <v>1824</v>
      </c>
      <c r="M421" s="4" t="s">
        <v>1825</v>
      </c>
      <c r="N421" s="4" t="s">
        <v>1826</v>
      </c>
      <c r="P421" s="4" t="s">
        <v>1831</v>
      </c>
      <c r="Q421" s="4" t="s">
        <v>1832</v>
      </c>
      <c r="R421" s="4" t="s">
        <v>2426</v>
      </c>
      <c r="S421" s="4" t="s">
        <v>257</v>
      </c>
      <c r="T421" s="7">
        <v>44655</v>
      </c>
      <c r="U421" s="4">
        <v>0</v>
      </c>
      <c r="V421" s="4">
        <v>4</v>
      </c>
      <c r="W421" s="4" t="s">
        <v>97</v>
      </c>
      <c r="Y421" s="4" t="s">
        <v>233</v>
      </c>
      <c r="Z421" s="4" t="s">
        <v>234</v>
      </c>
      <c r="AA421" s="4" t="s">
        <v>234</v>
      </c>
      <c r="AB421" t="s">
        <v>65</v>
      </c>
      <c r="AC421" s="4" t="s">
        <v>2923</v>
      </c>
    </row>
    <row r="422" spans="1:29" hidden="1" x14ac:dyDescent="0.4">
      <c r="A422" s="4" t="s">
        <v>216</v>
      </c>
      <c r="B422" s="4">
        <v>5286</v>
      </c>
      <c r="C422" s="4" t="s">
        <v>315</v>
      </c>
      <c r="D422" s="4" t="s">
        <v>1819</v>
      </c>
      <c r="E422" s="4" t="s">
        <v>1820</v>
      </c>
      <c r="F422" s="4" t="s">
        <v>1821</v>
      </c>
      <c r="H422" s="4" t="s">
        <v>1822</v>
      </c>
      <c r="I422" s="4" t="s">
        <v>34</v>
      </c>
      <c r="J422" s="4" t="s">
        <v>1823</v>
      </c>
      <c r="K422" s="4" t="s">
        <v>224</v>
      </c>
      <c r="L422" s="5" t="s">
        <v>1824</v>
      </c>
      <c r="M422" s="4" t="s">
        <v>1825</v>
      </c>
      <c r="N422" s="4" t="s">
        <v>1826</v>
      </c>
      <c r="P422" s="4" t="s">
        <v>1831</v>
      </c>
      <c r="Q422" s="4" t="s">
        <v>1832</v>
      </c>
      <c r="R422" s="4" t="s">
        <v>2426</v>
      </c>
      <c r="S422" s="4" t="s">
        <v>257</v>
      </c>
      <c r="T422" s="7">
        <v>44655</v>
      </c>
      <c r="U422" s="4">
        <v>0</v>
      </c>
      <c r="V422" s="4">
        <v>12</v>
      </c>
      <c r="Y422" s="4" t="s">
        <v>233</v>
      </c>
      <c r="Z422" s="4" t="s">
        <v>234</v>
      </c>
      <c r="AA422" s="4" t="s">
        <v>234</v>
      </c>
      <c r="AB422" t="s">
        <v>65</v>
      </c>
      <c r="AC422" s="4" t="s">
        <v>2923</v>
      </c>
    </row>
    <row r="423" spans="1:29" hidden="1" x14ac:dyDescent="0.4">
      <c r="A423" s="4" t="s">
        <v>216</v>
      </c>
      <c r="B423" s="4">
        <v>499</v>
      </c>
      <c r="C423" s="4" t="s">
        <v>242</v>
      </c>
      <c r="D423" s="4" t="s">
        <v>1833</v>
      </c>
      <c r="E423" s="4" t="s">
        <v>1834</v>
      </c>
      <c r="F423" s="4" t="s">
        <v>1835</v>
      </c>
      <c r="H423" s="4" t="s">
        <v>1836</v>
      </c>
      <c r="I423" s="4" t="s">
        <v>1600</v>
      </c>
      <c r="J423" s="4" t="s">
        <v>1837</v>
      </c>
      <c r="K423" s="4" t="s">
        <v>224</v>
      </c>
      <c r="L423" s="6" t="s">
        <v>1838</v>
      </c>
      <c r="M423" s="4" t="s">
        <v>1839</v>
      </c>
      <c r="N423" s="4" t="s">
        <v>1840</v>
      </c>
      <c r="P423" s="4" t="s">
        <v>1843</v>
      </c>
      <c r="Q423" s="4" t="s">
        <v>1844</v>
      </c>
      <c r="R423" s="4" t="s">
        <v>53</v>
      </c>
      <c r="S423" s="4" t="s">
        <v>231</v>
      </c>
      <c r="T423" s="7">
        <v>44502</v>
      </c>
      <c r="U423" s="4">
        <v>0</v>
      </c>
      <c r="V423" s="4">
        <v>11</v>
      </c>
      <c r="W423" s="4" t="s">
        <v>132</v>
      </c>
      <c r="Y423" s="4" t="s">
        <v>233</v>
      </c>
      <c r="Z423" s="4" t="s">
        <v>234</v>
      </c>
      <c r="AA423" s="4" t="s">
        <v>234</v>
      </c>
      <c r="AC423" s="4" t="s">
        <v>2923</v>
      </c>
    </row>
    <row r="424" spans="1:29" hidden="1" x14ac:dyDescent="0.4">
      <c r="A424" s="4" t="s">
        <v>216</v>
      </c>
      <c r="B424" s="4">
        <v>499</v>
      </c>
      <c r="C424" s="4" t="s">
        <v>242</v>
      </c>
      <c r="D424" s="4" t="s">
        <v>1833</v>
      </c>
      <c r="E424" s="4" t="s">
        <v>1834</v>
      </c>
      <c r="F424" s="4" t="s">
        <v>1835</v>
      </c>
      <c r="H424" s="4" t="s">
        <v>1836</v>
      </c>
      <c r="I424" s="4" t="s">
        <v>1600</v>
      </c>
      <c r="J424" s="4" t="s">
        <v>1837</v>
      </c>
      <c r="K424" s="4" t="s">
        <v>224</v>
      </c>
      <c r="L424" s="6" t="s">
        <v>1838</v>
      </c>
      <c r="M424" s="4" t="s">
        <v>1839</v>
      </c>
      <c r="N424" s="4" t="s">
        <v>1840</v>
      </c>
      <c r="P424" s="4" t="s">
        <v>1843</v>
      </c>
      <c r="Q424" s="4" t="s">
        <v>1844</v>
      </c>
      <c r="R424" s="4" t="s">
        <v>53</v>
      </c>
      <c r="S424" s="4" t="s">
        <v>231</v>
      </c>
      <c r="T424" s="7">
        <v>44502</v>
      </c>
      <c r="U424" s="4">
        <v>0</v>
      </c>
      <c r="V424" s="4">
        <v>12</v>
      </c>
      <c r="Y424" s="4" t="s">
        <v>233</v>
      </c>
      <c r="Z424" s="4" t="s">
        <v>234</v>
      </c>
      <c r="AA424" s="4" t="s">
        <v>234</v>
      </c>
      <c r="AC424" s="4" t="s">
        <v>2923</v>
      </c>
    </row>
    <row r="425" spans="1:29" hidden="1" x14ac:dyDescent="0.4">
      <c r="A425" s="4" t="s">
        <v>216</v>
      </c>
      <c r="B425" s="4">
        <v>738</v>
      </c>
      <c r="C425" s="4" t="s">
        <v>242</v>
      </c>
      <c r="D425" s="4" t="s">
        <v>1167</v>
      </c>
      <c r="E425" s="4" t="s">
        <v>2832</v>
      </c>
      <c r="F425" s="4" t="s">
        <v>1845</v>
      </c>
      <c r="H425" s="4" t="s">
        <v>1846</v>
      </c>
      <c r="I425" s="4" t="s">
        <v>933</v>
      </c>
      <c r="J425" s="4" t="s">
        <v>1847</v>
      </c>
      <c r="K425" s="4" t="s">
        <v>224</v>
      </c>
      <c r="L425" s="5" t="s">
        <v>1848</v>
      </c>
      <c r="M425" s="4" t="s">
        <v>1849</v>
      </c>
      <c r="N425" s="4" t="s">
        <v>1850</v>
      </c>
      <c r="P425" s="4" t="s">
        <v>1851</v>
      </c>
      <c r="Q425" s="4" t="s">
        <v>1852</v>
      </c>
      <c r="R425" s="4" t="s">
        <v>32</v>
      </c>
      <c r="S425" s="4" t="s">
        <v>257</v>
      </c>
      <c r="T425" s="7">
        <v>44680</v>
      </c>
      <c r="U425" s="4">
        <v>0</v>
      </c>
      <c r="V425" s="4">
        <v>5</v>
      </c>
      <c r="W425" s="4" t="s">
        <v>314</v>
      </c>
      <c r="Y425" s="4" t="s">
        <v>233</v>
      </c>
      <c r="Z425" s="4" t="s">
        <v>234</v>
      </c>
      <c r="AA425" s="4" t="s">
        <v>233</v>
      </c>
      <c r="AC425" s="4" t="s">
        <v>2923</v>
      </c>
    </row>
    <row r="426" spans="1:29" hidden="1" x14ac:dyDescent="0.4">
      <c r="A426" s="4" t="s">
        <v>216</v>
      </c>
      <c r="B426" s="4">
        <v>738</v>
      </c>
      <c r="C426" s="4" t="s">
        <v>242</v>
      </c>
      <c r="D426" s="4" t="s">
        <v>1167</v>
      </c>
      <c r="E426" s="4" t="s">
        <v>2832</v>
      </c>
      <c r="F426" s="4" t="s">
        <v>1845</v>
      </c>
      <c r="H426" s="4" t="s">
        <v>1846</v>
      </c>
      <c r="I426" s="4" t="s">
        <v>933</v>
      </c>
      <c r="J426" s="4" t="s">
        <v>1847</v>
      </c>
      <c r="K426" s="4" t="s">
        <v>224</v>
      </c>
      <c r="L426" s="5" t="s">
        <v>1848</v>
      </c>
      <c r="M426" s="4" t="s">
        <v>1849</v>
      </c>
      <c r="N426" s="4" t="s">
        <v>1850</v>
      </c>
      <c r="P426" s="4" t="s">
        <v>1851</v>
      </c>
      <c r="Q426" s="4" t="s">
        <v>1852</v>
      </c>
      <c r="R426" s="4" t="s">
        <v>32</v>
      </c>
      <c r="S426" s="4" t="s">
        <v>257</v>
      </c>
      <c r="T426" s="7">
        <v>44680</v>
      </c>
      <c r="U426" s="4">
        <v>0</v>
      </c>
      <c r="V426" s="4">
        <v>6</v>
      </c>
      <c r="Y426" s="4" t="s">
        <v>233</v>
      </c>
      <c r="Z426" s="4" t="s">
        <v>234</v>
      </c>
      <c r="AA426" s="4" t="s">
        <v>233</v>
      </c>
      <c r="AC426" s="4" t="s">
        <v>2923</v>
      </c>
    </row>
    <row r="427" spans="1:29" hidden="1" x14ac:dyDescent="0.4">
      <c r="A427" s="4" t="s">
        <v>216</v>
      </c>
      <c r="B427" s="4">
        <v>738</v>
      </c>
      <c r="C427" s="4" t="s">
        <v>242</v>
      </c>
      <c r="D427" s="4" t="s">
        <v>1167</v>
      </c>
      <c r="E427" s="4" t="s">
        <v>2832</v>
      </c>
      <c r="F427" s="4" t="s">
        <v>1845</v>
      </c>
      <c r="H427" s="4" t="s">
        <v>1846</v>
      </c>
      <c r="I427" s="4" t="s">
        <v>933</v>
      </c>
      <c r="J427" s="4" t="s">
        <v>1847</v>
      </c>
      <c r="K427" s="4" t="s">
        <v>224</v>
      </c>
      <c r="L427" s="5" t="s">
        <v>1848</v>
      </c>
      <c r="M427" s="4" t="s">
        <v>1849</v>
      </c>
      <c r="N427" s="4" t="s">
        <v>1850</v>
      </c>
      <c r="P427" s="4" t="s">
        <v>1851</v>
      </c>
      <c r="Q427" s="4" t="s">
        <v>1852</v>
      </c>
      <c r="R427" s="4" t="s">
        <v>32</v>
      </c>
      <c r="S427" s="4" t="s">
        <v>257</v>
      </c>
      <c r="T427" s="7">
        <v>44680</v>
      </c>
      <c r="U427" s="4">
        <v>0</v>
      </c>
      <c r="V427" s="4">
        <v>11</v>
      </c>
      <c r="W427" s="4" t="s">
        <v>300</v>
      </c>
      <c r="Y427" s="4" t="s">
        <v>233</v>
      </c>
      <c r="Z427" s="4" t="s">
        <v>234</v>
      </c>
      <c r="AA427" s="4" t="s">
        <v>233</v>
      </c>
      <c r="AC427" s="4" t="s">
        <v>2923</v>
      </c>
    </row>
    <row r="428" spans="1:29" hidden="1" x14ac:dyDescent="0.4">
      <c r="A428" s="4" t="s">
        <v>216</v>
      </c>
      <c r="B428" s="4">
        <v>738</v>
      </c>
      <c r="C428" s="4" t="s">
        <v>242</v>
      </c>
      <c r="D428" s="4" t="s">
        <v>1167</v>
      </c>
      <c r="E428" s="4" t="s">
        <v>2832</v>
      </c>
      <c r="F428" s="4" t="s">
        <v>1845</v>
      </c>
      <c r="H428" s="4" t="s">
        <v>1846</v>
      </c>
      <c r="I428" s="4" t="s">
        <v>933</v>
      </c>
      <c r="J428" s="4" t="s">
        <v>1847</v>
      </c>
      <c r="K428" s="4" t="s">
        <v>224</v>
      </c>
      <c r="L428" s="5" t="s">
        <v>1848</v>
      </c>
      <c r="M428" s="4" t="s">
        <v>1849</v>
      </c>
      <c r="N428" s="4" t="s">
        <v>1850</v>
      </c>
      <c r="P428" s="4" t="s">
        <v>1851</v>
      </c>
      <c r="Q428" s="4" t="s">
        <v>1852</v>
      </c>
      <c r="R428" s="4" t="s">
        <v>32</v>
      </c>
      <c r="S428" s="4" t="s">
        <v>257</v>
      </c>
      <c r="T428" s="7">
        <v>44680</v>
      </c>
      <c r="U428" s="4">
        <v>0</v>
      </c>
      <c r="V428" s="4">
        <v>12</v>
      </c>
      <c r="Y428" s="4" t="s">
        <v>233</v>
      </c>
      <c r="Z428" s="4" t="s">
        <v>234</v>
      </c>
      <c r="AA428" s="4" t="s">
        <v>233</v>
      </c>
      <c r="AC428" s="4" t="s">
        <v>2923</v>
      </c>
    </row>
    <row r="429" spans="1:29" hidden="1" x14ac:dyDescent="0.4">
      <c r="A429" s="4" t="s">
        <v>216</v>
      </c>
      <c r="B429" s="4">
        <v>5657</v>
      </c>
      <c r="C429" s="4" t="s">
        <v>242</v>
      </c>
      <c r="D429" s="4" t="s">
        <v>1853</v>
      </c>
      <c r="E429" s="4" t="s">
        <v>1854</v>
      </c>
      <c r="F429" s="4" t="s">
        <v>1855</v>
      </c>
      <c r="G429" s="4" t="s">
        <v>1856</v>
      </c>
      <c r="H429" s="4" t="s">
        <v>1857</v>
      </c>
      <c r="I429" s="4" t="s">
        <v>34</v>
      </c>
      <c r="J429" s="4" t="s">
        <v>1858</v>
      </c>
      <c r="K429" s="4" t="s">
        <v>224</v>
      </c>
      <c r="L429" s="5" t="s">
        <v>1859</v>
      </c>
      <c r="M429" s="4" t="s">
        <v>1860</v>
      </c>
      <c r="N429" s="4" t="s">
        <v>1861</v>
      </c>
      <c r="P429" s="4" t="s">
        <v>1861</v>
      </c>
      <c r="Q429" s="4" t="s">
        <v>1862</v>
      </c>
      <c r="R429" s="4" t="s">
        <v>53</v>
      </c>
      <c r="S429" s="4" t="s">
        <v>231</v>
      </c>
      <c r="T429" s="4" t="s">
        <v>1863</v>
      </c>
      <c r="U429" s="4">
        <v>0</v>
      </c>
      <c r="V429" s="4">
        <v>3</v>
      </c>
      <c r="W429" s="4" t="s">
        <v>258</v>
      </c>
      <c r="Y429" s="4" t="s">
        <v>233</v>
      </c>
      <c r="Z429" s="4" t="s">
        <v>234</v>
      </c>
      <c r="AA429" s="4" t="s">
        <v>234</v>
      </c>
      <c r="AB429" s="4" t="s">
        <v>1864</v>
      </c>
      <c r="AC429" s="4" t="s">
        <v>2923</v>
      </c>
    </row>
    <row r="430" spans="1:29" hidden="1" x14ac:dyDescent="0.4">
      <c r="A430" s="4" t="s">
        <v>216</v>
      </c>
      <c r="B430" s="4">
        <v>5657</v>
      </c>
      <c r="C430" s="4" t="s">
        <v>242</v>
      </c>
      <c r="D430" s="4" t="s">
        <v>1853</v>
      </c>
      <c r="E430" s="4" t="s">
        <v>1854</v>
      </c>
      <c r="F430" s="4" t="s">
        <v>1855</v>
      </c>
      <c r="G430" s="4" t="s">
        <v>1856</v>
      </c>
      <c r="H430" s="4" t="s">
        <v>1857</v>
      </c>
      <c r="I430" s="4" t="s">
        <v>34</v>
      </c>
      <c r="J430" s="4" t="s">
        <v>1858</v>
      </c>
      <c r="K430" s="4" t="s">
        <v>224</v>
      </c>
      <c r="L430" s="5" t="s">
        <v>1859</v>
      </c>
      <c r="M430" s="4" t="s">
        <v>1860</v>
      </c>
      <c r="N430" s="4" t="s">
        <v>1861</v>
      </c>
      <c r="P430" s="4" t="s">
        <v>1861</v>
      </c>
      <c r="Q430" s="4" t="s">
        <v>1862</v>
      </c>
      <c r="R430" s="4" t="s">
        <v>53</v>
      </c>
      <c r="S430" s="4" t="s">
        <v>231</v>
      </c>
      <c r="T430" s="4" t="s">
        <v>1863</v>
      </c>
      <c r="U430" s="4">
        <v>0</v>
      </c>
      <c r="V430" s="4">
        <v>4</v>
      </c>
      <c r="W430" s="4" t="s">
        <v>314</v>
      </c>
      <c r="Y430" s="4" t="s">
        <v>233</v>
      </c>
      <c r="Z430" s="4" t="s">
        <v>234</v>
      </c>
      <c r="AA430" s="4" t="s">
        <v>234</v>
      </c>
      <c r="AB430" s="4" t="s">
        <v>1864</v>
      </c>
      <c r="AC430" s="4" t="s">
        <v>2923</v>
      </c>
    </row>
    <row r="431" spans="1:29" hidden="1" x14ac:dyDescent="0.4">
      <c r="A431" s="4" t="s">
        <v>216</v>
      </c>
      <c r="B431" s="4">
        <v>5657</v>
      </c>
      <c r="C431" s="4" t="s">
        <v>242</v>
      </c>
      <c r="D431" s="4" t="s">
        <v>1853</v>
      </c>
      <c r="E431" s="4" t="s">
        <v>1854</v>
      </c>
      <c r="F431" s="4" t="s">
        <v>1855</v>
      </c>
      <c r="G431" s="4" t="s">
        <v>1856</v>
      </c>
      <c r="H431" s="4" t="s">
        <v>1857</v>
      </c>
      <c r="I431" s="4" t="s">
        <v>34</v>
      </c>
      <c r="J431" s="4" t="s">
        <v>1858</v>
      </c>
      <c r="K431" s="4" t="s">
        <v>224</v>
      </c>
      <c r="L431" s="5" t="s">
        <v>1859</v>
      </c>
      <c r="M431" s="4" t="s">
        <v>1860</v>
      </c>
      <c r="N431" s="4" t="s">
        <v>1861</v>
      </c>
      <c r="P431" s="4" t="s">
        <v>1861</v>
      </c>
      <c r="Q431" s="4" t="s">
        <v>1862</v>
      </c>
      <c r="R431" s="4" t="s">
        <v>53</v>
      </c>
      <c r="S431" s="4" t="s">
        <v>231</v>
      </c>
      <c r="T431" s="4" t="s">
        <v>1863</v>
      </c>
      <c r="U431" s="4">
        <v>0</v>
      </c>
      <c r="V431" s="4">
        <v>9</v>
      </c>
      <c r="W431" s="4" t="s">
        <v>358</v>
      </c>
      <c r="Y431" s="4" t="s">
        <v>233</v>
      </c>
      <c r="Z431" s="4" t="s">
        <v>234</v>
      </c>
      <c r="AA431" s="4" t="s">
        <v>234</v>
      </c>
      <c r="AB431" s="4" t="s">
        <v>1864</v>
      </c>
      <c r="AC431" s="4" t="s">
        <v>2923</v>
      </c>
    </row>
    <row r="432" spans="1:29" hidden="1" x14ac:dyDescent="0.4">
      <c r="A432" s="4" t="s">
        <v>216</v>
      </c>
      <c r="B432" s="4">
        <v>5657</v>
      </c>
      <c r="C432" s="4" t="s">
        <v>242</v>
      </c>
      <c r="D432" s="4" t="s">
        <v>1853</v>
      </c>
      <c r="E432" s="4" t="s">
        <v>1854</v>
      </c>
      <c r="F432" s="4" t="s">
        <v>1855</v>
      </c>
      <c r="G432" s="4" t="s">
        <v>1856</v>
      </c>
      <c r="H432" s="4" t="s">
        <v>1857</v>
      </c>
      <c r="I432" s="4" t="s">
        <v>34</v>
      </c>
      <c r="J432" s="4" t="s">
        <v>1858</v>
      </c>
      <c r="K432" s="4" t="s">
        <v>224</v>
      </c>
      <c r="L432" s="5" t="s">
        <v>1859</v>
      </c>
      <c r="M432" s="4" t="s">
        <v>1860</v>
      </c>
      <c r="N432" s="4" t="s">
        <v>1861</v>
      </c>
      <c r="P432" s="4" t="s">
        <v>1861</v>
      </c>
      <c r="Q432" s="4" t="s">
        <v>1862</v>
      </c>
      <c r="R432" s="4" t="s">
        <v>53</v>
      </c>
      <c r="S432" s="4" t="s">
        <v>231</v>
      </c>
      <c r="T432" s="4" t="s">
        <v>1863</v>
      </c>
      <c r="U432" s="4">
        <v>0</v>
      </c>
      <c r="V432" s="4">
        <v>10</v>
      </c>
      <c r="W432" s="4" t="s">
        <v>314</v>
      </c>
      <c r="Y432" s="4" t="s">
        <v>233</v>
      </c>
      <c r="Z432" s="4" t="s">
        <v>234</v>
      </c>
      <c r="AA432" s="4" t="s">
        <v>234</v>
      </c>
      <c r="AB432" s="4" t="s">
        <v>1864</v>
      </c>
      <c r="AC432" s="4" t="s">
        <v>2923</v>
      </c>
    </row>
    <row r="433" spans="1:29" hidden="1" x14ac:dyDescent="0.4">
      <c r="A433" s="4" t="s">
        <v>216</v>
      </c>
      <c r="B433" s="4">
        <v>1071</v>
      </c>
      <c r="C433" s="4" t="s">
        <v>242</v>
      </c>
      <c r="D433" s="4" t="s">
        <v>2238</v>
      </c>
      <c r="E433" s="4" t="s">
        <v>2833</v>
      </c>
      <c r="F433" s="4" t="s">
        <v>1865</v>
      </c>
      <c r="G433" s="4" t="s">
        <v>1866</v>
      </c>
      <c r="H433" s="4" t="s">
        <v>1867</v>
      </c>
      <c r="I433" s="4" t="s">
        <v>1868</v>
      </c>
      <c r="J433" s="4" t="s">
        <v>1869</v>
      </c>
      <c r="K433" s="4" t="s">
        <v>224</v>
      </c>
      <c r="L433" s="6" t="s">
        <v>1870</v>
      </c>
      <c r="M433" s="4" t="s">
        <v>1871</v>
      </c>
      <c r="N433" s="4" t="s">
        <v>1872</v>
      </c>
      <c r="P433" s="4" t="s">
        <v>1873</v>
      </c>
      <c r="Q433" s="4" t="s">
        <v>1874</v>
      </c>
      <c r="R433" s="4" t="s">
        <v>31</v>
      </c>
      <c r="S433" s="4" t="s">
        <v>231</v>
      </c>
      <c r="T433" s="7">
        <v>45179</v>
      </c>
      <c r="U433" s="4">
        <v>0</v>
      </c>
      <c r="V433" s="4">
        <v>4</v>
      </c>
      <c r="W433" s="4" t="s">
        <v>314</v>
      </c>
      <c r="X433" s="4" t="s">
        <v>293</v>
      </c>
      <c r="Y433" s="4" t="s">
        <v>233</v>
      </c>
      <c r="Z433" s="4" t="s">
        <v>234</v>
      </c>
      <c r="AA433" s="4" t="s">
        <v>233</v>
      </c>
      <c r="AC433" s="4" t="s">
        <v>2923</v>
      </c>
    </row>
    <row r="434" spans="1:29" hidden="1" x14ac:dyDescent="0.4">
      <c r="A434" s="4" t="s">
        <v>216</v>
      </c>
      <c r="B434" s="4">
        <v>1071</v>
      </c>
      <c r="C434" s="4" t="s">
        <v>242</v>
      </c>
      <c r="D434" s="4" t="s">
        <v>2238</v>
      </c>
      <c r="E434" s="4" t="s">
        <v>2833</v>
      </c>
      <c r="F434" s="4" t="s">
        <v>1865</v>
      </c>
      <c r="G434" s="4" t="s">
        <v>1866</v>
      </c>
      <c r="H434" s="4" t="s">
        <v>1867</v>
      </c>
      <c r="I434" s="4" t="s">
        <v>1868</v>
      </c>
      <c r="J434" s="4" t="s">
        <v>1869</v>
      </c>
      <c r="K434" s="4" t="s">
        <v>224</v>
      </c>
      <c r="L434" s="6" t="s">
        <v>1870</v>
      </c>
      <c r="M434" s="4" t="s">
        <v>1871</v>
      </c>
      <c r="N434" s="4" t="s">
        <v>1872</v>
      </c>
      <c r="P434" s="4" t="s">
        <v>2884</v>
      </c>
      <c r="Q434" s="4" t="s">
        <v>1875</v>
      </c>
      <c r="R434" s="4" t="s">
        <v>31</v>
      </c>
      <c r="S434" s="4" t="s">
        <v>231</v>
      </c>
      <c r="T434" s="7">
        <v>43072</v>
      </c>
      <c r="U434" s="4">
        <v>0</v>
      </c>
      <c r="V434" s="4">
        <v>6</v>
      </c>
      <c r="X434" s="4" t="s">
        <v>293</v>
      </c>
      <c r="Y434" s="4" t="s">
        <v>233</v>
      </c>
      <c r="Z434" s="4" t="s">
        <v>234</v>
      </c>
      <c r="AA434" s="4" t="s">
        <v>233</v>
      </c>
      <c r="AC434" s="4" t="s">
        <v>2923</v>
      </c>
    </row>
    <row r="435" spans="1:29" hidden="1" x14ac:dyDescent="0.4">
      <c r="A435" s="4" t="s">
        <v>216</v>
      </c>
      <c r="B435" s="4">
        <v>1071</v>
      </c>
      <c r="C435" s="4" t="s">
        <v>242</v>
      </c>
      <c r="D435" s="4" t="s">
        <v>2238</v>
      </c>
      <c r="E435" s="4" t="s">
        <v>2833</v>
      </c>
      <c r="F435" s="4" t="s">
        <v>1865</v>
      </c>
      <c r="G435" s="4" t="s">
        <v>1866</v>
      </c>
      <c r="H435" s="4" t="s">
        <v>1867</v>
      </c>
      <c r="I435" s="4" t="s">
        <v>1868</v>
      </c>
      <c r="J435" s="4" t="s">
        <v>1869</v>
      </c>
      <c r="K435" s="4" t="s">
        <v>224</v>
      </c>
      <c r="L435" s="6" t="s">
        <v>1870</v>
      </c>
      <c r="M435" s="4" t="s">
        <v>1871</v>
      </c>
      <c r="N435" s="4" t="s">
        <v>1872</v>
      </c>
      <c r="P435" s="4" t="s">
        <v>2884</v>
      </c>
      <c r="Q435" s="4" t="s">
        <v>1875</v>
      </c>
      <c r="R435" s="4" t="s">
        <v>31</v>
      </c>
      <c r="S435" s="4" t="s">
        <v>231</v>
      </c>
      <c r="T435" s="7">
        <v>43072</v>
      </c>
      <c r="U435" s="4">
        <v>0</v>
      </c>
      <c r="V435" s="4">
        <v>7</v>
      </c>
      <c r="W435" s="4" t="s">
        <v>238</v>
      </c>
      <c r="X435" s="4" t="s">
        <v>293</v>
      </c>
      <c r="Y435" s="4" t="s">
        <v>233</v>
      </c>
      <c r="Z435" s="4" t="s">
        <v>234</v>
      </c>
      <c r="AA435" s="4" t="s">
        <v>233</v>
      </c>
      <c r="AC435" s="4" t="s">
        <v>2923</v>
      </c>
    </row>
    <row r="436" spans="1:29" hidden="1" x14ac:dyDescent="0.4">
      <c r="A436" s="4" t="s">
        <v>216</v>
      </c>
      <c r="B436" s="4">
        <v>1071</v>
      </c>
      <c r="C436" s="4" t="s">
        <v>242</v>
      </c>
      <c r="D436" s="4" t="s">
        <v>2238</v>
      </c>
      <c r="E436" s="4" t="s">
        <v>2833</v>
      </c>
      <c r="F436" s="4" t="s">
        <v>1865</v>
      </c>
      <c r="G436" s="4" t="s">
        <v>1866</v>
      </c>
      <c r="H436" s="4" t="s">
        <v>1867</v>
      </c>
      <c r="I436" s="4" t="s">
        <v>1868</v>
      </c>
      <c r="J436" s="4" t="s">
        <v>1869</v>
      </c>
      <c r="K436" s="4" t="s">
        <v>224</v>
      </c>
      <c r="L436" s="6" t="s">
        <v>1870</v>
      </c>
      <c r="M436" s="4" t="s">
        <v>1871</v>
      </c>
      <c r="N436" s="4" t="s">
        <v>1872</v>
      </c>
      <c r="P436" s="4" t="s">
        <v>1873</v>
      </c>
      <c r="Q436" s="4" t="s">
        <v>1874</v>
      </c>
      <c r="R436" s="4" t="s">
        <v>31</v>
      </c>
      <c r="S436" s="4" t="s">
        <v>231</v>
      </c>
      <c r="T436" s="7">
        <v>45179</v>
      </c>
      <c r="U436" s="4">
        <v>0</v>
      </c>
      <c r="V436" s="4">
        <v>10</v>
      </c>
      <c r="W436" s="4" t="s">
        <v>314</v>
      </c>
      <c r="X436" s="4" t="s">
        <v>293</v>
      </c>
      <c r="Y436" s="4" t="s">
        <v>233</v>
      </c>
      <c r="Z436" s="4" t="s">
        <v>234</v>
      </c>
      <c r="AA436" s="4" t="s">
        <v>233</v>
      </c>
      <c r="AC436" s="4" t="s">
        <v>2923</v>
      </c>
    </row>
    <row r="437" spans="1:29" hidden="1" x14ac:dyDescent="0.4">
      <c r="A437" s="4" t="s">
        <v>216</v>
      </c>
      <c r="B437" s="4">
        <v>1071</v>
      </c>
      <c r="C437" s="4" t="s">
        <v>242</v>
      </c>
      <c r="D437" s="4" t="s">
        <v>2238</v>
      </c>
      <c r="E437" s="4" t="s">
        <v>2833</v>
      </c>
      <c r="F437" s="4" t="s">
        <v>1865</v>
      </c>
      <c r="G437" s="4" t="s">
        <v>1866</v>
      </c>
      <c r="H437" s="4" t="s">
        <v>1867</v>
      </c>
      <c r="I437" s="4" t="s">
        <v>1868</v>
      </c>
      <c r="J437" s="4" t="s">
        <v>1869</v>
      </c>
      <c r="K437" s="4" t="s">
        <v>224</v>
      </c>
      <c r="L437" s="6" t="s">
        <v>1870</v>
      </c>
      <c r="M437" s="4" t="s">
        <v>1871</v>
      </c>
      <c r="N437" s="4" t="s">
        <v>1872</v>
      </c>
      <c r="P437" s="4" t="s">
        <v>2884</v>
      </c>
      <c r="Q437" s="4" t="s">
        <v>1875</v>
      </c>
      <c r="R437" s="4" t="s">
        <v>31</v>
      </c>
      <c r="S437" s="4" t="s">
        <v>231</v>
      </c>
      <c r="T437" s="7">
        <v>43072</v>
      </c>
      <c r="U437" s="4">
        <v>0</v>
      </c>
      <c r="V437" s="4">
        <v>12</v>
      </c>
      <c r="X437" s="4" t="s">
        <v>293</v>
      </c>
      <c r="Y437" s="4" t="s">
        <v>233</v>
      </c>
      <c r="Z437" s="4" t="s">
        <v>234</v>
      </c>
      <c r="AA437" s="4" t="s">
        <v>233</v>
      </c>
      <c r="AC437" s="4" t="s">
        <v>2923</v>
      </c>
    </row>
    <row r="438" spans="1:29" hidden="1" x14ac:dyDescent="0.4">
      <c r="A438" s="4" t="s">
        <v>216</v>
      </c>
      <c r="B438" s="4">
        <v>1071</v>
      </c>
      <c r="C438" s="4" t="s">
        <v>242</v>
      </c>
      <c r="D438" s="4" t="s">
        <v>2238</v>
      </c>
      <c r="E438" s="4" t="s">
        <v>2833</v>
      </c>
      <c r="F438" s="4" t="s">
        <v>1865</v>
      </c>
      <c r="G438" s="4" t="s">
        <v>1866</v>
      </c>
      <c r="H438" s="4" t="s">
        <v>1867</v>
      </c>
      <c r="I438" s="4" t="s">
        <v>1868</v>
      </c>
      <c r="J438" s="4" t="s">
        <v>1869</v>
      </c>
      <c r="K438" s="4" t="s">
        <v>224</v>
      </c>
      <c r="L438" s="6" t="s">
        <v>1870</v>
      </c>
      <c r="M438" s="4" t="s">
        <v>1871</v>
      </c>
      <c r="N438" s="4" t="s">
        <v>1872</v>
      </c>
      <c r="P438" s="4" t="s">
        <v>2884</v>
      </c>
      <c r="Q438" s="4" t="s">
        <v>1875</v>
      </c>
      <c r="R438" s="4" t="s">
        <v>31</v>
      </c>
      <c r="S438" s="4" t="s">
        <v>231</v>
      </c>
      <c r="T438" s="7">
        <v>43072</v>
      </c>
      <c r="U438" s="4">
        <v>0</v>
      </c>
      <c r="V438" s="4">
        <v>13</v>
      </c>
      <c r="W438" s="4" t="s">
        <v>240</v>
      </c>
      <c r="X438" s="4" t="s">
        <v>293</v>
      </c>
      <c r="Y438" s="4" t="s">
        <v>233</v>
      </c>
      <c r="Z438" s="4" t="s">
        <v>234</v>
      </c>
      <c r="AA438" s="4" t="s">
        <v>233</v>
      </c>
      <c r="AC438" s="4" t="s">
        <v>2923</v>
      </c>
    </row>
    <row r="439" spans="1:29" hidden="1" x14ac:dyDescent="0.4">
      <c r="A439" s="4" t="s">
        <v>216</v>
      </c>
      <c r="B439" s="4">
        <v>6347</v>
      </c>
      <c r="C439" s="4" t="s">
        <v>242</v>
      </c>
      <c r="D439" s="4" t="s">
        <v>1876</v>
      </c>
      <c r="E439" s="4" t="s">
        <v>1877</v>
      </c>
      <c r="F439" s="4" t="s">
        <v>1878</v>
      </c>
      <c r="G439" s="4" t="s">
        <v>1879</v>
      </c>
      <c r="H439" s="4" t="s">
        <v>1880</v>
      </c>
      <c r="I439" s="4" t="s">
        <v>706</v>
      </c>
      <c r="J439" s="4" t="s">
        <v>1881</v>
      </c>
      <c r="K439" s="4" t="s">
        <v>224</v>
      </c>
      <c r="L439" s="6" t="s">
        <v>1882</v>
      </c>
      <c r="M439" s="4" t="s">
        <v>1883</v>
      </c>
      <c r="N439" s="4" t="s">
        <v>1884</v>
      </c>
      <c r="P439" s="4" t="s">
        <v>1885</v>
      </c>
      <c r="Q439" s="4" t="s">
        <v>1886</v>
      </c>
      <c r="R439" s="4" t="s">
        <v>2811</v>
      </c>
      <c r="S439" s="4" t="s">
        <v>257</v>
      </c>
      <c r="T439" s="7">
        <v>44927</v>
      </c>
      <c r="U439" s="4">
        <v>0</v>
      </c>
      <c r="V439" s="4">
        <v>8</v>
      </c>
      <c r="W439" s="4" t="s">
        <v>281</v>
      </c>
      <c r="Y439" s="4" t="s">
        <v>233</v>
      </c>
      <c r="Z439" s="4" t="s">
        <v>234</v>
      </c>
      <c r="AA439" s="4" t="s">
        <v>233</v>
      </c>
      <c r="AC439" s="4" t="s">
        <v>2923</v>
      </c>
    </row>
    <row r="440" spans="1:29" hidden="1" x14ac:dyDescent="0.4">
      <c r="A440" s="4" t="s">
        <v>216</v>
      </c>
      <c r="B440" s="4">
        <v>6347</v>
      </c>
      <c r="C440" s="4" t="s">
        <v>242</v>
      </c>
      <c r="D440" s="4" t="s">
        <v>1876</v>
      </c>
      <c r="E440" s="4" t="s">
        <v>1877</v>
      </c>
      <c r="F440" s="4" t="s">
        <v>1878</v>
      </c>
      <c r="G440" s="4" t="s">
        <v>1879</v>
      </c>
      <c r="H440" s="4" t="s">
        <v>1880</v>
      </c>
      <c r="I440" s="4" t="s">
        <v>706</v>
      </c>
      <c r="J440" s="4" t="s">
        <v>1881</v>
      </c>
      <c r="K440" s="4" t="s">
        <v>224</v>
      </c>
      <c r="L440" s="6" t="s">
        <v>1882</v>
      </c>
      <c r="M440" s="4" t="s">
        <v>1883</v>
      </c>
      <c r="N440" s="4" t="s">
        <v>1884</v>
      </c>
      <c r="P440" s="4" t="s">
        <v>1885</v>
      </c>
      <c r="Q440" s="4" t="s">
        <v>1886</v>
      </c>
      <c r="R440" s="4" t="s">
        <v>2811</v>
      </c>
      <c r="S440" s="4" t="s">
        <v>257</v>
      </c>
      <c r="T440" s="7">
        <v>44927</v>
      </c>
      <c r="U440" s="4">
        <v>0</v>
      </c>
      <c r="V440" s="4">
        <v>9</v>
      </c>
      <c r="W440" s="4" t="s">
        <v>358</v>
      </c>
      <c r="Y440" s="4" t="s">
        <v>233</v>
      </c>
      <c r="Z440" s="4" t="s">
        <v>234</v>
      </c>
      <c r="AA440" s="4" t="s">
        <v>233</v>
      </c>
      <c r="AC440" s="4" t="s">
        <v>2923</v>
      </c>
    </row>
    <row r="441" spans="1:29" hidden="1" x14ac:dyDescent="0.4">
      <c r="A441" s="4" t="s">
        <v>216</v>
      </c>
      <c r="B441" s="4">
        <v>6347</v>
      </c>
      <c r="C441" s="4" t="s">
        <v>242</v>
      </c>
      <c r="D441" s="4" t="s">
        <v>1876</v>
      </c>
      <c r="E441" s="4" t="s">
        <v>1877</v>
      </c>
      <c r="F441" s="4" t="s">
        <v>1878</v>
      </c>
      <c r="G441" s="4" t="s">
        <v>1879</v>
      </c>
      <c r="H441" s="4" t="s">
        <v>1880</v>
      </c>
      <c r="I441" s="4" t="s">
        <v>706</v>
      </c>
      <c r="J441" s="4" t="s">
        <v>1881</v>
      </c>
      <c r="K441" s="4" t="s">
        <v>224</v>
      </c>
      <c r="L441" s="6" t="s">
        <v>1882</v>
      </c>
      <c r="M441" s="4" t="s">
        <v>1883</v>
      </c>
      <c r="N441" s="4" t="s">
        <v>1884</v>
      </c>
      <c r="P441" s="4" t="s">
        <v>1885</v>
      </c>
      <c r="Q441" s="4" t="s">
        <v>1886</v>
      </c>
      <c r="R441" s="4" t="s">
        <v>2811</v>
      </c>
      <c r="S441" s="4" t="s">
        <v>257</v>
      </c>
      <c r="T441" s="7">
        <v>44927</v>
      </c>
      <c r="U441" s="4">
        <v>0</v>
      </c>
      <c r="V441" s="4">
        <v>14</v>
      </c>
      <c r="W441" s="4" t="s">
        <v>241</v>
      </c>
      <c r="Y441" s="4" t="s">
        <v>233</v>
      </c>
      <c r="Z441" s="4" t="s">
        <v>234</v>
      </c>
      <c r="AA441" s="4" t="s">
        <v>233</v>
      </c>
      <c r="AC441" s="4" t="s">
        <v>2923</v>
      </c>
    </row>
    <row r="442" spans="1:29" hidden="1" x14ac:dyDescent="0.4">
      <c r="A442" s="4" t="s">
        <v>216</v>
      </c>
      <c r="B442" s="4">
        <v>636</v>
      </c>
      <c r="C442" s="4" t="s">
        <v>242</v>
      </c>
      <c r="D442" s="4" t="s">
        <v>1887</v>
      </c>
      <c r="E442" s="4" t="s">
        <v>1888</v>
      </c>
      <c r="F442" s="4" t="s">
        <v>1889</v>
      </c>
      <c r="H442" s="4" t="s">
        <v>1802</v>
      </c>
      <c r="I442" s="4" t="s">
        <v>1137</v>
      </c>
      <c r="J442" s="4" t="s">
        <v>1890</v>
      </c>
      <c r="K442" s="4" t="s">
        <v>224</v>
      </c>
      <c r="L442" s="5" t="s">
        <v>1891</v>
      </c>
      <c r="M442" s="4" t="s">
        <v>1892</v>
      </c>
      <c r="N442" s="4" t="s">
        <v>1893</v>
      </c>
      <c r="P442" s="4" t="s">
        <v>1894</v>
      </c>
      <c r="Q442" s="4" t="s">
        <v>1895</v>
      </c>
      <c r="R442" s="4" t="s">
        <v>31</v>
      </c>
      <c r="S442" s="4" t="s">
        <v>257</v>
      </c>
      <c r="T442" s="7">
        <v>44432</v>
      </c>
      <c r="U442" s="4">
        <v>0</v>
      </c>
      <c r="V442" s="4">
        <v>11</v>
      </c>
      <c r="W442" s="4" t="s">
        <v>314</v>
      </c>
      <c r="Y442" s="4" t="s">
        <v>233</v>
      </c>
      <c r="Z442" s="4" t="s">
        <v>234</v>
      </c>
      <c r="AA442" s="4" t="s">
        <v>233</v>
      </c>
      <c r="AC442" s="4" t="s">
        <v>2923</v>
      </c>
    </row>
    <row r="443" spans="1:29" hidden="1" x14ac:dyDescent="0.4">
      <c r="A443" s="4" t="s">
        <v>216</v>
      </c>
      <c r="B443" s="4">
        <v>636</v>
      </c>
      <c r="C443" s="4" t="s">
        <v>242</v>
      </c>
      <c r="D443" s="4" t="s">
        <v>1887</v>
      </c>
      <c r="E443" s="4" t="s">
        <v>1888</v>
      </c>
      <c r="F443" s="4" t="s">
        <v>1889</v>
      </c>
      <c r="H443" s="4" t="s">
        <v>1802</v>
      </c>
      <c r="I443" s="4" t="s">
        <v>1137</v>
      </c>
      <c r="J443" s="4" t="s">
        <v>1890</v>
      </c>
      <c r="K443" s="4" t="s">
        <v>224</v>
      </c>
      <c r="L443" s="5" t="s">
        <v>1891</v>
      </c>
      <c r="M443" s="4" t="s">
        <v>1892</v>
      </c>
      <c r="N443" s="4" t="s">
        <v>1893</v>
      </c>
      <c r="P443" s="4" t="s">
        <v>1894</v>
      </c>
      <c r="Q443" s="4" t="s">
        <v>1895</v>
      </c>
      <c r="R443" s="4" t="s">
        <v>31</v>
      </c>
      <c r="S443" s="4" t="s">
        <v>257</v>
      </c>
      <c r="T443" s="7">
        <v>44432</v>
      </c>
      <c r="U443" s="4">
        <v>0</v>
      </c>
      <c r="V443" s="4">
        <v>12</v>
      </c>
      <c r="Y443" s="4" t="s">
        <v>233</v>
      </c>
      <c r="Z443" s="4" t="s">
        <v>234</v>
      </c>
      <c r="AA443" s="4" t="s">
        <v>233</v>
      </c>
      <c r="AC443" s="4" t="s">
        <v>2923</v>
      </c>
    </row>
    <row r="444" spans="1:29" hidden="1" x14ac:dyDescent="0.4">
      <c r="A444" s="4" t="s">
        <v>216</v>
      </c>
      <c r="B444" s="4">
        <v>4042</v>
      </c>
      <c r="C444" s="4" t="s">
        <v>417</v>
      </c>
      <c r="D444" s="4" t="s">
        <v>160</v>
      </c>
      <c r="E444" s="4" t="s">
        <v>1896</v>
      </c>
      <c r="F444" s="4" t="s">
        <v>1897</v>
      </c>
      <c r="H444" s="4" t="s">
        <v>1898</v>
      </c>
      <c r="I444" s="4" t="s">
        <v>1899</v>
      </c>
      <c r="J444" s="4" t="s">
        <v>1900</v>
      </c>
      <c r="K444" s="4" t="s">
        <v>224</v>
      </c>
      <c r="L444" s="5" t="s">
        <v>1901</v>
      </c>
      <c r="M444" s="4" t="s">
        <v>1902</v>
      </c>
      <c r="N444" s="4" t="s">
        <v>1903</v>
      </c>
      <c r="P444" s="4" t="s">
        <v>1904</v>
      </c>
      <c r="Q444" s="4" t="s">
        <v>1905</v>
      </c>
      <c r="R444" s="4" t="s">
        <v>2912</v>
      </c>
      <c r="S444" s="4" t="s">
        <v>257</v>
      </c>
      <c r="T444" s="7">
        <v>45476</v>
      </c>
      <c r="U444" s="4">
        <v>0</v>
      </c>
      <c r="V444" s="4">
        <v>3</v>
      </c>
      <c r="W444" s="4" t="s">
        <v>258</v>
      </c>
      <c r="X444" s="4" t="s">
        <v>293</v>
      </c>
      <c r="Y444" s="4" t="s">
        <v>233</v>
      </c>
      <c r="Z444" s="4" t="s">
        <v>234</v>
      </c>
      <c r="AA444" s="4" t="s">
        <v>234</v>
      </c>
      <c r="AC444" s="4" t="s">
        <v>2923</v>
      </c>
    </row>
    <row r="445" spans="1:29" hidden="1" x14ac:dyDescent="0.4">
      <c r="A445" s="4" t="s">
        <v>216</v>
      </c>
      <c r="B445" s="4">
        <v>4042</v>
      </c>
      <c r="C445" s="4" t="s">
        <v>417</v>
      </c>
      <c r="D445" s="4" t="s">
        <v>160</v>
      </c>
      <c r="E445" s="4" t="s">
        <v>1896</v>
      </c>
      <c r="F445" s="4" t="s">
        <v>1897</v>
      </c>
      <c r="H445" s="4" t="s">
        <v>1898</v>
      </c>
      <c r="I445" s="4" t="s">
        <v>1899</v>
      </c>
      <c r="J445" s="4" t="s">
        <v>1900</v>
      </c>
      <c r="K445" s="4" t="s">
        <v>224</v>
      </c>
      <c r="L445" s="5" t="s">
        <v>1901</v>
      </c>
      <c r="M445" s="4" t="s">
        <v>1902</v>
      </c>
      <c r="N445" s="4" t="s">
        <v>1903</v>
      </c>
      <c r="P445" s="4" t="s">
        <v>1904</v>
      </c>
      <c r="Q445" s="4" t="s">
        <v>1905</v>
      </c>
      <c r="R445" s="4" t="s">
        <v>2912</v>
      </c>
      <c r="S445" s="4" t="s">
        <v>257</v>
      </c>
      <c r="T445" s="7">
        <v>45476</v>
      </c>
      <c r="U445" s="4">
        <v>0</v>
      </c>
      <c r="V445" s="4">
        <v>9</v>
      </c>
      <c r="W445" s="4" t="s">
        <v>358</v>
      </c>
      <c r="X445" s="4" t="s">
        <v>293</v>
      </c>
      <c r="Y445" s="4" t="s">
        <v>233</v>
      </c>
      <c r="Z445" s="4" t="s">
        <v>234</v>
      </c>
      <c r="AA445" s="4" t="s">
        <v>234</v>
      </c>
      <c r="AC445" s="4" t="s">
        <v>2923</v>
      </c>
    </row>
    <row r="446" spans="1:29" hidden="1" x14ac:dyDescent="0.4">
      <c r="A446" s="4" t="s">
        <v>216</v>
      </c>
      <c r="B446" s="4">
        <v>6725</v>
      </c>
      <c r="C446" s="4" t="s">
        <v>217</v>
      </c>
      <c r="D446" s="4" t="s">
        <v>1910</v>
      </c>
      <c r="E446" s="4" t="s">
        <v>1911</v>
      </c>
      <c r="F446" s="4" t="s">
        <v>1912</v>
      </c>
      <c r="G446" s="4" t="s">
        <v>1913</v>
      </c>
      <c r="H446" s="4" t="s">
        <v>1914</v>
      </c>
      <c r="I446" s="4" t="s">
        <v>154</v>
      </c>
      <c r="J446" s="4" t="s">
        <v>1915</v>
      </c>
      <c r="K446" s="4" t="s">
        <v>224</v>
      </c>
      <c r="L446" s="5" t="s">
        <v>1916</v>
      </c>
      <c r="M446" s="4" t="s">
        <v>1917</v>
      </c>
      <c r="N446" s="4" t="s">
        <v>1918</v>
      </c>
      <c r="P446" s="4" t="s">
        <v>1919</v>
      </c>
      <c r="Q446" s="4" t="s">
        <v>1920</v>
      </c>
      <c r="R446" s="4" t="s">
        <v>1921</v>
      </c>
      <c r="S446" s="4" t="s">
        <v>231</v>
      </c>
      <c r="T446" s="7">
        <v>45362</v>
      </c>
      <c r="U446" s="4">
        <v>0</v>
      </c>
      <c r="V446" s="4">
        <v>1</v>
      </c>
      <c r="W446" s="4" t="s">
        <v>253</v>
      </c>
      <c r="Y446" s="4" t="s">
        <v>233</v>
      </c>
      <c r="Z446" s="4" t="s">
        <v>234</v>
      </c>
      <c r="AA446" s="4" t="s">
        <v>234</v>
      </c>
      <c r="AC446" s="4" t="s">
        <v>2923</v>
      </c>
    </row>
    <row r="447" spans="1:29" hidden="1" x14ac:dyDescent="0.4">
      <c r="A447" s="4" t="s">
        <v>216</v>
      </c>
      <c r="B447" s="4">
        <v>6725</v>
      </c>
      <c r="C447" s="4" t="s">
        <v>217</v>
      </c>
      <c r="D447" s="4" t="s">
        <v>1910</v>
      </c>
      <c r="E447" s="4" t="s">
        <v>1911</v>
      </c>
      <c r="F447" s="4" t="s">
        <v>1912</v>
      </c>
      <c r="G447" s="4" t="s">
        <v>1913</v>
      </c>
      <c r="H447" s="4" t="s">
        <v>1914</v>
      </c>
      <c r="I447" s="4" t="s">
        <v>154</v>
      </c>
      <c r="J447" s="4" t="s">
        <v>1915</v>
      </c>
      <c r="K447" s="4" t="s">
        <v>224</v>
      </c>
      <c r="L447" s="5" t="s">
        <v>1916</v>
      </c>
      <c r="M447" s="4" t="s">
        <v>1917</v>
      </c>
      <c r="N447" s="4" t="s">
        <v>1918</v>
      </c>
      <c r="P447" s="4" t="s">
        <v>1919</v>
      </c>
      <c r="Q447" s="4" t="s">
        <v>1920</v>
      </c>
      <c r="R447" s="4" t="s">
        <v>1921</v>
      </c>
      <c r="S447" s="4" t="s">
        <v>231</v>
      </c>
      <c r="T447" s="7">
        <v>45362</v>
      </c>
      <c r="U447" s="4">
        <v>0</v>
      </c>
      <c r="V447" s="4">
        <v>2</v>
      </c>
      <c r="W447" s="4" t="s">
        <v>254</v>
      </c>
      <c r="Y447" s="4" t="s">
        <v>233</v>
      </c>
      <c r="Z447" s="4" t="s">
        <v>234</v>
      </c>
      <c r="AA447" s="4" t="s">
        <v>234</v>
      </c>
      <c r="AC447" s="4" t="s">
        <v>2923</v>
      </c>
    </row>
    <row r="448" spans="1:29" hidden="1" x14ac:dyDescent="0.4">
      <c r="A448" s="4" t="s">
        <v>216</v>
      </c>
      <c r="B448" s="4">
        <v>6725</v>
      </c>
      <c r="C448" s="4" t="s">
        <v>217</v>
      </c>
      <c r="D448" s="4" t="s">
        <v>1910</v>
      </c>
      <c r="E448" s="4" t="s">
        <v>1911</v>
      </c>
      <c r="F448" s="4" t="s">
        <v>1912</v>
      </c>
      <c r="G448" s="4" t="s">
        <v>1913</v>
      </c>
      <c r="H448" s="4" t="s">
        <v>1914</v>
      </c>
      <c r="I448" s="4" t="s">
        <v>154</v>
      </c>
      <c r="J448" s="4" t="s">
        <v>1915</v>
      </c>
      <c r="K448" s="4" t="s">
        <v>224</v>
      </c>
      <c r="L448" s="5" t="s">
        <v>1916</v>
      </c>
      <c r="M448" s="4" t="s">
        <v>1917</v>
      </c>
      <c r="N448" s="4" t="s">
        <v>1918</v>
      </c>
      <c r="P448" s="4" t="s">
        <v>1919</v>
      </c>
      <c r="Q448" s="4" t="s">
        <v>1920</v>
      </c>
      <c r="R448" s="4" t="s">
        <v>1921</v>
      </c>
      <c r="S448" s="4" t="s">
        <v>231</v>
      </c>
      <c r="T448" s="7">
        <v>45362</v>
      </c>
      <c r="U448" s="4">
        <v>0</v>
      </c>
      <c r="V448" s="4">
        <v>3</v>
      </c>
      <c r="W448" s="4" t="s">
        <v>258</v>
      </c>
      <c r="Y448" s="4" t="s">
        <v>233</v>
      </c>
      <c r="Z448" s="4" t="s">
        <v>234</v>
      </c>
      <c r="AA448" s="4" t="s">
        <v>234</v>
      </c>
      <c r="AC448" s="4" t="s">
        <v>2923</v>
      </c>
    </row>
    <row r="449" spans="1:29" hidden="1" x14ac:dyDescent="0.4">
      <c r="A449" s="4" t="s">
        <v>216</v>
      </c>
      <c r="B449" s="4">
        <v>6725</v>
      </c>
      <c r="C449" s="4" t="s">
        <v>217</v>
      </c>
      <c r="D449" s="4" t="s">
        <v>1910</v>
      </c>
      <c r="E449" s="4" t="s">
        <v>1911</v>
      </c>
      <c r="F449" s="4" t="s">
        <v>1912</v>
      </c>
      <c r="G449" s="4" t="s">
        <v>1913</v>
      </c>
      <c r="H449" s="4" t="s">
        <v>1914</v>
      </c>
      <c r="I449" s="4" t="s">
        <v>154</v>
      </c>
      <c r="J449" s="4" t="s">
        <v>1915</v>
      </c>
      <c r="K449" s="4" t="s">
        <v>224</v>
      </c>
      <c r="L449" s="5" t="s">
        <v>1916</v>
      </c>
      <c r="M449" s="4" t="s">
        <v>1917</v>
      </c>
      <c r="N449" s="4" t="s">
        <v>1918</v>
      </c>
      <c r="P449" s="4" t="s">
        <v>1919</v>
      </c>
      <c r="Q449" s="4" t="s">
        <v>1920</v>
      </c>
      <c r="R449" s="4" t="s">
        <v>1921</v>
      </c>
      <c r="S449" s="4" t="s">
        <v>231</v>
      </c>
      <c r="T449" s="7">
        <v>45362</v>
      </c>
      <c r="U449" s="4">
        <v>0</v>
      </c>
      <c r="V449" s="4">
        <v>8</v>
      </c>
      <c r="W449" s="4" t="s">
        <v>281</v>
      </c>
      <c r="Y449" s="4" t="s">
        <v>233</v>
      </c>
      <c r="Z449" s="4" t="s">
        <v>234</v>
      </c>
      <c r="AA449" s="4" t="s">
        <v>234</v>
      </c>
      <c r="AC449" s="4" t="s">
        <v>2923</v>
      </c>
    </row>
    <row r="450" spans="1:29" hidden="1" x14ac:dyDescent="0.4">
      <c r="A450" s="4" t="s">
        <v>216</v>
      </c>
      <c r="B450" s="4">
        <v>6725</v>
      </c>
      <c r="C450" s="4" t="s">
        <v>217</v>
      </c>
      <c r="D450" s="4" t="s">
        <v>1910</v>
      </c>
      <c r="E450" s="4" t="s">
        <v>1911</v>
      </c>
      <c r="F450" s="4" t="s">
        <v>1912</v>
      </c>
      <c r="G450" s="4" t="s">
        <v>1913</v>
      </c>
      <c r="H450" s="4" t="s">
        <v>1914</v>
      </c>
      <c r="I450" s="4" t="s">
        <v>154</v>
      </c>
      <c r="J450" s="4" t="s">
        <v>1915</v>
      </c>
      <c r="K450" s="4" t="s">
        <v>224</v>
      </c>
      <c r="L450" s="5" t="s">
        <v>1916</v>
      </c>
      <c r="M450" s="4" t="s">
        <v>1917</v>
      </c>
      <c r="N450" s="4" t="s">
        <v>1918</v>
      </c>
      <c r="P450" s="4" t="s">
        <v>1919</v>
      </c>
      <c r="Q450" s="4" t="s">
        <v>1920</v>
      </c>
      <c r="R450" s="4" t="s">
        <v>1921</v>
      </c>
      <c r="S450" s="4" t="s">
        <v>231</v>
      </c>
      <c r="T450" s="7">
        <v>45362</v>
      </c>
      <c r="U450" s="4">
        <v>0</v>
      </c>
      <c r="V450" s="4">
        <v>9</v>
      </c>
      <c r="W450" s="4" t="s">
        <v>358</v>
      </c>
      <c r="Y450" s="4" t="s">
        <v>233</v>
      </c>
      <c r="Z450" s="4" t="s">
        <v>234</v>
      </c>
      <c r="AA450" s="4" t="s">
        <v>234</v>
      </c>
      <c r="AC450" s="4" t="s">
        <v>2923</v>
      </c>
    </row>
    <row r="451" spans="1:29" hidden="1" x14ac:dyDescent="0.4">
      <c r="A451" s="4" t="s">
        <v>216</v>
      </c>
      <c r="B451" s="4">
        <v>2287</v>
      </c>
      <c r="C451" s="4" t="s">
        <v>242</v>
      </c>
      <c r="D451" s="4" t="s">
        <v>88</v>
      </c>
      <c r="E451" s="4" t="s">
        <v>1922</v>
      </c>
      <c r="F451" s="4" t="s">
        <v>1923</v>
      </c>
      <c r="G451" s="4" t="s">
        <v>1924</v>
      </c>
      <c r="H451" s="4" t="s">
        <v>1925</v>
      </c>
      <c r="I451" s="4" t="s">
        <v>28</v>
      </c>
      <c r="J451" s="4" t="s">
        <v>1926</v>
      </c>
      <c r="K451" s="4" t="s">
        <v>224</v>
      </c>
      <c r="L451" s="6" t="s">
        <v>1927</v>
      </c>
      <c r="M451" s="4" t="s">
        <v>1928</v>
      </c>
      <c r="N451" s="4" t="s">
        <v>1929</v>
      </c>
      <c r="P451" s="4" t="s">
        <v>1930</v>
      </c>
      <c r="Q451" s="4" t="s">
        <v>1931</v>
      </c>
      <c r="R451" s="4" t="s">
        <v>31</v>
      </c>
      <c r="S451" s="4" t="s">
        <v>257</v>
      </c>
      <c r="T451" s="7">
        <v>44504</v>
      </c>
      <c r="U451" s="4">
        <v>0</v>
      </c>
      <c r="V451" s="4">
        <v>11</v>
      </c>
      <c r="W451" s="4" t="s">
        <v>300</v>
      </c>
      <c r="Y451" s="4" t="s">
        <v>233</v>
      </c>
      <c r="Z451" s="4" t="s">
        <v>234</v>
      </c>
      <c r="AA451" s="4" t="s">
        <v>234</v>
      </c>
      <c r="AC451" s="4" t="s">
        <v>2923</v>
      </c>
    </row>
    <row r="452" spans="1:29" hidden="1" x14ac:dyDescent="0.4">
      <c r="A452" s="4" t="s">
        <v>216</v>
      </c>
      <c r="B452" s="4">
        <v>2287</v>
      </c>
      <c r="C452" s="4" t="s">
        <v>242</v>
      </c>
      <c r="D452" s="4" t="s">
        <v>88</v>
      </c>
      <c r="E452" s="4" t="s">
        <v>1922</v>
      </c>
      <c r="F452" s="4" t="s">
        <v>1923</v>
      </c>
      <c r="G452" s="4" t="s">
        <v>1924</v>
      </c>
      <c r="H452" s="4" t="s">
        <v>1925</v>
      </c>
      <c r="I452" s="4" t="s">
        <v>28</v>
      </c>
      <c r="J452" s="4" t="s">
        <v>1926</v>
      </c>
      <c r="K452" s="4" t="s">
        <v>224</v>
      </c>
      <c r="L452" s="6" t="s">
        <v>1927</v>
      </c>
      <c r="M452" s="4" t="s">
        <v>1928</v>
      </c>
      <c r="N452" s="4" t="s">
        <v>1929</v>
      </c>
      <c r="P452" s="4" t="s">
        <v>1930</v>
      </c>
      <c r="Q452" s="4" t="s">
        <v>1931</v>
      </c>
      <c r="R452" s="4" t="s">
        <v>31</v>
      </c>
      <c r="S452" s="4" t="s">
        <v>257</v>
      </c>
      <c r="T452" s="7">
        <v>44504</v>
      </c>
      <c r="U452" s="4">
        <v>0</v>
      </c>
      <c r="V452" s="4">
        <v>12</v>
      </c>
      <c r="Y452" s="4" t="s">
        <v>233</v>
      </c>
      <c r="Z452" s="4" t="s">
        <v>234</v>
      </c>
      <c r="AA452" s="4" t="s">
        <v>234</v>
      </c>
      <c r="AC452" s="4" t="s">
        <v>2923</v>
      </c>
    </row>
    <row r="453" spans="1:29" hidden="1" x14ac:dyDescent="0.4">
      <c r="A453" s="4" t="s">
        <v>216</v>
      </c>
      <c r="B453" s="4">
        <v>316</v>
      </c>
      <c r="C453" s="4" t="s">
        <v>217</v>
      </c>
      <c r="D453" s="4" t="s">
        <v>1936</v>
      </c>
      <c r="E453" s="4" t="s">
        <v>1937</v>
      </c>
      <c r="F453" s="4" t="s">
        <v>1938</v>
      </c>
      <c r="H453" s="4" t="s">
        <v>1375</v>
      </c>
      <c r="I453" s="4" t="s">
        <v>34</v>
      </c>
      <c r="J453" s="4" t="s">
        <v>1939</v>
      </c>
      <c r="K453" s="4" t="s">
        <v>224</v>
      </c>
      <c r="L453" s="5" t="s">
        <v>1940</v>
      </c>
      <c r="M453" s="4" t="s">
        <v>1941</v>
      </c>
      <c r="N453" s="4" t="s">
        <v>1942</v>
      </c>
      <c r="P453" s="4" t="s">
        <v>1943</v>
      </c>
      <c r="Q453" s="4" t="s">
        <v>1944</v>
      </c>
      <c r="R453" s="4" t="s">
        <v>1945</v>
      </c>
      <c r="S453" s="4" t="s">
        <v>257</v>
      </c>
      <c r="T453" s="7">
        <v>44253</v>
      </c>
      <c r="U453" s="4">
        <v>0</v>
      </c>
      <c r="V453" s="4">
        <v>7</v>
      </c>
      <c r="W453" s="4" t="s">
        <v>238</v>
      </c>
      <c r="Y453" s="4" t="s">
        <v>233</v>
      </c>
      <c r="Z453" s="4" t="s">
        <v>234</v>
      </c>
      <c r="AA453" s="4" t="s">
        <v>234</v>
      </c>
      <c r="AC453" s="4" t="s">
        <v>2923</v>
      </c>
    </row>
    <row r="454" spans="1:29" hidden="1" x14ac:dyDescent="0.4">
      <c r="A454" s="4" t="s">
        <v>216</v>
      </c>
      <c r="B454" s="4">
        <v>316</v>
      </c>
      <c r="C454" s="4" t="s">
        <v>217</v>
      </c>
      <c r="D454" s="4" t="s">
        <v>1936</v>
      </c>
      <c r="E454" s="4" t="s">
        <v>1937</v>
      </c>
      <c r="F454" s="4" t="s">
        <v>1938</v>
      </c>
      <c r="H454" s="4" t="s">
        <v>1375</v>
      </c>
      <c r="I454" s="4" t="s">
        <v>34</v>
      </c>
      <c r="J454" s="4" t="s">
        <v>1939</v>
      </c>
      <c r="K454" s="4" t="s">
        <v>224</v>
      </c>
      <c r="L454" s="5" t="s">
        <v>1940</v>
      </c>
      <c r="M454" s="4" t="s">
        <v>1941</v>
      </c>
      <c r="N454" s="4" t="s">
        <v>1942</v>
      </c>
      <c r="P454" s="4" t="s">
        <v>1943</v>
      </c>
      <c r="Q454" s="4" t="s">
        <v>1944</v>
      </c>
      <c r="R454" s="4" t="s">
        <v>1945</v>
      </c>
      <c r="S454" s="4" t="s">
        <v>257</v>
      </c>
      <c r="T454" s="7">
        <v>44253</v>
      </c>
      <c r="U454" s="4">
        <v>0</v>
      </c>
      <c r="V454" s="4">
        <v>13</v>
      </c>
      <c r="W454" s="4" t="s">
        <v>240</v>
      </c>
      <c r="Y454" s="4" t="s">
        <v>233</v>
      </c>
      <c r="Z454" s="4" t="s">
        <v>234</v>
      </c>
      <c r="AA454" s="4" t="s">
        <v>234</v>
      </c>
      <c r="AC454" s="4" t="s">
        <v>2923</v>
      </c>
    </row>
    <row r="455" spans="1:29" hidden="1" x14ac:dyDescent="0.4">
      <c r="A455" s="4" t="s">
        <v>216</v>
      </c>
      <c r="B455" s="4">
        <v>1276</v>
      </c>
      <c r="C455" s="4" t="s">
        <v>315</v>
      </c>
      <c r="D455" s="4" t="s">
        <v>1946</v>
      </c>
      <c r="E455" s="4" t="s">
        <v>1947</v>
      </c>
      <c r="F455" s="4" t="s">
        <v>1948</v>
      </c>
      <c r="H455" s="4" t="s">
        <v>1949</v>
      </c>
      <c r="I455" s="4" t="s">
        <v>154</v>
      </c>
      <c r="J455" s="4" t="s">
        <v>1950</v>
      </c>
      <c r="K455" s="4" t="s">
        <v>224</v>
      </c>
      <c r="L455" s="6" t="s">
        <v>1951</v>
      </c>
      <c r="M455" s="4" t="s">
        <v>1952</v>
      </c>
      <c r="N455" s="4" t="s">
        <v>1953</v>
      </c>
      <c r="P455" s="4" t="s">
        <v>1954</v>
      </c>
      <c r="Q455" s="4" t="s">
        <v>1955</v>
      </c>
      <c r="R455" s="4" t="s">
        <v>53</v>
      </c>
      <c r="S455" s="4" t="s">
        <v>257</v>
      </c>
      <c r="T455" s="7">
        <v>42627</v>
      </c>
      <c r="U455" s="4">
        <v>0</v>
      </c>
      <c r="V455" s="4">
        <v>4</v>
      </c>
      <c r="W455" s="4" t="s">
        <v>314</v>
      </c>
      <c r="Y455" s="4" t="s">
        <v>233</v>
      </c>
      <c r="Z455" s="4" t="s">
        <v>234</v>
      </c>
      <c r="AA455" s="4" t="s">
        <v>233</v>
      </c>
      <c r="AC455" s="4" t="s">
        <v>2923</v>
      </c>
    </row>
    <row r="456" spans="1:29" hidden="1" x14ac:dyDescent="0.4">
      <c r="A456" s="4" t="s">
        <v>216</v>
      </c>
      <c r="B456" s="4">
        <v>1276</v>
      </c>
      <c r="C456" s="4" t="s">
        <v>315</v>
      </c>
      <c r="D456" s="4" t="s">
        <v>1946</v>
      </c>
      <c r="E456" s="4" t="s">
        <v>1947</v>
      </c>
      <c r="F456" s="4" t="s">
        <v>1948</v>
      </c>
      <c r="H456" s="4" t="s">
        <v>1949</v>
      </c>
      <c r="I456" s="4" t="s">
        <v>154</v>
      </c>
      <c r="J456" s="4" t="s">
        <v>1950</v>
      </c>
      <c r="K456" s="4" t="s">
        <v>224</v>
      </c>
      <c r="L456" s="6" t="s">
        <v>1951</v>
      </c>
      <c r="M456" s="4" t="s">
        <v>1952</v>
      </c>
      <c r="N456" s="4" t="s">
        <v>1953</v>
      </c>
      <c r="P456" s="4" t="s">
        <v>1954</v>
      </c>
      <c r="Q456" s="4" t="s">
        <v>1955</v>
      </c>
      <c r="R456" s="4" t="s">
        <v>53</v>
      </c>
      <c r="S456" s="4" t="s">
        <v>257</v>
      </c>
      <c r="T456" s="7">
        <v>42627</v>
      </c>
      <c r="U456" s="4">
        <v>0</v>
      </c>
      <c r="V456" s="4">
        <v>10</v>
      </c>
      <c r="W456" s="4" t="s">
        <v>314</v>
      </c>
      <c r="Y456" s="4" t="s">
        <v>233</v>
      </c>
      <c r="Z456" s="4" t="s">
        <v>234</v>
      </c>
      <c r="AA456" s="4" t="s">
        <v>233</v>
      </c>
      <c r="AC456" s="4" t="s">
        <v>2923</v>
      </c>
    </row>
    <row r="457" spans="1:29" hidden="1" x14ac:dyDescent="0.4">
      <c r="A457" s="4" t="s">
        <v>216</v>
      </c>
      <c r="B457" s="4">
        <v>1156</v>
      </c>
      <c r="C457" s="4" t="s">
        <v>242</v>
      </c>
      <c r="D457" s="4" t="s">
        <v>566</v>
      </c>
      <c r="E457" s="4" t="s">
        <v>1947</v>
      </c>
      <c r="F457" s="4" t="s">
        <v>1948</v>
      </c>
      <c r="H457" s="4" t="s">
        <v>1949</v>
      </c>
      <c r="I457" s="4" t="s">
        <v>154</v>
      </c>
      <c r="J457" s="4" t="s">
        <v>1950</v>
      </c>
      <c r="K457" s="4" t="s">
        <v>224</v>
      </c>
      <c r="L457" s="5" t="s">
        <v>1956</v>
      </c>
      <c r="M457" s="4" t="s">
        <v>1957</v>
      </c>
      <c r="N457" s="4" t="s">
        <v>1958</v>
      </c>
      <c r="P457" s="4" t="s">
        <v>1964</v>
      </c>
      <c r="Q457" s="4" t="s">
        <v>1965</v>
      </c>
      <c r="R457" s="4" t="s">
        <v>53</v>
      </c>
      <c r="S457" s="4" t="s">
        <v>257</v>
      </c>
      <c r="T457" s="7">
        <v>44792</v>
      </c>
      <c r="U457" s="4">
        <v>0</v>
      </c>
      <c r="V457" s="4">
        <v>4</v>
      </c>
      <c r="W457" s="4" t="s">
        <v>314</v>
      </c>
      <c r="Y457" s="4" t="s">
        <v>233</v>
      </c>
      <c r="Z457" s="4" t="s">
        <v>234</v>
      </c>
      <c r="AA457" s="4" t="s">
        <v>234</v>
      </c>
      <c r="AC457" s="4" t="s">
        <v>2923</v>
      </c>
    </row>
    <row r="458" spans="1:29" hidden="1" x14ac:dyDescent="0.4">
      <c r="A458" s="4" t="s">
        <v>216</v>
      </c>
      <c r="B458" s="4">
        <v>1156</v>
      </c>
      <c r="C458" s="4" t="s">
        <v>242</v>
      </c>
      <c r="D458" s="4" t="s">
        <v>566</v>
      </c>
      <c r="E458" s="4" t="s">
        <v>1947</v>
      </c>
      <c r="F458" s="4" t="s">
        <v>1948</v>
      </c>
      <c r="H458" s="4" t="s">
        <v>1949</v>
      </c>
      <c r="I458" s="4" t="s">
        <v>154</v>
      </c>
      <c r="J458" s="4" t="s">
        <v>1950</v>
      </c>
      <c r="K458" s="4" t="s">
        <v>224</v>
      </c>
      <c r="L458" s="5" t="s">
        <v>1956</v>
      </c>
      <c r="M458" s="4" t="s">
        <v>1957</v>
      </c>
      <c r="N458" s="4" t="s">
        <v>1958</v>
      </c>
      <c r="P458" s="4" t="s">
        <v>1964</v>
      </c>
      <c r="Q458" s="4" t="s">
        <v>1965</v>
      </c>
      <c r="R458" s="4" t="s">
        <v>53</v>
      </c>
      <c r="S458" s="4" t="s">
        <v>257</v>
      </c>
      <c r="T458" s="7">
        <v>44792</v>
      </c>
      <c r="U458" s="4">
        <v>0</v>
      </c>
      <c r="V458" s="4">
        <v>10</v>
      </c>
      <c r="W458" s="4" t="s">
        <v>433</v>
      </c>
      <c r="Y458" s="4" t="s">
        <v>233</v>
      </c>
      <c r="Z458" s="4" t="s">
        <v>234</v>
      </c>
      <c r="AA458" s="4" t="s">
        <v>234</v>
      </c>
      <c r="AC458" s="4" t="s">
        <v>2923</v>
      </c>
    </row>
    <row r="459" spans="1:29" hidden="1" x14ac:dyDescent="0.4">
      <c r="A459" s="4" t="s">
        <v>216</v>
      </c>
      <c r="B459" s="4">
        <v>1307</v>
      </c>
      <c r="C459" s="4" t="s">
        <v>242</v>
      </c>
      <c r="D459" s="4" t="s">
        <v>2835</v>
      </c>
      <c r="E459" s="4" t="s">
        <v>2834</v>
      </c>
      <c r="F459" s="4" t="s">
        <v>1966</v>
      </c>
      <c r="G459" s="4" t="s">
        <v>1967</v>
      </c>
      <c r="H459" s="4" t="s">
        <v>1968</v>
      </c>
      <c r="I459" s="4" t="s">
        <v>143</v>
      </c>
      <c r="J459" s="4" t="s">
        <v>1969</v>
      </c>
      <c r="K459" s="4" t="s">
        <v>224</v>
      </c>
      <c r="L459" s="6" t="s">
        <v>1970</v>
      </c>
      <c r="M459" s="4" t="s">
        <v>1971</v>
      </c>
      <c r="N459" s="4" t="s">
        <v>1972</v>
      </c>
      <c r="P459" s="4" t="s">
        <v>2885</v>
      </c>
      <c r="Q459" s="4" t="s">
        <v>1973</v>
      </c>
      <c r="R459" s="4" t="s">
        <v>53</v>
      </c>
      <c r="S459" s="4" t="s">
        <v>231</v>
      </c>
      <c r="T459" s="7">
        <v>44121</v>
      </c>
      <c r="U459" s="4">
        <v>0</v>
      </c>
      <c r="V459" s="4">
        <v>5</v>
      </c>
      <c r="W459" s="4" t="s">
        <v>314</v>
      </c>
      <c r="X459" s="4" t="s">
        <v>293</v>
      </c>
      <c r="Y459" s="4" t="s">
        <v>233</v>
      </c>
      <c r="Z459" s="4" t="s">
        <v>234</v>
      </c>
      <c r="AA459" s="4" t="s">
        <v>234</v>
      </c>
      <c r="AC459" s="4" t="s">
        <v>2923</v>
      </c>
    </row>
    <row r="460" spans="1:29" hidden="1" x14ac:dyDescent="0.4">
      <c r="A460" s="4" t="s">
        <v>216</v>
      </c>
      <c r="B460" s="4">
        <v>1307</v>
      </c>
      <c r="C460" s="4" t="s">
        <v>242</v>
      </c>
      <c r="D460" s="4" t="s">
        <v>2835</v>
      </c>
      <c r="E460" s="4" t="s">
        <v>2834</v>
      </c>
      <c r="F460" s="4" t="s">
        <v>1966</v>
      </c>
      <c r="G460" s="4" t="s">
        <v>1967</v>
      </c>
      <c r="H460" s="4" t="s">
        <v>1968</v>
      </c>
      <c r="I460" s="4" t="s">
        <v>143</v>
      </c>
      <c r="J460" s="4" t="s">
        <v>1969</v>
      </c>
      <c r="K460" s="4" t="s">
        <v>224</v>
      </c>
      <c r="L460" s="6" t="s">
        <v>1970</v>
      </c>
      <c r="M460" s="4" t="s">
        <v>1971</v>
      </c>
      <c r="N460" s="4" t="s">
        <v>1972</v>
      </c>
      <c r="P460" s="4" t="s">
        <v>2885</v>
      </c>
      <c r="Q460" s="4" t="s">
        <v>1973</v>
      </c>
      <c r="R460" s="4" t="s">
        <v>53</v>
      </c>
      <c r="S460" s="4" t="s">
        <v>231</v>
      </c>
      <c r="T460" s="7">
        <v>44121</v>
      </c>
      <c r="U460" s="4">
        <v>0</v>
      </c>
      <c r="V460" s="4">
        <v>6</v>
      </c>
      <c r="X460" s="4" t="s">
        <v>293</v>
      </c>
      <c r="Y460" s="4" t="s">
        <v>233</v>
      </c>
      <c r="Z460" s="4" t="s">
        <v>234</v>
      </c>
      <c r="AA460" s="4" t="s">
        <v>234</v>
      </c>
      <c r="AC460" s="4" t="s">
        <v>2923</v>
      </c>
    </row>
    <row r="461" spans="1:29" hidden="1" x14ac:dyDescent="0.4">
      <c r="A461" s="4" t="s">
        <v>216</v>
      </c>
      <c r="B461" s="4">
        <v>1307</v>
      </c>
      <c r="C461" s="4" t="s">
        <v>242</v>
      </c>
      <c r="D461" s="4" t="s">
        <v>2835</v>
      </c>
      <c r="E461" s="4" t="s">
        <v>2834</v>
      </c>
      <c r="F461" s="4" t="s">
        <v>1966</v>
      </c>
      <c r="G461" s="4" t="s">
        <v>1967</v>
      </c>
      <c r="H461" s="4" t="s">
        <v>1968</v>
      </c>
      <c r="I461" s="4" t="s">
        <v>143</v>
      </c>
      <c r="J461" s="4" t="s">
        <v>1969</v>
      </c>
      <c r="K461" s="4" t="s">
        <v>224</v>
      </c>
      <c r="L461" s="6" t="s">
        <v>1970</v>
      </c>
      <c r="M461" s="4" t="s">
        <v>1971</v>
      </c>
      <c r="N461" s="4" t="s">
        <v>1972</v>
      </c>
      <c r="P461" s="4" t="s">
        <v>2885</v>
      </c>
      <c r="Q461" s="4" t="s">
        <v>1973</v>
      </c>
      <c r="R461" s="4" t="s">
        <v>53</v>
      </c>
      <c r="S461" s="4" t="s">
        <v>231</v>
      </c>
      <c r="T461" s="7">
        <v>44121</v>
      </c>
      <c r="U461" s="4">
        <v>0</v>
      </c>
      <c r="V461" s="4">
        <v>11</v>
      </c>
      <c r="W461" s="4" t="s">
        <v>314</v>
      </c>
      <c r="X461" s="4" t="s">
        <v>293</v>
      </c>
      <c r="Y461" s="4" t="s">
        <v>233</v>
      </c>
      <c r="Z461" s="4" t="s">
        <v>234</v>
      </c>
      <c r="AA461" s="4" t="s">
        <v>234</v>
      </c>
      <c r="AC461" s="4" t="s">
        <v>2923</v>
      </c>
    </row>
    <row r="462" spans="1:29" hidden="1" x14ac:dyDescent="0.4">
      <c r="A462" s="4" t="s">
        <v>216</v>
      </c>
      <c r="B462" s="4">
        <v>1307</v>
      </c>
      <c r="C462" s="4" t="s">
        <v>242</v>
      </c>
      <c r="D462" s="4" t="s">
        <v>2835</v>
      </c>
      <c r="E462" s="4" t="s">
        <v>2834</v>
      </c>
      <c r="F462" s="4" t="s">
        <v>1966</v>
      </c>
      <c r="G462" s="4" t="s">
        <v>1967</v>
      </c>
      <c r="H462" s="4" t="s">
        <v>1968</v>
      </c>
      <c r="I462" s="4" t="s">
        <v>143</v>
      </c>
      <c r="J462" s="4" t="s">
        <v>1969</v>
      </c>
      <c r="K462" s="4" t="s">
        <v>224</v>
      </c>
      <c r="L462" s="6" t="s">
        <v>1970</v>
      </c>
      <c r="M462" s="4" t="s">
        <v>1971</v>
      </c>
      <c r="N462" s="4" t="s">
        <v>1972</v>
      </c>
      <c r="P462" s="4" t="s">
        <v>2885</v>
      </c>
      <c r="Q462" s="4" t="s">
        <v>1973</v>
      </c>
      <c r="R462" s="4" t="s">
        <v>53</v>
      </c>
      <c r="S462" s="4" t="s">
        <v>231</v>
      </c>
      <c r="T462" s="7">
        <v>44121</v>
      </c>
      <c r="U462" s="4">
        <v>0</v>
      </c>
      <c r="V462" s="4">
        <v>12</v>
      </c>
      <c r="X462" s="4" t="s">
        <v>293</v>
      </c>
      <c r="Y462" s="4" t="s">
        <v>233</v>
      </c>
      <c r="Z462" s="4" t="s">
        <v>234</v>
      </c>
      <c r="AA462" s="4" t="s">
        <v>234</v>
      </c>
      <c r="AC462" s="4" t="s">
        <v>2923</v>
      </c>
    </row>
    <row r="463" spans="1:29" hidden="1" x14ac:dyDescent="0.4">
      <c r="A463" s="4" t="s">
        <v>216</v>
      </c>
      <c r="B463" s="4">
        <v>2375</v>
      </c>
      <c r="C463" s="4" t="s">
        <v>315</v>
      </c>
      <c r="D463" s="4" t="s">
        <v>2836</v>
      </c>
      <c r="E463" s="4" t="s">
        <v>2837</v>
      </c>
      <c r="F463" s="4" t="s">
        <v>1974</v>
      </c>
      <c r="H463" s="4" t="s">
        <v>1975</v>
      </c>
      <c r="I463" s="4" t="s">
        <v>1976</v>
      </c>
      <c r="J463" s="4" t="s">
        <v>1977</v>
      </c>
      <c r="K463" s="4" t="s">
        <v>224</v>
      </c>
      <c r="L463" s="6" t="s">
        <v>1978</v>
      </c>
      <c r="M463" s="4" t="s">
        <v>1979</v>
      </c>
      <c r="N463" s="4" t="s">
        <v>1980</v>
      </c>
      <c r="P463" s="4" t="s">
        <v>1981</v>
      </c>
      <c r="Q463" s="4" t="s">
        <v>1982</v>
      </c>
      <c r="R463" s="4" t="s">
        <v>313</v>
      </c>
      <c r="S463" s="4" t="s">
        <v>231</v>
      </c>
      <c r="T463" s="7">
        <v>44066</v>
      </c>
      <c r="U463" s="4">
        <v>0</v>
      </c>
      <c r="V463" s="4">
        <v>5</v>
      </c>
      <c r="W463" s="4" t="s">
        <v>314</v>
      </c>
      <c r="X463" s="4" t="s">
        <v>464</v>
      </c>
      <c r="Y463" s="4" t="s">
        <v>233</v>
      </c>
      <c r="Z463" s="4" t="s">
        <v>234</v>
      </c>
      <c r="AA463" s="4" t="s">
        <v>234</v>
      </c>
      <c r="AC463" s="4" t="s">
        <v>2923</v>
      </c>
    </row>
    <row r="464" spans="1:29" hidden="1" x14ac:dyDescent="0.4">
      <c r="A464" s="4" t="s">
        <v>216</v>
      </c>
      <c r="B464" s="4">
        <v>2375</v>
      </c>
      <c r="C464" s="4" t="s">
        <v>315</v>
      </c>
      <c r="D464" s="4" t="s">
        <v>2836</v>
      </c>
      <c r="E464" s="4" t="s">
        <v>2837</v>
      </c>
      <c r="F464" s="4" t="s">
        <v>1974</v>
      </c>
      <c r="H464" s="4" t="s">
        <v>1975</v>
      </c>
      <c r="I464" s="4" t="s">
        <v>1976</v>
      </c>
      <c r="J464" s="4" t="s">
        <v>1977</v>
      </c>
      <c r="K464" s="4" t="s">
        <v>224</v>
      </c>
      <c r="L464" s="6" t="s">
        <v>1978</v>
      </c>
      <c r="M464" s="4" t="s">
        <v>1979</v>
      </c>
      <c r="N464" s="4" t="s">
        <v>1980</v>
      </c>
      <c r="P464" s="4" t="s">
        <v>1981</v>
      </c>
      <c r="Q464" s="4" t="s">
        <v>1982</v>
      </c>
      <c r="R464" s="4" t="s">
        <v>313</v>
      </c>
      <c r="S464" s="4" t="s">
        <v>231</v>
      </c>
      <c r="T464" s="7">
        <v>44066</v>
      </c>
      <c r="U464" s="4">
        <v>0</v>
      </c>
      <c r="V464" s="4">
        <v>6</v>
      </c>
      <c r="X464" s="4" t="s">
        <v>464</v>
      </c>
      <c r="Y464" s="4" t="s">
        <v>233</v>
      </c>
      <c r="Z464" s="4" t="s">
        <v>234</v>
      </c>
      <c r="AA464" s="4" t="s">
        <v>234</v>
      </c>
      <c r="AC464" s="4" t="s">
        <v>2923</v>
      </c>
    </row>
    <row r="465" spans="1:29" hidden="1" x14ac:dyDescent="0.4">
      <c r="A465" s="4" t="s">
        <v>216</v>
      </c>
      <c r="B465" s="4">
        <v>2375</v>
      </c>
      <c r="C465" s="4" t="s">
        <v>315</v>
      </c>
      <c r="D465" s="4" t="s">
        <v>2836</v>
      </c>
      <c r="E465" s="4" t="s">
        <v>2837</v>
      </c>
      <c r="F465" s="4" t="s">
        <v>1974</v>
      </c>
      <c r="H465" s="4" t="s">
        <v>1975</v>
      </c>
      <c r="I465" s="4" t="s">
        <v>1976</v>
      </c>
      <c r="J465" s="4" t="s">
        <v>1977</v>
      </c>
      <c r="K465" s="4" t="s">
        <v>224</v>
      </c>
      <c r="L465" s="6" t="s">
        <v>1978</v>
      </c>
      <c r="M465" s="4" t="s">
        <v>1979</v>
      </c>
      <c r="N465" s="4" t="s">
        <v>1980</v>
      </c>
      <c r="P465" s="4" t="s">
        <v>1981</v>
      </c>
      <c r="Q465" s="4" t="s">
        <v>1982</v>
      </c>
      <c r="R465" s="4" t="s">
        <v>313</v>
      </c>
      <c r="S465" s="4" t="s">
        <v>231</v>
      </c>
      <c r="T465" s="7">
        <v>44066</v>
      </c>
      <c r="U465" s="4">
        <v>0</v>
      </c>
      <c r="V465" s="4">
        <v>11</v>
      </c>
      <c r="W465" s="4" t="s">
        <v>314</v>
      </c>
      <c r="X465" s="4" t="s">
        <v>464</v>
      </c>
      <c r="Y465" s="4" t="s">
        <v>233</v>
      </c>
      <c r="Z465" s="4" t="s">
        <v>234</v>
      </c>
      <c r="AA465" s="4" t="s">
        <v>234</v>
      </c>
      <c r="AC465" s="4" t="s">
        <v>2923</v>
      </c>
    </row>
    <row r="466" spans="1:29" hidden="1" x14ac:dyDescent="0.4">
      <c r="A466" s="4" t="s">
        <v>216</v>
      </c>
      <c r="B466" s="4">
        <v>2375</v>
      </c>
      <c r="C466" s="4" t="s">
        <v>315</v>
      </c>
      <c r="D466" s="4" t="s">
        <v>2836</v>
      </c>
      <c r="E466" s="4" t="s">
        <v>2837</v>
      </c>
      <c r="F466" s="4" t="s">
        <v>1974</v>
      </c>
      <c r="H466" s="4" t="s">
        <v>1975</v>
      </c>
      <c r="I466" s="4" t="s">
        <v>1976</v>
      </c>
      <c r="J466" s="4" t="s">
        <v>1977</v>
      </c>
      <c r="K466" s="4" t="s">
        <v>224</v>
      </c>
      <c r="L466" s="6" t="s">
        <v>1978</v>
      </c>
      <c r="M466" s="4" t="s">
        <v>1979</v>
      </c>
      <c r="N466" s="4" t="s">
        <v>1980</v>
      </c>
      <c r="P466" s="4" t="s">
        <v>1981</v>
      </c>
      <c r="Q466" s="4" t="s">
        <v>1982</v>
      </c>
      <c r="R466" s="4" t="s">
        <v>313</v>
      </c>
      <c r="S466" s="4" t="s">
        <v>231</v>
      </c>
      <c r="T466" s="7">
        <v>44066</v>
      </c>
      <c r="U466" s="4">
        <v>0</v>
      </c>
      <c r="V466" s="4">
        <v>12</v>
      </c>
      <c r="X466" s="4" t="s">
        <v>464</v>
      </c>
      <c r="Y466" s="4" t="s">
        <v>233</v>
      </c>
      <c r="Z466" s="4" t="s">
        <v>234</v>
      </c>
      <c r="AA466" s="4" t="s">
        <v>234</v>
      </c>
      <c r="AC466" s="4" t="s">
        <v>2923</v>
      </c>
    </row>
    <row r="467" spans="1:29" x14ac:dyDescent="0.4">
      <c r="A467" s="4" t="s">
        <v>216</v>
      </c>
      <c r="B467" s="4">
        <v>4138</v>
      </c>
      <c r="C467" s="4" t="s">
        <v>242</v>
      </c>
      <c r="D467" s="4" t="s">
        <v>1167</v>
      </c>
      <c r="E467" s="4" t="s">
        <v>1983</v>
      </c>
      <c r="F467" s="4" t="s">
        <v>1984</v>
      </c>
      <c r="G467" s="4" t="s">
        <v>1985</v>
      </c>
      <c r="H467" s="4" t="s">
        <v>376</v>
      </c>
      <c r="I467" s="4" t="s">
        <v>610</v>
      </c>
      <c r="J467" s="4" t="s">
        <v>1986</v>
      </c>
      <c r="K467" s="4" t="s">
        <v>224</v>
      </c>
      <c r="L467" s="6" t="s">
        <v>1987</v>
      </c>
      <c r="M467" s="4" t="s">
        <v>1988</v>
      </c>
      <c r="N467" s="4" t="s">
        <v>1989</v>
      </c>
      <c r="P467" s="4" t="s">
        <v>2886</v>
      </c>
      <c r="Q467" s="4" t="s">
        <v>2000</v>
      </c>
      <c r="R467" s="4" t="s">
        <v>32</v>
      </c>
      <c r="S467" s="4" t="s">
        <v>257</v>
      </c>
      <c r="T467" s="7">
        <v>44165</v>
      </c>
      <c r="U467" s="4">
        <v>0</v>
      </c>
      <c r="V467" s="4">
        <v>4</v>
      </c>
      <c r="W467" s="4" t="s">
        <v>97</v>
      </c>
      <c r="X467" s="4" t="s">
        <v>1992</v>
      </c>
      <c r="Y467" s="4" t="s">
        <v>233</v>
      </c>
      <c r="Z467" s="4" t="s">
        <v>234</v>
      </c>
      <c r="AA467" s="4" t="s">
        <v>234</v>
      </c>
      <c r="AB467" s="4" t="s">
        <v>1993</v>
      </c>
      <c r="AC467" s="4" t="s">
        <v>2923</v>
      </c>
    </row>
    <row r="468" spans="1:29" hidden="1" x14ac:dyDescent="0.4">
      <c r="A468" s="4" t="s">
        <v>216</v>
      </c>
      <c r="B468" s="4">
        <v>2247</v>
      </c>
      <c r="C468" s="4" t="s">
        <v>242</v>
      </c>
      <c r="D468" s="4" t="s">
        <v>1348</v>
      </c>
      <c r="E468" s="4" t="s">
        <v>2010</v>
      </c>
      <c r="F468" s="4" t="s">
        <v>2011</v>
      </c>
      <c r="G468" s="4" t="s">
        <v>2012</v>
      </c>
      <c r="H468" s="4" t="s">
        <v>2013</v>
      </c>
      <c r="I468" s="4" t="s">
        <v>2014</v>
      </c>
      <c r="J468" s="4" t="s">
        <v>2015</v>
      </c>
      <c r="K468" s="4" t="s">
        <v>224</v>
      </c>
      <c r="L468" s="6" t="s">
        <v>2016</v>
      </c>
      <c r="M468" s="4" t="s">
        <v>2017</v>
      </c>
      <c r="N468" s="4" t="s">
        <v>2018</v>
      </c>
      <c r="P468" s="4" t="s">
        <v>2019</v>
      </c>
      <c r="Q468" s="4" t="s">
        <v>2020</v>
      </c>
      <c r="R468" s="4" t="s">
        <v>32</v>
      </c>
      <c r="S468" s="4" t="s">
        <v>257</v>
      </c>
      <c r="T468" s="7">
        <v>44097</v>
      </c>
      <c r="U468" s="4">
        <v>0</v>
      </c>
      <c r="V468" s="4">
        <v>13</v>
      </c>
      <c r="W468" s="4" t="s">
        <v>240</v>
      </c>
      <c r="Y468" s="4" t="s">
        <v>233</v>
      </c>
      <c r="Z468" s="4" t="s">
        <v>234</v>
      </c>
      <c r="AA468" s="4" t="s">
        <v>234</v>
      </c>
      <c r="AC468" s="4" t="s">
        <v>2923</v>
      </c>
    </row>
    <row r="469" spans="1:29" hidden="1" x14ac:dyDescent="0.4">
      <c r="A469" s="4" t="s">
        <v>216</v>
      </c>
      <c r="B469" s="4">
        <v>3887</v>
      </c>
      <c r="C469" s="4" t="s">
        <v>242</v>
      </c>
      <c r="D469" s="4" t="s">
        <v>2021</v>
      </c>
      <c r="E469" s="4" t="s">
        <v>2022</v>
      </c>
      <c r="F469" s="4" t="s">
        <v>2023</v>
      </c>
      <c r="H469" s="4" t="s">
        <v>2024</v>
      </c>
      <c r="I469" s="4" t="s">
        <v>2025</v>
      </c>
      <c r="J469" s="4" t="s">
        <v>2026</v>
      </c>
      <c r="K469" s="4" t="s">
        <v>224</v>
      </c>
      <c r="L469" s="6" t="s">
        <v>2027</v>
      </c>
      <c r="M469" s="4" t="s">
        <v>2028</v>
      </c>
      <c r="N469" s="4" t="s">
        <v>2029</v>
      </c>
      <c r="P469" s="4" t="s">
        <v>2030</v>
      </c>
      <c r="Q469" s="4" t="s">
        <v>2031</v>
      </c>
      <c r="R469" s="4" t="s">
        <v>53</v>
      </c>
      <c r="S469" s="4" t="s">
        <v>231</v>
      </c>
      <c r="T469" s="7">
        <v>44792</v>
      </c>
      <c r="U469" s="4">
        <v>0</v>
      </c>
      <c r="V469" s="4">
        <v>5</v>
      </c>
      <c r="W469" s="4" t="s">
        <v>314</v>
      </c>
      <c r="X469" s="4" t="s">
        <v>293</v>
      </c>
      <c r="Y469" s="4" t="s">
        <v>233</v>
      </c>
      <c r="Z469" s="4" t="s">
        <v>234</v>
      </c>
      <c r="AA469" s="4" t="s">
        <v>234</v>
      </c>
      <c r="AC469" s="4" t="s">
        <v>2923</v>
      </c>
    </row>
    <row r="470" spans="1:29" hidden="1" x14ac:dyDescent="0.4">
      <c r="A470" s="4" t="s">
        <v>216</v>
      </c>
      <c r="B470" s="4">
        <v>3887</v>
      </c>
      <c r="C470" s="4" t="s">
        <v>242</v>
      </c>
      <c r="D470" s="4" t="s">
        <v>2021</v>
      </c>
      <c r="E470" s="4" t="s">
        <v>2022</v>
      </c>
      <c r="F470" s="4" t="s">
        <v>2023</v>
      </c>
      <c r="H470" s="4" t="s">
        <v>2024</v>
      </c>
      <c r="I470" s="4" t="s">
        <v>2025</v>
      </c>
      <c r="J470" s="4" t="s">
        <v>2026</v>
      </c>
      <c r="K470" s="4" t="s">
        <v>224</v>
      </c>
      <c r="L470" s="6" t="s">
        <v>2027</v>
      </c>
      <c r="M470" s="4" t="s">
        <v>2028</v>
      </c>
      <c r="N470" s="4" t="s">
        <v>2029</v>
      </c>
      <c r="P470" s="4" t="s">
        <v>2030</v>
      </c>
      <c r="Q470" s="4" t="s">
        <v>2031</v>
      </c>
      <c r="R470" s="4" t="s">
        <v>53</v>
      </c>
      <c r="S470" s="4" t="s">
        <v>231</v>
      </c>
      <c r="T470" s="7">
        <v>44792</v>
      </c>
      <c r="U470" s="4">
        <v>0</v>
      </c>
      <c r="V470" s="4">
        <v>4</v>
      </c>
      <c r="W470" s="4" t="s">
        <v>314</v>
      </c>
      <c r="X470" s="4" t="s">
        <v>293</v>
      </c>
      <c r="Y470" s="4" t="s">
        <v>233</v>
      </c>
      <c r="Z470" s="4" t="s">
        <v>234</v>
      </c>
      <c r="AA470" s="4" t="s">
        <v>234</v>
      </c>
      <c r="AC470" s="4" t="s">
        <v>2923</v>
      </c>
    </row>
    <row r="471" spans="1:29" hidden="1" x14ac:dyDescent="0.4">
      <c r="A471" s="4" t="s">
        <v>216</v>
      </c>
      <c r="B471" s="4">
        <v>3887</v>
      </c>
      <c r="C471" s="4" t="s">
        <v>242</v>
      </c>
      <c r="D471" s="4" t="s">
        <v>2021</v>
      </c>
      <c r="E471" s="4" t="s">
        <v>2022</v>
      </c>
      <c r="F471" s="4" t="s">
        <v>2023</v>
      </c>
      <c r="H471" s="4" t="s">
        <v>2024</v>
      </c>
      <c r="I471" s="4" t="s">
        <v>2025</v>
      </c>
      <c r="J471" s="4" t="s">
        <v>2026</v>
      </c>
      <c r="K471" s="4" t="s">
        <v>224</v>
      </c>
      <c r="L471" s="6" t="s">
        <v>2027</v>
      </c>
      <c r="M471" s="4" t="s">
        <v>2028</v>
      </c>
      <c r="N471" s="4" t="s">
        <v>2029</v>
      </c>
      <c r="P471" s="4" t="s">
        <v>2032</v>
      </c>
      <c r="Q471" s="4" t="s">
        <v>2033</v>
      </c>
      <c r="R471" s="4" t="s">
        <v>53</v>
      </c>
      <c r="S471" s="4" t="s">
        <v>231</v>
      </c>
      <c r="T471" s="7">
        <v>42856</v>
      </c>
      <c r="U471" s="4">
        <v>0</v>
      </c>
      <c r="V471" s="4">
        <v>7</v>
      </c>
      <c r="W471" s="4" t="s">
        <v>238</v>
      </c>
      <c r="X471" s="4" t="s">
        <v>293</v>
      </c>
      <c r="Y471" s="4" t="s">
        <v>233</v>
      </c>
      <c r="Z471" s="4" t="s">
        <v>234</v>
      </c>
      <c r="AA471" s="4" t="s">
        <v>234</v>
      </c>
      <c r="AC471" s="4" t="s">
        <v>2923</v>
      </c>
    </row>
    <row r="472" spans="1:29" hidden="1" x14ac:dyDescent="0.4">
      <c r="A472" s="4" t="s">
        <v>216</v>
      </c>
      <c r="B472" s="4">
        <v>3887</v>
      </c>
      <c r="C472" s="4" t="s">
        <v>242</v>
      </c>
      <c r="D472" s="4" t="s">
        <v>2021</v>
      </c>
      <c r="E472" s="4" t="s">
        <v>2022</v>
      </c>
      <c r="F472" s="4" t="s">
        <v>2023</v>
      </c>
      <c r="H472" s="4" t="s">
        <v>2024</v>
      </c>
      <c r="I472" s="4" t="s">
        <v>2025</v>
      </c>
      <c r="J472" s="4" t="s">
        <v>2026</v>
      </c>
      <c r="K472" s="4" t="s">
        <v>224</v>
      </c>
      <c r="L472" s="6" t="s">
        <v>2027</v>
      </c>
      <c r="M472" s="4" t="s">
        <v>2028</v>
      </c>
      <c r="N472" s="4" t="s">
        <v>2029</v>
      </c>
      <c r="P472" s="4" t="s">
        <v>2030</v>
      </c>
      <c r="Q472" s="4" t="s">
        <v>2031</v>
      </c>
      <c r="R472" s="4" t="s">
        <v>53</v>
      </c>
      <c r="S472" s="4" t="s">
        <v>231</v>
      </c>
      <c r="T472" s="7">
        <v>44792</v>
      </c>
      <c r="U472" s="4">
        <v>0</v>
      </c>
      <c r="V472" s="4">
        <v>10</v>
      </c>
      <c r="W472" s="4" t="s">
        <v>314</v>
      </c>
      <c r="X472" s="4" t="s">
        <v>293</v>
      </c>
      <c r="Y472" s="4" t="s">
        <v>233</v>
      </c>
      <c r="Z472" s="4" t="s">
        <v>234</v>
      </c>
      <c r="AA472" s="4" t="s">
        <v>234</v>
      </c>
      <c r="AC472" s="4" t="s">
        <v>2923</v>
      </c>
    </row>
    <row r="473" spans="1:29" hidden="1" x14ac:dyDescent="0.4">
      <c r="A473" s="4" t="s">
        <v>216</v>
      </c>
      <c r="B473" s="4">
        <v>3887</v>
      </c>
      <c r="C473" s="4" t="s">
        <v>242</v>
      </c>
      <c r="D473" s="4" t="s">
        <v>2021</v>
      </c>
      <c r="E473" s="4" t="s">
        <v>2022</v>
      </c>
      <c r="F473" s="4" t="s">
        <v>2023</v>
      </c>
      <c r="H473" s="4" t="s">
        <v>2024</v>
      </c>
      <c r="I473" s="4" t="s">
        <v>2025</v>
      </c>
      <c r="J473" s="4" t="s">
        <v>2026</v>
      </c>
      <c r="K473" s="4" t="s">
        <v>224</v>
      </c>
      <c r="L473" s="6" t="s">
        <v>2027</v>
      </c>
      <c r="M473" s="4" t="s">
        <v>2028</v>
      </c>
      <c r="N473" s="4" t="s">
        <v>2029</v>
      </c>
      <c r="P473" s="4" t="s">
        <v>2032</v>
      </c>
      <c r="Q473" s="4" t="s">
        <v>2033</v>
      </c>
      <c r="R473" s="4" t="s">
        <v>53</v>
      </c>
      <c r="S473" s="4" t="s">
        <v>231</v>
      </c>
      <c r="T473" s="7">
        <v>42856</v>
      </c>
      <c r="U473" s="4">
        <v>0</v>
      </c>
      <c r="V473" s="4">
        <v>13</v>
      </c>
      <c r="W473" s="4" t="s">
        <v>240</v>
      </c>
      <c r="X473" s="4" t="s">
        <v>293</v>
      </c>
      <c r="Y473" s="4" t="s">
        <v>233</v>
      </c>
      <c r="Z473" s="4" t="s">
        <v>234</v>
      </c>
      <c r="AA473" s="4" t="s">
        <v>234</v>
      </c>
      <c r="AC473" s="4" t="s">
        <v>2923</v>
      </c>
    </row>
    <row r="474" spans="1:29" hidden="1" x14ac:dyDescent="0.4">
      <c r="A474" s="4" t="s">
        <v>216</v>
      </c>
      <c r="B474" s="4">
        <v>4432</v>
      </c>
      <c r="C474" s="4" t="s">
        <v>217</v>
      </c>
      <c r="D474" s="4" t="s">
        <v>178</v>
      </c>
      <c r="E474" s="4" t="s">
        <v>179</v>
      </c>
      <c r="F474" s="4" t="s">
        <v>180</v>
      </c>
      <c r="H474" s="4" t="s">
        <v>181</v>
      </c>
      <c r="I474" s="4" t="s">
        <v>337</v>
      </c>
      <c r="J474" s="4" t="s">
        <v>182</v>
      </c>
      <c r="K474" s="4" t="s">
        <v>224</v>
      </c>
      <c r="L474" s="6" t="s">
        <v>2034</v>
      </c>
      <c r="M474" s="4" t="s">
        <v>184</v>
      </c>
      <c r="N474" s="4" t="s">
        <v>2035</v>
      </c>
      <c r="P474" s="4" t="s">
        <v>2040</v>
      </c>
      <c r="Q474" s="4" t="s">
        <v>2041</v>
      </c>
      <c r="R474" s="4" t="s">
        <v>31</v>
      </c>
      <c r="S474" s="4" t="s">
        <v>257</v>
      </c>
      <c r="T474" s="7">
        <v>44671</v>
      </c>
      <c r="U474" s="4">
        <v>0</v>
      </c>
      <c r="V474" s="4">
        <v>7</v>
      </c>
      <c r="W474" s="4" t="s">
        <v>238</v>
      </c>
      <c r="X474" t="s">
        <v>74</v>
      </c>
      <c r="Y474" s="4" t="s">
        <v>233</v>
      </c>
      <c r="Z474" s="4" t="s">
        <v>234</v>
      </c>
      <c r="AA474" s="4" t="s">
        <v>233</v>
      </c>
      <c r="AC474" s="4" t="s">
        <v>2923</v>
      </c>
    </row>
    <row r="475" spans="1:29" hidden="1" x14ac:dyDescent="0.4">
      <c r="A475" s="4" t="s">
        <v>216</v>
      </c>
      <c r="B475" s="4">
        <v>4432</v>
      </c>
      <c r="C475" s="4" t="s">
        <v>217</v>
      </c>
      <c r="D475" s="4" t="s">
        <v>178</v>
      </c>
      <c r="E475" s="4" t="s">
        <v>179</v>
      </c>
      <c r="F475" s="4" t="s">
        <v>180</v>
      </c>
      <c r="H475" s="4" t="s">
        <v>181</v>
      </c>
      <c r="I475" s="4" t="s">
        <v>337</v>
      </c>
      <c r="J475" s="4" t="s">
        <v>182</v>
      </c>
      <c r="K475" s="4" t="s">
        <v>224</v>
      </c>
      <c r="L475" s="6" t="s">
        <v>2034</v>
      </c>
      <c r="M475" s="4" t="s">
        <v>184</v>
      </c>
      <c r="N475" s="4" t="s">
        <v>2035</v>
      </c>
      <c r="P475" s="4" t="s">
        <v>2040</v>
      </c>
      <c r="Q475" s="4" t="s">
        <v>2041</v>
      </c>
      <c r="R475" s="4" t="s">
        <v>31</v>
      </c>
      <c r="S475" s="4" t="s">
        <v>257</v>
      </c>
      <c r="T475" s="7">
        <v>44671</v>
      </c>
      <c r="U475" s="4">
        <v>0</v>
      </c>
      <c r="V475" s="4">
        <v>13</v>
      </c>
      <c r="W475" s="4" t="s">
        <v>240</v>
      </c>
      <c r="Y475" s="4" t="s">
        <v>233</v>
      </c>
      <c r="Z475" s="4" t="s">
        <v>234</v>
      </c>
      <c r="AA475" s="4" t="s">
        <v>233</v>
      </c>
      <c r="AC475" s="4" t="s">
        <v>2923</v>
      </c>
    </row>
    <row r="476" spans="1:29" x14ac:dyDescent="0.4">
      <c r="A476" s="4" t="s">
        <v>216</v>
      </c>
      <c r="B476" s="4">
        <v>1429</v>
      </c>
      <c r="C476" s="4" t="s">
        <v>242</v>
      </c>
      <c r="D476" s="4" t="s">
        <v>178</v>
      </c>
      <c r="E476" s="4" t="s">
        <v>2042</v>
      </c>
      <c r="F476" s="4" t="s">
        <v>2043</v>
      </c>
      <c r="H476" s="4" t="s">
        <v>2044</v>
      </c>
      <c r="I476" s="4" t="s">
        <v>34</v>
      </c>
      <c r="J476" s="4" t="s">
        <v>2045</v>
      </c>
      <c r="K476" s="4" t="s">
        <v>224</v>
      </c>
      <c r="L476" s="6" t="s">
        <v>2046</v>
      </c>
      <c r="M476" s="4" t="s">
        <v>2047</v>
      </c>
      <c r="N476" s="4" t="s">
        <v>2048</v>
      </c>
      <c r="P476" s="4" t="s">
        <v>2054</v>
      </c>
      <c r="Q476" s="4" t="s">
        <v>2055</v>
      </c>
      <c r="R476" s="4" t="s">
        <v>53</v>
      </c>
      <c r="S476" s="4" t="s">
        <v>257</v>
      </c>
      <c r="T476" s="7">
        <v>42805</v>
      </c>
      <c r="U476" s="4">
        <v>0</v>
      </c>
      <c r="V476" s="4">
        <v>4</v>
      </c>
      <c r="W476" s="4" t="s">
        <v>97</v>
      </c>
      <c r="Y476" s="4" t="s">
        <v>233</v>
      </c>
      <c r="Z476" s="4" t="s">
        <v>234</v>
      </c>
      <c r="AA476" s="4" t="s">
        <v>233</v>
      </c>
      <c r="AB476" s="4" t="s">
        <v>2051</v>
      </c>
      <c r="AC476" s="4" t="s">
        <v>2923</v>
      </c>
    </row>
    <row r="477" spans="1:29" x14ac:dyDescent="0.4">
      <c r="A477" s="4" t="s">
        <v>216</v>
      </c>
      <c r="B477" s="4">
        <v>1429</v>
      </c>
      <c r="C477" s="4" t="s">
        <v>242</v>
      </c>
      <c r="D477" s="4" t="s">
        <v>178</v>
      </c>
      <c r="E477" s="4" t="s">
        <v>2042</v>
      </c>
      <c r="F477" s="4" t="s">
        <v>2043</v>
      </c>
      <c r="H477" s="4" t="s">
        <v>2044</v>
      </c>
      <c r="I477" s="4" t="s">
        <v>34</v>
      </c>
      <c r="J477" s="4" t="s">
        <v>2045</v>
      </c>
      <c r="K477" s="4" t="s">
        <v>224</v>
      </c>
      <c r="L477" s="6" t="s">
        <v>2046</v>
      </c>
      <c r="M477" s="4" t="s">
        <v>2047</v>
      </c>
      <c r="N477" s="4" t="s">
        <v>2048</v>
      </c>
      <c r="P477" s="4" t="s">
        <v>2887</v>
      </c>
      <c r="Q477" s="4" t="s">
        <v>2056</v>
      </c>
      <c r="R477" s="4" t="s">
        <v>53</v>
      </c>
      <c r="S477" s="4" t="s">
        <v>231</v>
      </c>
      <c r="T477" s="7">
        <v>45054</v>
      </c>
      <c r="U477" s="4">
        <v>0</v>
      </c>
      <c r="V477" s="4">
        <v>4</v>
      </c>
      <c r="W477" s="4" t="s">
        <v>2725</v>
      </c>
      <c r="Y477" s="4" t="s">
        <v>233</v>
      </c>
      <c r="Z477" s="4" t="s">
        <v>234</v>
      </c>
      <c r="AA477" s="4" t="s">
        <v>233</v>
      </c>
      <c r="AB477" s="4" t="s">
        <v>2051</v>
      </c>
      <c r="AC477" s="4" t="s">
        <v>2923</v>
      </c>
    </row>
    <row r="478" spans="1:29" hidden="1" x14ac:dyDescent="0.4">
      <c r="A478" s="4" t="s">
        <v>216</v>
      </c>
      <c r="B478" s="4">
        <v>1429</v>
      </c>
      <c r="C478" s="4" t="s">
        <v>242</v>
      </c>
      <c r="D478" s="4" t="s">
        <v>178</v>
      </c>
      <c r="E478" s="4" t="s">
        <v>2042</v>
      </c>
      <c r="F478" s="4" t="s">
        <v>2043</v>
      </c>
      <c r="H478" s="4" t="s">
        <v>2044</v>
      </c>
      <c r="I478" s="4" t="s">
        <v>34</v>
      </c>
      <c r="J478" s="4" t="s">
        <v>2045</v>
      </c>
      <c r="K478" s="4" t="s">
        <v>224</v>
      </c>
      <c r="L478" s="6" t="s">
        <v>2046</v>
      </c>
      <c r="M478" s="4" t="s">
        <v>2047</v>
      </c>
      <c r="N478" s="4" t="s">
        <v>2048</v>
      </c>
      <c r="P478" s="4" t="s">
        <v>2888</v>
      </c>
      <c r="Q478" s="4" t="s">
        <v>2057</v>
      </c>
      <c r="R478" s="4" t="s">
        <v>31</v>
      </c>
      <c r="S478" s="4" t="s">
        <v>257</v>
      </c>
      <c r="T478" s="7">
        <v>44150</v>
      </c>
      <c r="U478" s="4">
        <v>0</v>
      </c>
      <c r="V478" s="4">
        <v>5</v>
      </c>
      <c r="W478" s="4" t="s">
        <v>176</v>
      </c>
      <c r="Y478" s="4" t="s">
        <v>233</v>
      </c>
      <c r="Z478" s="4" t="s">
        <v>234</v>
      </c>
      <c r="AA478" s="4" t="s">
        <v>233</v>
      </c>
      <c r="AB478" s="4" t="s">
        <v>2051</v>
      </c>
      <c r="AC478" s="4" t="s">
        <v>2923</v>
      </c>
    </row>
    <row r="479" spans="1:29" hidden="1" x14ac:dyDescent="0.4">
      <c r="A479" s="4" t="s">
        <v>216</v>
      </c>
      <c r="B479" s="4">
        <v>1429</v>
      </c>
      <c r="C479" s="4" t="s">
        <v>242</v>
      </c>
      <c r="D479" s="4" t="s">
        <v>178</v>
      </c>
      <c r="E479" s="4" t="s">
        <v>2042</v>
      </c>
      <c r="F479" s="4" t="s">
        <v>2043</v>
      </c>
      <c r="H479" s="4" t="s">
        <v>2044</v>
      </c>
      <c r="I479" s="4" t="s">
        <v>34</v>
      </c>
      <c r="J479" s="4" t="s">
        <v>2045</v>
      </c>
      <c r="K479" s="4" t="s">
        <v>224</v>
      </c>
      <c r="L479" s="6" t="s">
        <v>2046</v>
      </c>
      <c r="M479" s="4" t="s">
        <v>2047</v>
      </c>
      <c r="N479" s="4" t="s">
        <v>2048</v>
      </c>
      <c r="P479" s="4" t="s">
        <v>2887</v>
      </c>
      <c r="Q479" s="4" t="s">
        <v>2056</v>
      </c>
      <c r="R479" s="4" t="s">
        <v>53</v>
      </c>
      <c r="S479" s="4" t="s">
        <v>231</v>
      </c>
      <c r="T479" s="7">
        <v>45054</v>
      </c>
      <c r="U479" s="4">
        <v>0</v>
      </c>
      <c r="V479" s="4">
        <v>5</v>
      </c>
      <c r="W479" s="4" t="s">
        <v>176</v>
      </c>
      <c r="Y479" s="4" t="s">
        <v>233</v>
      </c>
      <c r="Z479" s="4" t="s">
        <v>234</v>
      </c>
      <c r="AA479" s="4" t="s">
        <v>233</v>
      </c>
      <c r="AB479" s="4" t="s">
        <v>2051</v>
      </c>
      <c r="AC479" s="4" t="s">
        <v>2923</v>
      </c>
    </row>
    <row r="480" spans="1:29" hidden="1" x14ac:dyDescent="0.4">
      <c r="A480" s="4" t="s">
        <v>216</v>
      </c>
      <c r="B480" s="4">
        <v>1429</v>
      </c>
      <c r="C480" s="4" t="s">
        <v>242</v>
      </c>
      <c r="D480" s="4" t="s">
        <v>178</v>
      </c>
      <c r="E480" s="4" t="s">
        <v>2042</v>
      </c>
      <c r="F480" s="4" t="s">
        <v>2043</v>
      </c>
      <c r="H480" s="4" t="s">
        <v>2044</v>
      </c>
      <c r="I480" s="4" t="s">
        <v>34</v>
      </c>
      <c r="J480" s="4" t="s">
        <v>2045</v>
      </c>
      <c r="K480" s="4" t="s">
        <v>224</v>
      </c>
      <c r="L480" s="6" t="s">
        <v>2046</v>
      </c>
      <c r="M480" s="4" t="s">
        <v>2047</v>
      </c>
      <c r="N480" s="4" t="s">
        <v>2048</v>
      </c>
      <c r="P480" s="4" t="s">
        <v>2888</v>
      </c>
      <c r="Q480" s="4" t="s">
        <v>2057</v>
      </c>
      <c r="R480" s="4" t="s">
        <v>31</v>
      </c>
      <c r="S480" s="4" t="s">
        <v>257</v>
      </c>
      <c r="T480" s="7">
        <v>44150</v>
      </c>
      <c r="U480" s="4">
        <v>0</v>
      </c>
      <c r="V480" s="4">
        <v>6</v>
      </c>
      <c r="Y480" s="4" t="s">
        <v>233</v>
      </c>
      <c r="Z480" s="4" t="s">
        <v>234</v>
      </c>
      <c r="AA480" s="4" t="s">
        <v>233</v>
      </c>
      <c r="AB480" s="4" t="s">
        <v>2051</v>
      </c>
      <c r="AC480" s="4" t="s">
        <v>2923</v>
      </c>
    </row>
    <row r="481" spans="1:29" hidden="1" x14ac:dyDescent="0.4">
      <c r="A481" s="4" t="s">
        <v>216</v>
      </c>
      <c r="B481" s="4">
        <v>1429</v>
      </c>
      <c r="C481" s="4" t="s">
        <v>242</v>
      </c>
      <c r="D481" s="4" t="s">
        <v>178</v>
      </c>
      <c r="E481" s="4" t="s">
        <v>2042</v>
      </c>
      <c r="F481" s="4" t="s">
        <v>2043</v>
      </c>
      <c r="H481" s="4" t="s">
        <v>2044</v>
      </c>
      <c r="I481" s="4" t="s">
        <v>34</v>
      </c>
      <c r="J481" s="4" t="s">
        <v>2045</v>
      </c>
      <c r="K481" s="4" t="s">
        <v>224</v>
      </c>
      <c r="L481" s="6" t="s">
        <v>2046</v>
      </c>
      <c r="M481" s="4" t="s">
        <v>2047</v>
      </c>
      <c r="N481" s="4" t="s">
        <v>2048</v>
      </c>
      <c r="P481" s="4" t="s">
        <v>2054</v>
      </c>
      <c r="Q481" s="4" t="s">
        <v>2055</v>
      </c>
      <c r="R481" s="4" t="s">
        <v>53</v>
      </c>
      <c r="S481" s="4" t="s">
        <v>257</v>
      </c>
      <c r="T481" s="7">
        <v>42805</v>
      </c>
      <c r="U481" s="4">
        <v>0</v>
      </c>
      <c r="V481" s="4">
        <v>10</v>
      </c>
      <c r="W481" s="4" t="s">
        <v>433</v>
      </c>
      <c r="Y481" s="4" t="s">
        <v>233</v>
      </c>
      <c r="Z481" s="4" t="s">
        <v>234</v>
      </c>
      <c r="AA481" s="4" t="s">
        <v>233</v>
      </c>
      <c r="AB481" s="4" t="s">
        <v>2051</v>
      </c>
      <c r="AC481" s="4" t="s">
        <v>2923</v>
      </c>
    </row>
    <row r="482" spans="1:29" hidden="1" x14ac:dyDescent="0.4">
      <c r="A482" s="4" t="s">
        <v>216</v>
      </c>
      <c r="B482" s="4">
        <v>1429</v>
      </c>
      <c r="C482" s="4" t="s">
        <v>242</v>
      </c>
      <c r="D482" s="4" t="s">
        <v>178</v>
      </c>
      <c r="E482" s="4" t="s">
        <v>2042</v>
      </c>
      <c r="F482" s="4" t="s">
        <v>2043</v>
      </c>
      <c r="H482" s="4" t="s">
        <v>2044</v>
      </c>
      <c r="I482" s="4" t="s">
        <v>34</v>
      </c>
      <c r="J482" s="4" t="s">
        <v>2045</v>
      </c>
      <c r="K482" s="4" t="s">
        <v>224</v>
      </c>
      <c r="L482" s="6" t="s">
        <v>2046</v>
      </c>
      <c r="M482" s="4" t="s">
        <v>2047</v>
      </c>
      <c r="N482" s="4" t="s">
        <v>2048</v>
      </c>
      <c r="P482" s="4" t="s">
        <v>2887</v>
      </c>
      <c r="Q482" s="4" t="s">
        <v>2056</v>
      </c>
      <c r="R482" s="4" t="s">
        <v>53</v>
      </c>
      <c r="S482" s="4" t="s">
        <v>231</v>
      </c>
      <c r="T482" s="7">
        <v>45054</v>
      </c>
      <c r="U482" s="4">
        <v>0</v>
      </c>
      <c r="V482" s="4">
        <v>10</v>
      </c>
      <c r="W482" s="4" t="s">
        <v>314</v>
      </c>
      <c r="Y482" s="4" t="s">
        <v>233</v>
      </c>
      <c r="Z482" s="4" t="s">
        <v>234</v>
      </c>
      <c r="AA482" s="4" t="s">
        <v>233</v>
      </c>
      <c r="AB482" s="4" t="s">
        <v>2051</v>
      </c>
      <c r="AC482" s="4" t="s">
        <v>2923</v>
      </c>
    </row>
    <row r="483" spans="1:29" hidden="1" x14ac:dyDescent="0.4">
      <c r="A483" s="4" t="s">
        <v>216</v>
      </c>
      <c r="B483" s="4">
        <v>1429</v>
      </c>
      <c r="C483" s="4" t="s">
        <v>242</v>
      </c>
      <c r="D483" s="4" t="s">
        <v>178</v>
      </c>
      <c r="E483" s="4" t="s">
        <v>2042</v>
      </c>
      <c r="F483" s="4" t="s">
        <v>2043</v>
      </c>
      <c r="H483" s="4" t="s">
        <v>2044</v>
      </c>
      <c r="I483" s="4" t="s">
        <v>34</v>
      </c>
      <c r="J483" s="4" t="s">
        <v>2045</v>
      </c>
      <c r="K483" s="4" t="s">
        <v>224</v>
      </c>
      <c r="L483" s="6" t="s">
        <v>2046</v>
      </c>
      <c r="M483" s="4" t="s">
        <v>2047</v>
      </c>
      <c r="N483" s="4" t="s">
        <v>2048</v>
      </c>
      <c r="P483" s="4" t="s">
        <v>2887</v>
      </c>
      <c r="Q483" s="4" t="s">
        <v>2056</v>
      </c>
      <c r="R483" s="4" t="s">
        <v>53</v>
      </c>
      <c r="S483" s="4" t="s">
        <v>231</v>
      </c>
      <c r="T483" s="7">
        <v>45054</v>
      </c>
      <c r="U483" s="4">
        <v>0</v>
      </c>
      <c r="V483" s="4">
        <v>11</v>
      </c>
      <c r="W483" s="4" t="s">
        <v>132</v>
      </c>
      <c r="Y483" s="4" t="s">
        <v>233</v>
      </c>
      <c r="Z483" s="4" t="s">
        <v>234</v>
      </c>
      <c r="AA483" s="4" t="s">
        <v>233</v>
      </c>
      <c r="AB483" s="4" t="s">
        <v>2051</v>
      </c>
      <c r="AC483" s="4" t="s">
        <v>2923</v>
      </c>
    </row>
    <row r="484" spans="1:29" hidden="1" x14ac:dyDescent="0.4">
      <c r="A484" s="4" t="s">
        <v>216</v>
      </c>
      <c r="B484" s="4">
        <v>1429</v>
      </c>
      <c r="C484" s="4" t="s">
        <v>242</v>
      </c>
      <c r="D484" s="4" t="s">
        <v>178</v>
      </c>
      <c r="E484" s="4" t="s">
        <v>2042</v>
      </c>
      <c r="F484" s="4" t="s">
        <v>2043</v>
      </c>
      <c r="H484" s="4" t="s">
        <v>2044</v>
      </c>
      <c r="I484" s="4" t="s">
        <v>34</v>
      </c>
      <c r="J484" s="4" t="s">
        <v>2045</v>
      </c>
      <c r="K484" s="4" t="s">
        <v>224</v>
      </c>
      <c r="L484" s="6" t="s">
        <v>2046</v>
      </c>
      <c r="M484" s="4" t="s">
        <v>2047</v>
      </c>
      <c r="N484" s="4" t="s">
        <v>2048</v>
      </c>
      <c r="P484" s="4" t="s">
        <v>2888</v>
      </c>
      <c r="Q484" s="4" t="s">
        <v>2057</v>
      </c>
      <c r="R484" s="4" t="s">
        <v>31</v>
      </c>
      <c r="S484" s="4" t="s">
        <v>257</v>
      </c>
      <c r="T484" s="7">
        <v>44150</v>
      </c>
      <c r="U484" s="4">
        <v>0</v>
      </c>
      <c r="V484" s="4">
        <v>11</v>
      </c>
      <c r="W484" s="4" t="s">
        <v>132</v>
      </c>
      <c r="Y484" s="4" t="s">
        <v>233</v>
      </c>
      <c r="Z484" s="4" t="s">
        <v>234</v>
      </c>
      <c r="AA484" s="4" t="s">
        <v>233</v>
      </c>
      <c r="AB484" s="4" t="s">
        <v>2051</v>
      </c>
      <c r="AC484" s="4" t="s">
        <v>2923</v>
      </c>
    </row>
    <row r="485" spans="1:29" hidden="1" x14ac:dyDescent="0.4">
      <c r="A485" s="4" t="s">
        <v>216</v>
      </c>
      <c r="B485" s="4">
        <v>1429</v>
      </c>
      <c r="C485" s="4" t="s">
        <v>242</v>
      </c>
      <c r="D485" s="4" t="s">
        <v>178</v>
      </c>
      <c r="E485" s="4" t="s">
        <v>2042</v>
      </c>
      <c r="F485" s="4" t="s">
        <v>2043</v>
      </c>
      <c r="H485" s="4" t="s">
        <v>2044</v>
      </c>
      <c r="I485" s="4" t="s">
        <v>34</v>
      </c>
      <c r="J485" s="4" t="s">
        <v>2045</v>
      </c>
      <c r="K485" s="4" t="s">
        <v>224</v>
      </c>
      <c r="L485" s="6" t="s">
        <v>2046</v>
      </c>
      <c r="M485" s="4" t="s">
        <v>2047</v>
      </c>
      <c r="N485" s="4" t="s">
        <v>2048</v>
      </c>
      <c r="P485" s="4" t="s">
        <v>2888</v>
      </c>
      <c r="Q485" s="4" t="s">
        <v>2057</v>
      </c>
      <c r="R485" s="4" t="s">
        <v>31</v>
      </c>
      <c r="S485" s="4" t="s">
        <v>257</v>
      </c>
      <c r="T485" s="7">
        <v>44150</v>
      </c>
      <c r="U485" s="4">
        <v>0</v>
      </c>
      <c r="V485" s="4">
        <v>12</v>
      </c>
      <c r="Y485" s="4" t="s">
        <v>233</v>
      </c>
      <c r="Z485" s="4" t="s">
        <v>234</v>
      </c>
      <c r="AA485" s="4" t="s">
        <v>233</v>
      </c>
      <c r="AB485" s="4" t="s">
        <v>2051</v>
      </c>
      <c r="AC485" s="4" t="s">
        <v>2923</v>
      </c>
    </row>
    <row r="486" spans="1:29" hidden="1" x14ac:dyDescent="0.4">
      <c r="A486" s="4" t="s">
        <v>216</v>
      </c>
      <c r="B486" s="4">
        <v>6772</v>
      </c>
      <c r="C486" s="4" t="s">
        <v>217</v>
      </c>
      <c r="D486" s="4" t="s">
        <v>2058</v>
      </c>
      <c r="E486" s="4" t="s">
        <v>2059</v>
      </c>
      <c r="F486" s="4" t="s">
        <v>1912</v>
      </c>
      <c r="G486" s="4" t="s">
        <v>1913</v>
      </c>
      <c r="H486" s="4" t="s">
        <v>945</v>
      </c>
      <c r="I486" s="4" t="s">
        <v>154</v>
      </c>
      <c r="J486" s="4" t="s">
        <v>1915</v>
      </c>
      <c r="K486" s="4" t="s">
        <v>224</v>
      </c>
      <c r="L486" s="6" t="s">
        <v>2060</v>
      </c>
      <c r="M486" s="4" t="s">
        <v>2061</v>
      </c>
      <c r="N486" s="4" t="s">
        <v>2062</v>
      </c>
      <c r="P486" s="4" t="s">
        <v>2063</v>
      </c>
      <c r="Q486" s="4" t="s">
        <v>2064</v>
      </c>
      <c r="R486" s="4" t="s">
        <v>2811</v>
      </c>
      <c r="S486" s="4" t="s">
        <v>231</v>
      </c>
      <c r="T486" s="7">
        <v>44341</v>
      </c>
      <c r="U486" s="4">
        <v>0</v>
      </c>
      <c r="V486" s="4">
        <v>1</v>
      </c>
      <c r="W486" s="4" t="s">
        <v>253</v>
      </c>
      <c r="Y486" s="4" t="s">
        <v>233</v>
      </c>
      <c r="Z486" s="4" t="s">
        <v>234</v>
      </c>
      <c r="AA486" s="4" t="s">
        <v>234</v>
      </c>
      <c r="AC486" s="4" t="s">
        <v>2923</v>
      </c>
    </row>
    <row r="487" spans="1:29" hidden="1" x14ac:dyDescent="0.4">
      <c r="A487" s="4" t="s">
        <v>216</v>
      </c>
      <c r="B487" s="4">
        <v>6772</v>
      </c>
      <c r="C487" s="4" t="s">
        <v>217</v>
      </c>
      <c r="D487" s="4" t="s">
        <v>2058</v>
      </c>
      <c r="E487" s="4" t="s">
        <v>2059</v>
      </c>
      <c r="F487" s="4" t="s">
        <v>1912</v>
      </c>
      <c r="G487" s="4" t="s">
        <v>1913</v>
      </c>
      <c r="H487" s="4" t="s">
        <v>945</v>
      </c>
      <c r="I487" s="4" t="s">
        <v>154</v>
      </c>
      <c r="J487" s="4" t="s">
        <v>1915</v>
      </c>
      <c r="K487" s="4" t="s">
        <v>224</v>
      </c>
      <c r="L487" s="6" t="s">
        <v>2060</v>
      </c>
      <c r="M487" s="4" t="s">
        <v>2061</v>
      </c>
      <c r="N487" s="4" t="s">
        <v>2062</v>
      </c>
      <c r="P487" s="4" t="s">
        <v>2063</v>
      </c>
      <c r="Q487" s="4" t="s">
        <v>2064</v>
      </c>
      <c r="R487" s="4" t="s">
        <v>2811</v>
      </c>
      <c r="S487" s="4" t="s">
        <v>231</v>
      </c>
      <c r="T487" s="7">
        <v>44341</v>
      </c>
      <c r="U487" s="4">
        <v>0</v>
      </c>
      <c r="V487" s="4">
        <v>2</v>
      </c>
      <c r="W487" s="4" t="s">
        <v>254</v>
      </c>
      <c r="Y487" s="4" t="s">
        <v>233</v>
      </c>
      <c r="Z487" s="4" t="s">
        <v>234</v>
      </c>
      <c r="AA487" s="4" t="s">
        <v>234</v>
      </c>
      <c r="AC487" s="4" t="s">
        <v>2923</v>
      </c>
    </row>
    <row r="488" spans="1:29" hidden="1" x14ac:dyDescent="0.4">
      <c r="A488" s="4" t="s">
        <v>216</v>
      </c>
      <c r="B488" s="4">
        <v>6772</v>
      </c>
      <c r="C488" s="4" t="s">
        <v>217</v>
      </c>
      <c r="D488" s="4" t="s">
        <v>2058</v>
      </c>
      <c r="E488" s="4" t="s">
        <v>2059</v>
      </c>
      <c r="F488" s="4" t="s">
        <v>1912</v>
      </c>
      <c r="G488" s="4" t="s">
        <v>1913</v>
      </c>
      <c r="H488" s="4" t="s">
        <v>945</v>
      </c>
      <c r="I488" s="4" t="s">
        <v>154</v>
      </c>
      <c r="J488" s="4" t="s">
        <v>1915</v>
      </c>
      <c r="K488" s="4" t="s">
        <v>224</v>
      </c>
      <c r="L488" s="6" t="s">
        <v>2060</v>
      </c>
      <c r="M488" s="4" t="s">
        <v>2061</v>
      </c>
      <c r="N488" s="4" t="s">
        <v>2062</v>
      </c>
      <c r="P488" s="4" t="s">
        <v>2063</v>
      </c>
      <c r="Q488" s="4" t="s">
        <v>2064</v>
      </c>
      <c r="R488" s="4" t="s">
        <v>2811</v>
      </c>
      <c r="S488" s="4" t="s">
        <v>231</v>
      </c>
      <c r="T488" s="7">
        <v>44341</v>
      </c>
      <c r="U488" s="4">
        <v>0</v>
      </c>
      <c r="V488" s="4">
        <v>8</v>
      </c>
      <c r="W488" s="4" t="s">
        <v>281</v>
      </c>
      <c r="Y488" s="4" t="s">
        <v>233</v>
      </c>
      <c r="Z488" s="4" t="s">
        <v>234</v>
      </c>
      <c r="AA488" s="4" t="s">
        <v>234</v>
      </c>
      <c r="AC488" s="4" t="s">
        <v>2923</v>
      </c>
    </row>
    <row r="489" spans="1:29" hidden="1" x14ac:dyDescent="0.4">
      <c r="A489" s="4" t="s">
        <v>216</v>
      </c>
      <c r="B489" s="4">
        <v>6772</v>
      </c>
      <c r="C489" s="4" t="s">
        <v>217</v>
      </c>
      <c r="D489" s="4" t="s">
        <v>2058</v>
      </c>
      <c r="E489" s="4" t="s">
        <v>2059</v>
      </c>
      <c r="F489" s="4" t="s">
        <v>1912</v>
      </c>
      <c r="G489" s="4" t="s">
        <v>1913</v>
      </c>
      <c r="H489" s="4" t="s">
        <v>945</v>
      </c>
      <c r="I489" s="4" t="s">
        <v>154</v>
      </c>
      <c r="J489" s="4" t="s">
        <v>1915</v>
      </c>
      <c r="K489" s="4" t="s">
        <v>224</v>
      </c>
      <c r="L489" s="6" t="s">
        <v>2060</v>
      </c>
      <c r="M489" s="4" t="s">
        <v>2061</v>
      </c>
      <c r="N489" s="4" t="s">
        <v>2062</v>
      </c>
      <c r="P489" s="4" t="s">
        <v>2063</v>
      </c>
      <c r="Q489" s="4" t="s">
        <v>2064</v>
      </c>
      <c r="R489" s="4" t="s">
        <v>2811</v>
      </c>
      <c r="S489" s="4" t="s">
        <v>231</v>
      </c>
      <c r="T489" s="7">
        <v>44341</v>
      </c>
      <c r="U489" s="4">
        <v>0</v>
      </c>
      <c r="V489" s="4">
        <v>9</v>
      </c>
      <c r="W489" s="4" t="s">
        <v>358</v>
      </c>
      <c r="Y489" s="4" t="s">
        <v>233</v>
      </c>
      <c r="Z489" s="4" t="s">
        <v>234</v>
      </c>
      <c r="AA489" s="4" t="s">
        <v>234</v>
      </c>
      <c r="AC489" s="4" t="s">
        <v>2923</v>
      </c>
    </row>
    <row r="490" spans="1:29" hidden="1" x14ac:dyDescent="0.4">
      <c r="A490" s="4" t="s">
        <v>216</v>
      </c>
      <c r="B490" s="4">
        <v>1744</v>
      </c>
      <c r="C490" s="4" t="s">
        <v>217</v>
      </c>
      <c r="D490" s="4" t="s">
        <v>2065</v>
      </c>
      <c r="E490" s="4" t="s">
        <v>2066</v>
      </c>
      <c r="F490" s="4">
        <v>19</v>
      </c>
      <c r="G490" s="4" t="s">
        <v>2067</v>
      </c>
      <c r="H490" s="4" t="s">
        <v>1822</v>
      </c>
      <c r="I490" s="4" t="s">
        <v>34</v>
      </c>
      <c r="J490" s="4" t="s">
        <v>2068</v>
      </c>
      <c r="K490" s="4" t="s">
        <v>224</v>
      </c>
      <c r="L490" s="6" t="s">
        <v>2069</v>
      </c>
      <c r="M490" s="4" t="s">
        <v>2070</v>
      </c>
      <c r="N490" s="4" t="s">
        <v>2071</v>
      </c>
      <c r="P490" s="4" t="s">
        <v>2072</v>
      </c>
      <c r="Q490" s="4" t="s">
        <v>2073</v>
      </c>
      <c r="R490" s="4" t="s">
        <v>2426</v>
      </c>
      <c r="S490" s="4" t="s">
        <v>257</v>
      </c>
      <c r="T490" s="7">
        <v>43747</v>
      </c>
      <c r="U490" s="4">
        <v>0</v>
      </c>
      <c r="V490" s="4">
        <v>11</v>
      </c>
      <c r="W490" s="4" t="s">
        <v>300</v>
      </c>
      <c r="Y490" s="4" t="s">
        <v>233</v>
      </c>
      <c r="Z490" s="4" t="s">
        <v>234</v>
      </c>
      <c r="AA490" s="4" t="s">
        <v>234</v>
      </c>
      <c r="AB490" s="4" t="s">
        <v>2074</v>
      </c>
      <c r="AC490" s="4" t="s">
        <v>2923</v>
      </c>
    </row>
    <row r="491" spans="1:29" hidden="1" x14ac:dyDescent="0.4">
      <c r="A491" s="4" t="s">
        <v>216</v>
      </c>
      <c r="B491" s="4">
        <v>1744</v>
      </c>
      <c r="C491" s="4" t="s">
        <v>217</v>
      </c>
      <c r="D491" s="4" t="s">
        <v>2065</v>
      </c>
      <c r="E491" s="4" t="s">
        <v>2066</v>
      </c>
      <c r="F491" s="4">
        <v>19</v>
      </c>
      <c r="G491" s="4" t="s">
        <v>2067</v>
      </c>
      <c r="H491" s="4" t="s">
        <v>1822</v>
      </c>
      <c r="I491" s="4" t="s">
        <v>34</v>
      </c>
      <c r="J491" s="4" t="s">
        <v>2068</v>
      </c>
      <c r="K491" s="4" t="s">
        <v>224</v>
      </c>
      <c r="L491" s="6" t="s">
        <v>2069</v>
      </c>
      <c r="M491" s="4" t="s">
        <v>2070</v>
      </c>
      <c r="N491" s="4" t="s">
        <v>2071</v>
      </c>
      <c r="P491" s="4" t="s">
        <v>2075</v>
      </c>
      <c r="Q491" s="4" t="s">
        <v>2076</v>
      </c>
      <c r="R491" s="4" t="s">
        <v>2426</v>
      </c>
      <c r="S491" s="4" t="s">
        <v>257</v>
      </c>
      <c r="T491" s="7">
        <v>42626</v>
      </c>
      <c r="U491" s="4">
        <v>0</v>
      </c>
      <c r="V491" s="4">
        <v>14</v>
      </c>
      <c r="W491" s="4" t="s">
        <v>241</v>
      </c>
      <c r="Y491" s="4" t="s">
        <v>233</v>
      </c>
      <c r="Z491" s="4" t="s">
        <v>234</v>
      </c>
      <c r="AA491" s="4" t="s">
        <v>234</v>
      </c>
      <c r="AB491" s="4" t="s">
        <v>2074</v>
      </c>
      <c r="AC491" s="4" t="s">
        <v>2923</v>
      </c>
    </row>
    <row r="492" spans="1:29" hidden="1" x14ac:dyDescent="0.4">
      <c r="A492" s="4" t="s">
        <v>216</v>
      </c>
      <c r="B492" s="4">
        <v>2885</v>
      </c>
      <c r="C492" s="4" t="s">
        <v>242</v>
      </c>
      <c r="D492" s="4" t="s">
        <v>2077</v>
      </c>
      <c r="E492" s="4" t="s">
        <v>2078</v>
      </c>
      <c r="F492" s="4" t="s">
        <v>2079</v>
      </c>
      <c r="G492" s="4" t="s">
        <v>2080</v>
      </c>
      <c r="H492" s="4" t="s">
        <v>163</v>
      </c>
      <c r="I492" s="4" t="s">
        <v>143</v>
      </c>
      <c r="J492" s="4" t="s">
        <v>2081</v>
      </c>
      <c r="K492" s="4" t="s">
        <v>224</v>
      </c>
      <c r="L492" s="6" t="s">
        <v>2082</v>
      </c>
      <c r="M492" s="4" t="s">
        <v>2083</v>
      </c>
      <c r="N492" s="4" t="s">
        <v>2084</v>
      </c>
      <c r="P492" s="4" t="s">
        <v>2085</v>
      </c>
      <c r="Q492" s="4" t="s">
        <v>2086</v>
      </c>
      <c r="R492" s="4" t="s">
        <v>2811</v>
      </c>
      <c r="S492" s="4" t="s">
        <v>257</v>
      </c>
      <c r="T492" s="7">
        <v>44403</v>
      </c>
      <c r="U492" s="4">
        <v>0</v>
      </c>
      <c r="V492" s="4">
        <v>4</v>
      </c>
      <c r="W492" s="4" t="s">
        <v>314</v>
      </c>
      <c r="Y492" s="4" t="s">
        <v>233</v>
      </c>
      <c r="Z492" s="4" t="s">
        <v>234</v>
      </c>
      <c r="AA492" s="4" t="s">
        <v>234</v>
      </c>
      <c r="AC492" s="4" t="s">
        <v>2923</v>
      </c>
    </row>
    <row r="493" spans="1:29" hidden="1" x14ac:dyDescent="0.4">
      <c r="A493" s="4" t="s">
        <v>216</v>
      </c>
      <c r="B493" s="4">
        <v>2885</v>
      </c>
      <c r="C493" s="4" t="s">
        <v>242</v>
      </c>
      <c r="D493" s="4" t="s">
        <v>2077</v>
      </c>
      <c r="E493" s="4" t="s">
        <v>2078</v>
      </c>
      <c r="F493" s="4" t="s">
        <v>2079</v>
      </c>
      <c r="G493" s="4" t="s">
        <v>2080</v>
      </c>
      <c r="H493" s="4" t="s">
        <v>163</v>
      </c>
      <c r="I493" s="4" t="s">
        <v>143</v>
      </c>
      <c r="J493" s="4" t="s">
        <v>2081</v>
      </c>
      <c r="K493" s="4" t="s">
        <v>224</v>
      </c>
      <c r="L493" s="6" t="s">
        <v>2082</v>
      </c>
      <c r="M493" s="4" t="s">
        <v>2083</v>
      </c>
      <c r="N493" s="4" t="s">
        <v>2084</v>
      </c>
      <c r="P493" s="4" t="s">
        <v>2085</v>
      </c>
      <c r="Q493" s="4" t="s">
        <v>2086</v>
      </c>
      <c r="R493" s="4" t="s">
        <v>2811</v>
      </c>
      <c r="S493" s="4" t="s">
        <v>257</v>
      </c>
      <c r="T493" s="7">
        <v>44403</v>
      </c>
      <c r="U493" s="4">
        <v>0</v>
      </c>
      <c r="V493" s="4">
        <v>6</v>
      </c>
      <c r="Y493" s="4" t="s">
        <v>233</v>
      </c>
      <c r="Z493" s="4" t="s">
        <v>234</v>
      </c>
      <c r="AA493" s="4" t="s">
        <v>234</v>
      </c>
      <c r="AC493" s="4" t="s">
        <v>2923</v>
      </c>
    </row>
    <row r="494" spans="1:29" hidden="1" x14ac:dyDescent="0.4">
      <c r="A494" s="4" t="s">
        <v>216</v>
      </c>
      <c r="B494" s="4">
        <v>2885</v>
      </c>
      <c r="C494" s="4" t="s">
        <v>242</v>
      </c>
      <c r="D494" s="4" t="s">
        <v>2077</v>
      </c>
      <c r="E494" s="4" t="s">
        <v>2078</v>
      </c>
      <c r="F494" s="4" t="s">
        <v>2079</v>
      </c>
      <c r="G494" s="4" t="s">
        <v>2080</v>
      </c>
      <c r="H494" s="4" t="s">
        <v>163</v>
      </c>
      <c r="I494" s="4" t="s">
        <v>143</v>
      </c>
      <c r="J494" s="4" t="s">
        <v>2081</v>
      </c>
      <c r="K494" s="4" t="s">
        <v>224</v>
      </c>
      <c r="L494" s="6" t="s">
        <v>2082</v>
      </c>
      <c r="M494" s="4" t="s">
        <v>2083</v>
      </c>
      <c r="N494" s="4" t="s">
        <v>2084</v>
      </c>
      <c r="P494" s="4" t="s">
        <v>2085</v>
      </c>
      <c r="Q494" s="4" t="s">
        <v>2086</v>
      </c>
      <c r="R494" s="4" t="s">
        <v>2811</v>
      </c>
      <c r="S494" s="4" t="s">
        <v>257</v>
      </c>
      <c r="T494" s="7">
        <v>44403</v>
      </c>
      <c r="U494" s="4">
        <v>0</v>
      </c>
      <c r="V494" s="4">
        <v>10</v>
      </c>
      <c r="W494" s="4" t="s">
        <v>314</v>
      </c>
      <c r="Y494" s="4" t="s">
        <v>233</v>
      </c>
      <c r="Z494" s="4" t="s">
        <v>234</v>
      </c>
      <c r="AA494" s="4" t="s">
        <v>234</v>
      </c>
      <c r="AC494" s="4" t="s">
        <v>2923</v>
      </c>
    </row>
    <row r="495" spans="1:29" hidden="1" x14ac:dyDescent="0.4">
      <c r="A495" s="4" t="s">
        <v>216</v>
      </c>
      <c r="B495" s="4">
        <v>2885</v>
      </c>
      <c r="C495" s="4" t="s">
        <v>242</v>
      </c>
      <c r="D495" s="4" t="s">
        <v>2077</v>
      </c>
      <c r="E495" s="4" t="s">
        <v>2078</v>
      </c>
      <c r="F495" s="4" t="s">
        <v>2079</v>
      </c>
      <c r="G495" s="4" t="s">
        <v>2080</v>
      </c>
      <c r="H495" s="4" t="s">
        <v>163</v>
      </c>
      <c r="I495" s="4" t="s">
        <v>143</v>
      </c>
      <c r="J495" s="4" t="s">
        <v>2081</v>
      </c>
      <c r="K495" s="4" t="s">
        <v>224</v>
      </c>
      <c r="L495" s="6" t="s">
        <v>2082</v>
      </c>
      <c r="M495" s="4" t="s">
        <v>2083</v>
      </c>
      <c r="N495" s="4" t="s">
        <v>2084</v>
      </c>
      <c r="P495" s="4" t="s">
        <v>2085</v>
      </c>
      <c r="Q495" s="4" t="s">
        <v>2086</v>
      </c>
      <c r="R495" s="4" t="s">
        <v>2811</v>
      </c>
      <c r="S495" s="4" t="s">
        <v>257</v>
      </c>
      <c r="T495" s="7">
        <v>44403</v>
      </c>
      <c r="U495" s="4">
        <v>0</v>
      </c>
      <c r="V495" s="4">
        <v>12</v>
      </c>
      <c r="Y495" s="4" t="s">
        <v>233</v>
      </c>
      <c r="Z495" s="4" t="s">
        <v>234</v>
      </c>
      <c r="AA495" s="4" t="s">
        <v>234</v>
      </c>
      <c r="AC495" s="4" t="s">
        <v>2923</v>
      </c>
    </row>
    <row r="496" spans="1:29" hidden="1" x14ac:dyDescent="0.4">
      <c r="A496" s="4" t="s">
        <v>216</v>
      </c>
      <c r="B496" s="4">
        <v>2885</v>
      </c>
      <c r="C496" s="4" t="s">
        <v>242</v>
      </c>
      <c r="D496" s="4" t="s">
        <v>2077</v>
      </c>
      <c r="E496" s="4" t="s">
        <v>2078</v>
      </c>
      <c r="F496" s="4" t="s">
        <v>2079</v>
      </c>
      <c r="G496" s="4" t="s">
        <v>2080</v>
      </c>
      <c r="H496" s="4" t="s">
        <v>163</v>
      </c>
      <c r="I496" s="4" t="s">
        <v>143</v>
      </c>
      <c r="J496" s="4" t="s">
        <v>2081</v>
      </c>
      <c r="K496" s="4" t="s">
        <v>224</v>
      </c>
      <c r="L496" s="6" t="s">
        <v>2082</v>
      </c>
      <c r="M496" s="4" t="s">
        <v>2083</v>
      </c>
      <c r="N496" s="4" t="s">
        <v>2084</v>
      </c>
      <c r="P496" s="4" t="s">
        <v>2085</v>
      </c>
      <c r="Q496" s="4" t="s">
        <v>2086</v>
      </c>
      <c r="R496" s="4" t="s">
        <v>2811</v>
      </c>
      <c r="S496" s="4" t="s">
        <v>257</v>
      </c>
      <c r="T496" s="7">
        <v>44403</v>
      </c>
      <c r="U496" s="4">
        <v>0</v>
      </c>
      <c r="V496" s="4">
        <v>14</v>
      </c>
      <c r="W496" s="4" t="s">
        <v>241</v>
      </c>
      <c r="Y496" s="4" t="s">
        <v>233</v>
      </c>
      <c r="Z496" s="4" t="s">
        <v>234</v>
      </c>
      <c r="AA496" s="4" t="s">
        <v>234</v>
      </c>
      <c r="AC496" s="4" t="s">
        <v>2923</v>
      </c>
    </row>
    <row r="497" spans="1:29" x14ac:dyDescent="0.4">
      <c r="A497" s="4" t="s">
        <v>216</v>
      </c>
      <c r="B497" s="4">
        <v>73</v>
      </c>
      <c r="C497" s="4" t="s">
        <v>242</v>
      </c>
      <c r="D497" s="4" t="s">
        <v>2087</v>
      </c>
      <c r="E497" s="4" t="s">
        <v>2088</v>
      </c>
      <c r="F497" s="4" t="s">
        <v>2089</v>
      </c>
      <c r="G497" s="4" t="s">
        <v>2090</v>
      </c>
      <c r="H497" s="4" t="s">
        <v>2091</v>
      </c>
      <c r="I497" s="4" t="s">
        <v>28</v>
      </c>
      <c r="J497" s="4" t="s">
        <v>2092</v>
      </c>
      <c r="K497" s="4" t="s">
        <v>224</v>
      </c>
      <c r="L497" s="5" t="s">
        <v>2093</v>
      </c>
      <c r="M497" s="4" t="s">
        <v>2094</v>
      </c>
      <c r="N497" s="4" t="s">
        <v>2095</v>
      </c>
      <c r="P497" s="4" t="s">
        <v>2102</v>
      </c>
      <c r="Q497" s="4" t="s">
        <v>2103</v>
      </c>
      <c r="R497" s="4" t="s">
        <v>2811</v>
      </c>
      <c r="S497" s="4" t="s">
        <v>257</v>
      </c>
      <c r="T497" s="7">
        <v>45476</v>
      </c>
      <c r="U497" s="4">
        <v>0</v>
      </c>
      <c r="V497" s="4">
        <v>4</v>
      </c>
      <c r="W497" s="4" t="s">
        <v>2725</v>
      </c>
      <c r="X497" s="4" t="s">
        <v>2098</v>
      </c>
      <c r="Y497" s="4" t="s">
        <v>233</v>
      </c>
      <c r="Z497" s="4" t="s">
        <v>234</v>
      </c>
      <c r="AA497" s="4" t="s">
        <v>234</v>
      </c>
      <c r="AC497" s="4" t="s">
        <v>2923</v>
      </c>
    </row>
    <row r="498" spans="1:29" hidden="1" x14ac:dyDescent="0.4">
      <c r="A498" s="4" t="s">
        <v>216</v>
      </c>
      <c r="B498" s="4">
        <v>73</v>
      </c>
      <c r="C498" s="4" t="s">
        <v>242</v>
      </c>
      <c r="D498" s="4" t="s">
        <v>2087</v>
      </c>
      <c r="E498" s="4" t="s">
        <v>2088</v>
      </c>
      <c r="F498" s="4" t="s">
        <v>2089</v>
      </c>
      <c r="G498" s="4" t="s">
        <v>2090</v>
      </c>
      <c r="H498" s="4" t="s">
        <v>2091</v>
      </c>
      <c r="I498" s="4" t="s">
        <v>28</v>
      </c>
      <c r="J498" s="4" t="s">
        <v>2092</v>
      </c>
      <c r="K498" s="4" t="s">
        <v>224</v>
      </c>
      <c r="L498" s="5" t="s">
        <v>2093</v>
      </c>
      <c r="M498" s="4" t="s">
        <v>2094</v>
      </c>
      <c r="N498" s="4" t="s">
        <v>2095</v>
      </c>
      <c r="P498" s="4" t="s">
        <v>2102</v>
      </c>
      <c r="Q498" s="4" t="s">
        <v>2103</v>
      </c>
      <c r="R498" s="4" t="s">
        <v>2811</v>
      </c>
      <c r="S498" s="4" t="s">
        <v>257</v>
      </c>
      <c r="T498" s="7">
        <v>45476</v>
      </c>
      <c r="U498" s="4">
        <v>0</v>
      </c>
      <c r="V498" s="4">
        <v>5</v>
      </c>
      <c r="W498" s="4" t="s">
        <v>314</v>
      </c>
      <c r="X498" s="4" t="s">
        <v>2098</v>
      </c>
      <c r="Y498" s="4" t="s">
        <v>233</v>
      </c>
      <c r="Z498" s="4" t="s">
        <v>234</v>
      </c>
      <c r="AA498" s="4" t="s">
        <v>234</v>
      </c>
      <c r="AC498" s="4" t="s">
        <v>2923</v>
      </c>
    </row>
    <row r="499" spans="1:29" hidden="1" x14ac:dyDescent="0.4">
      <c r="A499" s="4" t="s">
        <v>216</v>
      </c>
      <c r="B499" s="4">
        <v>73</v>
      </c>
      <c r="C499" s="4" t="s">
        <v>242</v>
      </c>
      <c r="D499" s="4" t="s">
        <v>2087</v>
      </c>
      <c r="E499" s="4" t="s">
        <v>2088</v>
      </c>
      <c r="F499" s="4" t="s">
        <v>2089</v>
      </c>
      <c r="G499" s="4" t="s">
        <v>2090</v>
      </c>
      <c r="H499" s="4" t="s">
        <v>2091</v>
      </c>
      <c r="I499" s="4" t="s">
        <v>28</v>
      </c>
      <c r="J499" s="4" t="s">
        <v>2092</v>
      </c>
      <c r="K499" s="4" t="s">
        <v>224</v>
      </c>
      <c r="L499" s="5" t="s">
        <v>2093</v>
      </c>
      <c r="M499" s="4" t="s">
        <v>2094</v>
      </c>
      <c r="N499" s="4" t="s">
        <v>2095</v>
      </c>
      <c r="P499" s="4" t="s">
        <v>2102</v>
      </c>
      <c r="Q499" s="4" t="s">
        <v>2103</v>
      </c>
      <c r="R499" s="4" t="s">
        <v>2811</v>
      </c>
      <c r="S499" s="4" t="s">
        <v>257</v>
      </c>
      <c r="T499" s="7">
        <v>45476</v>
      </c>
      <c r="U499" s="4">
        <v>0</v>
      </c>
      <c r="V499" s="4">
        <v>10</v>
      </c>
      <c r="W499" s="4" t="s">
        <v>314</v>
      </c>
      <c r="X499" s="4" t="s">
        <v>2098</v>
      </c>
      <c r="Y499" s="4" t="s">
        <v>233</v>
      </c>
      <c r="Z499" s="4" t="s">
        <v>234</v>
      </c>
      <c r="AA499" s="4" t="s">
        <v>234</v>
      </c>
      <c r="AC499" s="4" t="s">
        <v>2923</v>
      </c>
    </row>
    <row r="500" spans="1:29" hidden="1" x14ac:dyDescent="0.4">
      <c r="A500" s="4" t="s">
        <v>216</v>
      </c>
      <c r="B500" s="4">
        <v>73</v>
      </c>
      <c r="C500" s="4" t="s">
        <v>242</v>
      </c>
      <c r="D500" s="4" t="s">
        <v>2087</v>
      </c>
      <c r="E500" s="4" t="s">
        <v>2088</v>
      </c>
      <c r="F500" s="4" t="s">
        <v>2089</v>
      </c>
      <c r="G500" s="4" t="s">
        <v>2090</v>
      </c>
      <c r="H500" s="4" t="s">
        <v>2091</v>
      </c>
      <c r="I500" s="4" t="s">
        <v>28</v>
      </c>
      <c r="J500" s="4" t="s">
        <v>2092</v>
      </c>
      <c r="K500" s="4" t="s">
        <v>224</v>
      </c>
      <c r="L500" s="5" t="s">
        <v>2093</v>
      </c>
      <c r="M500" s="4" t="s">
        <v>2094</v>
      </c>
      <c r="N500" s="4" t="s">
        <v>2095</v>
      </c>
      <c r="P500" s="4" t="s">
        <v>2102</v>
      </c>
      <c r="Q500" s="4" t="s">
        <v>2103</v>
      </c>
      <c r="R500" s="4" t="s">
        <v>2811</v>
      </c>
      <c r="S500" s="4" t="s">
        <v>257</v>
      </c>
      <c r="T500" s="7">
        <v>45476</v>
      </c>
      <c r="U500" s="4">
        <v>0</v>
      </c>
      <c r="V500" s="4">
        <v>11</v>
      </c>
      <c r="W500" s="4" t="s">
        <v>132</v>
      </c>
      <c r="X500" s="4" t="s">
        <v>2098</v>
      </c>
      <c r="Y500" s="4" t="s">
        <v>233</v>
      </c>
      <c r="Z500" s="4" t="s">
        <v>234</v>
      </c>
      <c r="AA500" s="4" t="s">
        <v>234</v>
      </c>
      <c r="AC500" s="4" t="s">
        <v>2923</v>
      </c>
    </row>
    <row r="501" spans="1:29" hidden="1" x14ac:dyDescent="0.4">
      <c r="A501" s="4" t="s">
        <v>216</v>
      </c>
      <c r="B501" s="4">
        <v>73</v>
      </c>
      <c r="C501" s="4" t="s">
        <v>242</v>
      </c>
      <c r="D501" s="4" t="s">
        <v>2087</v>
      </c>
      <c r="E501" s="4" t="s">
        <v>2088</v>
      </c>
      <c r="F501" s="4" t="s">
        <v>2089</v>
      </c>
      <c r="G501" s="4" t="s">
        <v>2090</v>
      </c>
      <c r="H501" s="4" t="s">
        <v>2091</v>
      </c>
      <c r="I501" s="4" t="s">
        <v>28</v>
      </c>
      <c r="J501" s="4" t="s">
        <v>2092</v>
      </c>
      <c r="K501" s="4" t="s">
        <v>224</v>
      </c>
      <c r="L501" s="5" t="s">
        <v>2093</v>
      </c>
      <c r="M501" s="4" t="s">
        <v>2094</v>
      </c>
      <c r="N501" s="4" t="s">
        <v>2095</v>
      </c>
      <c r="P501" s="4" t="s">
        <v>2102</v>
      </c>
      <c r="Q501" s="4" t="s">
        <v>2103</v>
      </c>
      <c r="R501" s="4" t="s">
        <v>2811</v>
      </c>
      <c r="S501" s="4" t="s">
        <v>257</v>
      </c>
      <c r="T501" s="7">
        <v>45476</v>
      </c>
      <c r="U501" s="4">
        <v>0</v>
      </c>
      <c r="V501" s="4">
        <v>14</v>
      </c>
      <c r="W501" s="4" t="s">
        <v>241</v>
      </c>
      <c r="Y501" s="4" t="s">
        <v>233</v>
      </c>
      <c r="Z501" s="4" t="s">
        <v>234</v>
      </c>
      <c r="AA501" s="4" t="s">
        <v>234</v>
      </c>
      <c r="AC501" s="4" t="s">
        <v>2923</v>
      </c>
    </row>
    <row r="502" spans="1:29" hidden="1" x14ac:dyDescent="0.4">
      <c r="A502" s="4" t="s">
        <v>216</v>
      </c>
      <c r="B502" s="4">
        <v>1482</v>
      </c>
      <c r="C502" s="4" t="s">
        <v>242</v>
      </c>
      <c r="D502" s="4" t="s">
        <v>552</v>
      </c>
      <c r="E502" s="4" t="s">
        <v>2104</v>
      </c>
      <c r="F502" s="4" t="s">
        <v>2105</v>
      </c>
      <c r="G502" s="4" t="s">
        <v>2106</v>
      </c>
      <c r="H502" s="4" t="s">
        <v>2107</v>
      </c>
      <c r="I502" s="4" t="s">
        <v>28</v>
      </c>
      <c r="J502" s="4" t="s">
        <v>2108</v>
      </c>
      <c r="K502" s="4" t="s">
        <v>224</v>
      </c>
      <c r="L502" s="5" t="s">
        <v>2109</v>
      </c>
      <c r="M502" s="4" t="s">
        <v>2110</v>
      </c>
      <c r="N502" s="4" t="s">
        <v>2111</v>
      </c>
      <c r="P502" s="4" t="s">
        <v>2115</v>
      </c>
      <c r="Q502" s="4" t="s">
        <v>2116</v>
      </c>
      <c r="S502" s="4" t="s">
        <v>257</v>
      </c>
      <c r="T502" s="7">
        <v>45512</v>
      </c>
      <c r="U502" s="4">
        <v>0</v>
      </c>
      <c r="V502" s="4">
        <v>10</v>
      </c>
      <c r="W502" s="4" t="s">
        <v>524</v>
      </c>
      <c r="X502" s="4" t="s">
        <v>1992</v>
      </c>
      <c r="Y502" s="4" t="s">
        <v>233</v>
      </c>
      <c r="Z502" s="4" t="s">
        <v>234</v>
      </c>
      <c r="AA502" s="4" t="s">
        <v>234</v>
      </c>
      <c r="AB502" t="s">
        <v>65</v>
      </c>
      <c r="AC502" s="4" t="s">
        <v>2923</v>
      </c>
    </row>
    <row r="503" spans="1:29" hidden="1" x14ac:dyDescent="0.4">
      <c r="A503" s="4" t="s">
        <v>216</v>
      </c>
      <c r="B503" s="4">
        <v>1780</v>
      </c>
      <c r="C503" s="4" t="s">
        <v>417</v>
      </c>
      <c r="D503" s="4" t="s">
        <v>2117</v>
      </c>
      <c r="E503" s="4" t="s">
        <v>2118</v>
      </c>
      <c r="F503" s="4" t="s">
        <v>2119</v>
      </c>
      <c r="H503" s="4" t="s">
        <v>408</v>
      </c>
      <c r="I503" s="4" t="s">
        <v>34</v>
      </c>
      <c r="J503" s="4" t="s">
        <v>2120</v>
      </c>
      <c r="K503" s="4" t="s">
        <v>224</v>
      </c>
      <c r="L503" s="6" t="s">
        <v>2121</v>
      </c>
      <c r="M503" s="4" t="s">
        <v>2122</v>
      </c>
      <c r="N503" s="4" t="s">
        <v>2123</v>
      </c>
      <c r="P503" s="4" t="s">
        <v>2124</v>
      </c>
      <c r="Q503" s="4" t="s">
        <v>2125</v>
      </c>
      <c r="R503" s="4" t="s">
        <v>2913</v>
      </c>
      <c r="S503" s="4" t="s">
        <v>231</v>
      </c>
      <c r="T503" s="7">
        <v>45566</v>
      </c>
      <c r="U503" s="4">
        <v>0</v>
      </c>
      <c r="V503" s="4">
        <v>11</v>
      </c>
      <c r="W503" s="4" t="s">
        <v>132</v>
      </c>
      <c r="Y503" s="4" t="s">
        <v>233</v>
      </c>
      <c r="Z503" s="4" t="s">
        <v>234</v>
      </c>
      <c r="AA503" s="4" t="s">
        <v>234</v>
      </c>
      <c r="AC503" s="4" t="s">
        <v>2923</v>
      </c>
    </row>
    <row r="504" spans="1:29" hidden="1" x14ac:dyDescent="0.4">
      <c r="A504" s="4" t="s">
        <v>216</v>
      </c>
      <c r="B504" s="4">
        <v>1780</v>
      </c>
      <c r="C504" s="4" t="s">
        <v>417</v>
      </c>
      <c r="D504" s="4" t="s">
        <v>2117</v>
      </c>
      <c r="E504" s="4" t="s">
        <v>2118</v>
      </c>
      <c r="F504" s="4" t="s">
        <v>2119</v>
      </c>
      <c r="H504" s="4" t="s">
        <v>408</v>
      </c>
      <c r="I504" s="4" t="s">
        <v>34</v>
      </c>
      <c r="J504" s="4" t="s">
        <v>2120</v>
      </c>
      <c r="K504" s="4" t="s">
        <v>224</v>
      </c>
      <c r="L504" s="6" t="s">
        <v>2121</v>
      </c>
      <c r="M504" s="4" t="s">
        <v>2122</v>
      </c>
      <c r="N504" s="4" t="s">
        <v>2123</v>
      </c>
      <c r="P504" s="4" t="s">
        <v>2889</v>
      </c>
      <c r="Q504" s="4" t="s">
        <v>2126</v>
      </c>
      <c r="R504" s="4" t="s">
        <v>1556</v>
      </c>
      <c r="S504" s="4" t="s">
        <v>257</v>
      </c>
      <c r="T504" s="7">
        <v>44852</v>
      </c>
      <c r="U504" s="4">
        <v>0</v>
      </c>
      <c r="V504" s="4">
        <v>12</v>
      </c>
      <c r="Y504" s="4" t="s">
        <v>233</v>
      </c>
      <c r="Z504" s="4" t="s">
        <v>234</v>
      </c>
      <c r="AA504" s="4" t="s">
        <v>234</v>
      </c>
      <c r="AC504" s="4" t="s">
        <v>2923</v>
      </c>
    </row>
    <row r="505" spans="1:29" hidden="1" x14ac:dyDescent="0.4">
      <c r="A505" s="4" t="s">
        <v>216</v>
      </c>
      <c r="B505" s="4">
        <v>1780</v>
      </c>
      <c r="C505" s="4" t="s">
        <v>417</v>
      </c>
      <c r="D505" s="4" t="s">
        <v>2117</v>
      </c>
      <c r="E505" s="4" t="s">
        <v>2118</v>
      </c>
      <c r="F505" s="4" t="s">
        <v>2119</v>
      </c>
      <c r="H505" s="4" t="s">
        <v>408</v>
      </c>
      <c r="I505" s="4" t="s">
        <v>34</v>
      </c>
      <c r="J505" s="4" t="s">
        <v>2120</v>
      </c>
      <c r="K505" s="4" t="s">
        <v>224</v>
      </c>
      <c r="L505" s="6" t="s">
        <v>2121</v>
      </c>
      <c r="M505" s="4" t="s">
        <v>2122</v>
      </c>
      <c r="N505" s="4" t="s">
        <v>2123</v>
      </c>
      <c r="P505" s="4" t="s">
        <v>2889</v>
      </c>
      <c r="Q505" s="4" t="s">
        <v>2126</v>
      </c>
      <c r="R505" s="4" t="s">
        <v>1556</v>
      </c>
      <c r="S505" s="4" t="s">
        <v>257</v>
      </c>
      <c r="T505" s="7">
        <v>44852</v>
      </c>
      <c r="U505" s="4">
        <v>0</v>
      </c>
      <c r="V505" s="4">
        <v>13</v>
      </c>
      <c r="W505" s="4" t="s">
        <v>240</v>
      </c>
      <c r="Y505" s="4" t="s">
        <v>233</v>
      </c>
      <c r="Z505" s="4" t="s">
        <v>234</v>
      </c>
      <c r="AA505" s="4" t="s">
        <v>234</v>
      </c>
      <c r="AC505" s="4" t="s">
        <v>2923</v>
      </c>
    </row>
    <row r="506" spans="1:29" hidden="1" x14ac:dyDescent="0.4">
      <c r="A506" s="4" t="s">
        <v>216</v>
      </c>
      <c r="B506" s="4">
        <v>1828</v>
      </c>
      <c r="C506" s="4" t="s">
        <v>242</v>
      </c>
      <c r="D506" s="4" t="s">
        <v>2827</v>
      </c>
      <c r="E506" s="4" t="s">
        <v>2838</v>
      </c>
      <c r="F506" s="4" t="s">
        <v>2127</v>
      </c>
      <c r="H506" s="4" t="s">
        <v>2128</v>
      </c>
      <c r="I506" s="4" t="s">
        <v>2129</v>
      </c>
      <c r="J506" s="4" t="s">
        <v>2130</v>
      </c>
      <c r="K506" s="4" t="s">
        <v>224</v>
      </c>
      <c r="L506" s="5" t="s">
        <v>2131</v>
      </c>
      <c r="M506" s="4" t="s">
        <v>2132</v>
      </c>
      <c r="N506" s="4" t="s">
        <v>2133</v>
      </c>
      <c r="P506" s="4" t="s">
        <v>2890</v>
      </c>
      <c r="Q506" s="4" t="s">
        <v>2134</v>
      </c>
      <c r="R506" s="4" t="s">
        <v>53</v>
      </c>
      <c r="S506" s="4" t="s">
        <v>257</v>
      </c>
      <c r="T506" s="7">
        <v>44241</v>
      </c>
      <c r="U506" s="4">
        <v>0</v>
      </c>
      <c r="V506" s="4">
        <v>10</v>
      </c>
      <c r="W506" s="4" t="s">
        <v>314</v>
      </c>
      <c r="Y506" s="4" t="s">
        <v>233</v>
      </c>
      <c r="Z506" s="4" t="s">
        <v>234</v>
      </c>
      <c r="AA506" s="4" t="s">
        <v>234</v>
      </c>
      <c r="AC506" s="4" t="s">
        <v>2923</v>
      </c>
    </row>
    <row r="507" spans="1:29" hidden="1" x14ac:dyDescent="0.4">
      <c r="A507" s="4" t="s">
        <v>216</v>
      </c>
      <c r="B507" s="4">
        <v>1828</v>
      </c>
      <c r="C507" s="4" t="s">
        <v>242</v>
      </c>
      <c r="D507" s="4" t="s">
        <v>2827</v>
      </c>
      <c r="E507" s="4" t="s">
        <v>2838</v>
      </c>
      <c r="F507" s="4" t="s">
        <v>2127</v>
      </c>
      <c r="H507" s="4" t="s">
        <v>2128</v>
      </c>
      <c r="I507" s="4" t="s">
        <v>2129</v>
      </c>
      <c r="J507" s="4" t="s">
        <v>2130</v>
      </c>
      <c r="K507" s="4" t="s">
        <v>224</v>
      </c>
      <c r="L507" s="5" t="s">
        <v>2131</v>
      </c>
      <c r="M507" s="4" t="s">
        <v>2132</v>
      </c>
      <c r="N507" s="4" t="s">
        <v>2133</v>
      </c>
      <c r="P507" s="4" t="s">
        <v>2890</v>
      </c>
      <c r="Q507" s="4" t="s">
        <v>2134</v>
      </c>
      <c r="R507" s="4" t="s">
        <v>53</v>
      </c>
      <c r="S507" s="4" t="s">
        <v>257</v>
      </c>
      <c r="T507" s="7">
        <v>44241</v>
      </c>
      <c r="U507" s="4">
        <v>0</v>
      </c>
      <c r="V507" s="4">
        <v>11</v>
      </c>
      <c r="W507" s="4" t="s">
        <v>314</v>
      </c>
      <c r="Y507" s="4" t="s">
        <v>233</v>
      </c>
      <c r="Z507" s="4" t="s">
        <v>234</v>
      </c>
      <c r="AA507" s="4" t="s">
        <v>234</v>
      </c>
      <c r="AC507" s="4" t="s">
        <v>2923</v>
      </c>
    </row>
    <row r="508" spans="1:29" x14ac:dyDescent="0.4">
      <c r="A508" s="4" t="s">
        <v>216</v>
      </c>
      <c r="B508" s="4">
        <v>1692</v>
      </c>
      <c r="C508" s="4" t="s">
        <v>242</v>
      </c>
      <c r="D508" s="4" t="s">
        <v>453</v>
      </c>
      <c r="E508" s="4" t="s">
        <v>2839</v>
      </c>
      <c r="F508" s="4" t="s">
        <v>2135</v>
      </c>
      <c r="G508" s="4" t="s">
        <v>2136</v>
      </c>
      <c r="H508" s="4" t="s">
        <v>2137</v>
      </c>
      <c r="I508" s="4" t="s">
        <v>2138</v>
      </c>
      <c r="J508" s="4" t="s">
        <v>2139</v>
      </c>
      <c r="K508" s="4" t="s">
        <v>224</v>
      </c>
      <c r="L508" s="6" t="s">
        <v>2140</v>
      </c>
      <c r="M508" s="4" t="s">
        <v>2141</v>
      </c>
      <c r="N508" s="4" t="s">
        <v>2142</v>
      </c>
      <c r="P508" s="4" t="s">
        <v>2891</v>
      </c>
      <c r="Q508" s="4" t="s">
        <v>2143</v>
      </c>
      <c r="R508" s="4" t="s">
        <v>2915</v>
      </c>
      <c r="S508" s="4" t="s">
        <v>257</v>
      </c>
      <c r="T508" s="7">
        <v>43512</v>
      </c>
      <c r="U508" s="4">
        <v>0</v>
      </c>
      <c r="V508" s="4">
        <v>4</v>
      </c>
      <c r="W508" s="4" t="s">
        <v>2725</v>
      </c>
      <c r="Y508" s="4" t="s">
        <v>233</v>
      </c>
      <c r="Z508" s="4" t="s">
        <v>234</v>
      </c>
      <c r="AA508" s="4" t="s">
        <v>233</v>
      </c>
      <c r="AB508" s="4" t="s">
        <v>2144</v>
      </c>
      <c r="AC508" s="4" t="s">
        <v>2923</v>
      </c>
    </row>
    <row r="509" spans="1:29" hidden="1" x14ac:dyDescent="0.4">
      <c r="A509" s="4" t="s">
        <v>216</v>
      </c>
      <c r="B509" s="4">
        <v>1692</v>
      </c>
      <c r="C509" s="4" t="s">
        <v>242</v>
      </c>
      <c r="D509" s="4" t="s">
        <v>453</v>
      </c>
      <c r="E509" s="4" t="s">
        <v>2839</v>
      </c>
      <c r="F509" s="4" t="s">
        <v>2135</v>
      </c>
      <c r="G509" s="4" t="s">
        <v>2136</v>
      </c>
      <c r="H509" s="4" t="s">
        <v>2137</v>
      </c>
      <c r="I509" s="4" t="s">
        <v>2138</v>
      </c>
      <c r="J509" s="4" t="s">
        <v>2139</v>
      </c>
      <c r="K509" s="4" t="s">
        <v>224</v>
      </c>
      <c r="L509" s="6" t="s">
        <v>2140</v>
      </c>
      <c r="M509" s="4" t="s">
        <v>2141</v>
      </c>
      <c r="N509" s="4" t="s">
        <v>2142</v>
      </c>
      <c r="P509" s="4" t="s">
        <v>2891</v>
      </c>
      <c r="Q509" s="4" t="s">
        <v>2143</v>
      </c>
      <c r="R509" s="4" t="s">
        <v>2915</v>
      </c>
      <c r="S509" s="4" t="s">
        <v>257</v>
      </c>
      <c r="T509" s="7">
        <v>43512</v>
      </c>
      <c r="U509" s="4">
        <v>0</v>
      </c>
      <c r="V509" s="4">
        <v>5</v>
      </c>
      <c r="W509" s="4" t="s">
        <v>176</v>
      </c>
      <c r="Y509" s="4" t="s">
        <v>233</v>
      </c>
      <c r="Z509" s="4" t="s">
        <v>234</v>
      </c>
      <c r="AA509" s="4" t="s">
        <v>233</v>
      </c>
      <c r="AB509" s="4" t="s">
        <v>2144</v>
      </c>
      <c r="AC509" s="4" t="s">
        <v>2923</v>
      </c>
    </row>
    <row r="510" spans="1:29" hidden="1" x14ac:dyDescent="0.4">
      <c r="A510" s="4" t="s">
        <v>216</v>
      </c>
      <c r="B510" s="4">
        <v>1692</v>
      </c>
      <c r="C510" s="4" t="s">
        <v>242</v>
      </c>
      <c r="D510" s="4" t="s">
        <v>453</v>
      </c>
      <c r="E510" s="4" t="s">
        <v>2839</v>
      </c>
      <c r="F510" s="4" t="s">
        <v>2135</v>
      </c>
      <c r="G510" s="4" t="s">
        <v>2136</v>
      </c>
      <c r="H510" s="4" t="s">
        <v>2137</v>
      </c>
      <c r="I510" s="4" t="s">
        <v>2138</v>
      </c>
      <c r="J510" s="4" t="s">
        <v>2139</v>
      </c>
      <c r="K510" s="4" t="s">
        <v>224</v>
      </c>
      <c r="L510" s="6" t="s">
        <v>2140</v>
      </c>
      <c r="M510" s="4" t="s">
        <v>2141</v>
      </c>
      <c r="N510" s="4" t="s">
        <v>2142</v>
      </c>
      <c r="P510" s="4" t="s">
        <v>2892</v>
      </c>
      <c r="Q510" s="4" t="s">
        <v>2145</v>
      </c>
      <c r="R510" s="4" t="s">
        <v>2915</v>
      </c>
      <c r="S510" s="4" t="s">
        <v>231</v>
      </c>
      <c r="T510" s="7">
        <v>43187</v>
      </c>
      <c r="U510" s="4">
        <v>0</v>
      </c>
      <c r="V510" s="4">
        <v>5</v>
      </c>
      <c r="W510" s="4" t="s">
        <v>297</v>
      </c>
      <c r="Y510" s="4" t="s">
        <v>233</v>
      </c>
      <c r="Z510" s="4" t="s">
        <v>234</v>
      </c>
      <c r="AA510" s="4" t="s">
        <v>233</v>
      </c>
      <c r="AB510" s="4" t="s">
        <v>2144</v>
      </c>
      <c r="AC510" s="4" t="s">
        <v>2923</v>
      </c>
    </row>
    <row r="511" spans="1:29" hidden="1" x14ac:dyDescent="0.4">
      <c r="A511" s="4" t="s">
        <v>216</v>
      </c>
      <c r="B511" s="4">
        <v>1692</v>
      </c>
      <c r="C511" s="4" t="s">
        <v>242</v>
      </c>
      <c r="D511" s="4" t="s">
        <v>453</v>
      </c>
      <c r="E511" s="4" t="s">
        <v>2839</v>
      </c>
      <c r="F511" s="4" t="s">
        <v>2135</v>
      </c>
      <c r="G511" s="4" t="s">
        <v>2136</v>
      </c>
      <c r="H511" s="4" t="s">
        <v>2137</v>
      </c>
      <c r="I511" s="4" t="s">
        <v>2138</v>
      </c>
      <c r="J511" s="4" t="s">
        <v>2139</v>
      </c>
      <c r="K511" s="4" t="s">
        <v>224</v>
      </c>
      <c r="L511" s="6" t="s">
        <v>2140</v>
      </c>
      <c r="M511" s="4" t="s">
        <v>2141</v>
      </c>
      <c r="N511" s="4" t="s">
        <v>2142</v>
      </c>
      <c r="P511" s="4" t="s">
        <v>2893</v>
      </c>
      <c r="Q511" s="4" t="s">
        <v>2146</v>
      </c>
      <c r="R511" s="4" t="s">
        <v>2915</v>
      </c>
      <c r="S511" s="4" t="s">
        <v>257</v>
      </c>
      <c r="T511" s="7">
        <v>43029</v>
      </c>
      <c r="U511" s="4">
        <v>0</v>
      </c>
      <c r="V511" s="4">
        <v>6</v>
      </c>
      <c r="Y511" s="4" t="s">
        <v>233</v>
      </c>
      <c r="Z511" s="4" t="s">
        <v>234</v>
      </c>
      <c r="AA511" s="4" t="s">
        <v>233</v>
      </c>
      <c r="AB511" s="4" t="s">
        <v>2144</v>
      </c>
      <c r="AC511" s="4" t="s">
        <v>2923</v>
      </c>
    </row>
    <row r="512" spans="1:29" hidden="1" x14ac:dyDescent="0.4">
      <c r="A512" s="4" t="s">
        <v>216</v>
      </c>
      <c r="B512" s="4">
        <v>1692</v>
      </c>
      <c r="C512" s="4" t="s">
        <v>242</v>
      </c>
      <c r="D512" s="4" t="s">
        <v>453</v>
      </c>
      <c r="E512" s="4" t="s">
        <v>2839</v>
      </c>
      <c r="F512" s="4" t="s">
        <v>2135</v>
      </c>
      <c r="G512" s="4" t="s">
        <v>2136</v>
      </c>
      <c r="H512" s="4" t="s">
        <v>2137</v>
      </c>
      <c r="I512" s="4" t="s">
        <v>2138</v>
      </c>
      <c r="J512" s="4" t="s">
        <v>2139</v>
      </c>
      <c r="K512" s="4" t="s">
        <v>224</v>
      </c>
      <c r="L512" s="6" t="s">
        <v>2140</v>
      </c>
      <c r="M512" s="4" t="s">
        <v>2141</v>
      </c>
      <c r="N512" s="4" t="s">
        <v>2142</v>
      </c>
      <c r="P512" s="4" t="s">
        <v>2894</v>
      </c>
      <c r="Q512" s="4" t="s">
        <v>2147</v>
      </c>
      <c r="R512" s="4" t="s">
        <v>2915</v>
      </c>
      <c r="S512" s="4" t="s">
        <v>257</v>
      </c>
      <c r="T512" s="7">
        <v>42507</v>
      </c>
      <c r="U512" s="4">
        <v>0</v>
      </c>
      <c r="V512" s="4">
        <v>6</v>
      </c>
      <c r="Y512" s="4" t="s">
        <v>233</v>
      </c>
      <c r="Z512" s="4" t="s">
        <v>234</v>
      </c>
      <c r="AA512" s="4" t="s">
        <v>233</v>
      </c>
      <c r="AB512" s="4" t="s">
        <v>2144</v>
      </c>
      <c r="AC512" s="4" t="s">
        <v>2923</v>
      </c>
    </row>
    <row r="513" spans="1:29" hidden="1" x14ac:dyDescent="0.4">
      <c r="A513" s="4" t="s">
        <v>216</v>
      </c>
      <c r="B513" s="4">
        <v>1692</v>
      </c>
      <c r="C513" s="4" t="s">
        <v>242</v>
      </c>
      <c r="D513" s="4" t="s">
        <v>453</v>
      </c>
      <c r="E513" s="4" t="s">
        <v>2839</v>
      </c>
      <c r="F513" s="4" t="s">
        <v>2135</v>
      </c>
      <c r="G513" s="4" t="s">
        <v>2136</v>
      </c>
      <c r="H513" s="4" t="s">
        <v>2137</v>
      </c>
      <c r="I513" s="4" t="s">
        <v>2138</v>
      </c>
      <c r="J513" s="4" t="s">
        <v>2139</v>
      </c>
      <c r="K513" s="4" t="s">
        <v>224</v>
      </c>
      <c r="L513" s="6" t="s">
        <v>2140</v>
      </c>
      <c r="M513" s="4" t="s">
        <v>2141</v>
      </c>
      <c r="N513" s="4" t="s">
        <v>2142</v>
      </c>
      <c r="P513" s="4" t="s">
        <v>2891</v>
      </c>
      <c r="Q513" s="4" t="s">
        <v>2143</v>
      </c>
      <c r="R513" s="4" t="s">
        <v>2915</v>
      </c>
      <c r="S513" s="4" t="s">
        <v>257</v>
      </c>
      <c r="T513" s="7">
        <v>43512</v>
      </c>
      <c r="U513" s="4">
        <v>0</v>
      </c>
      <c r="V513" s="4">
        <v>10</v>
      </c>
      <c r="W513" s="4" t="s">
        <v>433</v>
      </c>
      <c r="Y513" s="4" t="s">
        <v>233</v>
      </c>
      <c r="Z513" s="4" t="s">
        <v>234</v>
      </c>
      <c r="AA513" s="4" t="s">
        <v>233</v>
      </c>
      <c r="AB513" s="4" t="s">
        <v>2144</v>
      </c>
      <c r="AC513" s="4" t="s">
        <v>2923</v>
      </c>
    </row>
    <row r="514" spans="1:29" hidden="1" x14ac:dyDescent="0.4">
      <c r="A514" s="4" t="s">
        <v>216</v>
      </c>
      <c r="B514" s="4">
        <v>1692</v>
      </c>
      <c r="C514" s="4" t="s">
        <v>242</v>
      </c>
      <c r="D514" s="4" t="s">
        <v>453</v>
      </c>
      <c r="E514" s="4" t="s">
        <v>2839</v>
      </c>
      <c r="F514" s="4" t="s">
        <v>2135</v>
      </c>
      <c r="G514" s="4" t="s">
        <v>2136</v>
      </c>
      <c r="H514" s="4" t="s">
        <v>2137</v>
      </c>
      <c r="I514" s="4" t="s">
        <v>2138</v>
      </c>
      <c r="J514" s="4" t="s">
        <v>2139</v>
      </c>
      <c r="K514" s="4" t="s">
        <v>224</v>
      </c>
      <c r="L514" s="6" t="s">
        <v>2140</v>
      </c>
      <c r="M514" s="4" t="s">
        <v>2141</v>
      </c>
      <c r="N514" s="4" t="s">
        <v>2142</v>
      </c>
      <c r="P514" s="4" t="s">
        <v>2891</v>
      </c>
      <c r="Q514" s="4" t="s">
        <v>2143</v>
      </c>
      <c r="R514" s="4" t="s">
        <v>2915</v>
      </c>
      <c r="S514" s="4" t="s">
        <v>257</v>
      </c>
      <c r="T514" s="7">
        <v>43512</v>
      </c>
      <c r="U514" s="4">
        <v>0</v>
      </c>
      <c r="V514" s="4">
        <v>11</v>
      </c>
      <c r="W514" s="4" t="s">
        <v>300</v>
      </c>
      <c r="Y514" s="4" t="s">
        <v>233</v>
      </c>
      <c r="Z514" s="4" t="s">
        <v>234</v>
      </c>
      <c r="AA514" s="4" t="s">
        <v>233</v>
      </c>
      <c r="AB514" s="4" t="s">
        <v>2144</v>
      </c>
      <c r="AC514" s="4" t="s">
        <v>2923</v>
      </c>
    </row>
    <row r="515" spans="1:29" hidden="1" x14ac:dyDescent="0.4">
      <c r="A515" s="4" t="s">
        <v>216</v>
      </c>
      <c r="B515" s="4">
        <v>1692</v>
      </c>
      <c r="C515" s="4" t="s">
        <v>242</v>
      </c>
      <c r="D515" s="4" t="s">
        <v>453</v>
      </c>
      <c r="E515" s="4" t="s">
        <v>2839</v>
      </c>
      <c r="F515" s="4" t="s">
        <v>2135</v>
      </c>
      <c r="G515" s="4" t="s">
        <v>2136</v>
      </c>
      <c r="H515" s="4" t="s">
        <v>2137</v>
      </c>
      <c r="I515" s="4" t="s">
        <v>2138</v>
      </c>
      <c r="J515" s="4" t="s">
        <v>2139</v>
      </c>
      <c r="K515" s="4" t="s">
        <v>224</v>
      </c>
      <c r="L515" s="6" t="s">
        <v>2140</v>
      </c>
      <c r="M515" s="4" t="s">
        <v>2141</v>
      </c>
      <c r="N515" s="4" t="s">
        <v>2142</v>
      </c>
      <c r="P515" s="4" t="s">
        <v>2892</v>
      </c>
      <c r="Q515" s="4" t="s">
        <v>2145</v>
      </c>
      <c r="R515" s="4" t="s">
        <v>2915</v>
      </c>
      <c r="S515" s="4" t="s">
        <v>231</v>
      </c>
      <c r="T515" s="7">
        <v>43187</v>
      </c>
      <c r="U515" s="4">
        <v>0</v>
      </c>
      <c r="V515" s="4">
        <v>11</v>
      </c>
      <c r="W515" s="4" t="s">
        <v>314</v>
      </c>
      <c r="Y515" s="4" t="s">
        <v>233</v>
      </c>
      <c r="Z515" s="4" t="s">
        <v>234</v>
      </c>
      <c r="AA515" s="4" t="s">
        <v>233</v>
      </c>
      <c r="AB515" s="4" t="s">
        <v>2144</v>
      </c>
      <c r="AC515" s="4" t="s">
        <v>2923</v>
      </c>
    </row>
    <row r="516" spans="1:29" hidden="1" x14ac:dyDescent="0.4">
      <c r="A516" s="4" t="s">
        <v>216</v>
      </c>
      <c r="B516" s="4">
        <v>1692</v>
      </c>
      <c r="C516" s="4" t="s">
        <v>242</v>
      </c>
      <c r="D516" s="4" t="s">
        <v>453</v>
      </c>
      <c r="E516" s="4" t="s">
        <v>2839</v>
      </c>
      <c r="F516" s="4" t="s">
        <v>2135</v>
      </c>
      <c r="G516" s="4" t="s">
        <v>2136</v>
      </c>
      <c r="H516" s="4" t="s">
        <v>2137</v>
      </c>
      <c r="I516" s="4" t="s">
        <v>2138</v>
      </c>
      <c r="J516" s="4" t="s">
        <v>2139</v>
      </c>
      <c r="K516" s="4" t="s">
        <v>224</v>
      </c>
      <c r="L516" s="6" t="s">
        <v>2140</v>
      </c>
      <c r="M516" s="4" t="s">
        <v>2141</v>
      </c>
      <c r="N516" s="4" t="s">
        <v>2142</v>
      </c>
      <c r="P516" s="4" t="s">
        <v>2893</v>
      </c>
      <c r="Q516" s="4" t="s">
        <v>2146</v>
      </c>
      <c r="R516" s="4" t="s">
        <v>2915</v>
      </c>
      <c r="S516" s="4" t="s">
        <v>257</v>
      </c>
      <c r="T516" s="7">
        <v>43029</v>
      </c>
      <c r="U516" s="4">
        <v>0</v>
      </c>
      <c r="V516" s="4">
        <v>12</v>
      </c>
      <c r="Y516" s="4" t="s">
        <v>233</v>
      </c>
      <c r="Z516" s="4" t="s">
        <v>234</v>
      </c>
      <c r="AA516" s="4" t="s">
        <v>233</v>
      </c>
      <c r="AB516" s="4" t="s">
        <v>2144</v>
      </c>
      <c r="AC516" s="4" t="s">
        <v>2923</v>
      </c>
    </row>
    <row r="517" spans="1:29" hidden="1" x14ac:dyDescent="0.4">
      <c r="A517" s="4" t="s">
        <v>216</v>
      </c>
      <c r="B517" s="4">
        <v>1692</v>
      </c>
      <c r="C517" s="4" t="s">
        <v>242</v>
      </c>
      <c r="D517" s="4" t="s">
        <v>453</v>
      </c>
      <c r="E517" s="4" t="s">
        <v>2839</v>
      </c>
      <c r="F517" s="4" t="s">
        <v>2135</v>
      </c>
      <c r="G517" s="4" t="s">
        <v>2136</v>
      </c>
      <c r="H517" s="4" t="s">
        <v>2137</v>
      </c>
      <c r="I517" s="4" t="s">
        <v>2138</v>
      </c>
      <c r="J517" s="4" t="s">
        <v>2139</v>
      </c>
      <c r="K517" s="4" t="s">
        <v>224</v>
      </c>
      <c r="L517" s="6" t="s">
        <v>2140</v>
      </c>
      <c r="M517" s="4" t="s">
        <v>2141</v>
      </c>
      <c r="N517" s="4" t="s">
        <v>2142</v>
      </c>
      <c r="P517" s="4" t="s">
        <v>2894</v>
      </c>
      <c r="Q517" s="4" t="s">
        <v>2147</v>
      </c>
      <c r="R517" s="4" t="s">
        <v>2915</v>
      </c>
      <c r="S517" s="4" t="s">
        <v>257</v>
      </c>
      <c r="T517" s="7">
        <v>42507</v>
      </c>
      <c r="U517" s="4">
        <v>0</v>
      </c>
      <c r="V517" s="4">
        <v>12</v>
      </c>
      <c r="Y517" s="4" t="s">
        <v>233</v>
      </c>
      <c r="Z517" s="4" t="s">
        <v>234</v>
      </c>
      <c r="AA517" s="4" t="s">
        <v>233</v>
      </c>
      <c r="AB517" s="4" t="s">
        <v>2144</v>
      </c>
      <c r="AC517" s="4" t="s">
        <v>2923</v>
      </c>
    </row>
    <row r="518" spans="1:29" hidden="1" x14ac:dyDescent="0.4">
      <c r="A518" s="4" t="s">
        <v>216</v>
      </c>
      <c r="B518" s="4">
        <v>1515</v>
      </c>
      <c r="C518" s="4" t="s">
        <v>417</v>
      </c>
      <c r="D518" s="4" t="s">
        <v>2840</v>
      </c>
      <c r="E518" s="4" t="s">
        <v>2148</v>
      </c>
      <c r="F518" s="4" t="s">
        <v>2149</v>
      </c>
      <c r="G518" s="4" t="s">
        <v>2150</v>
      </c>
      <c r="H518" s="4" t="s">
        <v>2151</v>
      </c>
      <c r="I518" s="4" t="s">
        <v>143</v>
      </c>
      <c r="J518" s="4" t="s">
        <v>2152</v>
      </c>
      <c r="K518" s="4" t="s">
        <v>224</v>
      </c>
      <c r="L518" s="6" t="s">
        <v>2153</v>
      </c>
      <c r="M518" s="4" t="s">
        <v>2154</v>
      </c>
      <c r="N518" s="4" t="s">
        <v>2155</v>
      </c>
      <c r="P518" s="4" t="s">
        <v>2156</v>
      </c>
      <c r="Q518" s="4" t="s">
        <v>2157</v>
      </c>
      <c r="R518" s="4" t="s">
        <v>31</v>
      </c>
      <c r="S518" s="4" t="s">
        <v>257</v>
      </c>
      <c r="T518" s="7">
        <v>45179</v>
      </c>
      <c r="U518" s="4">
        <v>0</v>
      </c>
      <c r="V518" s="4">
        <v>6</v>
      </c>
      <c r="Y518" s="4" t="s">
        <v>233</v>
      </c>
      <c r="Z518" s="4" t="s">
        <v>234</v>
      </c>
      <c r="AA518" s="4" t="s">
        <v>234</v>
      </c>
      <c r="AC518" s="4" t="s">
        <v>2923</v>
      </c>
    </row>
    <row r="519" spans="1:29" hidden="1" x14ac:dyDescent="0.4">
      <c r="A519" s="4" t="s">
        <v>216</v>
      </c>
      <c r="B519" s="4">
        <v>1515</v>
      </c>
      <c r="C519" s="4" t="s">
        <v>417</v>
      </c>
      <c r="D519" s="4" t="s">
        <v>2840</v>
      </c>
      <c r="E519" s="4" t="s">
        <v>2148</v>
      </c>
      <c r="F519" s="4" t="s">
        <v>2149</v>
      </c>
      <c r="G519" s="4" t="s">
        <v>2150</v>
      </c>
      <c r="H519" s="4" t="s">
        <v>2151</v>
      </c>
      <c r="I519" s="4" t="s">
        <v>143</v>
      </c>
      <c r="J519" s="4" t="s">
        <v>2152</v>
      </c>
      <c r="K519" s="4" t="s">
        <v>224</v>
      </c>
      <c r="L519" s="6" t="s">
        <v>2153</v>
      </c>
      <c r="M519" s="4" t="s">
        <v>2154</v>
      </c>
      <c r="N519" s="4" t="s">
        <v>2155</v>
      </c>
      <c r="P519" s="4" t="s">
        <v>2156</v>
      </c>
      <c r="Q519" s="4" t="s">
        <v>2157</v>
      </c>
      <c r="R519" s="4" t="s">
        <v>31</v>
      </c>
      <c r="S519" s="4" t="s">
        <v>257</v>
      </c>
      <c r="T519" s="7">
        <v>45179</v>
      </c>
      <c r="U519" s="4">
        <v>0</v>
      </c>
      <c r="V519" s="4">
        <v>7</v>
      </c>
      <c r="W519" s="4" t="s">
        <v>238</v>
      </c>
      <c r="Y519" s="4" t="s">
        <v>233</v>
      </c>
      <c r="Z519" s="4" t="s">
        <v>234</v>
      </c>
      <c r="AA519" s="4" t="s">
        <v>234</v>
      </c>
      <c r="AC519" s="4" t="s">
        <v>2923</v>
      </c>
    </row>
    <row r="520" spans="1:29" hidden="1" x14ac:dyDescent="0.4">
      <c r="A520" s="4" t="s">
        <v>216</v>
      </c>
      <c r="B520" s="4">
        <v>1515</v>
      </c>
      <c r="C520" s="4" t="s">
        <v>417</v>
      </c>
      <c r="D520" s="4" t="s">
        <v>2840</v>
      </c>
      <c r="E520" s="4" t="s">
        <v>2148</v>
      </c>
      <c r="F520" s="4" t="s">
        <v>2149</v>
      </c>
      <c r="G520" s="4" t="s">
        <v>2150</v>
      </c>
      <c r="H520" s="4" t="s">
        <v>2151</v>
      </c>
      <c r="I520" s="4" t="s">
        <v>143</v>
      </c>
      <c r="J520" s="4" t="s">
        <v>2152</v>
      </c>
      <c r="K520" s="4" t="s">
        <v>224</v>
      </c>
      <c r="L520" s="6" t="s">
        <v>2153</v>
      </c>
      <c r="M520" s="4" t="s">
        <v>2154</v>
      </c>
      <c r="N520" s="4" t="s">
        <v>2155</v>
      </c>
      <c r="P520" s="4" t="s">
        <v>2158</v>
      </c>
      <c r="Q520" s="4" t="s">
        <v>2159</v>
      </c>
      <c r="R520" s="4" t="s">
        <v>31</v>
      </c>
      <c r="S520" s="4" t="s">
        <v>257</v>
      </c>
      <c r="T520" s="7">
        <v>44058</v>
      </c>
      <c r="U520" s="4">
        <v>0</v>
      </c>
      <c r="V520" s="4">
        <v>7</v>
      </c>
      <c r="W520" s="4" t="s">
        <v>238</v>
      </c>
      <c r="Y520" s="4" t="s">
        <v>233</v>
      </c>
      <c r="Z520" s="4" t="s">
        <v>234</v>
      </c>
      <c r="AA520" s="4" t="s">
        <v>234</v>
      </c>
      <c r="AC520" s="4" t="s">
        <v>2923</v>
      </c>
    </row>
    <row r="521" spans="1:29" hidden="1" x14ac:dyDescent="0.4">
      <c r="A521" s="4" t="s">
        <v>216</v>
      </c>
      <c r="B521" s="4">
        <v>5330</v>
      </c>
      <c r="C521" s="4" t="s">
        <v>417</v>
      </c>
      <c r="D521" s="4" t="s">
        <v>2160</v>
      </c>
      <c r="E521" s="4" t="s">
        <v>2161</v>
      </c>
      <c r="F521" s="4" t="s">
        <v>2162</v>
      </c>
      <c r="G521" s="4" t="s">
        <v>2163</v>
      </c>
      <c r="H521" s="4" t="s">
        <v>2164</v>
      </c>
      <c r="I521" s="4" t="s">
        <v>694</v>
      </c>
      <c r="J521" s="4" t="s">
        <v>2165</v>
      </c>
      <c r="K521" s="4" t="s">
        <v>224</v>
      </c>
      <c r="L521" s="6" t="s">
        <v>2166</v>
      </c>
      <c r="M521" s="4" t="s">
        <v>2167</v>
      </c>
      <c r="N521" s="4" t="s">
        <v>2168</v>
      </c>
      <c r="P521" s="4" t="s">
        <v>2169</v>
      </c>
      <c r="Q521" s="4" t="s">
        <v>2170</v>
      </c>
      <c r="R521" s="4" t="s">
        <v>2811</v>
      </c>
      <c r="S521" s="4" t="s">
        <v>257</v>
      </c>
      <c r="T521" s="7">
        <v>44082</v>
      </c>
      <c r="U521" s="4">
        <v>0</v>
      </c>
      <c r="V521" s="4">
        <v>8</v>
      </c>
      <c r="W521" s="4" t="s">
        <v>281</v>
      </c>
      <c r="Y521" s="4" t="s">
        <v>233</v>
      </c>
      <c r="Z521" s="4" t="s">
        <v>234</v>
      </c>
      <c r="AA521" s="4" t="s">
        <v>234</v>
      </c>
      <c r="AB521" s="4" t="s">
        <v>2171</v>
      </c>
      <c r="AC521" s="4" t="s">
        <v>2923</v>
      </c>
    </row>
    <row r="522" spans="1:29" hidden="1" x14ac:dyDescent="0.4">
      <c r="A522" s="4" t="s">
        <v>216</v>
      </c>
      <c r="B522" s="4">
        <v>5330</v>
      </c>
      <c r="C522" s="4" t="s">
        <v>417</v>
      </c>
      <c r="D522" s="4" t="s">
        <v>2160</v>
      </c>
      <c r="E522" s="4" t="s">
        <v>2161</v>
      </c>
      <c r="F522" s="4" t="s">
        <v>2162</v>
      </c>
      <c r="G522" s="4" t="s">
        <v>2163</v>
      </c>
      <c r="H522" s="4" t="s">
        <v>2164</v>
      </c>
      <c r="I522" s="4" t="s">
        <v>694</v>
      </c>
      <c r="J522" s="4" t="s">
        <v>2165</v>
      </c>
      <c r="K522" s="4" t="s">
        <v>224</v>
      </c>
      <c r="L522" s="6" t="s">
        <v>2166</v>
      </c>
      <c r="M522" s="4" t="s">
        <v>2167</v>
      </c>
      <c r="N522" s="4" t="s">
        <v>2168</v>
      </c>
      <c r="P522" s="4" t="s">
        <v>2172</v>
      </c>
      <c r="Q522" s="4" t="s">
        <v>2173</v>
      </c>
      <c r="R522" s="4" t="s">
        <v>2811</v>
      </c>
      <c r="S522" s="4" t="s">
        <v>231</v>
      </c>
      <c r="T522" s="7">
        <v>45576</v>
      </c>
      <c r="U522" s="4">
        <v>0</v>
      </c>
      <c r="V522" s="4">
        <v>8</v>
      </c>
      <c r="W522" s="4" t="s">
        <v>281</v>
      </c>
      <c r="Y522" s="4" t="s">
        <v>233</v>
      </c>
      <c r="Z522" s="4" t="s">
        <v>234</v>
      </c>
      <c r="AA522" s="4" t="s">
        <v>234</v>
      </c>
      <c r="AB522" s="4" t="s">
        <v>2171</v>
      </c>
      <c r="AC522" s="4" t="s">
        <v>2923</v>
      </c>
    </row>
    <row r="523" spans="1:29" hidden="1" x14ac:dyDescent="0.4">
      <c r="A523" s="4" t="s">
        <v>216</v>
      </c>
      <c r="B523" s="4">
        <v>5330</v>
      </c>
      <c r="C523" s="4" t="s">
        <v>417</v>
      </c>
      <c r="D523" s="4" t="s">
        <v>2160</v>
      </c>
      <c r="E523" s="4" t="s">
        <v>2161</v>
      </c>
      <c r="F523" s="4" t="s">
        <v>2162</v>
      </c>
      <c r="G523" s="4" t="s">
        <v>2163</v>
      </c>
      <c r="H523" s="4" t="s">
        <v>2164</v>
      </c>
      <c r="I523" s="4" t="s">
        <v>694</v>
      </c>
      <c r="J523" s="4" t="s">
        <v>2165</v>
      </c>
      <c r="K523" s="4" t="s">
        <v>224</v>
      </c>
      <c r="L523" s="6" t="s">
        <v>2166</v>
      </c>
      <c r="M523" s="4" t="s">
        <v>2167</v>
      </c>
      <c r="N523" s="4" t="s">
        <v>2168</v>
      </c>
      <c r="P523" s="4" t="s">
        <v>2174</v>
      </c>
      <c r="Q523" s="4" t="s">
        <v>2175</v>
      </c>
      <c r="R523" s="4" t="s">
        <v>2811</v>
      </c>
      <c r="S523" s="4" t="s">
        <v>231</v>
      </c>
      <c r="T523" s="7">
        <v>45941</v>
      </c>
      <c r="U523" s="4">
        <v>0</v>
      </c>
      <c r="V523" s="4">
        <v>8</v>
      </c>
      <c r="W523" s="4" t="s">
        <v>281</v>
      </c>
      <c r="Y523" s="4" t="s">
        <v>233</v>
      </c>
      <c r="Z523" s="4" t="s">
        <v>234</v>
      </c>
      <c r="AA523" s="4" t="s">
        <v>234</v>
      </c>
      <c r="AB523" s="4" t="s">
        <v>2171</v>
      </c>
      <c r="AC523" s="4" t="s">
        <v>2923</v>
      </c>
    </row>
    <row r="524" spans="1:29" hidden="1" x14ac:dyDescent="0.4">
      <c r="A524" s="4" t="s">
        <v>216</v>
      </c>
      <c r="B524" s="4">
        <v>5330</v>
      </c>
      <c r="C524" s="4" t="s">
        <v>417</v>
      </c>
      <c r="D524" s="4" t="s">
        <v>2160</v>
      </c>
      <c r="E524" s="4" t="s">
        <v>2161</v>
      </c>
      <c r="F524" s="4" t="s">
        <v>2162</v>
      </c>
      <c r="G524" s="4" t="s">
        <v>2163</v>
      </c>
      <c r="H524" s="4" t="s">
        <v>2164</v>
      </c>
      <c r="I524" s="4" t="s">
        <v>694</v>
      </c>
      <c r="J524" s="4" t="s">
        <v>2165</v>
      </c>
      <c r="K524" s="4" t="s">
        <v>224</v>
      </c>
      <c r="L524" s="6" t="s">
        <v>2166</v>
      </c>
      <c r="M524" s="4" t="s">
        <v>2167</v>
      </c>
      <c r="N524" s="4" t="s">
        <v>2168</v>
      </c>
      <c r="P524" s="4" t="s">
        <v>2177</v>
      </c>
      <c r="Q524" s="4" t="s">
        <v>2178</v>
      </c>
      <c r="R524" s="4" t="s">
        <v>2811</v>
      </c>
      <c r="S524" s="4" t="s">
        <v>231</v>
      </c>
      <c r="T524" s="7">
        <v>44324</v>
      </c>
      <c r="U524" s="4">
        <v>0</v>
      </c>
      <c r="V524" s="4">
        <v>8</v>
      </c>
      <c r="W524" s="4" t="s">
        <v>281</v>
      </c>
      <c r="Y524" s="4" t="s">
        <v>233</v>
      </c>
      <c r="Z524" s="4" t="s">
        <v>234</v>
      </c>
      <c r="AA524" s="4" t="s">
        <v>234</v>
      </c>
      <c r="AB524" s="4" t="s">
        <v>2171</v>
      </c>
      <c r="AC524" s="4" t="s">
        <v>2923</v>
      </c>
    </row>
    <row r="525" spans="1:29" hidden="1" x14ac:dyDescent="0.4">
      <c r="A525" s="4" t="s">
        <v>216</v>
      </c>
      <c r="B525" s="4">
        <v>5330</v>
      </c>
      <c r="C525" s="4" t="s">
        <v>417</v>
      </c>
      <c r="D525" s="4" t="s">
        <v>2160</v>
      </c>
      <c r="E525" s="4" t="s">
        <v>2161</v>
      </c>
      <c r="F525" s="4" t="s">
        <v>2162</v>
      </c>
      <c r="G525" s="4" t="s">
        <v>2163</v>
      </c>
      <c r="H525" s="4" t="s">
        <v>2164</v>
      </c>
      <c r="I525" s="4" t="s">
        <v>694</v>
      </c>
      <c r="J525" s="4" t="s">
        <v>2165</v>
      </c>
      <c r="K525" s="4" t="s">
        <v>224</v>
      </c>
      <c r="L525" s="6" t="s">
        <v>2166</v>
      </c>
      <c r="M525" s="4" t="s">
        <v>2167</v>
      </c>
      <c r="N525" s="4" t="s">
        <v>2168</v>
      </c>
      <c r="P525" s="4" t="s">
        <v>2169</v>
      </c>
      <c r="Q525" s="4" t="s">
        <v>2170</v>
      </c>
      <c r="R525" s="4" t="s">
        <v>2811</v>
      </c>
      <c r="S525" s="4" t="s">
        <v>257</v>
      </c>
      <c r="T525" s="7">
        <v>44082</v>
      </c>
      <c r="U525" s="4">
        <v>0</v>
      </c>
      <c r="V525" s="4">
        <v>14</v>
      </c>
      <c r="W525" s="4" t="s">
        <v>241</v>
      </c>
      <c r="Y525" s="4" t="s">
        <v>233</v>
      </c>
      <c r="Z525" s="4" t="s">
        <v>234</v>
      </c>
      <c r="AA525" s="4" t="s">
        <v>234</v>
      </c>
      <c r="AB525" s="4" t="s">
        <v>2171</v>
      </c>
      <c r="AC525" s="4" t="s">
        <v>2923</v>
      </c>
    </row>
    <row r="526" spans="1:29" hidden="1" x14ac:dyDescent="0.4">
      <c r="A526" s="4" t="s">
        <v>216</v>
      </c>
      <c r="B526" s="4">
        <v>5330</v>
      </c>
      <c r="C526" s="4" t="s">
        <v>417</v>
      </c>
      <c r="D526" s="4" t="s">
        <v>2160</v>
      </c>
      <c r="E526" s="4" t="s">
        <v>2161</v>
      </c>
      <c r="F526" s="4" t="s">
        <v>2162</v>
      </c>
      <c r="G526" s="4" t="s">
        <v>2163</v>
      </c>
      <c r="H526" s="4" t="s">
        <v>2164</v>
      </c>
      <c r="I526" s="4" t="s">
        <v>694</v>
      </c>
      <c r="J526" s="4" t="s">
        <v>2165</v>
      </c>
      <c r="K526" s="4" t="s">
        <v>224</v>
      </c>
      <c r="L526" s="6" t="s">
        <v>2166</v>
      </c>
      <c r="M526" s="4" t="s">
        <v>2167</v>
      </c>
      <c r="N526" s="4" t="s">
        <v>2168</v>
      </c>
      <c r="P526" s="4" t="s">
        <v>2177</v>
      </c>
      <c r="Q526" s="4" t="s">
        <v>2178</v>
      </c>
      <c r="R526" s="4" t="s">
        <v>2811</v>
      </c>
      <c r="S526" s="4" t="s">
        <v>231</v>
      </c>
      <c r="T526" s="7">
        <v>44324</v>
      </c>
      <c r="U526" s="4">
        <v>0</v>
      </c>
      <c r="V526" s="4">
        <v>14</v>
      </c>
      <c r="W526" s="4" t="s">
        <v>241</v>
      </c>
      <c r="Y526" s="4" t="s">
        <v>233</v>
      </c>
      <c r="Z526" s="4" t="s">
        <v>234</v>
      </c>
      <c r="AA526" s="4" t="s">
        <v>234</v>
      </c>
      <c r="AB526" s="4" t="s">
        <v>2171</v>
      </c>
      <c r="AC526" s="4" t="s">
        <v>2923</v>
      </c>
    </row>
    <row r="527" spans="1:29" hidden="1" x14ac:dyDescent="0.4">
      <c r="A527" s="4" t="s">
        <v>216</v>
      </c>
      <c r="B527" s="4">
        <v>5330</v>
      </c>
      <c r="C527" s="4" t="s">
        <v>417</v>
      </c>
      <c r="D527" s="4" t="s">
        <v>2160</v>
      </c>
      <c r="E527" s="4" t="s">
        <v>2161</v>
      </c>
      <c r="F527" s="4" t="s">
        <v>2162</v>
      </c>
      <c r="G527" s="4" t="s">
        <v>2163</v>
      </c>
      <c r="H527" s="4" t="s">
        <v>2164</v>
      </c>
      <c r="I527" s="4" t="s">
        <v>694</v>
      </c>
      <c r="J527" s="4" t="s">
        <v>2165</v>
      </c>
      <c r="K527" s="4" t="s">
        <v>224</v>
      </c>
      <c r="L527" s="6" t="s">
        <v>2166</v>
      </c>
      <c r="M527" s="4" t="s">
        <v>2167</v>
      </c>
      <c r="N527" s="4" t="s">
        <v>2168</v>
      </c>
      <c r="P527" s="4" t="s">
        <v>2172</v>
      </c>
      <c r="Q527" s="4" t="s">
        <v>2173</v>
      </c>
      <c r="R527" s="4" t="s">
        <v>2811</v>
      </c>
      <c r="S527" s="4" t="s">
        <v>231</v>
      </c>
      <c r="T527" s="7">
        <v>45576</v>
      </c>
      <c r="U527" s="4">
        <v>0</v>
      </c>
      <c r="V527" s="4">
        <v>14</v>
      </c>
      <c r="W527" s="4" t="s">
        <v>241</v>
      </c>
      <c r="Y527" s="4" t="s">
        <v>233</v>
      </c>
      <c r="Z527" s="4" t="s">
        <v>234</v>
      </c>
      <c r="AA527" s="4" t="s">
        <v>234</v>
      </c>
      <c r="AB527" s="4" t="s">
        <v>2171</v>
      </c>
      <c r="AC527" s="4" t="s">
        <v>2923</v>
      </c>
    </row>
    <row r="528" spans="1:29" hidden="1" x14ac:dyDescent="0.4">
      <c r="A528" s="4" t="s">
        <v>216</v>
      </c>
      <c r="B528" s="4">
        <v>4903</v>
      </c>
      <c r="C528" s="4" t="s">
        <v>242</v>
      </c>
      <c r="D528" s="4" t="s">
        <v>774</v>
      </c>
      <c r="E528" s="4" t="s">
        <v>2179</v>
      </c>
      <c r="F528" s="4" t="s">
        <v>2180</v>
      </c>
      <c r="H528" s="4" t="s">
        <v>1654</v>
      </c>
      <c r="I528" s="4" t="s">
        <v>2181</v>
      </c>
      <c r="J528" s="4">
        <v>45279</v>
      </c>
      <c r="K528" s="4" t="s">
        <v>1656</v>
      </c>
      <c r="L528" s="6" t="s">
        <v>2182</v>
      </c>
      <c r="M528" s="4" t="s">
        <v>2183</v>
      </c>
      <c r="N528" s="4" t="s">
        <v>2184</v>
      </c>
      <c r="P528" s="4" t="s">
        <v>2185</v>
      </c>
      <c r="Q528" s="4" t="s">
        <v>2186</v>
      </c>
      <c r="R528" s="4" t="s">
        <v>2811</v>
      </c>
      <c r="S528" s="4" t="s">
        <v>231</v>
      </c>
      <c r="T528" s="7">
        <v>43907</v>
      </c>
      <c r="U528" s="4">
        <v>0</v>
      </c>
      <c r="V528" s="4">
        <v>5</v>
      </c>
      <c r="W528" s="4" t="s">
        <v>314</v>
      </c>
      <c r="X528" s="4" t="s">
        <v>464</v>
      </c>
      <c r="Y528" s="4" t="s">
        <v>233</v>
      </c>
      <c r="Z528" s="4" t="s">
        <v>234</v>
      </c>
      <c r="AA528" s="4" t="s">
        <v>234</v>
      </c>
      <c r="AC528" s="4" t="s">
        <v>2923</v>
      </c>
    </row>
    <row r="529" spans="1:29" hidden="1" x14ac:dyDescent="0.4">
      <c r="A529" s="4" t="s">
        <v>216</v>
      </c>
      <c r="B529" s="4">
        <v>4903</v>
      </c>
      <c r="C529" s="4" t="s">
        <v>242</v>
      </c>
      <c r="D529" s="4" t="s">
        <v>774</v>
      </c>
      <c r="E529" s="4" t="s">
        <v>2179</v>
      </c>
      <c r="F529" s="4" t="s">
        <v>2180</v>
      </c>
      <c r="H529" s="4" t="s">
        <v>1654</v>
      </c>
      <c r="I529" s="4" t="s">
        <v>2181</v>
      </c>
      <c r="J529" s="4">
        <v>45279</v>
      </c>
      <c r="K529" s="4" t="s">
        <v>1656</v>
      </c>
      <c r="L529" s="6" t="s">
        <v>2182</v>
      </c>
      <c r="M529" s="4" t="s">
        <v>2183</v>
      </c>
      <c r="N529" s="4" t="s">
        <v>2184</v>
      </c>
      <c r="P529" s="4" t="s">
        <v>2185</v>
      </c>
      <c r="Q529" s="4" t="s">
        <v>2186</v>
      </c>
      <c r="R529" s="4" t="s">
        <v>2811</v>
      </c>
      <c r="S529" s="4" t="s">
        <v>231</v>
      </c>
      <c r="T529" s="7">
        <v>43907</v>
      </c>
      <c r="U529" s="4">
        <v>0</v>
      </c>
      <c r="V529" s="4">
        <v>7</v>
      </c>
      <c r="W529" s="4" t="s">
        <v>238</v>
      </c>
      <c r="X529" s="4" t="s">
        <v>464</v>
      </c>
      <c r="Y529" s="4" t="s">
        <v>233</v>
      </c>
      <c r="Z529" s="4" t="s">
        <v>234</v>
      </c>
      <c r="AA529" s="4" t="s">
        <v>234</v>
      </c>
      <c r="AC529" s="4" t="s">
        <v>2923</v>
      </c>
    </row>
    <row r="530" spans="1:29" hidden="1" x14ac:dyDescent="0.4">
      <c r="A530" s="4" t="s">
        <v>216</v>
      </c>
      <c r="B530" s="4">
        <v>4903</v>
      </c>
      <c r="C530" s="4" t="s">
        <v>242</v>
      </c>
      <c r="D530" s="4" t="s">
        <v>774</v>
      </c>
      <c r="E530" s="4" t="s">
        <v>2179</v>
      </c>
      <c r="F530" s="4" t="s">
        <v>2180</v>
      </c>
      <c r="H530" s="4" t="s">
        <v>1654</v>
      </c>
      <c r="I530" s="4" t="s">
        <v>2181</v>
      </c>
      <c r="J530" s="4">
        <v>45279</v>
      </c>
      <c r="K530" s="4" t="s">
        <v>1656</v>
      </c>
      <c r="L530" s="6" t="s">
        <v>2182</v>
      </c>
      <c r="M530" s="4" t="s">
        <v>2183</v>
      </c>
      <c r="N530" s="4" t="s">
        <v>2184</v>
      </c>
      <c r="P530" s="4" t="s">
        <v>2185</v>
      </c>
      <c r="Q530" s="4" t="s">
        <v>2186</v>
      </c>
      <c r="R530" s="4" t="s">
        <v>2811</v>
      </c>
      <c r="S530" s="4" t="s">
        <v>231</v>
      </c>
      <c r="T530" s="7">
        <v>43907</v>
      </c>
      <c r="U530" s="4">
        <v>0</v>
      </c>
      <c r="V530" s="4">
        <v>11</v>
      </c>
      <c r="W530" s="4" t="s">
        <v>300</v>
      </c>
      <c r="X530" s="4" t="s">
        <v>464</v>
      </c>
      <c r="Y530" s="4" t="s">
        <v>233</v>
      </c>
      <c r="Z530" s="4" t="s">
        <v>234</v>
      </c>
      <c r="AA530" s="4" t="s">
        <v>234</v>
      </c>
      <c r="AC530" s="4" t="s">
        <v>2923</v>
      </c>
    </row>
    <row r="531" spans="1:29" hidden="1" x14ac:dyDescent="0.4">
      <c r="A531" s="4" t="s">
        <v>216</v>
      </c>
      <c r="B531" s="4">
        <v>4903</v>
      </c>
      <c r="C531" s="4" t="s">
        <v>242</v>
      </c>
      <c r="D531" s="4" t="s">
        <v>774</v>
      </c>
      <c r="E531" s="4" t="s">
        <v>2179</v>
      </c>
      <c r="F531" s="4" t="s">
        <v>2180</v>
      </c>
      <c r="H531" s="4" t="s">
        <v>1654</v>
      </c>
      <c r="I531" s="4" t="s">
        <v>2181</v>
      </c>
      <c r="J531" s="4">
        <v>45279</v>
      </c>
      <c r="K531" s="4" t="s">
        <v>1656</v>
      </c>
      <c r="L531" s="6" t="s">
        <v>2182</v>
      </c>
      <c r="M531" s="4" t="s">
        <v>2183</v>
      </c>
      <c r="N531" s="4" t="s">
        <v>2184</v>
      </c>
      <c r="P531" s="4" t="s">
        <v>2185</v>
      </c>
      <c r="Q531" s="4" t="s">
        <v>2186</v>
      </c>
      <c r="R531" s="4" t="s">
        <v>2811</v>
      </c>
      <c r="S531" s="4" t="s">
        <v>231</v>
      </c>
      <c r="T531" s="7">
        <v>43907</v>
      </c>
      <c r="U531" s="4">
        <v>0</v>
      </c>
      <c r="V531" s="4">
        <v>13</v>
      </c>
      <c r="W531" s="4" t="s">
        <v>240</v>
      </c>
      <c r="X531" s="4" t="s">
        <v>464</v>
      </c>
      <c r="Y531" s="4" t="s">
        <v>233</v>
      </c>
      <c r="Z531" s="4" t="s">
        <v>234</v>
      </c>
      <c r="AA531" s="4" t="s">
        <v>234</v>
      </c>
      <c r="AC531" s="4" t="s">
        <v>2923</v>
      </c>
    </row>
    <row r="532" spans="1:29" hidden="1" x14ac:dyDescent="0.4">
      <c r="A532" s="4" t="s">
        <v>216</v>
      </c>
      <c r="B532" s="4">
        <v>4903</v>
      </c>
      <c r="C532" s="4" t="s">
        <v>242</v>
      </c>
      <c r="D532" s="4" t="s">
        <v>774</v>
      </c>
      <c r="E532" s="4" t="s">
        <v>2179</v>
      </c>
      <c r="F532" s="4" t="s">
        <v>2180</v>
      </c>
      <c r="H532" s="4" t="s">
        <v>1654</v>
      </c>
      <c r="I532" s="4" t="s">
        <v>2181</v>
      </c>
      <c r="J532" s="4">
        <v>45279</v>
      </c>
      <c r="K532" s="4" t="s">
        <v>1656</v>
      </c>
      <c r="L532" s="6" t="s">
        <v>2182</v>
      </c>
      <c r="M532" s="4" t="s">
        <v>2183</v>
      </c>
      <c r="N532" s="4" t="s">
        <v>2184</v>
      </c>
      <c r="P532" s="4" t="s">
        <v>2185</v>
      </c>
      <c r="Q532" s="4" t="s">
        <v>2186</v>
      </c>
      <c r="R532" s="4" t="s">
        <v>2811</v>
      </c>
      <c r="S532" s="4" t="s">
        <v>231</v>
      </c>
      <c r="T532" s="7">
        <v>43907</v>
      </c>
      <c r="U532" s="4">
        <v>0</v>
      </c>
      <c r="V532" s="4">
        <v>14</v>
      </c>
      <c r="W532" s="4" t="s">
        <v>241</v>
      </c>
      <c r="X532" s="4" t="s">
        <v>464</v>
      </c>
      <c r="Y532" s="4" t="s">
        <v>233</v>
      </c>
      <c r="Z532" s="4" t="s">
        <v>234</v>
      </c>
      <c r="AA532" s="4" t="s">
        <v>234</v>
      </c>
      <c r="AC532" s="4" t="s">
        <v>2923</v>
      </c>
    </row>
    <row r="533" spans="1:29" hidden="1" x14ac:dyDescent="0.4">
      <c r="A533" s="4" t="s">
        <v>216</v>
      </c>
      <c r="B533" s="4">
        <v>4409</v>
      </c>
      <c r="C533" s="4" t="s">
        <v>242</v>
      </c>
      <c r="D533" s="4" t="s">
        <v>2187</v>
      </c>
      <c r="E533" s="4" t="s">
        <v>2188</v>
      </c>
      <c r="F533" s="4" t="s">
        <v>2189</v>
      </c>
      <c r="H533" s="4" t="s">
        <v>2190</v>
      </c>
      <c r="I533" s="4" t="s">
        <v>143</v>
      </c>
      <c r="J533" s="4" t="s">
        <v>2191</v>
      </c>
      <c r="K533" s="4" t="s">
        <v>224</v>
      </c>
      <c r="L533" s="6" t="s">
        <v>2192</v>
      </c>
      <c r="M533" s="4" t="s">
        <v>2193</v>
      </c>
      <c r="N533" s="4" t="s">
        <v>2194</v>
      </c>
      <c r="P533" s="4" t="s">
        <v>2895</v>
      </c>
      <c r="Q533" s="4" t="s">
        <v>2195</v>
      </c>
      <c r="R533" s="4" t="s">
        <v>53</v>
      </c>
      <c r="S533" s="4" t="s">
        <v>257</v>
      </c>
      <c r="T533" s="7">
        <v>44400</v>
      </c>
      <c r="U533" s="4">
        <v>0</v>
      </c>
      <c r="V533" s="4">
        <v>4</v>
      </c>
      <c r="W533" s="4" t="s">
        <v>314</v>
      </c>
      <c r="X533" s="4" t="s">
        <v>293</v>
      </c>
      <c r="Y533" s="4" t="s">
        <v>233</v>
      </c>
      <c r="Z533" s="4" t="s">
        <v>234</v>
      </c>
      <c r="AA533" s="4" t="s">
        <v>234</v>
      </c>
      <c r="AC533" s="4" t="s">
        <v>2923</v>
      </c>
    </row>
    <row r="534" spans="1:29" hidden="1" x14ac:dyDescent="0.4">
      <c r="A534" s="4" t="s">
        <v>216</v>
      </c>
      <c r="B534" s="4">
        <v>4409</v>
      </c>
      <c r="C534" s="4" t="s">
        <v>242</v>
      </c>
      <c r="D534" s="4" t="s">
        <v>2187</v>
      </c>
      <c r="E534" s="4" t="s">
        <v>2188</v>
      </c>
      <c r="F534" s="4" t="s">
        <v>2189</v>
      </c>
      <c r="H534" s="4" t="s">
        <v>2190</v>
      </c>
      <c r="I534" s="4" t="s">
        <v>143</v>
      </c>
      <c r="J534" s="4" t="s">
        <v>2191</v>
      </c>
      <c r="K534" s="4" t="s">
        <v>224</v>
      </c>
      <c r="L534" s="6" t="s">
        <v>2192</v>
      </c>
      <c r="M534" s="4" t="s">
        <v>2193</v>
      </c>
      <c r="N534" s="4" t="s">
        <v>2194</v>
      </c>
      <c r="P534" s="4" t="s">
        <v>2895</v>
      </c>
      <c r="Q534" s="4" t="s">
        <v>2195</v>
      </c>
      <c r="R534" s="4" t="s">
        <v>53</v>
      </c>
      <c r="S534" s="4" t="s">
        <v>257</v>
      </c>
      <c r="T534" s="7">
        <v>44400</v>
      </c>
      <c r="U534" s="4">
        <v>0</v>
      </c>
      <c r="V534" s="4">
        <v>5</v>
      </c>
      <c r="W534" s="4" t="s">
        <v>314</v>
      </c>
      <c r="X534" s="4" t="s">
        <v>293</v>
      </c>
      <c r="Y534" s="4" t="s">
        <v>233</v>
      </c>
      <c r="Z534" s="4" t="s">
        <v>234</v>
      </c>
      <c r="AA534" s="4" t="s">
        <v>234</v>
      </c>
      <c r="AC534" s="4" t="s">
        <v>2923</v>
      </c>
    </row>
    <row r="535" spans="1:29" hidden="1" x14ac:dyDescent="0.4">
      <c r="A535" s="4" t="s">
        <v>216</v>
      </c>
      <c r="B535" s="4">
        <v>4409</v>
      </c>
      <c r="C535" s="4" t="s">
        <v>242</v>
      </c>
      <c r="D535" s="4" t="s">
        <v>2187</v>
      </c>
      <c r="E535" s="4" t="s">
        <v>2188</v>
      </c>
      <c r="F535" s="4" t="s">
        <v>2189</v>
      </c>
      <c r="H535" s="4" t="s">
        <v>2190</v>
      </c>
      <c r="I535" s="4" t="s">
        <v>143</v>
      </c>
      <c r="J535" s="4" t="s">
        <v>2191</v>
      </c>
      <c r="K535" s="4" t="s">
        <v>224</v>
      </c>
      <c r="L535" s="6" t="s">
        <v>2192</v>
      </c>
      <c r="M535" s="4" t="s">
        <v>2193</v>
      </c>
      <c r="N535" s="4" t="s">
        <v>2194</v>
      </c>
      <c r="P535" s="4" t="s">
        <v>2895</v>
      </c>
      <c r="Q535" s="4" t="s">
        <v>2195</v>
      </c>
      <c r="R535" s="4" t="s">
        <v>53</v>
      </c>
      <c r="S535" s="4" t="s">
        <v>257</v>
      </c>
      <c r="T535" s="7">
        <v>44400</v>
      </c>
      <c r="U535" s="4">
        <v>0</v>
      </c>
      <c r="V535" s="4">
        <v>10</v>
      </c>
      <c r="W535" s="4" t="s">
        <v>314</v>
      </c>
      <c r="X535" s="4" t="s">
        <v>293</v>
      </c>
      <c r="Y535" s="4" t="s">
        <v>233</v>
      </c>
      <c r="Z535" s="4" t="s">
        <v>234</v>
      </c>
      <c r="AA535" s="4" t="s">
        <v>234</v>
      </c>
      <c r="AC535" s="4" t="s">
        <v>2923</v>
      </c>
    </row>
    <row r="536" spans="1:29" hidden="1" x14ac:dyDescent="0.4">
      <c r="A536" s="4" t="s">
        <v>216</v>
      </c>
      <c r="B536" s="4">
        <v>4409</v>
      </c>
      <c r="C536" s="4" t="s">
        <v>242</v>
      </c>
      <c r="D536" s="4" t="s">
        <v>2187</v>
      </c>
      <c r="E536" s="4" t="s">
        <v>2188</v>
      </c>
      <c r="F536" s="4" t="s">
        <v>2189</v>
      </c>
      <c r="H536" s="4" t="s">
        <v>2190</v>
      </c>
      <c r="I536" s="4" t="s">
        <v>143</v>
      </c>
      <c r="J536" s="4" t="s">
        <v>2191</v>
      </c>
      <c r="K536" s="4" t="s">
        <v>224</v>
      </c>
      <c r="L536" s="6" t="s">
        <v>2192</v>
      </c>
      <c r="M536" s="4" t="s">
        <v>2193</v>
      </c>
      <c r="N536" s="4" t="s">
        <v>2194</v>
      </c>
      <c r="P536" s="4" t="s">
        <v>2896</v>
      </c>
      <c r="Q536" s="4" t="s">
        <v>2196</v>
      </c>
      <c r="R536" s="4" t="s">
        <v>2811</v>
      </c>
      <c r="S536" s="4" t="s">
        <v>257</v>
      </c>
      <c r="T536" s="7">
        <v>45476</v>
      </c>
      <c r="U536" s="4">
        <v>0</v>
      </c>
      <c r="V536" s="4">
        <v>10</v>
      </c>
      <c r="W536" s="4" t="s">
        <v>314</v>
      </c>
      <c r="X536" s="4" t="s">
        <v>293</v>
      </c>
      <c r="Y536" s="4" t="s">
        <v>233</v>
      </c>
      <c r="Z536" s="4" t="s">
        <v>234</v>
      </c>
      <c r="AA536" s="4" t="s">
        <v>234</v>
      </c>
      <c r="AC536" s="4" t="s">
        <v>2923</v>
      </c>
    </row>
    <row r="537" spans="1:29" hidden="1" x14ac:dyDescent="0.4">
      <c r="A537" s="4" t="s">
        <v>216</v>
      </c>
      <c r="B537" s="4">
        <v>3402</v>
      </c>
      <c r="C537" s="4" t="s">
        <v>242</v>
      </c>
      <c r="D537" s="4" t="s">
        <v>453</v>
      </c>
      <c r="E537" s="4" t="s">
        <v>2197</v>
      </c>
      <c r="F537" s="4" t="s">
        <v>2198</v>
      </c>
      <c r="H537" s="4" t="s">
        <v>245</v>
      </c>
      <c r="I537" s="4" t="s">
        <v>154</v>
      </c>
      <c r="J537" s="4" t="s">
        <v>2199</v>
      </c>
      <c r="K537" s="4" t="s">
        <v>224</v>
      </c>
      <c r="L537" s="6" t="s">
        <v>2200</v>
      </c>
      <c r="M537" s="4" t="s">
        <v>2201</v>
      </c>
      <c r="N537" s="4" t="s">
        <v>2202</v>
      </c>
      <c r="P537" s="4" t="s">
        <v>2203</v>
      </c>
      <c r="Q537" s="4" t="s">
        <v>2204</v>
      </c>
      <c r="R537" s="4" t="s">
        <v>53</v>
      </c>
      <c r="S537" s="4" t="s">
        <v>257</v>
      </c>
      <c r="T537" s="7">
        <v>45015</v>
      </c>
      <c r="U537" s="4">
        <v>0</v>
      </c>
      <c r="V537" s="4">
        <v>4</v>
      </c>
      <c r="W537" s="4" t="s">
        <v>314</v>
      </c>
      <c r="Y537" s="4" t="s">
        <v>233</v>
      </c>
      <c r="Z537" s="4" t="s">
        <v>234</v>
      </c>
      <c r="AA537" s="4" t="s">
        <v>234</v>
      </c>
      <c r="AB537" t="s">
        <v>65</v>
      </c>
      <c r="AC537" s="4" t="s">
        <v>2923</v>
      </c>
    </row>
    <row r="538" spans="1:29" hidden="1" x14ac:dyDescent="0.4">
      <c r="A538" s="4" t="s">
        <v>216</v>
      </c>
      <c r="B538" s="4">
        <v>3402</v>
      </c>
      <c r="C538" s="4" t="s">
        <v>242</v>
      </c>
      <c r="D538" s="4" t="s">
        <v>453</v>
      </c>
      <c r="E538" s="4" t="s">
        <v>2197</v>
      </c>
      <c r="F538" s="4" t="s">
        <v>2198</v>
      </c>
      <c r="H538" s="4" t="s">
        <v>245</v>
      </c>
      <c r="I538" s="4" t="s">
        <v>154</v>
      </c>
      <c r="J538" s="4" t="s">
        <v>2199</v>
      </c>
      <c r="K538" s="4" t="s">
        <v>224</v>
      </c>
      <c r="L538" s="6" t="s">
        <v>2200</v>
      </c>
      <c r="M538" s="4" t="s">
        <v>2201</v>
      </c>
      <c r="N538" s="4" t="s">
        <v>2202</v>
      </c>
      <c r="P538" s="4" t="s">
        <v>2897</v>
      </c>
      <c r="Q538" s="4" t="s">
        <v>2206</v>
      </c>
      <c r="R538" s="4" t="s">
        <v>333</v>
      </c>
      <c r="S538" s="4" t="s">
        <v>231</v>
      </c>
      <c r="T538" s="7">
        <v>43560</v>
      </c>
      <c r="U538" s="4">
        <v>0</v>
      </c>
      <c r="V538" s="4">
        <v>7</v>
      </c>
      <c r="W538" s="4" t="s">
        <v>238</v>
      </c>
      <c r="Y538" s="4" t="s">
        <v>233</v>
      </c>
      <c r="Z538" s="4" t="s">
        <v>234</v>
      </c>
      <c r="AA538" s="4" t="s">
        <v>234</v>
      </c>
      <c r="AB538" t="s">
        <v>65</v>
      </c>
      <c r="AC538" s="4" t="s">
        <v>2923</v>
      </c>
    </row>
    <row r="539" spans="1:29" hidden="1" x14ac:dyDescent="0.4">
      <c r="A539" s="4" t="s">
        <v>216</v>
      </c>
      <c r="B539" s="4">
        <v>1310</v>
      </c>
      <c r="C539" s="4" t="s">
        <v>242</v>
      </c>
      <c r="D539" s="4" t="s">
        <v>88</v>
      </c>
      <c r="E539" s="4" t="s">
        <v>2209</v>
      </c>
      <c r="F539" s="4">
        <v>54</v>
      </c>
      <c r="G539" s="4" t="s">
        <v>2210</v>
      </c>
      <c r="H539" s="4" t="s">
        <v>2211</v>
      </c>
      <c r="I539" s="4" t="s">
        <v>143</v>
      </c>
      <c r="J539" s="4" t="s">
        <v>2212</v>
      </c>
      <c r="K539" s="4" t="s">
        <v>224</v>
      </c>
      <c r="L539" s="6" t="s">
        <v>2213</v>
      </c>
      <c r="M539" s="4" t="s">
        <v>2214</v>
      </c>
      <c r="N539" s="4" t="s">
        <v>2215</v>
      </c>
      <c r="P539" s="4" t="s">
        <v>2898</v>
      </c>
      <c r="Q539" s="4" t="s">
        <v>2216</v>
      </c>
      <c r="R539" s="4" t="s">
        <v>2811</v>
      </c>
      <c r="S539" s="4" t="s">
        <v>231</v>
      </c>
      <c r="T539" s="7">
        <v>45036</v>
      </c>
      <c r="U539" s="4">
        <v>0</v>
      </c>
      <c r="V539" s="4">
        <v>13</v>
      </c>
      <c r="W539" s="4" t="s">
        <v>240</v>
      </c>
      <c r="X539" s="4" t="s">
        <v>293</v>
      </c>
      <c r="Y539" s="4" t="s">
        <v>233</v>
      </c>
      <c r="Z539" s="4" t="s">
        <v>234</v>
      </c>
      <c r="AA539" s="4" t="s">
        <v>234</v>
      </c>
      <c r="AC539" s="4" t="s">
        <v>2923</v>
      </c>
    </row>
    <row r="540" spans="1:29" hidden="1" x14ac:dyDescent="0.4">
      <c r="A540" s="4" t="s">
        <v>216</v>
      </c>
      <c r="B540" s="4">
        <v>1310</v>
      </c>
      <c r="C540" s="4" t="s">
        <v>242</v>
      </c>
      <c r="D540" s="4" t="s">
        <v>88</v>
      </c>
      <c r="E540" s="4" t="s">
        <v>2209</v>
      </c>
      <c r="F540" s="4">
        <v>54</v>
      </c>
      <c r="G540" s="4" t="s">
        <v>2210</v>
      </c>
      <c r="H540" s="4" t="s">
        <v>2211</v>
      </c>
      <c r="I540" s="4" t="s">
        <v>143</v>
      </c>
      <c r="J540" s="4" t="s">
        <v>2212</v>
      </c>
      <c r="K540" s="4" t="s">
        <v>224</v>
      </c>
      <c r="L540" s="6" t="s">
        <v>2213</v>
      </c>
      <c r="M540" s="4" t="s">
        <v>2214</v>
      </c>
      <c r="N540" s="4" t="s">
        <v>2215</v>
      </c>
      <c r="P540" s="4" t="s">
        <v>2899</v>
      </c>
      <c r="Q540" s="4" t="s">
        <v>2217</v>
      </c>
      <c r="R540" s="4" t="s">
        <v>53</v>
      </c>
      <c r="S540" s="4" t="s">
        <v>231</v>
      </c>
      <c r="T540" s="7">
        <v>43539</v>
      </c>
      <c r="U540" s="4">
        <v>0</v>
      </c>
      <c r="V540" s="4">
        <v>13</v>
      </c>
      <c r="W540" s="4" t="s">
        <v>240</v>
      </c>
      <c r="X540" s="4" t="s">
        <v>293</v>
      </c>
      <c r="Y540" s="4" t="s">
        <v>233</v>
      </c>
      <c r="Z540" s="4" t="s">
        <v>234</v>
      </c>
      <c r="AA540" s="4" t="s">
        <v>234</v>
      </c>
      <c r="AC540" s="4" t="s">
        <v>2923</v>
      </c>
    </row>
    <row r="541" spans="1:29" hidden="1" x14ac:dyDescent="0.4">
      <c r="A541" s="4" t="s">
        <v>216</v>
      </c>
      <c r="B541" s="4">
        <v>6028</v>
      </c>
      <c r="C541" s="4" t="s">
        <v>242</v>
      </c>
      <c r="D541" s="4" t="s">
        <v>2218</v>
      </c>
      <c r="E541" s="4" t="s">
        <v>2219</v>
      </c>
      <c r="F541" s="4" t="s">
        <v>2220</v>
      </c>
      <c r="H541" s="4" t="s">
        <v>245</v>
      </c>
      <c r="I541" s="4" t="s">
        <v>154</v>
      </c>
      <c r="J541" s="4" t="s">
        <v>2221</v>
      </c>
      <c r="K541" s="4" t="s">
        <v>224</v>
      </c>
      <c r="L541" s="6" t="s">
        <v>2222</v>
      </c>
      <c r="M541" s="4" t="s">
        <v>2223</v>
      </c>
      <c r="N541" s="4" t="s">
        <v>2224</v>
      </c>
      <c r="P541" s="4" t="s">
        <v>2900</v>
      </c>
      <c r="Q541" s="4" t="s">
        <v>2225</v>
      </c>
      <c r="R541" s="4" t="s">
        <v>2426</v>
      </c>
      <c r="S541" s="4" t="s">
        <v>231</v>
      </c>
      <c r="T541" s="7">
        <v>44993</v>
      </c>
      <c r="U541" s="4">
        <v>0</v>
      </c>
      <c r="V541" s="4">
        <v>8</v>
      </c>
      <c r="W541" s="4" t="s">
        <v>281</v>
      </c>
      <c r="Y541" s="4" t="s">
        <v>233</v>
      </c>
      <c r="Z541" s="4" t="s">
        <v>234</v>
      </c>
      <c r="AA541" s="4" t="s">
        <v>234</v>
      </c>
      <c r="AC541" s="4" t="s">
        <v>2923</v>
      </c>
    </row>
    <row r="542" spans="1:29" hidden="1" x14ac:dyDescent="0.4">
      <c r="A542" s="4" t="s">
        <v>216</v>
      </c>
      <c r="B542" s="4">
        <v>6028</v>
      </c>
      <c r="C542" s="4" t="s">
        <v>242</v>
      </c>
      <c r="D542" s="4" t="s">
        <v>2218</v>
      </c>
      <c r="E542" s="4" t="s">
        <v>2219</v>
      </c>
      <c r="F542" s="4" t="s">
        <v>2220</v>
      </c>
      <c r="H542" s="4" t="s">
        <v>245</v>
      </c>
      <c r="I542" s="4" t="s">
        <v>154</v>
      </c>
      <c r="J542" s="4" t="s">
        <v>2221</v>
      </c>
      <c r="K542" s="4" t="s">
        <v>224</v>
      </c>
      <c r="L542" s="6" t="s">
        <v>2222</v>
      </c>
      <c r="M542" s="4" t="s">
        <v>2223</v>
      </c>
      <c r="N542" s="4" t="s">
        <v>2224</v>
      </c>
      <c r="P542" s="4" t="s">
        <v>2900</v>
      </c>
      <c r="Q542" s="4" t="s">
        <v>2225</v>
      </c>
      <c r="R542" s="4" t="s">
        <v>2426</v>
      </c>
      <c r="S542" s="4" t="s">
        <v>231</v>
      </c>
      <c r="T542" s="7">
        <v>44993</v>
      </c>
      <c r="U542" s="4">
        <v>0</v>
      </c>
      <c r="V542" s="4">
        <v>9</v>
      </c>
      <c r="W542" s="4" t="s">
        <v>358</v>
      </c>
      <c r="Y542" s="4" t="s">
        <v>233</v>
      </c>
      <c r="Z542" s="4" t="s">
        <v>234</v>
      </c>
      <c r="AA542" s="4" t="s">
        <v>234</v>
      </c>
      <c r="AC542" s="4" t="s">
        <v>2923</v>
      </c>
    </row>
    <row r="543" spans="1:29" hidden="1" x14ac:dyDescent="0.4">
      <c r="A543" s="4" t="s">
        <v>216</v>
      </c>
      <c r="B543" s="4">
        <v>5623</v>
      </c>
      <c r="C543" s="4" t="s">
        <v>315</v>
      </c>
      <c r="D543" s="4" t="s">
        <v>2226</v>
      </c>
      <c r="E543" s="4" t="s">
        <v>2227</v>
      </c>
      <c r="F543" s="4" t="s">
        <v>2228</v>
      </c>
      <c r="G543" s="4" t="s">
        <v>2229</v>
      </c>
      <c r="H543" s="4" t="s">
        <v>2230</v>
      </c>
      <c r="I543" s="4" t="s">
        <v>154</v>
      </c>
      <c r="J543" s="4" t="s">
        <v>2231</v>
      </c>
      <c r="K543" s="4" t="s">
        <v>224</v>
      </c>
      <c r="L543" s="6" t="s">
        <v>2232</v>
      </c>
      <c r="M543" s="4" t="s">
        <v>2233</v>
      </c>
      <c r="N543" s="4" t="s">
        <v>2234</v>
      </c>
      <c r="P543" s="4" t="s">
        <v>2235</v>
      </c>
      <c r="Q543" s="4" t="s">
        <v>2236</v>
      </c>
      <c r="R543" s="4" t="s">
        <v>2919</v>
      </c>
      <c r="S543" s="4" t="s">
        <v>231</v>
      </c>
      <c r="T543" s="7">
        <v>44462</v>
      </c>
      <c r="U543" s="4">
        <v>0</v>
      </c>
      <c r="V543" s="4">
        <v>9</v>
      </c>
      <c r="W543" s="4" t="s">
        <v>358</v>
      </c>
      <c r="Y543" s="4" t="s">
        <v>233</v>
      </c>
      <c r="Z543" s="4" t="s">
        <v>234</v>
      </c>
      <c r="AA543" s="4" t="s">
        <v>234</v>
      </c>
      <c r="AB543" s="4" t="s">
        <v>2237</v>
      </c>
      <c r="AC543" s="4" t="s">
        <v>2923</v>
      </c>
    </row>
    <row r="544" spans="1:29" hidden="1" x14ac:dyDescent="0.4">
      <c r="A544" s="4" t="s">
        <v>216</v>
      </c>
      <c r="B544" s="4">
        <v>5623</v>
      </c>
      <c r="C544" s="4" t="s">
        <v>315</v>
      </c>
      <c r="D544" s="4" t="s">
        <v>2226</v>
      </c>
      <c r="E544" s="4" t="s">
        <v>2227</v>
      </c>
      <c r="F544" s="4" t="s">
        <v>2228</v>
      </c>
      <c r="G544" s="4" t="s">
        <v>2229</v>
      </c>
      <c r="H544" s="4" t="s">
        <v>2230</v>
      </c>
      <c r="I544" s="4" t="s">
        <v>154</v>
      </c>
      <c r="J544" s="4" t="s">
        <v>2231</v>
      </c>
      <c r="K544" s="4" t="s">
        <v>224</v>
      </c>
      <c r="L544" s="6" t="s">
        <v>2232</v>
      </c>
      <c r="M544" s="4" t="s">
        <v>2233</v>
      </c>
      <c r="N544" s="4" t="s">
        <v>2234</v>
      </c>
      <c r="P544" s="4" t="s">
        <v>2235</v>
      </c>
      <c r="Q544" s="4" t="s">
        <v>2236</v>
      </c>
      <c r="R544" s="4" t="s">
        <v>2919</v>
      </c>
      <c r="S544" s="4" t="s">
        <v>231</v>
      </c>
      <c r="T544" s="7">
        <v>44462</v>
      </c>
      <c r="U544" s="4">
        <v>0</v>
      </c>
      <c r="V544" s="4">
        <v>10</v>
      </c>
      <c r="W544" s="4" t="s">
        <v>314</v>
      </c>
      <c r="Y544" s="4" t="s">
        <v>233</v>
      </c>
      <c r="Z544" s="4" t="s">
        <v>234</v>
      </c>
      <c r="AA544" s="4" t="s">
        <v>234</v>
      </c>
      <c r="AB544" s="4" t="s">
        <v>2237</v>
      </c>
      <c r="AC544" s="4" t="s">
        <v>2923</v>
      </c>
    </row>
    <row r="545" spans="1:29" hidden="1" x14ac:dyDescent="0.4">
      <c r="A545" s="4" t="s">
        <v>216</v>
      </c>
      <c r="B545" s="4">
        <v>5623</v>
      </c>
      <c r="C545" s="4" t="s">
        <v>315</v>
      </c>
      <c r="D545" s="4" t="s">
        <v>2226</v>
      </c>
      <c r="E545" s="4" t="s">
        <v>2227</v>
      </c>
      <c r="F545" s="4" t="s">
        <v>2228</v>
      </c>
      <c r="G545" s="4" t="s">
        <v>2229</v>
      </c>
      <c r="H545" s="4" t="s">
        <v>2230</v>
      </c>
      <c r="I545" s="4" t="s">
        <v>154</v>
      </c>
      <c r="J545" s="4" t="s">
        <v>2231</v>
      </c>
      <c r="K545" s="4" t="s">
        <v>224</v>
      </c>
      <c r="L545" s="6" t="s">
        <v>2232</v>
      </c>
      <c r="M545" s="4" t="s">
        <v>2233</v>
      </c>
      <c r="N545" s="4" t="s">
        <v>2234</v>
      </c>
      <c r="P545" s="4" t="s">
        <v>2235</v>
      </c>
      <c r="Q545" s="4" t="s">
        <v>2236</v>
      </c>
      <c r="R545" s="4" t="s">
        <v>2919</v>
      </c>
      <c r="S545" s="4" t="s">
        <v>231</v>
      </c>
      <c r="T545" s="7">
        <v>44462</v>
      </c>
      <c r="U545" s="4">
        <v>0</v>
      </c>
      <c r="V545" s="4">
        <v>14</v>
      </c>
      <c r="W545" s="4" t="s">
        <v>241</v>
      </c>
      <c r="Y545" s="4" t="s">
        <v>233</v>
      </c>
      <c r="Z545" s="4" t="s">
        <v>234</v>
      </c>
      <c r="AA545" s="4" t="s">
        <v>234</v>
      </c>
      <c r="AB545" s="4" t="s">
        <v>2237</v>
      </c>
      <c r="AC545" s="4" t="s">
        <v>2923</v>
      </c>
    </row>
    <row r="546" spans="1:29" hidden="1" x14ac:dyDescent="0.4">
      <c r="A546" s="4" t="s">
        <v>216</v>
      </c>
      <c r="B546" s="4">
        <v>1155</v>
      </c>
      <c r="C546" s="4" t="s">
        <v>242</v>
      </c>
      <c r="D546" s="4" t="s">
        <v>2238</v>
      </c>
      <c r="E546" s="4" t="s">
        <v>2239</v>
      </c>
      <c r="F546" s="4" t="s">
        <v>2240</v>
      </c>
      <c r="G546" s="4" t="s">
        <v>2241</v>
      </c>
      <c r="H546" s="4" t="s">
        <v>245</v>
      </c>
      <c r="I546" s="4" t="s">
        <v>154</v>
      </c>
      <c r="J546" s="4" t="s">
        <v>2242</v>
      </c>
      <c r="K546" s="4" t="s">
        <v>224</v>
      </c>
      <c r="L546" s="5" t="s">
        <v>2243</v>
      </c>
      <c r="M546" s="4" t="s">
        <v>2244</v>
      </c>
      <c r="N546" s="4" t="s">
        <v>2245</v>
      </c>
      <c r="P546" s="4" t="s">
        <v>2249</v>
      </c>
      <c r="Q546" s="4" t="s">
        <v>2250</v>
      </c>
      <c r="R546" s="4" t="s">
        <v>53</v>
      </c>
      <c r="S546" s="4" t="s">
        <v>257</v>
      </c>
      <c r="T546" s="7">
        <v>44770</v>
      </c>
      <c r="U546" s="4">
        <v>0</v>
      </c>
      <c r="V546" s="4">
        <v>6</v>
      </c>
      <c r="X546" s="4" t="s">
        <v>464</v>
      </c>
      <c r="Y546" s="4" t="s">
        <v>233</v>
      </c>
      <c r="Z546" s="4" t="s">
        <v>234</v>
      </c>
      <c r="AA546" s="4" t="s">
        <v>234</v>
      </c>
      <c r="AC546" s="4" t="s">
        <v>2923</v>
      </c>
    </row>
    <row r="547" spans="1:29" hidden="1" x14ac:dyDescent="0.4">
      <c r="A547" s="4" t="s">
        <v>216</v>
      </c>
      <c r="B547" s="4">
        <v>1155</v>
      </c>
      <c r="C547" s="4" t="s">
        <v>242</v>
      </c>
      <c r="D547" s="4" t="s">
        <v>2238</v>
      </c>
      <c r="E547" s="4" t="s">
        <v>2239</v>
      </c>
      <c r="F547" s="4" t="s">
        <v>2240</v>
      </c>
      <c r="G547" s="4" t="s">
        <v>2241</v>
      </c>
      <c r="H547" s="4" t="s">
        <v>245</v>
      </c>
      <c r="I547" s="4" t="s">
        <v>154</v>
      </c>
      <c r="J547" s="4" t="s">
        <v>2242</v>
      </c>
      <c r="K547" s="4" t="s">
        <v>224</v>
      </c>
      <c r="L547" s="5" t="s">
        <v>2243</v>
      </c>
      <c r="M547" s="4" t="s">
        <v>2244</v>
      </c>
      <c r="N547" s="4" t="s">
        <v>2245</v>
      </c>
      <c r="P547" s="4" t="s">
        <v>2901</v>
      </c>
      <c r="Q547" s="4" t="s">
        <v>2251</v>
      </c>
      <c r="R547" s="4" t="s">
        <v>53</v>
      </c>
      <c r="S547" s="4" t="s">
        <v>257</v>
      </c>
      <c r="T547" s="7">
        <v>43202</v>
      </c>
      <c r="U547" s="4">
        <v>0</v>
      </c>
      <c r="V547" s="4">
        <v>5</v>
      </c>
      <c r="W547" s="4" t="s">
        <v>314</v>
      </c>
      <c r="X547" s="4" t="s">
        <v>464</v>
      </c>
      <c r="Y547" s="4" t="s">
        <v>233</v>
      </c>
      <c r="Z547" s="4" t="s">
        <v>234</v>
      </c>
      <c r="AA547" s="4" t="s">
        <v>234</v>
      </c>
      <c r="AC547" s="4" t="s">
        <v>2923</v>
      </c>
    </row>
    <row r="548" spans="1:29" hidden="1" x14ac:dyDescent="0.4">
      <c r="A548" s="4" t="s">
        <v>216</v>
      </c>
      <c r="B548" s="4">
        <v>1155</v>
      </c>
      <c r="C548" s="4" t="s">
        <v>242</v>
      </c>
      <c r="D548" s="4" t="s">
        <v>2238</v>
      </c>
      <c r="E548" s="4" t="s">
        <v>2239</v>
      </c>
      <c r="F548" s="4" t="s">
        <v>2240</v>
      </c>
      <c r="G548" s="4" t="s">
        <v>2241</v>
      </c>
      <c r="H548" s="4" t="s">
        <v>245</v>
      </c>
      <c r="I548" s="4" t="s">
        <v>154</v>
      </c>
      <c r="J548" s="4" t="s">
        <v>2242</v>
      </c>
      <c r="K548" s="4" t="s">
        <v>224</v>
      </c>
      <c r="L548" s="5" t="s">
        <v>2243</v>
      </c>
      <c r="M548" s="4" t="s">
        <v>2244</v>
      </c>
      <c r="N548" s="4" t="s">
        <v>2245</v>
      </c>
      <c r="P548" s="4" t="s">
        <v>2249</v>
      </c>
      <c r="Q548" s="4" t="s">
        <v>2250</v>
      </c>
      <c r="R548" s="4" t="s">
        <v>53</v>
      </c>
      <c r="S548" s="4" t="s">
        <v>257</v>
      </c>
      <c r="T548" s="7">
        <v>44770</v>
      </c>
      <c r="U548" s="4">
        <v>0</v>
      </c>
      <c r="V548" s="4">
        <v>12</v>
      </c>
      <c r="X548" s="4" t="s">
        <v>464</v>
      </c>
      <c r="Y548" s="4" t="s">
        <v>233</v>
      </c>
      <c r="Z548" s="4" t="s">
        <v>234</v>
      </c>
      <c r="AA548" s="4" t="s">
        <v>234</v>
      </c>
      <c r="AC548" s="4" t="s">
        <v>2923</v>
      </c>
    </row>
    <row r="549" spans="1:29" hidden="1" x14ac:dyDescent="0.4">
      <c r="A549" s="4" t="s">
        <v>216</v>
      </c>
      <c r="B549" s="4">
        <v>1155</v>
      </c>
      <c r="C549" s="4" t="s">
        <v>242</v>
      </c>
      <c r="D549" s="4" t="s">
        <v>2238</v>
      </c>
      <c r="E549" s="4" t="s">
        <v>2239</v>
      </c>
      <c r="F549" s="4" t="s">
        <v>2240</v>
      </c>
      <c r="G549" s="4" t="s">
        <v>2241</v>
      </c>
      <c r="H549" s="4" t="s">
        <v>245</v>
      </c>
      <c r="I549" s="4" t="s">
        <v>154</v>
      </c>
      <c r="J549" s="4" t="s">
        <v>2242</v>
      </c>
      <c r="K549" s="4" t="s">
        <v>224</v>
      </c>
      <c r="L549" s="5" t="s">
        <v>2243</v>
      </c>
      <c r="M549" s="4" t="s">
        <v>2244</v>
      </c>
      <c r="N549" s="4" t="s">
        <v>2245</v>
      </c>
      <c r="P549" s="4" t="s">
        <v>2901</v>
      </c>
      <c r="Q549" s="4" t="s">
        <v>2251</v>
      </c>
      <c r="R549" s="4" t="s">
        <v>53</v>
      </c>
      <c r="S549" s="4" t="s">
        <v>257</v>
      </c>
      <c r="T549" s="7">
        <v>43202</v>
      </c>
      <c r="U549" s="4">
        <v>0</v>
      </c>
      <c r="V549" s="4">
        <v>11</v>
      </c>
      <c r="W549" s="4" t="s">
        <v>314</v>
      </c>
      <c r="X549" s="4" t="s">
        <v>464</v>
      </c>
      <c r="Y549" s="4" t="s">
        <v>233</v>
      </c>
      <c r="Z549" s="4" t="s">
        <v>234</v>
      </c>
      <c r="AA549" s="4" t="s">
        <v>234</v>
      </c>
      <c r="AC549" s="4" t="s">
        <v>2923</v>
      </c>
    </row>
    <row r="550" spans="1:29" hidden="1" x14ac:dyDescent="0.4">
      <c r="A550" s="4" t="s">
        <v>216</v>
      </c>
      <c r="B550" s="4">
        <v>1466</v>
      </c>
      <c r="C550" s="4" t="s">
        <v>417</v>
      </c>
      <c r="D550" s="4" t="s">
        <v>701</v>
      </c>
      <c r="E550" s="4" t="s">
        <v>2252</v>
      </c>
      <c r="F550" s="4" t="s">
        <v>2253</v>
      </c>
      <c r="G550" s="4" t="s">
        <v>2254</v>
      </c>
      <c r="H550" s="4" t="s">
        <v>1695</v>
      </c>
      <c r="I550" s="4" t="s">
        <v>154</v>
      </c>
      <c r="J550" s="4" t="s">
        <v>2255</v>
      </c>
      <c r="K550" s="4" t="s">
        <v>224</v>
      </c>
      <c r="L550" s="6" t="s">
        <v>2256</v>
      </c>
      <c r="M550" s="4" t="s">
        <v>2257</v>
      </c>
      <c r="N550" s="4" t="s">
        <v>2258</v>
      </c>
      <c r="P550" s="4" t="s">
        <v>2259</v>
      </c>
      <c r="Q550" s="4" t="s">
        <v>2260</v>
      </c>
      <c r="R550" s="4" t="s">
        <v>31</v>
      </c>
      <c r="S550" s="4" t="s">
        <v>231</v>
      </c>
      <c r="T550" s="7">
        <v>43675</v>
      </c>
      <c r="U550" s="4">
        <v>0</v>
      </c>
      <c r="V550" s="4">
        <v>4</v>
      </c>
      <c r="W550" s="4" t="s">
        <v>314</v>
      </c>
      <c r="Y550" s="4" t="s">
        <v>233</v>
      </c>
      <c r="Z550" s="4" t="s">
        <v>234</v>
      </c>
      <c r="AA550" s="4" t="s">
        <v>234</v>
      </c>
      <c r="AC550" s="4" t="s">
        <v>2923</v>
      </c>
    </row>
    <row r="551" spans="1:29" hidden="1" x14ac:dyDescent="0.4">
      <c r="A551" s="4" t="s">
        <v>216</v>
      </c>
      <c r="B551" s="4">
        <v>1466</v>
      </c>
      <c r="C551" s="4" t="s">
        <v>417</v>
      </c>
      <c r="D551" s="4" t="s">
        <v>701</v>
      </c>
      <c r="E551" s="4" t="s">
        <v>2252</v>
      </c>
      <c r="F551" s="4" t="s">
        <v>2253</v>
      </c>
      <c r="G551" s="4" t="s">
        <v>2254</v>
      </c>
      <c r="H551" s="4" t="s">
        <v>1695</v>
      </c>
      <c r="I551" s="4" t="s">
        <v>154</v>
      </c>
      <c r="J551" s="4" t="s">
        <v>2255</v>
      </c>
      <c r="K551" s="4" t="s">
        <v>224</v>
      </c>
      <c r="L551" s="6" t="s">
        <v>2256</v>
      </c>
      <c r="M551" s="4" t="s">
        <v>2257</v>
      </c>
      <c r="N551" s="4" t="s">
        <v>2258</v>
      </c>
      <c r="P551" s="4" t="s">
        <v>2259</v>
      </c>
      <c r="Q551" s="4" t="s">
        <v>2260</v>
      </c>
      <c r="R551" s="4" t="s">
        <v>31</v>
      </c>
      <c r="S551" s="4" t="s">
        <v>231</v>
      </c>
      <c r="T551" s="7">
        <v>43675</v>
      </c>
      <c r="U551" s="4">
        <v>0</v>
      </c>
      <c r="V551" s="4">
        <v>5</v>
      </c>
      <c r="W551" s="4" t="s">
        <v>297</v>
      </c>
      <c r="Y551" s="4" t="s">
        <v>233</v>
      </c>
      <c r="Z551" s="4" t="s">
        <v>234</v>
      </c>
      <c r="AA551" s="4" t="s">
        <v>234</v>
      </c>
      <c r="AC551" s="4" t="s">
        <v>2923</v>
      </c>
    </row>
    <row r="552" spans="1:29" hidden="1" x14ac:dyDescent="0.4">
      <c r="A552" s="4" t="s">
        <v>216</v>
      </c>
      <c r="B552" s="4">
        <v>1466</v>
      </c>
      <c r="C552" s="4" t="s">
        <v>417</v>
      </c>
      <c r="D552" s="4" t="s">
        <v>701</v>
      </c>
      <c r="E552" s="4" t="s">
        <v>2252</v>
      </c>
      <c r="F552" s="4" t="s">
        <v>2253</v>
      </c>
      <c r="G552" s="4" t="s">
        <v>2254</v>
      </c>
      <c r="H552" s="4" t="s">
        <v>1695</v>
      </c>
      <c r="I552" s="4" t="s">
        <v>154</v>
      </c>
      <c r="J552" s="4" t="s">
        <v>2255</v>
      </c>
      <c r="K552" s="4" t="s">
        <v>224</v>
      </c>
      <c r="L552" s="6" t="s">
        <v>2256</v>
      </c>
      <c r="M552" s="4" t="s">
        <v>2257</v>
      </c>
      <c r="N552" s="4" t="s">
        <v>2258</v>
      </c>
      <c r="P552" s="4" t="s">
        <v>2259</v>
      </c>
      <c r="Q552" s="4" t="s">
        <v>2260</v>
      </c>
      <c r="R552" s="4" t="s">
        <v>31</v>
      </c>
      <c r="S552" s="4" t="s">
        <v>231</v>
      </c>
      <c r="T552" s="7">
        <v>43675</v>
      </c>
      <c r="U552" s="4">
        <v>0</v>
      </c>
      <c r="V552" s="4">
        <v>10</v>
      </c>
      <c r="W552" s="4" t="s">
        <v>433</v>
      </c>
      <c r="Y552" s="4" t="s">
        <v>233</v>
      </c>
      <c r="Z552" s="4" t="s">
        <v>234</v>
      </c>
      <c r="AA552" s="4" t="s">
        <v>234</v>
      </c>
      <c r="AC552" s="4" t="s">
        <v>2923</v>
      </c>
    </row>
    <row r="553" spans="1:29" hidden="1" x14ac:dyDescent="0.4">
      <c r="A553" s="4" t="s">
        <v>216</v>
      </c>
      <c r="B553" s="4">
        <v>1466</v>
      </c>
      <c r="C553" s="4" t="s">
        <v>417</v>
      </c>
      <c r="D553" s="4" t="s">
        <v>701</v>
      </c>
      <c r="E553" s="4" t="s">
        <v>2252</v>
      </c>
      <c r="F553" s="4" t="s">
        <v>2253</v>
      </c>
      <c r="G553" s="4" t="s">
        <v>2254</v>
      </c>
      <c r="H553" s="4" t="s">
        <v>1695</v>
      </c>
      <c r="I553" s="4" t="s">
        <v>154</v>
      </c>
      <c r="J553" s="4" t="s">
        <v>2255</v>
      </c>
      <c r="K553" s="4" t="s">
        <v>224</v>
      </c>
      <c r="L553" s="6" t="s">
        <v>2256</v>
      </c>
      <c r="M553" s="4" t="s">
        <v>2257</v>
      </c>
      <c r="N553" s="4" t="s">
        <v>2258</v>
      </c>
      <c r="P553" s="4" t="s">
        <v>2259</v>
      </c>
      <c r="Q553" s="4" t="s">
        <v>2260</v>
      </c>
      <c r="R553" s="4" t="s">
        <v>31</v>
      </c>
      <c r="S553" s="4" t="s">
        <v>231</v>
      </c>
      <c r="T553" s="7">
        <v>43675</v>
      </c>
      <c r="U553" s="4">
        <v>0</v>
      </c>
      <c r="V553" s="4">
        <v>11</v>
      </c>
      <c r="W553" s="4" t="s">
        <v>314</v>
      </c>
      <c r="Y553" s="4" t="s">
        <v>233</v>
      </c>
      <c r="Z553" s="4" t="s">
        <v>234</v>
      </c>
      <c r="AA553" s="4" t="s">
        <v>234</v>
      </c>
      <c r="AC553" s="4" t="s">
        <v>2923</v>
      </c>
    </row>
    <row r="554" spans="1:29" hidden="1" x14ac:dyDescent="0.4">
      <c r="A554" s="4" t="s">
        <v>216</v>
      </c>
      <c r="B554" s="4">
        <v>1466</v>
      </c>
      <c r="C554" s="4" t="s">
        <v>417</v>
      </c>
      <c r="D554" s="4" t="s">
        <v>701</v>
      </c>
      <c r="E554" s="4" t="s">
        <v>2252</v>
      </c>
      <c r="F554" s="4" t="s">
        <v>2253</v>
      </c>
      <c r="G554" s="4" t="s">
        <v>2254</v>
      </c>
      <c r="H554" s="4" t="s">
        <v>1695</v>
      </c>
      <c r="I554" s="4" t="s">
        <v>154</v>
      </c>
      <c r="J554" s="4" t="s">
        <v>2255</v>
      </c>
      <c r="K554" s="4" t="s">
        <v>224</v>
      </c>
      <c r="L554" s="6" t="s">
        <v>2256</v>
      </c>
      <c r="M554" s="4" t="s">
        <v>2257</v>
      </c>
      <c r="N554" s="4" t="s">
        <v>2258</v>
      </c>
      <c r="P554" s="4" t="s">
        <v>2259</v>
      </c>
      <c r="Q554" s="4" t="s">
        <v>2260</v>
      </c>
      <c r="R554" s="4" t="s">
        <v>31</v>
      </c>
      <c r="S554" s="4" t="s">
        <v>231</v>
      </c>
      <c r="T554" s="7">
        <v>43675</v>
      </c>
      <c r="U554" s="4">
        <v>0</v>
      </c>
      <c r="V554" s="4">
        <v>14</v>
      </c>
      <c r="W554" s="4" t="s">
        <v>241</v>
      </c>
      <c r="Y554" s="4" t="s">
        <v>233</v>
      </c>
      <c r="Z554" s="4" t="s">
        <v>234</v>
      </c>
      <c r="AA554" s="4" t="s">
        <v>234</v>
      </c>
      <c r="AC554" s="4" t="s">
        <v>2923</v>
      </c>
    </row>
    <row r="555" spans="1:29" x14ac:dyDescent="0.4">
      <c r="A555" s="4" t="s">
        <v>216</v>
      </c>
      <c r="B555" s="4">
        <v>656</v>
      </c>
      <c r="C555" s="4" t="s">
        <v>242</v>
      </c>
      <c r="D555" s="4" t="s">
        <v>2261</v>
      </c>
      <c r="E555" s="4" t="s">
        <v>2262</v>
      </c>
      <c r="F555" s="4" t="s">
        <v>2263</v>
      </c>
      <c r="G555" s="4" t="s">
        <v>2264</v>
      </c>
      <c r="H555" s="4" t="s">
        <v>2265</v>
      </c>
      <c r="I555" s="4" t="s">
        <v>1202</v>
      </c>
      <c r="J555" s="4" t="s">
        <v>2266</v>
      </c>
      <c r="K555" s="4" t="s">
        <v>224</v>
      </c>
      <c r="L555" s="5" t="s">
        <v>2267</v>
      </c>
      <c r="M555" s="4" t="s">
        <v>2268</v>
      </c>
      <c r="N555" s="4" t="s">
        <v>2269</v>
      </c>
      <c r="P555" s="4" t="s">
        <v>2270</v>
      </c>
      <c r="Q555" s="4" t="s">
        <v>2271</v>
      </c>
      <c r="R555" s="4" t="s">
        <v>2811</v>
      </c>
      <c r="S555" s="4" t="s">
        <v>257</v>
      </c>
      <c r="T555" s="7">
        <v>43686</v>
      </c>
      <c r="U555" s="4">
        <v>0</v>
      </c>
      <c r="V555" s="4">
        <v>4</v>
      </c>
      <c r="W555" s="4" t="s">
        <v>2725</v>
      </c>
      <c r="Y555" s="4" t="s">
        <v>233</v>
      </c>
      <c r="Z555" s="4" t="s">
        <v>234</v>
      </c>
      <c r="AA555" s="4" t="s">
        <v>234</v>
      </c>
      <c r="AC555" s="4" t="s">
        <v>2923</v>
      </c>
    </row>
    <row r="556" spans="1:29" hidden="1" x14ac:dyDescent="0.4">
      <c r="A556" s="4" t="s">
        <v>216</v>
      </c>
      <c r="B556" s="4">
        <v>656</v>
      </c>
      <c r="C556" s="4" t="s">
        <v>242</v>
      </c>
      <c r="D556" s="4" t="s">
        <v>2261</v>
      </c>
      <c r="E556" s="4" t="s">
        <v>2262</v>
      </c>
      <c r="F556" s="4" t="s">
        <v>2263</v>
      </c>
      <c r="G556" s="4" t="s">
        <v>2264</v>
      </c>
      <c r="H556" s="4" t="s">
        <v>2265</v>
      </c>
      <c r="I556" s="4" t="s">
        <v>1202</v>
      </c>
      <c r="J556" s="4" t="s">
        <v>2266</v>
      </c>
      <c r="K556" s="4" t="s">
        <v>224</v>
      </c>
      <c r="L556" s="5" t="s">
        <v>2267</v>
      </c>
      <c r="M556" s="4" t="s">
        <v>2268</v>
      </c>
      <c r="N556" s="4" t="s">
        <v>2269</v>
      </c>
      <c r="P556" s="4" t="s">
        <v>2272</v>
      </c>
      <c r="Q556" s="4" t="s">
        <v>2273</v>
      </c>
      <c r="R556" s="4" t="s">
        <v>53</v>
      </c>
      <c r="S556" s="4" t="s">
        <v>257</v>
      </c>
      <c r="T556" s="7">
        <v>44869</v>
      </c>
      <c r="U556" s="4">
        <v>0</v>
      </c>
      <c r="V556" s="4">
        <v>5</v>
      </c>
      <c r="W556" s="4" t="s">
        <v>314</v>
      </c>
      <c r="Y556" s="4" t="s">
        <v>233</v>
      </c>
      <c r="Z556" s="4" t="s">
        <v>234</v>
      </c>
      <c r="AA556" s="4" t="s">
        <v>234</v>
      </c>
      <c r="AC556" s="4" t="s">
        <v>2923</v>
      </c>
    </row>
    <row r="557" spans="1:29" hidden="1" x14ac:dyDescent="0.4">
      <c r="A557" s="4" t="s">
        <v>216</v>
      </c>
      <c r="B557" s="4">
        <v>656</v>
      </c>
      <c r="C557" s="4" t="s">
        <v>242</v>
      </c>
      <c r="D557" s="4" t="s">
        <v>2261</v>
      </c>
      <c r="E557" s="4" t="s">
        <v>2262</v>
      </c>
      <c r="F557" s="4" t="s">
        <v>2263</v>
      </c>
      <c r="G557" s="4" t="s">
        <v>2264</v>
      </c>
      <c r="H557" s="4" t="s">
        <v>2265</v>
      </c>
      <c r="I557" s="4" t="s">
        <v>1202</v>
      </c>
      <c r="J557" s="4" t="s">
        <v>2266</v>
      </c>
      <c r="K557" s="4" t="s">
        <v>224</v>
      </c>
      <c r="L557" s="5" t="s">
        <v>2267</v>
      </c>
      <c r="M557" s="4" t="s">
        <v>2268</v>
      </c>
      <c r="N557" s="4" t="s">
        <v>2269</v>
      </c>
      <c r="P557" s="4" t="s">
        <v>2272</v>
      </c>
      <c r="Q557" s="4" t="s">
        <v>2273</v>
      </c>
      <c r="R557" s="4" t="s">
        <v>53</v>
      </c>
      <c r="S557" s="4" t="s">
        <v>257</v>
      </c>
      <c r="T557" s="7">
        <v>44869</v>
      </c>
      <c r="U557" s="4">
        <v>0</v>
      </c>
      <c r="V557" s="4">
        <v>6</v>
      </c>
      <c r="Y557" s="4" t="s">
        <v>233</v>
      </c>
      <c r="Z557" s="4" t="s">
        <v>234</v>
      </c>
      <c r="AA557" s="4" t="s">
        <v>234</v>
      </c>
      <c r="AC557" s="4" t="s">
        <v>2923</v>
      </c>
    </row>
    <row r="558" spans="1:29" hidden="1" x14ac:dyDescent="0.4">
      <c r="A558" s="4" t="s">
        <v>216</v>
      </c>
      <c r="B558" s="4">
        <v>5524</v>
      </c>
      <c r="C558" s="4" t="s">
        <v>242</v>
      </c>
      <c r="D558" s="4" t="s">
        <v>2274</v>
      </c>
      <c r="E558" s="4" t="s">
        <v>2275</v>
      </c>
      <c r="F558" s="4" t="s">
        <v>2276</v>
      </c>
      <c r="G558" s="4" t="s">
        <v>2277</v>
      </c>
      <c r="H558" s="4" t="s">
        <v>842</v>
      </c>
      <c r="I558" s="4" t="s">
        <v>2278</v>
      </c>
      <c r="J558" s="4" t="s">
        <v>2279</v>
      </c>
      <c r="K558" s="4" t="s">
        <v>224</v>
      </c>
      <c r="L558" s="6" t="s">
        <v>2280</v>
      </c>
      <c r="M558" s="4" t="s">
        <v>2281</v>
      </c>
      <c r="N558" s="4" t="s">
        <v>2282</v>
      </c>
      <c r="P558" s="4" t="s">
        <v>2902</v>
      </c>
      <c r="Q558" s="4" t="s">
        <v>2283</v>
      </c>
      <c r="R558" s="4" t="s">
        <v>53</v>
      </c>
      <c r="S558" s="4" t="s">
        <v>257</v>
      </c>
      <c r="T558" s="7">
        <v>44879</v>
      </c>
      <c r="U558" s="4">
        <v>0</v>
      </c>
      <c r="V558" s="4">
        <v>4</v>
      </c>
      <c r="W558" s="4" t="s">
        <v>314</v>
      </c>
      <c r="Y558" s="4" t="s">
        <v>233</v>
      </c>
      <c r="Z558" s="4" t="s">
        <v>234</v>
      </c>
      <c r="AA558" s="4" t="s">
        <v>234</v>
      </c>
      <c r="AC558" s="4" t="s">
        <v>2923</v>
      </c>
    </row>
    <row r="559" spans="1:29" hidden="1" x14ac:dyDescent="0.4">
      <c r="A559" s="4" t="s">
        <v>216</v>
      </c>
      <c r="B559" s="4">
        <v>5524</v>
      </c>
      <c r="C559" s="4" t="s">
        <v>242</v>
      </c>
      <c r="D559" s="4" t="s">
        <v>2274</v>
      </c>
      <c r="E559" s="4" t="s">
        <v>2275</v>
      </c>
      <c r="F559" s="4" t="s">
        <v>2276</v>
      </c>
      <c r="G559" s="4" t="s">
        <v>2277</v>
      </c>
      <c r="H559" s="4" t="s">
        <v>842</v>
      </c>
      <c r="I559" s="4" t="s">
        <v>2278</v>
      </c>
      <c r="J559" s="4" t="s">
        <v>2279</v>
      </c>
      <c r="K559" s="4" t="s">
        <v>224</v>
      </c>
      <c r="L559" s="6" t="s">
        <v>2280</v>
      </c>
      <c r="M559" s="4" t="s">
        <v>2281</v>
      </c>
      <c r="N559" s="4" t="s">
        <v>2282</v>
      </c>
      <c r="P559" s="4" t="s">
        <v>2902</v>
      </c>
      <c r="Q559" s="4" t="s">
        <v>2283</v>
      </c>
      <c r="R559" s="4" t="s">
        <v>53</v>
      </c>
      <c r="S559" s="4" t="s">
        <v>257</v>
      </c>
      <c r="T559" s="7">
        <v>44879</v>
      </c>
      <c r="U559" s="4">
        <v>0</v>
      </c>
      <c r="V559" s="4">
        <v>5</v>
      </c>
      <c r="W559" s="4" t="s">
        <v>314</v>
      </c>
      <c r="Y559" s="4" t="s">
        <v>233</v>
      </c>
      <c r="Z559" s="4" t="s">
        <v>234</v>
      </c>
      <c r="AA559" s="4" t="s">
        <v>234</v>
      </c>
      <c r="AC559" s="4" t="s">
        <v>2923</v>
      </c>
    </row>
    <row r="560" spans="1:29" hidden="1" x14ac:dyDescent="0.4">
      <c r="A560" s="4" t="s">
        <v>216</v>
      </c>
      <c r="B560" s="4">
        <v>643</v>
      </c>
      <c r="C560" s="4" t="s">
        <v>242</v>
      </c>
      <c r="D560" s="4" t="s">
        <v>2284</v>
      </c>
      <c r="E560" s="4" t="s">
        <v>2285</v>
      </c>
      <c r="F560" s="4" t="s">
        <v>2286</v>
      </c>
      <c r="H560" s="4" t="s">
        <v>2287</v>
      </c>
      <c r="I560" s="4" t="s">
        <v>1600</v>
      </c>
      <c r="J560" s="4" t="s">
        <v>2288</v>
      </c>
      <c r="K560" s="4" t="s">
        <v>224</v>
      </c>
      <c r="L560" s="6" t="s">
        <v>2289</v>
      </c>
      <c r="M560" s="4" t="s">
        <v>2290</v>
      </c>
      <c r="N560" s="4" t="s">
        <v>2291</v>
      </c>
      <c r="P560" s="4" t="s">
        <v>2294</v>
      </c>
      <c r="Q560" s="4" t="s">
        <v>2295</v>
      </c>
      <c r="R560" s="4" t="s">
        <v>31</v>
      </c>
      <c r="S560" s="4" t="s">
        <v>257</v>
      </c>
      <c r="T560" s="7">
        <v>45747</v>
      </c>
      <c r="U560" s="4">
        <v>0</v>
      </c>
      <c r="V560" s="4">
        <v>5</v>
      </c>
      <c r="W560" s="4" t="s">
        <v>314</v>
      </c>
      <c r="X560" s="4" t="s">
        <v>1488</v>
      </c>
      <c r="Y560" s="4" t="s">
        <v>233</v>
      </c>
      <c r="Z560" s="4" t="s">
        <v>234</v>
      </c>
      <c r="AA560" s="4" t="s">
        <v>233</v>
      </c>
      <c r="AC560" s="4" t="s">
        <v>2923</v>
      </c>
    </row>
    <row r="561" spans="1:29" hidden="1" x14ac:dyDescent="0.4">
      <c r="A561" s="4" t="s">
        <v>216</v>
      </c>
      <c r="B561" s="4">
        <v>643</v>
      </c>
      <c r="C561" s="4" t="s">
        <v>242</v>
      </c>
      <c r="D561" s="4" t="s">
        <v>2284</v>
      </c>
      <c r="E561" s="4" t="s">
        <v>2285</v>
      </c>
      <c r="F561" s="4" t="s">
        <v>2286</v>
      </c>
      <c r="H561" s="4" t="s">
        <v>2287</v>
      </c>
      <c r="I561" s="4" t="s">
        <v>1600</v>
      </c>
      <c r="J561" s="4" t="s">
        <v>2288</v>
      </c>
      <c r="K561" s="4" t="s">
        <v>224</v>
      </c>
      <c r="L561" s="6" t="s">
        <v>2289</v>
      </c>
      <c r="M561" s="4" t="s">
        <v>2290</v>
      </c>
      <c r="N561" s="4" t="s">
        <v>2291</v>
      </c>
      <c r="P561" s="4" t="s">
        <v>2294</v>
      </c>
      <c r="Q561" s="4" t="s">
        <v>2295</v>
      </c>
      <c r="R561" s="4" t="s">
        <v>31</v>
      </c>
      <c r="S561" s="4" t="s">
        <v>257</v>
      </c>
      <c r="T561" s="7">
        <v>45747</v>
      </c>
      <c r="U561" s="4">
        <v>0</v>
      </c>
      <c r="V561" s="4">
        <v>6</v>
      </c>
      <c r="X561" s="4" t="s">
        <v>1488</v>
      </c>
      <c r="Y561" s="4" t="s">
        <v>233</v>
      </c>
      <c r="Z561" s="4" t="s">
        <v>234</v>
      </c>
      <c r="AA561" s="4" t="s">
        <v>233</v>
      </c>
      <c r="AC561" s="4" t="s">
        <v>2923</v>
      </c>
    </row>
    <row r="562" spans="1:29" hidden="1" x14ac:dyDescent="0.4">
      <c r="A562" s="4" t="s">
        <v>216</v>
      </c>
      <c r="B562" s="4">
        <v>643</v>
      </c>
      <c r="C562" s="4" t="s">
        <v>242</v>
      </c>
      <c r="D562" s="4" t="s">
        <v>2284</v>
      </c>
      <c r="E562" s="4" t="s">
        <v>2285</v>
      </c>
      <c r="F562" s="4" t="s">
        <v>2286</v>
      </c>
      <c r="H562" s="4" t="s">
        <v>2287</v>
      </c>
      <c r="I562" s="4" t="s">
        <v>1600</v>
      </c>
      <c r="J562" s="4" t="s">
        <v>2288</v>
      </c>
      <c r="K562" s="4" t="s">
        <v>224</v>
      </c>
      <c r="L562" s="6" t="s">
        <v>2289</v>
      </c>
      <c r="M562" s="4" t="s">
        <v>2290</v>
      </c>
      <c r="N562" s="4" t="s">
        <v>2291</v>
      </c>
      <c r="P562" s="4" t="s">
        <v>2294</v>
      </c>
      <c r="Q562" s="4" t="s">
        <v>2295</v>
      </c>
      <c r="R562" s="4" t="s">
        <v>31</v>
      </c>
      <c r="S562" s="4" t="s">
        <v>257</v>
      </c>
      <c r="T562" s="7">
        <v>45747</v>
      </c>
      <c r="U562" s="4">
        <v>0</v>
      </c>
      <c r="V562" s="4">
        <v>11</v>
      </c>
      <c r="W562" s="4" t="s">
        <v>314</v>
      </c>
      <c r="X562" s="4" t="s">
        <v>1488</v>
      </c>
      <c r="Y562" s="4" t="s">
        <v>233</v>
      </c>
      <c r="Z562" s="4" t="s">
        <v>234</v>
      </c>
      <c r="AA562" s="4" t="s">
        <v>233</v>
      </c>
      <c r="AC562" s="4" t="s">
        <v>2923</v>
      </c>
    </row>
    <row r="563" spans="1:29" hidden="1" x14ac:dyDescent="0.4">
      <c r="A563" s="4" t="s">
        <v>216</v>
      </c>
      <c r="B563" s="4">
        <v>643</v>
      </c>
      <c r="C563" s="4" t="s">
        <v>242</v>
      </c>
      <c r="D563" s="4" t="s">
        <v>2284</v>
      </c>
      <c r="E563" s="4" t="s">
        <v>2285</v>
      </c>
      <c r="F563" s="4" t="s">
        <v>2286</v>
      </c>
      <c r="H563" s="4" t="s">
        <v>2287</v>
      </c>
      <c r="I563" s="4" t="s">
        <v>1600</v>
      </c>
      <c r="J563" s="4" t="s">
        <v>2288</v>
      </c>
      <c r="K563" s="4" t="s">
        <v>224</v>
      </c>
      <c r="L563" s="6" t="s">
        <v>2289</v>
      </c>
      <c r="M563" s="4" t="s">
        <v>2290</v>
      </c>
      <c r="N563" s="4" t="s">
        <v>2291</v>
      </c>
      <c r="P563" s="4" t="s">
        <v>2294</v>
      </c>
      <c r="Q563" s="4" t="s">
        <v>2295</v>
      </c>
      <c r="R563" s="4" t="s">
        <v>31</v>
      </c>
      <c r="S563" s="4" t="s">
        <v>257</v>
      </c>
      <c r="T563" s="7">
        <v>45747</v>
      </c>
      <c r="U563" s="4">
        <v>0</v>
      </c>
      <c r="V563" s="4">
        <v>12</v>
      </c>
      <c r="X563" s="4" t="s">
        <v>1488</v>
      </c>
      <c r="Y563" s="4" t="s">
        <v>233</v>
      </c>
      <c r="Z563" s="4" t="s">
        <v>234</v>
      </c>
      <c r="AA563" s="4" t="s">
        <v>233</v>
      </c>
      <c r="AC563" s="4" t="s">
        <v>2923</v>
      </c>
    </row>
    <row r="564" spans="1:29" hidden="1" x14ac:dyDescent="0.4">
      <c r="A564" s="4" t="s">
        <v>216</v>
      </c>
      <c r="B564" s="4">
        <v>643</v>
      </c>
      <c r="C564" s="4" t="s">
        <v>242</v>
      </c>
      <c r="D564" s="4" t="s">
        <v>2284</v>
      </c>
      <c r="E564" s="4" t="s">
        <v>2285</v>
      </c>
      <c r="F564" s="4" t="s">
        <v>2286</v>
      </c>
      <c r="H564" s="4" t="s">
        <v>2287</v>
      </c>
      <c r="I564" s="4" t="s">
        <v>1600</v>
      </c>
      <c r="J564" s="4" t="s">
        <v>2288</v>
      </c>
      <c r="K564" s="4" t="s">
        <v>224</v>
      </c>
      <c r="L564" s="6" t="s">
        <v>2289</v>
      </c>
      <c r="M564" s="4" t="s">
        <v>2290</v>
      </c>
      <c r="N564" s="4" t="s">
        <v>2291</v>
      </c>
      <c r="P564" s="4" t="s">
        <v>2296</v>
      </c>
      <c r="Q564" s="4" t="s">
        <v>2297</v>
      </c>
      <c r="R564" s="4" t="s">
        <v>31</v>
      </c>
      <c r="S564" s="4" t="s">
        <v>257</v>
      </c>
      <c r="T564" s="7">
        <v>44254</v>
      </c>
      <c r="U564" s="4">
        <v>0</v>
      </c>
      <c r="V564" s="4">
        <v>7</v>
      </c>
      <c r="W564" s="4" t="s">
        <v>238</v>
      </c>
      <c r="X564" s="4" t="s">
        <v>1488</v>
      </c>
      <c r="Y564" s="4" t="s">
        <v>233</v>
      </c>
      <c r="Z564" s="4" t="s">
        <v>234</v>
      </c>
      <c r="AA564" s="4" t="s">
        <v>233</v>
      </c>
      <c r="AC564" s="4" t="s">
        <v>2923</v>
      </c>
    </row>
    <row r="565" spans="1:29" hidden="1" x14ac:dyDescent="0.4">
      <c r="A565" s="4" t="s">
        <v>216</v>
      </c>
      <c r="B565" s="4">
        <v>643</v>
      </c>
      <c r="C565" s="4" t="s">
        <v>242</v>
      </c>
      <c r="D565" s="4" t="s">
        <v>2284</v>
      </c>
      <c r="E565" s="4" t="s">
        <v>2285</v>
      </c>
      <c r="F565" s="4" t="s">
        <v>2286</v>
      </c>
      <c r="H565" s="4" t="s">
        <v>2287</v>
      </c>
      <c r="I565" s="4" t="s">
        <v>1600</v>
      </c>
      <c r="J565" s="4" t="s">
        <v>2288</v>
      </c>
      <c r="K565" s="4" t="s">
        <v>224</v>
      </c>
      <c r="L565" s="6" t="s">
        <v>2289</v>
      </c>
      <c r="M565" s="4" t="s">
        <v>2290</v>
      </c>
      <c r="N565" s="4" t="s">
        <v>2291</v>
      </c>
      <c r="P565" s="4" t="s">
        <v>2296</v>
      </c>
      <c r="Q565" s="4" t="s">
        <v>2297</v>
      </c>
      <c r="R565" s="4" t="s">
        <v>31</v>
      </c>
      <c r="S565" s="4" t="s">
        <v>257</v>
      </c>
      <c r="T565" s="7">
        <v>44254</v>
      </c>
      <c r="U565" s="4">
        <v>0</v>
      </c>
      <c r="V565" s="4">
        <v>13</v>
      </c>
      <c r="W565" s="4" t="s">
        <v>240</v>
      </c>
      <c r="X565" s="4" t="s">
        <v>1488</v>
      </c>
      <c r="Y565" s="4" t="s">
        <v>233</v>
      </c>
      <c r="Z565" s="4" t="s">
        <v>234</v>
      </c>
      <c r="AA565" s="4" t="s">
        <v>233</v>
      </c>
      <c r="AC565" s="4" t="s">
        <v>2923</v>
      </c>
    </row>
    <row r="566" spans="1:29" hidden="1" x14ac:dyDescent="0.4">
      <c r="A566" s="4" t="s">
        <v>216</v>
      </c>
      <c r="B566" s="4">
        <v>2356</v>
      </c>
      <c r="C566" s="4" t="s">
        <v>242</v>
      </c>
      <c r="D566" s="4" t="s">
        <v>1167</v>
      </c>
      <c r="E566" s="4" t="s">
        <v>2298</v>
      </c>
      <c r="F566" s="4" t="s">
        <v>2299</v>
      </c>
      <c r="G566" s="4" t="s">
        <v>2300</v>
      </c>
      <c r="H566" s="4" t="s">
        <v>2301</v>
      </c>
      <c r="I566" s="4" t="s">
        <v>610</v>
      </c>
      <c r="J566" s="4" t="s">
        <v>2302</v>
      </c>
      <c r="K566" s="4" t="s">
        <v>224</v>
      </c>
      <c r="L566" s="5">
        <v>441526321231</v>
      </c>
      <c r="M566" s="4" t="s">
        <v>2303</v>
      </c>
      <c r="N566" s="4" t="s">
        <v>2304</v>
      </c>
      <c r="P566" s="4" t="s">
        <v>2307</v>
      </c>
      <c r="Q566" s="4" t="s">
        <v>2308</v>
      </c>
      <c r="R566" s="4" t="s">
        <v>53</v>
      </c>
      <c r="S566" s="4" t="s">
        <v>257</v>
      </c>
      <c r="T566" s="7">
        <v>45052</v>
      </c>
      <c r="U566" s="4">
        <v>0</v>
      </c>
      <c r="V566" s="4">
        <v>4</v>
      </c>
      <c r="W566" s="4" t="s">
        <v>314</v>
      </c>
      <c r="Y566" s="4" t="s">
        <v>233</v>
      </c>
      <c r="Z566" s="4" t="s">
        <v>234</v>
      </c>
      <c r="AA566" s="4" t="s">
        <v>234</v>
      </c>
      <c r="AC566" s="4" t="s">
        <v>2923</v>
      </c>
    </row>
    <row r="567" spans="1:29" hidden="1" x14ac:dyDescent="0.4">
      <c r="A567" s="4" t="s">
        <v>216</v>
      </c>
      <c r="B567" s="4">
        <v>2356</v>
      </c>
      <c r="C567" s="4" t="s">
        <v>242</v>
      </c>
      <c r="D567" s="4" t="s">
        <v>1167</v>
      </c>
      <c r="E567" s="4" t="s">
        <v>2298</v>
      </c>
      <c r="F567" s="4" t="s">
        <v>2299</v>
      </c>
      <c r="G567" s="4" t="s">
        <v>2300</v>
      </c>
      <c r="H567" s="4" t="s">
        <v>2301</v>
      </c>
      <c r="I567" s="4" t="s">
        <v>610</v>
      </c>
      <c r="J567" s="4" t="s">
        <v>2302</v>
      </c>
      <c r="K567" s="4" t="s">
        <v>224</v>
      </c>
      <c r="L567" s="5">
        <v>441526321231</v>
      </c>
      <c r="M567" s="4" t="s">
        <v>2303</v>
      </c>
      <c r="N567" s="4" t="s">
        <v>2304</v>
      </c>
      <c r="P567" s="4" t="s">
        <v>2307</v>
      </c>
      <c r="Q567" s="4" t="s">
        <v>2308</v>
      </c>
      <c r="R567" s="4" t="s">
        <v>53</v>
      </c>
      <c r="S567" s="4" t="s">
        <v>257</v>
      </c>
      <c r="T567" s="7">
        <v>45052</v>
      </c>
      <c r="U567" s="4">
        <v>0</v>
      </c>
      <c r="V567" s="4">
        <v>5</v>
      </c>
      <c r="W567" s="4" t="s">
        <v>314</v>
      </c>
      <c r="Y567" s="4" t="s">
        <v>233</v>
      </c>
      <c r="Z567" s="4" t="s">
        <v>234</v>
      </c>
      <c r="AA567" s="4" t="s">
        <v>234</v>
      </c>
      <c r="AC567" s="4" t="s">
        <v>2923</v>
      </c>
    </row>
    <row r="568" spans="1:29" hidden="1" x14ac:dyDescent="0.4">
      <c r="A568" s="4" t="s">
        <v>216</v>
      </c>
      <c r="B568" s="4">
        <v>1010</v>
      </c>
      <c r="C568" s="4" t="s">
        <v>242</v>
      </c>
      <c r="D568" s="4" t="s">
        <v>2261</v>
      </c>
      <c r="E568" s="4" t="s">
        <v>2309</v>
      </c>
      <c r="F568" s="4" t="s">
        <v>2310</v>
      </c>
      <c r="G568" s="4" t="s">
        <v>2310</v>
      </c>
      <c r="H568" s="4" t="s">
        <v>2311</v>
      </c>
      <c r="I568" s="4" t="s">
        <v>28</v>
      </c>
      <c r="J568" s="4" t="s">
        <v>2312</v>
      </c>
      <c r="K568" s="4" t="s">
        <v>224</v>
      </c>
      <c r="L568" s="5" t="s">
        <v>2313</v>
      </c>
      <c r="M568" s="4" t="s">
        <v>2314</v>
      </c>
      <c r="N568" s="4" t="s">
        <v>2315</v>
      </c>
      <c r="P568" s="4" t="s">
        <v>2316</v>
      </c>
      <c r="Q568" s="4" t="s">
        <v>2317</v>
      </c>
      <c r="R568" s="4" t="s">
        <v>2914</v>
      </c>
      <c r="S568" s="4" t="s">
        <v>231</v>
      </c>
      <c r="T568" s="7">
        <v>45974</v>
      </c>
      <c r="U568" s="4">
        <v>0</v>
      </c>
      <c r="V568" s="4">
        <v>1</v>
      </c>
      <c r="W568" s="4" t="s">
        <v>314</v>
      </c>
      <c r="X568" s="4" t="s">
        <v>293</v>
      </c>
      <c r="Y568" s="4" t="s">
        <v>233</v>
      </c>
      <c r="Z568" s="4" t="s">
        <v>234</v>
      </c>
      <c r="AA568" s="4" t="s">
        <v>234</v>
      </c>
      <c r="AC568" s="4" t="s">
        <v>2923</v>
      </c>
    </row>
    <row r="569" spans="1:29" x14ac:dyDescent="0.4">
      <c r="A569" s="4" t="s">
        <v>216</v>
      </c>
      <c r="B569" s="4">
        <v>1010</v>
      </c>
      <c r="C569" s="4" t="s">
        <v>242</v>
      </c>
      <c r="D569" s="4" t="s">
        <v>2261</v>
      </c>
      <c r="E569" s="4" t="s">
        <v>2309</v>
      </c>
      <c r="F569" s="4" t="s">
        <v>2310</v>
      </c>
      <c r="G569" s="4" t="s">
        <v>2310</v>
      </c>
      <c r="H569" s="4" t="s">
        <v>2311</v>
      </c>
      <c r="I569" s="4" t="s">
        <v>28</v>
      </c>
      <c r="J569" s="4" t="s">
        <v>2312</v>
      </c>
      <c r="K569" s="4" t="s">
        <v>224</v>
      </c>
      <c r="L569" s="5" t="s">
        <v>2313</v>
      </c>
      <c r="M569" s="4" t="s">
        <v>2314</v>
      </c>
      <c r="N569" s="4" t="s">
        <v>2315</v>
      </c>
      <c r="P569" s="4" t="s">
        <v>2318</v>
      </c>
      <c r="Q569" s="4" t="s">
        <v>2319</v>
      </c>
      <c r="R569" s="4" t="s">
        <v>2914</v>
      </c>
      <c r="S569" s="4" t="s">
        <v>257</v>
      </c>
      <c r="T569" s="7">
        <v>45974</v>
      </c>
      <c r="U569" s="4">
        <v>0</v>
      </c>
      <c r="V569" s="4">
        <v>4</v>
      </c>
      <c r="W569" s="4" t="s">
        <v>97</v>
      </c>
      <c r="X569" s="4" t="s">
        <v>293</v>
      </c>
      <c r="Y569" s="4" t="s">
        <v>233</v>
      </c>
      <c r="Z569" s="4" t="s">
        <v>234</v>
      </c>
      <c r="AA569" s="4" t="s">
        <v>234</v>
      </c>
      <c r="AC569" s="4" t="s">
        <v>2923</v>
      </c>
    </row>
    <row r="570" spans="1:29" hidden="1" x14ac:dyDescent="0.4">
      <c r="A570" s="4" t="s">
        <v>216</v>
      </c>
      <c r="B570" s="4">
        <v>1010</v>
      </c>
      <c r="C570" s="4" t="s">
        <v>242</v>
      </c>
      <c r="D570" s="4" t="s">
        <v>2261</v>
      </c>
      <c r="E570" s="4" t="s">
        <v>2309</v>
      </c>
      <c r="F570" s="4" t="s">
        <v>2310</v>
      </c>
      <c r="G570" s="4" t="s">
        <v>2310</v>
      </c>
      <c r="H570" s="4" t="s">
        <v>2311</v>
      </c>
      <c r="I570" s="4" t="s">
        <v>28</v>
      </c>
      <c r="J570" s="4" t="s">
        <v>2312</v>
      </c>
      <c r="K570" s="4" t="s">
        <v>224</v>
      </c>
      <c r="L570" s="5" t="s">
        <v>2313</v>
      </c>
      <c r="M570" s="4" t="s">
        <v>2314</v>
      </c>
      <c r="N570" s="4" t="s">
        <v>2315</v>
      </c>
      <c r="P570" s="4" t="s">
        <v>2316</v>
      </c>
      <c r="Q570" s="4" t="s">
        <v>2317</v>
      </c>
      <c r="R570" s="4" t="s">
        <v>2914</v>
      </c>
      <c r="S570" s="4" t="s">
        <v>231</v>
      </c>
      <c r="T570" s="7">
        <v>45974</v>
      </c>
      <c r="U570" s="4">
        <v>0</v>
      </c>
      <c r="V570" s="4">
        <v>8</v>
      </c>
      <c r="W570" s="4" t="s">
        <v>281</v>
      </c>
      <c r="X570" s="4" t="s">
        <v>293</v>
      </c>
      <c r="Y570" s="4" t="s">
        <v>233</v>
      </c>
      <c r="Z570" s="4" t="s">
        <v>234</v>
      </c>
      <c r="AA570" s="4" t="s">
        <v>234</v>
      </c>
      <c r="AC570" s="4" t="s">
        <v>2923</v>
      </c>
    </row>
    <row r="571" spans="1:29" hidden="1" x14ac:dyDescent="0.4">
      <c r="A571" s="4" t="s">
        <v>216</v>
      </c>
      <c r="B571" s="4">
        <v>1010</v>
      </c>
      <c r="C571" s="4" t="s">
        <v>242</v>
      </c>
      <c r="D571" s="4" t="s">
        <v>2261</v>
      </c>
      <c r="E571" s="4" t="s">
        <v>2309</v>
      </c>
      <c r="F571" s="4" t="s">
        <v>2310</v>
      </c>
      <c r="G571" s="4" t="s">
        <v>2310</v>
      </c>
      <c r="H571" s="4" t="s">
        <v>2311</v>
      </c>
      <c r="I571" s="4" t="s">
        <v>28</v>
      </c>
      <c r="J571" s="4" t="s">
        <v>2312</v>
      </c>
      <c r="K571" s="4" t="s">
        <v>224</v>
      </c>
      <c r="L571" s="5" t="s">
        <v>2313</v>
      </c>
      <c r="M571" s="4" t="s">
        <v>2314</v>
      </c>
      <c r="N571" s="4" t="s">
        <v>2315</v>
      </c>
      <c r="P571" s="4" t="s">
        <v>2318</v>
      </c>
      <c r="Q571" s="4" t="s">
        <v>2319</v>
      </c>
      <c r="R571" s="4" t="s">
        <v>2914</v>
      </c>
      <c r="S571" s="4" t="s">
        <v>257</v>
      </c>
      <c r="T571" s="7">
        <v>45974</v>
      </c>
      <c r="U571" s="4">
        <v>0</v>
      </c>
      <c r="V571" s="4">
        <v>10</v>
      </c>
      <c r="W571" s="4" t="s">
        <v>314</v>
      </c>
      <c r="X571" s="4" t="s">
        <v>293</v>
      </c>
      <c r="Y571" s="4" t="s">
        <v>233</v>
      </c>
      <c r="Z571" s="4" t="s">
        <v>234</v>
      </c>
      <c r="AA571" s="4" t="s">
        <v>234</v>
      </c>
      <c r="AC571" s="4" t="s">
        <v>2923</v>
      </c>
    </row>
    <row r="572" spans="1:29" x14ac:dyDescent="0.4">
      <c r="A572" s="4" t="s">
        <v>216</v>
      </c>
      <c r="B572" s="4">
        <v>4249</v>
      </c>
      <c r="C572" s="4" t="s">
        <v>242</v>
      </c>
      <c r="D572" s="4" t="s">
        <v>2332</v>
      </c>
      <c r="E572" s="4" t="s">
        <v>2333</v>
      </c>
      <c r="F572" s="4" t="s">
        <v>2334</v>
      </c>
      <c r="G572" s="4" t="s">
        <v>2335</v>
      </c>
      <c r="H572" s="4" t="s">
        <v>2336</v>
      </c>
      <c r="I572" s="4" t="s">
        <v>143</v>
      </c>
      <c r="J572" s="4" t="s">
        <v>2337</v>
      </c>
      <c r="K572" s="4" t="s">
        <v>224</v>
      </c>
      <c r="L572" s="6" t="s">
        <v>2338</v>
      </c>
      <c r="M572" s="4" t="s">
        <v>2339</v>
      </c>
      <c r="N572" s="4" t="s">
        <v>2340</v>
      </c>
      <c r="P572" s="4" t="s">
        <v>2344</v>
      </c>
      <c r="Q572" s="4" t="s">
        <v>2345</v>
      </c>
      <c r="R572" s="4" t="s">
        <v>53</v>
      </c>
      <c r="S572" s="4" t="s">
        <v>231</v>
      </c>
      <c r="T572" s="7">
        <v>45285</v>
      </c>
      <c r="U572" s="4">
        <v>0</v>
      </c>
      <c r="V572" s="4">
        <v>4</v>
      </c>
      <c r="W572" s="4" t="s">
        <v>2725</v>
      </c>
      <c r="X572" s="4" t="s">
        <v>464</v>
      </c>
      <c r="Y572" s="4" t="s">
        <v>233</v>
      </c>
      <c r="Z572" s="4" t="s">
        <v>234</v>
      </c>
      <c r="AA572" s="4" t="s">
        <v>234</v>
      </c>
      <c r="AC572" s="4" t="s">
        <v>2923</v>
      </c>
    </row>
    <row r="573" spans="1:29" hidden="1" x14ac:dyDescent="0.4">
      <c r="A573" s="4" t="s">
        <v>216</v>
      </c>
      <c r="B573" s="4">
        <v>4249</v>
      </c>
      <c r="C573" s="4" t="s">
        <v>242</v>
      </c>
      <c r="D573" s="4" t="s">
        <v>2332</v>
      </c>
      <c r="E573" s="4" t="s">
        <v>2333</v>
      </c>
      <c r="F573" s="4" t="s">
        <v>2334</v>
      </c>
      <c r="G573" s="4" t="s">
        <v>2335</v>
      </c>
      <c r="H573" s="4" t="s">
        <v>2336</v>
      </c>
      <c r="I573" s="4" t="s">
        <v>143</v>
      </c>
      <c r="J573" s="4" t="s">
        <v>2337</v>
      </c>
      <c r="K573" s="4" t="s">
        <v>224</v>
      </c>
      <c r="L573" s="6" t="s">
        <v>2338</v>
      </c>
      <c r="M573" s="4" t="s">
        <v>2339</v>
      </c>
      <c r="N573" s="4" t="s">
        <v>2340</v>
      </c>
      <c r="P573" s="4" t="s">
        <v>2344</v>
      </c>
      <c r="Q573" s="4" t="s">
        <v>2345</v>
      </c>
      <c r="R573" s="4" t="s">
        <v>53</v>
      </c>
      <c r="S573" s="4" t="s">
        <v>231</v>
      </c>
      <c r="T573" s="7">
        <v>45285</v>
      </c>
      <c r="U573" s="4">
        <v>0</v>
      </c>
      <c r="V573" s="4">
        <v>5</v>
      </c>
      <c r="W573" s="4" t="s">
        <v>314</v>
      </c>
      <c r="X573" s="4" t="s">
        <v>464</v>
      </c>
      <c r="Y573" s="4" t="s">
        <v>233</v>
      </c>
      <c r="Z573" s="4" t="s">
        <v>234</v>
      </c>
      <c r="AA573" s="4" t="s">
        <v>234</v>
      </c>
      <c r="AC573" s="4" t="s">
        <v>2923</v>
      </c>
    </row>
    <row r="574" spans="1:29" hidden="1" x14ac:dyDescent="0.4">
      <c r="A574" s="4" t="s">
        <v>216</v>
      </c>
      <c r="B574" s="4">
        <v>4249</v>
      </c>
      <c r="C574" s="4" t="s">
        <v>242</v>
      </c>
      <c r="D574" s="4" t="s">
        <v>2332</v>
      </c>
      <c r="E574" s="4" t="s">
        <v>2333</v>
      </c>
      <c r="F574" s="4" t="s">
        <v>2334</v>
      </c>
      <c r="G574" s="4" t="s">
        <v>2335</v>
      </c>
      <c r="H574" s="4" t="s">
        <v>2336</v>
      </c>
      <c r="I574" s="4" t="s">
        <v>143</v>
      </c>
      <c r="J574" s="4" t="s">
        <v>2337</v>
      </c>
      <c r="K574" s="4" t="s">
        <v>224</v>
      </c>
      <c r="L574" s="6" t="s">
        <v>2338</v>
      </c>
      <c r="M574" s="4" t="s">
        <v>2339</v>
      </c>
      <c r="N574" s="4" t="s">
        <v>2340</v>
      </c>
      <c r="P574" s="4" t="s">
        <v>2344</v>
      </c>
      <c r="Q574" s="4" t="s">
        <v>2345</v>
      </c>
      <c r="R574" s="4" t="s">
        <v>53</v>
      </c>
      <c r="S574" s="4" t="s">
        <v>231</v>
      </c>
      <c r="T574" s="7">
        <v>45285</v>
      </c>
      <c r="U574" s="4">
        <v>0</v>
      </c>
      <c r="V574" s="4">
        <v>11</v>
      </c>
      <c r="W574" s="4" t="s">
        <v>314</v>
      </c>
      <c r="X574" s="4" t="s">
        <v>464</v>
      </c>
      <c r="Y574" s="4" t="s">
        <v>233</v>
      </c>
      <c r="Z574" s="4" t="s">
        <v>234</v>
      </c>
      <c r="AA574" s="4" t="s">
        <v>234</v>
      </c>
      <c r="AC574" s="4" t="s">
        <v>2923</v>
      </c>
    </row>
    <row r="575" spans="1:29" hidden="1" x14ac:dyDescent="0.4">
      <c r="A575" s="4" t="s">
        <v>216</v>
      </c>
      <c r="B575" s="4">
        <v>4249</v>
      </c>
      <c r="C575" s="4" t="s">
        <v>242</v>
      </c>
      <c r="D575" s="4" t="s">
        <v>2332</v>
      </c>
      <c r="E575" s="4" t="s">
        <v>2333</v>
      </c>
      <c r="F575" s="4" t="s">
        <v>2334</v>
      </c>
      <c r="G575" s="4" t="s">
        <v>2335</v>
      </c>
      <c r="H575" s="4" t="s">
        <v>2336</v>
      </c>
      <c r="I575" s="4" t="s">
        <v>143</v>
      </c>
      <c r="J575" s="4" t="s">
        <v>2337</v>
      </c>
      <c r="K575" s="4" t="s">
        <v>224</v>
      </c>
      <c r="L575" s="6" t="s">
        <v>2338</v>
      </c>
      <c r="M575" s="4" t="s">
        <v>2339</v>
      </c>
      <c r="N575" s="4" t="s">
        <v>2340</v>
      </c>
      <c r="P575" s="4" t="s">
        <v>2344</v>
      </c>
      <c r="Q575" s="4" t="s">
        <v>2345</v>
      </c>
      <c r="R575" s="4" t="s">
        <v>53</v>
      </c>
      <c r="S575" s="4" t="s">
        <v>231</v>
      </c>
      <c r="T575" s="7">
        <v>45285</v>
      </c>
      <c r="U575" s="4">
        <v>0</v>
      </c>
      <c r="V575" s="4">
        <v>10</v>
      </c>
      <c r="W575" s="4" t="s">
        <v>433</v>
      </c>
      <c r="X575" s="4" t="s">
        <v>464</v>
      </c>
      <c r="Y575" s="4" t="s">
        <v>233</v>
      </c>
      <c r="Z575" s="4" t="s">
        <v>234</v>
      </c>
      <c r="AA575" s="4" t="s">
        <v>234</v>
      </c>
      <c r="AC575" s="4" t="s">
        <v>2923</v>
      </c>
    </row>
    <row r="576" spans="1:29" hidden="1" x14ac:dyDescent="0.4">
      <c r="A576" s="4" t="s">
        <v>216</v>
      </c>
      <c r="B576" s="4">
        <v>1297</v>
      </c>
      <c r="C576" s="4" t="s">
        <v>417</v>
      </c>
      <c r="D576" s="4" t="s">
        <v>2346</v>
      </c>
      <c r="E576" s="4" t="s">
        <v>2347</v>
      </c>
      <c r="F576" s="4" t="s">
        <v>2348</v>
      </c>
      <c r="G576" s="4" t="s">
        <v>2349</v>
      </c>
      <c r="H576" s="4" t="s">
        <v>245</v>
      </c>
      <c r="I576" s="4" t="s">
        <v>154</v>
      </c>
      <c r="J576" s="4" t="s">
        <v>2350</v>
      </c>
      <c r="K576" s="4" t="s">
        <v>224</v>
      </c>
      <c r="L576" s="6" t="s">
        <v>2351</v>
      </c>
      <c r="M576" s="4" t="s">
        <v>2352</v>
      </c>
      <c r="N576" s="4" t="s">
        <v>2353</v>
      </c>
      <c r="P576" s="4" t="s">
        <v>2354</v>
      </c>
      <c r="Q576" s="4" t="s">
        <v>2355</v>
      </c>
      <c r="R576" s="4" t="s">
        <v>53</v>
      </c>
      <c r="S576" s="4" t="s">
        <v>231</v>
      </c>
      <c r="T576" s="7">
        <v>44092</v>
      </c>
      <c r="U576" s="4">
        <v>0</v>
      </c>
      <c r="V576" s="4">
        <v>7</v>
      </c>
      <c r="W576" s="4" t="s">
        <v>238</v>
      </c>
      <c r="Y576" s="4" t="s">
        <v>233</v>
      </c>
      <c r="Z576" s="4" t="s">
        <v>234</v>
      </c>
      <c r="AA576" s="4" t="s">
        <v>234</v>
      </c>
      <c r="AC576" s="4" t="s">
        <v>2923</v>
      </c>
    </row>
    <row r="577" spans="1:29" x14ac:dyDescent="0.4">
      <c r="A577" s="4" t="s">
        <v>216</v>
      </c>
      <c r="B577" s="4">
        <v>1297</v>
      </c>
      <c r="C577" s="4" t="s">
        <v>417</v>
      </c>
      <c r="D577" s="4" t="s">
        <v>2346</v>
      </c>
      <c r="E577" s="4" t="s">
        <v>2347</v>
      </c>
      <c r="F577" s="4" t="s">
        <v>2348</v>
      </c>
      <c r="G577" s="4" t="s">
        <v>2349</v>
      </c>
      <c r="H577" s="4" t="s">
        <v>245</v>
      </c>
      <c r="I577" s="4" t="s">
        <v>154</v>
      </c>
      <c r="J577" s="4" t="s">
        <v>2350</v>
      </c>
      <c r="K577" s="4" t="s">
        <v>224</v>
      </c>
      <c r="L577" s="6" t="s">
        <v>2351</v>
      </c>
      <c r="M577" s="4" t="s">
        <v>2352</v>
      </c>
      <c r="N577" s="4" t="s">
        <v>2353</v>
      </c>
      <c r="P577" s="4" t="s">
        <v>2356</v>
      </c>
      <c r="Q577" s="4" t="s">
        <v>2357</v>
      </c>
      <c r="R577" s="4" t="s">
        <v>2358</v>
      </c>
      <c r="S577" s="4" t="s">
        <v>231</v>
      </c>
      <c r="T577" s="7">
        <v>44570</v>
      </c>
      <c r="U577" s="4">
        <v>0</v>
      </c>
      <c r="V577" s="4">
        <v>4</v>
      </c>
      <c r="W577" s="4" t="s">
        <v>2725</v>
      </c>
      <c r="Y577" s="4" t="s">
        <v>233</v>
      </c>
      <c r="Z577" s="4" t="s">
        <v>234</v>
      </c>
      <c r="AA577" s="4" t="s">
        <v>234</v>
      </c>
      <c r="AC577" s="4" t="s">
        <v>2923</v>
      </c>
    </row>
    <row r="578" spans="1:29" x14ac:dyDescent="0.4">
      <c r="A578" s="4" t="s">
        <v>216</v>
      </c>
      <c r="B578" s="4">
        <v>1297</v>
      </c>
      <c r="C578" s="4" t="s">
        <v>417</v>
      </c>
      <c r="D578" s="4" t="s">
        <v>2346</v>
      </c>
      <c r="E578" s="4" t="s">
        <v>2347</v>
      </c>
      <c r="F578" s="4" t="s">
        <v>2348</v>
      </c>
      <c r="G578" s="4" t="s">
        <v>2349</v>
      </c>
      <c r="H578" s="4" t="s">
        <v>245</v>
      </c>
      <c r="I578" s="4" t="s">
        <v>154</v>
      </c>
      <c r="J578" s="4" t="s">
        <v>2350</v>
      </c>
      <c r="K578" s="4" t="s">
        <v>224</v>
      </c>
      <c r="L578" s="6" t="s">
        <v>2351</v>
      </c>
      <c r="M578" s="4" t="s">
        <v>2352</v>
      </c>
      <c r="N578" s="4" t="s">
        <v>2353</v>
      </c>
      <c r="P578" s="4" t="s">
        <v>2359</v>
      </c>
      <c r="Q578" s="4" t="s">
        <v>2360</v>
      </c>
      <c r="R578" s="4" t="s">
        <v>53</v>
      </c>
      <c r="S578" s="4" t="s">
        <v>257</v>
      </c>
      <c r="T578" s="7">
        <v>45671</v>
      </c>
      <c r="U578" s="4">
        <v>0</v>
      </c>
      <c r="V578" s="4">
        <v>4</v>
      </c>
      <c r="W578" s="4" t="s">
        <v>2725</v>
      </c>
      <c r="Y578" s="4" t="s">
        <v>233</v>
      </c>
      <c r="Z578" s="4" t="s">
        <v>234</v>
      </c>
      <c r="AA578" s="4" t="s">
        <v>234</v>
      </c>
      <c r="AC578" s="4" t="s">
        <v>2923</v>
      </c>
    </row>
    <row r="579" spans="1:29" hidden="1" x14ac:dyDescent="0.4">
      <c r="A579" s="4" t="s">
        <v>216</v>
      </c>
      <c r="B579" s="4">
        <v>3473</v>
      </c>
      <c r="C579" s="4" t="s">
        <v>242</v>
      </c>
      <c r="D579" s="4" t="s">
        <v>2361</v>
      </c>
      <c r="E579" s="4" t="s">
        <v>2362</v>
      </c>
      <c r="F579" s="4" t="s">
        <v>2363</v>
      </c>
      <c r="G579" s="4" t="s">
        <v>2364</v>
      </c>
      <c r="H579" s="4" t="s">
        <v>2365</v>
      </c>
      <c r="I579" s="4" t="s">
        <v>154</v>
      </c>
      <c r="J579" s="4" t="s">
        <v>2366</v>
      </c>
      <c r="K579" s="4" t="s">
        <v>224</v>
      </c>
      <c r="L579" s="5" t="s">
        <v>2367</v>
      </c>
      <c r="M579" s="4" t="s">
        <v>2368</v>
      </c>
      <c r="N579" s="4" t="s">
        <v>2369</v>
      </c>
      <c r="P579" s="4" t="s">
        <v>2370</v>
      </c>
      <c r="Q579" s="4" t="s">
        <v>2371</v>
      </c>
      <c r="R579" s="4" t="s">
        <v>2372</v>
      </c>
      <c r="S579" s="4" t="s">
        <v>257</v>
      </c>
      <c r="T579" s="7">
        <v>43055</v>
      </c>
      <c r="U579" s="4">
        <v>0</v>
      </c>
      <c r="V579" s="4">
        <v>3</v>
      </c>
      <c r="W579" s="4" t="s">
        <v>258</v>
      </c>
      <c r="Y579" s="4" t="s">
        <v>233</v>
      </c>
      <c r="Z579" s="4" t="s">
        <v>234</v>
      </c>
      <c r="AA579" s="4" t="s">
        <v>234</v>
      </c>
      <c r="AC579" s="4" t="s">
        <v>2923</v>
      </c>
    </row>
    <row r="580" spans="1:29" x14ac:dyDescent="0.4">
      <c r="A580" s="4" t="s">
        <v>216</v>
      </c>
      <c r="B580" s="4">
        <v>3473</v>
      </c>
      <c r="C580" s="4" t="s">
        <v>242</v>
      </c>
      <c r="D580" s="4" t="s">
        <v>2361</v>
      </c>
      <c r="E580" s="4" t="s">
        <v>2362</v>
      </c>
      <c r="F580" s="4" t="s">
        <v>2363</v>
      </c>
      <c r="G580" s="4" t="s">
        <v>2364</v>
      </c>
      <c r="H580" s="4" t="s">
        <v>2365</v>
      </c>
      <c r="I580" s="4" t="s">
        <v>154</v>
      </c>
      <c r="J580" s="4" t="s">
        <v>2366</v>
      </c>
      <c r="K580" s="4" t="s">
        <v>224</v>
      </c>
      <c r="L580" s="5" t="s">
        <v>2367</v>
      </c>
      <c r="M580" s="4" t="s">
        <v>2368</v>
      </c>
      <c r="N580" s="4" t="s">
        <v>2369</v>
      </c>
      <c r="P580" s="4" t="s">
        <v>2370</v>
      </c>
      <c r="Q580" s="4" t="s">
        <v>2371</v>
      </c>
      <c r="R580" s="4" t="s">
        <v>2372</v>
      </c>
      <c r="S580" s="4" t="s">
        <v>257</v>
      </c>
      <c r="T580" s="7">
        <v>43055</v>
      </c>
      <c r="U580" s="4">
        <v>0</v>
      </c>
      <c r="V580" s="4">
        <v>4</v>
      </c>
      <c r="W580" s="4" t="s">
        <v>2725</v>
      </c>
      <c r="Y580" s="4" t="s">
        <v>233</v>
      </c>
      <c r="Z580" s="4" t="s">
        <v>234</v>
      </c>
      <c r="AA580" s="4" t="s">
        <v>234</v>
      </c>
      <c r="AC580" s="4" t="s">
        <v>2923</v>
      </c>
    </row>
    <row r="581" spans="1:29" hidden="1" x14ac:dyDescent="0.4">
      <c r="A581" s="4" t="s">
        <v>216</v>
      </c>
      <c r="B581" s="4">
        <v>3473</v>
      </c>
      <c r="C581" s="4" t="s">
        <v>242</v>
      </c>
      <c r="D581" s="4" t="s">
        <v>2361</v>
      </c>
      <c r="E581" s="4" t="s">
        <v>2362</v>
      </c>
      <c r="F581" s="4" t="s">
        <v>2363</v>
      </c>
      <c r="G581" s="4" t="s">
        <v>2364</v>
      </c>
      <c r="H581" s="4" t="s">
        <v>2365</v>
      </c>
      <c r="I581" s="4" t="s">
        <v>154</v>
      </c>
      <c r="J581" s="4" t="s">
        <v>2366</v>
      </c>
      <c r="K581" s="4" t="s">
        <v>224</v>
      </c>
      <c r="L581" s="5" t="s">
        <v>2367</v>
      </c>
      <c r="M581" s="4" t="s">
        <v>2368</v>
      </c>
      <c r="N581" s="4" t="s">
        <v>2369</v>
      </c>
      <c r="P581" s="4" t="s">
        <v>2370</v>
      </c>
      <c r="Q581" s="4" t="s">
        <v>2371</v>
      </c>
      <c r="R581" s="4" t="s">
        <v>2372</v>
      </c>
      <c r="S581" s="4" t="s">
        <v>257</v>
      </c>
      <c r="T581" s="7">
        <v>43055</v>
      </c>
      <c r="U581" s="4">
        <v>0</v>
      </c>
      <c r="V581" s="4">
        <v>9</v>
      </c>
      <c r="W581" s="4" t="s">
        <v>358</v>
      </c>
      <c r="Y581" s="4" t="s">
        <v>233</v>
      </c>
      <c r="Z581" s="4" t="s">
        <v>234</v>
      </c>
      <c r="AA581" s="4" t="s">
        <v>234</v>
      </c>
      <c r="AC581" s="4" t="s">
        <v>2923</v>
      </c>
    </row>
    <row r="582" spans="1:29" hidden="1" x14ac:dyDescent="0.4">
      <c r="A582" s="4" t="s">
        <v>216</v>
      </c>
      <c r="B582" s="4">
        <v>3473</v>
      </c>
      <c r="C582" s="4" t="s">
        <v>242</v>
      </c>
      <c r="D582" s="4" t="s">
        <v>2361</v>
      </c>
      <c r="E582" s="4" t="s">
        <v>2362</v>
      </c>
      <c r="F582" s="4" t="s">
        <v>2363</v>
      </c>
      <c r="G582" s="4" t="s">
        <v>2364</v>
      </c>
      <c r="H582" s="4" t="s">
        <v>2365</v>
      </c>
      <c r="I582" s="4" t="s">
        <v>154</v>
      </c>
      <c r="J582" s="4" t="s">
        <v>2366</v>
      </c>
      <c r="K582" s="4" t="s">
        <v>224</v>
      </c>
      <c r="L582" s="5" t="s">
        <v>2367</v>
      </c>
      <c r="M582" s="4" t="s">
        <v>2368</v>
      </c>
      <c r="N582" s="4" t="s">
        <v>2369</v>
      </c>
      <c r="P582" s="4" t="s">
        <v>2370</v>
      </c>
      <c r="Q582" s="4" t="s">
        <v>2371</v>
      </c>
      <c r="R582" s="4" t="s">
        <v>2372</v>
      </c>
      <c r="S582" s="4" t="s">
        <v>257</v>
      </c>
      <c r="T582" s="7">
        <v>43055</v>
      </c>
      <c r="U582" s="4">
        <v>0</v>
      </c>
      <c r="V582" s="4">
        <v>10</v>
      </c>
      <c r="W582" s="4" t="s">
        <v>314</v>
      </c>
      <c r="Y582" s="4" t="s">
        <v>233</v>
      </c>
      <c r="Z582" s="4" t="s">
        <v>234</v>
      </c>
      <c r="AA582" s="4" t="s">
        <v>234</v>
      </c>
      <c r="AC582" s="4" t="s">
        <v>2923</v>
      </c>
    </row>
    <row r="583" spans="1:29" hidden="1" x14ac:dyDescent="0.4">
      <c r="A583" s="4" t="s">
        <v>216</v>
      </c>
      <c r="B583" s="4">
        <v>3473</v>
      </c>
      <c r="C583" s="4" t="s">
        <v>242</v>
      </c>
      <c r="D583" s="4" t="s">
        <v>2361</v>
      </c>
      <c r="E583" s="4" t="s">
        <v>2362</v>
      </c>
      <c r="F583" s="4" t="s">
        <v>2363</v>
      </c>
      <c r="G583" s="4" t="s">
        <v>2364</v>
      </c>
      <c r="H583" s="4" t="s">
        <v>2365</v>
      </c>
      <c r="I583" s="4" t="s">
        <v>154</v>
      </c>
      <c r="J583" s="4" t="s">
        <v>2366</v>
      </c>
      <c r="K583" s="4" t="s">
        <v>224</v>
      </c>
      <c r="L583" s="5" t="s">
        <v>2367</v>
      </c>
      <c r="M583" s="4" t="s">
        <v>2368</v>
      </c>
      <c r="N583" s="4" t="s">
        <v>2369</v>
      </c>
      <c r="P583" s="4" t="s">
        <v>2373</v>
      </c>
      <c r="Q583" s="4" t="s">
        <v>2374</v>
      </c>
      <c r="R583" s="4" t="s">
        <v>2372</v>
      </c>
      <c r="S583" s="4" t="s">
        <v>257</v>
      </c>
      <c r="T583" s="7">
        <v>43736</v>
      </c>
      <c r="U583" s="4">
        <v>0</v>
      </c>
      <c r="V583" s="4">
        <v>3</v>
      </c>
      <c r="W583" s="4" t="s">
        <v>258</v>
      </c>
      <c r="Y583" s="4" t="s">
        <v>233</v>
      </c>
      <c r="Z583" s="4" t="s">
        <v>234</v>
      </c>
      <c r="AA583" s="4" t="s">
        <v>234</v>
      </c>
      <c r="AC583" s="4" t="s">
        <v>2923</v>
      </c>
    </row>
    <row r="584" spans="1:29" hidden="1" x14ac:dyDescent="0.4">
      <c r="A584" s="4" t="s">
        <v>216</v>
      </c>
      <c r="B584" s="4">
        <v>3473</v>
      </c>
      <c r="C584" s="4" t="s">
        <v>242</v>
      </c>
      <c r="D584" s="4" t="s">
        <v>2361</v>
      </c>
      <c r="E584" s="4" t="s">
        <v>2362</v>
      </c>
      <c r="F584" s="4" t="s">
        <v>2363</v>
      </c>
      <c r="G584" s="4" t="s">
        <v>2364</v>
      </c>
      <c r="H584" s="4" t="s">
        <v>2365</v>
      </c>
      <c r="I584" s="4" t="s">
        <v>154</v>
      </c>
      <c r="J584" s="4" t="s">
        <v>2366</v>
      </c>
      <c r="K584" s="4" t="s">
        <v>224</v>
      </c>
      <c r="L584" s="5" t="s">
        <v>2367</v>
      </c>
      <c r="M584" s="4" t="s">
        <v>2368</v>
      </c>
      <c r="N584" s="4" t="s">
        <v>2369</v>
      </c>
      <c r="P584" s="4" t="s">
        <v>2373</v>
      </c>
      <c r="Q584" s="4" t="s">
        <v>2374</v>
      </c>
      <c r="R584" s="4" t="s">
        <v>2372</v>
      </c>
      <c r="S584" s="4" t="s">
        <v>257</v>
      </c>
      <c r="T584" s="7">
        <v>43736</v>
      </c>
      <c r="U584" s="4">
        <v>0</v>
      </c>
      <c r="V584" s="4">
        <v>9</v>
      </c>
      <c r="W584" s="4" t="s">
        <v>358</v>
      </c>
      <c r="Y584" s="4" t="s">
        <v>233</v>
      </c>
      <c r="Z584" s="4" t="s">
        <v>234</v>
      </c>
      <c r="AA584" s="4" t="s">
        <v>234</v>
      </c>
      <c r="AC584" s="4" t="s">
        <v>2923</v>
      </c>
    </row>
    <row r="585" spans="1:29" x14ac:dyDescent="0.4">
      <c r="A585" s="4" t="s">
        <v>216</v>
      </c>
      <c r="B585" s="4">
        <v>3473</v>
      </c>
      <c r="C585" s="4" t="s">
        <v>242</v>
      </c>
      <c r="D585" s="4" t="s">
        <v>2361</v>
      </c>
      <c r="E585" s="4" t="s">
        <v>2362</v>
      </c>
      <c r="F585" s="4" t="s">
        <v>2363</v>
      </c>
      <c r="G585" s="4" t="s">
        <v>2364</v>
      </c>
      <c r="H585" s="4" t="s">
        <v>2365</v>
      </c>
      <c r="I585" s="4" t="s">
        <v>154</v>
      </c>
      <c r="J585" s="4" t="s">
        <v>2366</v>
      </c>
      <c r="K585" s="4" t="s">
        <v>224</v>
      </c>
      <c r="L585" s="5" t="s">
        <v>2367</v>
      </c>
      <c r="M585" s="4" t="s">
        <v>2368</v>
      </c>
      <c r="N585" s="4" t="s">
        <v>2369</v>
      </c>
      <c r="P585" s="4" t="s">
        <v>2373</v>
      </c>
      <c r="Q585" s="4" t="s">
        <v>2374</v>
      </c>
      <c r="R585" s="4" t="s">
        <v>2372</v>
      </c>
      <c r="S585" s="4" t="s">
        <v>257</v>
      </c>
      <c r="T585" s="7">
        <v>43736</v>
      </c>
      <c r="U585" s="4">
        <v>0</v>
      </c>
      <c r="V585" s="4">
        <v>4</v>
      </c>
      <c r="W585" s="4" t="s">
        <v>2725</v>
      </c>
      <c r="Y585" s="4" t="s">
        <v>233</v>
      </c>
      <c r="Z585" s="4" t="s">
        <v>234</v>
      </c>
      <c r="AA585" s="4" t="s">
        <v>234</v>
      </c>
      <c r="AC585" s="4" t="s">
        <v>2923</v>
      </c>
    </row>
    <row r="586" spans="1:29" x14ac:dyDescent="0.4">
      <c r="A586" s="4" t="s">
        <v>216</v>
      </c>
      <c r="B586" s="4">
        <v>2317</v>
      </c>
      <c r="C586" s="4" t="s">
        <v>242</v>
      </c>
      <c r="D586" s="4" t="s">
        <v>2375</v>
      </c>
      <c r="E586" s="4" t="s">
        <v>2376</v>
      </c>
      <c r="F586" s="4" t="s">
        <v>2377</v>
      </c>
      <c r="G586" s="4" t="s">
        <v>2378</v>
      </c>
      <c r="H586" s="4" t="s">
        <v>398</v>
      </c>
      <c r="I586" s="4" t="s">
        <v>143</v>
      </c>
      <c r="J586" s="4" t="s">
        <v>2379</v>
      </c>
      <c r="K586" s="4" t="s">
        <v>224</v>
      </c>
      <c r="L586" s="6" t="s">
        <v>2380</v>
      </c>
      <c r="M586" s="4" t="s">
        <v>2381</v>
      </c>
      <c r="N586" s="4" t="s">
        <v>2382</v>
      </c>
      <c r="P586" s="4" t="s">
        <v>2383</v>
      </c>
      <c r="Q586" s="4" t="s">
        <v>2384</v>
      </c>
      <c r="R586" s="4" t="s">
        <v>1259</v>
      </c>
      <c r="S586" s="4" t="s">
        <v>257</v>
      </c>
      <c r="T586" s="7">
        <v>45108</v>
      </c>
      <c r="U586" s="4">
        <v>0</v>
      </c>
      <c r="V586" s="4">
        <v>4</v>
      </c>
      <c r="W586" s="4" t="s">
        <v>97</v>
      </c>
      <c r="Y586" s="4" t="s">
        <v>233</v>
      </c>
      <c r="Z586" s="4" t="s">
        <v>234</v>
      </c>
      <c r="AA586" s="4" t="s">
        <v>234</v>
      </c>
      <c r="AB586" t="s">
        <v>65</v>
      </c>
      <c r="AC586" s="4" t="s">
        <v>2923</v>
      </c>
    </row>
    <row r="587" spans="1:29" hidden="1" x14ac:dyDescent="0.4">
      <c r="A587" s="4" t="s">
        <v>216</v>
      </c>
      <c r="B587" s="4">
        <v>2317</v>
      </c>
      <c r="C587" s="4" t="s">
        <v>242</v>
      </c>
      <c r="D587" s="4" t="s">
        <v>2375</v>
      </c>
      <c r="E587" s="4" t="s">
        <v>2376</v>
      </c>
      <c r="F587" s="4" t="s">
        <v>2377</v>
      </c>
      <c r="G587" s="4" t="s">
        <v>2378</v>
      </c>
      <c r="H587" s="4" t="s">
        <v>398</v>
      </c>
      <c r="I587" s="4" t="s">
        <v>143</v>
      </c>
      <c r="J587" s="4" t="s">
        <v>2379</v>
      </c>
      <c r="K587" s="4" t="s">
        <v>224</v>
      </c>
      <c r="L587" s="6" t="s">
        <v>2380</v>
      </c>
      <c r="M587" s="4" t="s">
        <v>2381</v>
      </c>
      <c r="N587" s="4" t="s">
        <v>2382</v>
      </c>
      <c r="P587" s="4" t="s">
        <v>2383</v>
      </c>
      <c r="Q587" s="4" t="s">
        <v>2384</v>
      </c>
      <c r="R587" s="4" t="s">
        <v>1259</v>
      </c>
      <c r="S587" s="4" t="s">
        <v>257</v>
      </c>
      <c r="T587" s="7">
        <v>45108</v>
      </c>
      <c r="U587" s="4">
        <v>0</v>
      </c>
      <c r="V587" s="4">
        <v>10</v>
      </c>
      <c r="W587" s="4" t="s">
        <v>433</v>
      </c>
      <c r="Y587" s="4" t="s">
        <v>233</v>
      </c>
      <c r="Z587" s="4" t="s">
        <v>234</v>
      </c>
      <c r="AA587" s="4" t="s">
        <v>234</v>
      </c>
      <c r="AB587" t="s">
        <v>65</v>
      </c>
      <c r="AC587" s="4" t="s">
        <v>2923</v>
      </c>
    </row>
    <row r="588" spans="1:29" x14ac:dyDescent="0.4">
      <c r="A588" s="4" t="s">
        <v>216</v>
      </c>
      <c r="B588" s="4">
        <v>5280</v>
      </c>
      <c r="C588" s="4" t="s">
        <v>242</v>
      </c>
      <c r="D588" s="4" t="s">
        <v>2385</v>
      </c>
      <c r="E588" s="4" t="s">
        <v>2386</v>
      </c>
      <c r="F588" s="4" t="s">
        <v>2387</v>
      </c>
      <c r="H588" s="4" t="s">
        <v>409</v>
      </c>
      <c r="I588" s="4" t="s">
        <v>34</v>
      </c>
      <c r="J588" s="4" t="s">
        <v>2388</v>
      </c>
      <c r="K588" s="4" t="s">
        <v>224</v>
      </c>
      <c r="L588" s="6" t="s">
        <v>2389</v>
      </c>
      <c r="M588" s="4" t="s">
        <v>2390</v>
      </c>
      <c r="N588" s="4" t="s">
        <v>2391</v>
      </c>
      <c r="P588" s="4" t="s">
        <v>2392</v>
      </c>
      <c r="Q588" s="4" t="s">
        <v>2393</v>
      </c>
      <c r="R588" s="4" t="s">
        <v>2811</v>
      </c>
      <c r="S588" s="4" t="s">
        <v>231</v>
      </c>
      <c r="U588" s="4">
        <v>0</v>
      </c>
      <c r="V588" s="4">
        <v>4</v>
      </c>
      <c r="W588" s="4" t="s">
        <v>97</v>
      </c>
      <c r="Y588" s="4" t="s">
        <v>233</v>
      </c>
      <c r="Z588" s="4" t="s">
        <v>234</v>
      </c>
      <c r="AA588" s="4" t="s">
        <v>234</v>
      </c>
      <c r="AC588" s="4" t="s">
        <v>2923</v>
      </c>
    </row>
    <row r="589" spans="1:29" hidden="1" x14ac:dyDescent="0.4">
      <c r="A589" s="4" t="s">
        <v>216</v>
      </c>
      <c r="B589" s="4">
        <v>5280</v>
      </c>
      <c r="C589" s="4" t="s">
        <v>242</v>
      </c>
      <c r="D589" s="4" t="s">
        <v>2385</v>
      </c>
      <c r="E589" s="4" t="s">
        <v>2386</v>
      </c>
      <c r="F589" s="4" t="s">
        <v>2387</v>
      </c>
      <c r="H589" s="4" t="s">
        <v>409</v>
      </c>
      <c r="I589" s="4" t="s">
        <v>34</v>
      </c>
      <c r="J589" s="4" t="s">
        <v>2388</v>
      </c>
      <c r="K589" s="4" t="s">
        <v>224</v>
      </c>
      <c r="L589" s="6" t="s">
        <v>2389</v>
      </c>
      <c r="M589" s="4" t="s">
        <v>2390</v>
      </c>
      <c r="N589" s="4" t="s">
        <v>2391</v>
      </c>
      <c r="P589" s="4" t="s">
        <v>2392</v>
      </c>
      <c r="Q589" s="4" t="s">
        <v>2393</v>
      </c>
      <c r="R589" s="4" t="s">
        <v>2811</v>
      </c>
      <c r="S589" s="4" t="s">
        <v>231</v>
      </c>
      <c r="U589" s="4">
        <v>0</v>
      </c>
      <c r="V589" s="4">
        <v>5</v>
      </c>
      <c r="W589" s="4" t="s">
        <v>176</v>
      </c>
      <c r="Y589" s="4" t="s">
        <v>233</v>
      </c>
      <c r="Z589" s="4" t="s">
        <v>234</v>
      </c>
      <c r="AA589" s="4" t="s">
        <v>234</v>
      </c>
      <c r="AC589" s="4" t="s">
        <v>2923</v>
      </c>
    </row>
    <row r="590" spans="1:29" hidden="1" x14ac:dyDescent="0.4">
      <c r="A590" s="4" t="s">
        <v>216</v>
      </c>
      <c r="B590" s="4">
        <v>5280</v>
      </c>
      <c r="C590" s="4" t="s">
        <v>242</v>
      </c>
      <c r="D590" s="4" t="s">
        <v>2385</v>
      </c>
      <c r="E590" s="4" t="s">
        <v>2386</v>
      </c>
      <c r="F590" s="4" t="s">
        <v>2387</v>
      </c>
      <c r="H590" s="4" t="s">
        <v>409</v>
      </c>
      <c r="I590" s="4" t="s">
        <v>34</v>
      </c>
      <c r="J590" s="4" t="s">
        <v>2388</v>
      </c>
      <c r="K590" s="4" t="s">
        <v>224</v>
      </c>
      <c r="L590" s="6" t="s">
        <v>2389</v>
      </c>
      <c r="M590" s="4" t="s">
        <v>2390</v>
      </c>
      <c r="N590" s="4" t="s">
        <v>2391</v>
      </c>
      <c r="P590" s="4" t="s">
        <v>2392</v>
      </c>
      <c r="Q590" s="4" t="s">
        <v>2393</v>
      </c>
      <c r="R590" s="4" t="s">
        <v>2811</v>
      </c>
      <c r="S590" s="4" t="s">
        <v>231</v>
      </c>
      <c r="U590" s="4">
        <v>0</v>
      </c>
      <c r="V590" s="4">
        <v>10</v>
      </c>
      <c r="W590" s="4" t="s">
        <v>433</v>
      </c>
      <c r="Y590" s="4" t="s">
        <v>233</v>
      </c>
      <c r="Z590" s="4" t="s">
        <v>234</v>
      </c>
      <c r="AA590" s="4" t="s">
        <v>234</v>
      </c>
      <c r="AC590" s="4" t="s">
        <v>2923</v>
      </c>
    </row>
    <row r="591" spans="1:29" hidden="1" x14ac:dyDescent="0.4">
      <c r="A591" s="4" t="s">
        <v>216</v>
      </c>
      <c r="B591" s="4">
        <v>5280</v>
      </c>
      <c r="C591" s="4" t="s">
        <v>242</v>
      </c>
      <c r="D591" s="4" t="s">
        <v>2385</v>
      </c>
      <c r="E591" s="4" t="s">
        <v>2386</v>
      </c>
      <c r="F591" s="4" t="s">
        <v>2387</v>
      </c>
      <c r="H591" s="4" t="s">
        <v>409</v>
      </c>
      <c r="I591" s="4" t="s">
        <v>34</v>
      </c>
      <c r="J591" s="4" t="s">
        <v>2388</v>
      </c>
      <c r="K591" s="4" t="s">
        <v>224</v>
      </c>
      <c r="L591" s="6" t="s">
        <v>2389</v>
      </c>
      <c r="M591" s="4" t="s">
        <v>2390</v>
      </c>
      <c r="N591" s="4" t="s">
        <v>2391</v>
      </c>
      <c r="P591" s="4" t="s">
        <v>2392</v>
      </c>
      <c r="Q591" s="4" t="s">
        <v>2393</v>
      </c>
      <c r="R591" s="4" t="s">
        <v>2811</v>
      </c>
      <c r="S591" s="4" t="s">
        <v>231</v>
      </c>
      <c r="U591" s="4">
        <v>0</v>
      </c>
      <c r="V591" s="4">
        <v>12</v>
      </c>
      <c r="Y591" s="4" t="s">
        <v>233</v>
      </c>
      <c r="Z591" s="4" t="s">
        <v>234</v>
      </c>
      <c r="AA591" s="4" t="s">
        <v>234</v>
      </c>
      <c r="AC591" s="4" t="s">
        <v>2923</v>
      </c>
    </row>
    <row r="592" spans="1:29" hidden="1" x14ac:dyDescent="0.4">
      <c r="A592" s="4" t="s">
        <v>216</v>
      </c>
      <c r="B592" s="4">
        <v>512</v>
      </c>
      <c r="C592" s="4" t="s">
        <v>242</v>
      </c>
      <c r="D592" s="4" t="s">
        <v>2394</v>
      </c>
      <c r="E592" s="4" t="s">
        <v>2395</v>
      </c>
      <c r="F592" s="4" t="s">
        <v>2396</v>
      </c>
      <c r="G592" s="4" t="s">
        <v>2397</v>
      </c>
      <c r="H592" s="4" t="s">
        <v>438</v>
      </c>
      <c r="I592" s="4" t="s">
        <v>154</v>
      </c>
      <c r="J592" s="4" t="s">
        <v>2398</v>
      </c>
      <c r="K592" s="4" t="s">
        <v>224</v>
      </c>
      <c r="L592" s="6" t="s">
        <v>2399</v>
      </c>
      <c r="M592" s="4" t="s">
        <v>2400</v>
      </c>
      <c r="N592" s="4" t="s">
        <v>2401</v>
      </c>
      <c r="P592" s="4" t="s">
        <v>2402</v>
      </c>
      <c r="Q592" s="4" t="s">
        <v>2403</v>
      </c>
      <c r="R592" s="4" t="s">
        <v>31</v>
      </c>
      <c r="S592" s="4" t="s">
        <v>257</v>
      </c>
      <c r="T592" s="7">
        <v>44444</v>
      </c>
      <c r="U592" s="4">
        <v>0</v>
      </c>
      <c r="V592" s="4">
        <v>6</v>
      </c>
      <c r="X592" s="4" t="s">
        <v>293</v>
      </c>
      <c r="Y592" s="4" t="s">
        <v>233</v>
      </c>
      <c r="Z592" s="4" t="s">
        <v>234</v>
      </c>
      <c r="AA592" s="4" t="s">
        <v>233</v>
      </c>
      <c r="AC592" s="4" t="s">
        <v>2923</v>
      </c>
    </row>
    <row r="593" spans="1:29" hidden="1" x14ac:dyDescent="0.4">
      <c r="A593" s="4" t="s">
        <v>216</v>
      </c>
      <c r="B593" s="4">
        <v>512</v>
      </c>
      <c r="C593" s="4" t="s">
        <v>242</v>
      </c>
      <c r="D593" s="4" t="s">
        <v>2394</v>
      </c>
      <c r="E593" s="4" t="s">
        <v>2395</v>
      </c>
      <c r="F593" s="4" t="s">
        <v>2396</v>
      </c>
      <c r="G593" s="4" t="s">
        <v>2397</v>
      </c>
      <c r="H593" s="4" t="s">
        <v>438</v>
      </c>
      <c r="I593" s="4" t="s">
        <v>154</v>
      </c>
      <c r="J593" s="4" t="s">
        <v>2398</v>
      </c>
      <c r="K593" s="4" t="s">
        <v>224</v>
      </c>
      <c r="L593" s="6" t="s">
        <v>2399</v>
      </c>
      <c r="M593" s="4" t="s">
        <v>2400</v>
      </c>
      <c r="N593" s="4" t="s">
        <v>2401</v>
      </c>
      <c r="P593" s="4" t="s">
        <v>2402</v>
      </c>
      <c r="Q593" s="4" t="s">
        <v>2403</v>
      </c>
      <c r="R593" s="4" t="s">
        <v>31</v>
      </c>
      <c r="S593" s="4" t="s">
        <v>257</v>
      </c>
      <c r="T593" s="7">
        <v>44444</v>
      </c>
      <c r="U593" s="4">
        <v>0</v>
      </c>
      <c r="V593" s="4">
        <v>7</v>
      </c>
      <c r="W593" s="4" t="s">
        <v>238</v>
      </c>
      <c r="X593" s="4" t="s">
        <v>293</v>
      </c>
      <c r="Y593" s="4" t="s">
        <v>233</v>
      </c>
      <c r="Z593" s="4" t="s">
        <v>234</v>
      </c>
      <c r="AA593" s="4" t="s">
        <v>233</v>
      </c>
      <c r="AC593" s="4" t="s">
        <v>2923</v>
      </c>
    </row>
    <row r="594" spans="1:29" hidden="1" x14ac:dyDescent="0.4">
      <c r="A594" s="4" t="s">
        <v>216</v>
      </c>
      <c r="B594" s="4">
        <v>512</v>
      </c>
      <c r="C594" s="4" t="s">
        <v>242</v>
      </c>
      <c r="D594" s="4" t="s">
        <v>2394</v>
      </c>
      <c r="E594" s="4" t="s">
        <v>2395</v>
      </c>
      <c r="F594" s="4" t="s">
        <v>2396</v>
      </c>
      <c r="G594" s="4" t="s">
        <v>2397</v>
      </c>
      <c r="H594" s="4" t="s">
        <v>438</v>
      </c>
      <c r="I594" s="4" t="s">
        <v>154</v>
      </c>
      <c r="J594" s="4" t="s">
        <v>2398</v>
      </c>
      <c r="K594" s="4" t="s">
        <v>224</v>
      </c>
      <c r="L594" s="6" t="s">
        <v>2399</v>
      </c>
      <c r="M594" s="4" t="s">
        <v>2400</v>
      </c>
      <c r="N594" s="4" t="s">
        <v>2401</v>
      </c>
      <c r="P594" s="4" t="s">
        <v>2402</v>
      </c>
      <c r="Q594" s="4" t="s">
        <v>2403</v>
      </c>
      <c r="R594" s="4" t="s">
        <v>31</v>
      </c>
      <c r="S594" s="4" t="s">
        <v>257</v>
      </c>
      <c r="T594" s="7">
        <v>44444</v>
      </c>
      <c r="U594" s="4">
        <v>0</v>
      </c>
      <c r="V594" s="4">
        <v>12</v>
      </c>
      <c r="X594" s="4" t="s">
        <v>293</v>
      </c>
      <c r="Y594" s="4" t="s">
        <v>233</v>
      </c>
      <c r="Z594" s="4" t="s">
        <v>234</v>
      </c>
      <c r="AA594" s="4" t="s">
        <v>233</v>
      </c>
      <c r="AC594" s="4" t="s">
        <v>2923</v>
      </c>
    </row>
    <row r="595" spans="1:29" hidden="1" x14ac:dyDescent="0.4">
      <c r="A595" s="4" t="s">
        <v>216</v>
      </c>
      <c r="B595" s="4">
        <v>5190</v>
      </c>
      <c r="C595" s="4" t="s">
        <v>242</v>
      </c>
      <c r="D595" s="4" t="s">
        <v>2404</v>
      </c>
      <c r="E595" s="4" t="s">
        <v>2405</v>
      </c>
      <c r="F595" s="4" t="s">
        <v>2406</v>
      </c>
      <c r="G595" s="4" t="s">
        <v>2407</v>
      </c>
      <c r="H595" s="4" t="s">
        <v>1153</v>
      </c>
      <c r="I595" s="4" t="s">
        <v>1154</v>
      </c>
      <c r="J595" s="4" t="s">
        <v>2408</v>
      </c>
      <c r="K595" s="4" t="s">
        <v>224</v>
      </c>
      <c r="L595" s="6" t="s">
        <v>2409</v>
      </c>
      <c r="M595" s="4" t="s">
        <v>2410</v>
      </c>
      <c r="N595" s="4" t="s">
        <v>2411</v>
      </c>
      <c r="P595" s="4" t="s">
        <v>2414</v>
      </c>
      <c r="Q595" s="4" t="s">
        <v>2415</v>
      </c>
      <c r="R595" s="4" t="s">
        <v>53</v>
      </c>
      <c r="S595" s="4" t="s">
        <v>257</v>
      </c>
      <c r="T595" s="7">
        <v>45005</v>
      </c>
      <c r="U595" s="4">
        <v>0</v>
      </c>
      <c r="V595" s="4">
        <v>11</v>
      </c>
      <c r="W595" s="4" t="s">
        <v>314</v>
      </c>
      <c r="Y595" s="4" t="s">
        <v>233</v>
      </c>
      <c r="Z595" s="4" t="s">
        <v>234</v>
      </c>
      <c r="AA595" s="4" t="s">
        <v>234</v>
      </c>
      <c r="AC595" s="4" t="s">
        <v>2923</v>
      </c>
    </row>
    <row r="596" spans="1:29" hidden="1" x14ac:dyDescent="0.4">
      <c r="A596" s="4" t="s">
        <v>216</v>
      </c>
      <c r="B596" s="4">
        <v>5190</v>
      </c>
      <c r="C596" s="4" t="s">
        <v>242</v>
      </c>
      <c r="D596" s="4" t="s">
        <v>2404</v>
      </c>
      <c r="E596" s="4" t="s">
        <v>2405</v>
      </c>
      <c r="F596" s="4" t="s">
        <v>2406</v>
      </c>
      <c r="G596" s="4" t="s">
        <v>2407</v>
      </c>
      <c r="H596" s="4" t="s">
        <v>1153</v>
      </c>
      <c r="I596" s="4" t="s">
        <v>1154</v>
      </c>
      <c r="J596" s="4" t="s">
        <v>2408</v>
      </c>
      <c r="K596" s="4" t="s">
        <v>224</v>
      </c>
      <c r="L596" s="6" t="s">
        <v>2409</v>
      </c>
      <c r="M596" s="4" t="s">
        <v>2410</v>
      </c>
      <c r="N596" s="4" t="s">
        <v>2411</v>
      </c>
      <c r="P596" s="4" t="s">
        <v>2414</v>
      </c>
      <c r="Q596" s="4" t="s">
        <v>2415</v>
      </c>
      <c r="R596" s="4" t="s">
        <v>53</v>
      </c>
      <c r="S596" s="4" t="s">
        <v>257</v>
      </c>
      <c r="T596" s="7">
        <v>45005</v>
      </c>
      <c r="U596" s="4">
        <v>0</v>
      </c>
      <c r="V596" s="4">
        <v>5</v>
      </c>
      <c r="W596" s="4" t="s">
        <v>314</v>
      </c>
      <c r="Y596" s="4" t="s">
        <v>233</v>
      </c>
      <c r="Z596" s="4" t="s">
        <v>234</v>
      </c>
      <c r="AA596" s="4" t="s">
        <v>234</v>
      </c>
      <c r="AC596" s="4" t="s">
        <v>2923</v>
      </c>
    </row>
    <row r="597" spans="1:29" hidden="1" x14ac:dyDescent="0.4">
      <c r="A597" s="4" t="s">
        <v>216</v>
      </c>
      <c r="B597" s="4">
        <v>5190</v>
      </c>
      <c r="C597" s="4" t="s">
        <v>242</v>
      </c>
      <c r="D597" s="4" t="s">
        <v>2404</v>
      </c>
      <c r="E597" s="4" t="s">
        <v>2405</v>
      </c>
      <c r="F597" s="4" t="s">
        <v>2406</v>
      </c>
      <c r="G597" s="4" t="s">
        <v>2407</v>
      </c>
      <c r="H597" s="4" t="s">
        <v>1153</v>
      </c>
      <c r="I597" s="4" t="s">
        <v>1154</v>
      </c>
      <c r="J597" s="4" t="s">
        <v>2408</v>
      </c>
      <c r="K597" s="4" t="s">
        <v>224</v>
      </c>
      <c r="L597" s="6" t="s">
        <v>2409</v>
      </c>
      <c r="M597" s="4" t="s">
        <v>2410</v>
      </c>
      <c r="N597" s="4" t="s">
        <v>2411</v>
      </c>
      <c r="P597" s="4" t="s">
        <v>2414</v>
      </c>
      <c r="Q597" s="4" t="s">
        <v>2415</v>
      </c>
      <c r="R597" s="4" t="s">
        <v>53</v>
      </c>
      <c r="S597" s="4" t="s">
        <v>257</v>
      </c>
      <c r="T597" s="7">
        <v>45005</v>
      </c>
      <c r="U597" s="4">
        <v>0</v>
      </c>
      <c r="V597" s="4">
        <v>6</v>
      </c>
      <c r="Y597" s="4" t="s">
        <v>233</v>
      </c>
      <c r="Z597" s="4" t="s">
        <v>234</v>
      </c>
      <c r="AA597" s="4" t="s">
        <v>234</v>
      </c>
      <c r="AC597" s="4" t="s">
        <v>2923</v>
      </c>
    </row>
    <row r="598" spans="1:29" hidden="1" x14ac:dyDescent="0.4">
      <c r="A598" s="4" t="s">
        <v>216</v>
      </c>
      <c r="B598" s="4">
        <v>5190</v>
      </c>
      <c r="C598" s="4" t="s">
        <v>242</v>
      </c>
      <c r="D598" s="4" t="s">
        <v>2404</v>
      </c>
      <c r="E598" s="4" t="s">
        <v>2405</v>
      </c>
      <c r="F598" s="4" t="s">
        <v>2406</v>
      </c>
      <c r="G598" s="4" t="s">
        <v>2407</v>
      </c>
      <c r="H598" s="4" t="s">
        <v>1153</v>
      </c>
      <c r="I598" s="4" t="s">
        <v>1154</v>
      </c>
      <c r="J598" s="4" t="s">
        <v>2408</v>
      </c>
      <c r="K598" s="4" t="s">
        <v>224</v>
      </c>
      <c r="L598" s="6" t="s">
        <v>2409</v>
      </c>
      <c r="M598" s="4" t="s">
        <v>2410</v>
      </c>
      <c r="N598" s="4" t="s">
        <v>2411</v>
      </c>
      <c r="P598" s="4" t="s">
        <v>2414</v>
      </c>
      <c r="Q598" s="4" t="s">
        <v>2415</v>
      </c>
      <c r="R598" s="4" t="s">
        <v>53</v>
      </c>
      <c r="S598" s="4" t="s">
        <v>257</v>
      </c>
      <c r="T598" s="7">
        <v>45005</v>
      </c>
      <c r="U598" s="4">
        <v>0</v>
      </c>
      <c r="V598" s="4">
        <v>12</v>
      </c>
      <c r="Y598" s="4" t="s">
        <v>233</v>
      </c>
      <c r="Z598" s="4" t="s">
        <v>234</v>
      </c>
      <c r="AA598" s="4" t="s">
        <v>234</v>
      </c>
      <c r="AC598" s="4" t="s">
        <v>2923</v>
      </c>
    </row>
    <row r="599" spans="1:29" hidden="1" x14ac:dyDescent="0.4">
      <c r="A599" s="4" t="s">
        <v>216</v>
      </c>
      <c r="B599" s="4">
        <v>1328</v>
      </c>
      <c r="C599" s="4" t="s">
        <v>217</v>
      </c>
      <c r="D599" s="4" t="s">
        <v>1936</v>
      </c>
      <c r="E599" s="4" t="s">
        <v>2416</v>
      </c>
      <c r="F599" s="4" t="s">
        <v>2417</v>
      </c>
      <c r="H599" s="4" t="s">
        <v>245</v>
      </c>
      <c r="I599" s="4" t="s">
        <v>154</v>
      </c>
      <c r="J599" s="4" t="s">
        <v>2418</v>
      </c>
      <c r="K599" s="4" t="s">
        <v>224</v>
      </c>
      <c r="L599" s="6" t="s">
        <v>2419</v>
      </c>
      <c r="M599" s="4" t="s">
        <v>2420</v>
      </c>
      <c r="N599" s="4" t="s">
        <v>2421</v>
      </c>
      <c r="P599" s="4" t="s">
        <v>2422</v>
      </c>
      <c r="Q599" s="4" t="s">
        <v>2423</v>
      </c>
      <c r="R599" s="4" t="s">
        <v>2426</v>
      </c>
      <c r="S599" s="4" t="s">
        <v>257</v>
      </c>
      <c r="T599" s="7">
        <v>42349</v>
      </c>
      <c r="U599" s="4">
        <v>0</v>
      </c>
      <c r="V599" s="4">
        <v>8</v>
      </c>
      <c r="W599" s="4" t="s">
        <v>281</v>
      </c>
      <c r="Y599" s="4" t="s">
        <v>233</v>
      </c>
      <c r="Z599" s="4" t="s">
        <v>234</v>
      </c>
      <c r="AA599" s="4" t="s">
        <v>234</v>
      </c>
      <c r="AC599" s="4" t="s">
        <v>2923</v>
      </c>
    </row>
    <row r="600" spans="1:29" hidden="1" x14ac:dyDescent="0.4">
      <c r="A600" s="4" t="s">
        <v>216</v>
      </c>
      <c r="B600" s="4">
        <v>1328</v>
      </c>
      <c r="C600" s="4" t="s">
        <v>217</v>
      </c>
      <c r="D600" s="4" t="s">
        <v>1936</v>
      </c>
      <c r="E600" s="4" t="s">
        <v>2416</v>
      </c>
      <c r="F600" s="4" t="s">
        <v>2417</v>
      </c>
      <c r="H600" s="4" t="s">
        <v>245</v>
      </c>
      <c r="I600" s="4" t="s">
        <v>154</v>
      </c>
      <c r="J600" s="4" t="s">
        <v>2418</v>
      </c>
      <c r="K600" s="4" t="s">
        <v>224</v>
      </c>
      <c r="L600" s="6" t="s">
        <v>2419</v>
      </c>
      <c r="M600" s="4" t="s">
        <v>2420</v>
      </c>
      <c r="N600" s="4" t="s">
        <v>2421</v>
      </c>
      <c r="P600" s="4" t="s">
        <v>2424</v>
      </c>
      <c r="Q600" s="4" t="s">
        <v>2425</v>
      </c>
      <c r="R600" s="4" t="s">
        <v>2426</v>
      </c>
      <c r="S600" s="4" t="s">
        <v>257</v>
      </c>
      <c r="T600" s="7">
        <v>44328</v>
      </c>
      <c r="U600" s="4">
        <v>0</v>
      </c>
      <c r="V600" s="4">
        <v>8</v>
      </c>
      <c r="W600" s="4" t="s">
        <v>281</v>
      </c>
      <c r="Y600" s="4" t="s">
        <v>233</v>
      </c>
      <c r="Z600" s="4" t="s">
        <v>234</v>
      </c>
      <c r="AA600" s="4" t="s">
        <v>234</v>
      </c>
      <c r="AC600" s="4" t="s">
        <v>2923</v>
      </c>
    </row>
    <row r="601" spans="1:29" hidden="1" x14ac:dyDescent="0.4">
      <c r="A601" s="4" t="s">
        <v>216</v>
      </c>
      <c r="B601" s="4">
        <v>1328</v>
      </c>
      <c r="C601" s="4" t="s">
        <v>217</v>
      </c>
      <c r="D601" s="4" t="s">
        <v>1936</v>
      </c>
      <c r="E601" s="4" t="s">
        <v>2416</v>
      </c>
      <c r="F601" s="4" t="s">
        <v>2417</v>
      </c>
      <c r="H601" s="4" t="s">
        <v>245</v>
      </c>
      <c r="I601" s="4" t="s">
        <v>154</v>
      </c>
      <c r="J601" s="4" t="s">
        <v>2418</v>
      </c>
      <c r="K601" s="4" t="s">
        <v>224</v>
      </c>
      <c r="L601" s="6" t="s">
        <v>2419</v>
      </c>
      <c r="M601" s="4" t="s">
        <v>2420</v>
      </c>
      <c r="N601" s="4" t="s">
        <v>2421</v>
      </c>
      <c r="P601" s="4" t="s">
        <v>2422</v>
      </c>
      <c r="Q601" s="4" t="s">
        <v>2423</v>
      </c>
      <c r="R601" s="4" t="s">
        <v>2426</v>
      </c>
      <c r="S601" s="4" t="s">
        <v>257</v>
      </c>
      <c r="T601" s="7">
        <v>42349</v>
      </c>
      <c r="U601" s="4">
        <v>0</v>
      </c>
      <c r="V601" s="4">
        <v>14</v>
      </c>
      <c r="W601" s="4" t="s">
        <v>241</v>
      </c>
      <c r="Y601" s="4" t="s">
        <v>233</v>
      </c>
      <c r="Z601" s="4" t="s">
        <v>234</v>
      </c>
      <c r="AA601" s="4" t="s">
        <v>234</v>
      </c>
      <c r="AC601" s="4" t="s">
        <v>2923</v>
      </c>
    </row>
    <row r="602" spans="1:29" hidden="1" x14ac:dyDescent="0.4">
      <c r="A602" s="4" t="s">
        <v>216</v>
      </c>
      <c r="B602" s="4">
        <v>1328</v>
      </c>
      <c r="C602" s="4" t="s">
        <v>217</v>
      </c>
      <c r="D602" s="4" t="s">
        <v>1936</v>
      </c>
      <c r="E602" s="4" t="s">
        <v>2416</v>
      </c>
      <c r="F602" s="4" t="s">
        <v>2417</v>
      </c>
      <c r="H602" s="4" t="s">
        <v>245</v>
      </c>
      <c r="I602" s="4" t="s">
        <v>154</v>
      </c>
      <c r="J602" s="4" t="s">
        <v>2418</v>
      </c>
      <c r="K602" s="4" t="s">
        <v>224</v>
      </c>
      <c r="L602" s="6" t="s">
        <v>2419</v>
      </c>
      <c r="M602" s="4" t="s">
        <v>2420</v>
      </c>
      <c r="N602" s="4" t="s">
        <v>2421</v>
      </c>
      <c r="P602" s="4" t="s">
        <v>2424</v>
      </c>
      <c r="Q602" s="4" t="s">
        <v>2425</v>
      </c>
      <c r="R602" s="4" t="s">
        <v>2426</v>
      </c>
      <c r="S602" s="4" t="s">
        <v>257</v>
      </c>
      <c r="T602" s="7">
        <v>44328</v>
      </c>
      <c r="U602" s="4">
        <v>0</v>
      </c>
      <c r="V602" s="4">
        <v>14</v>
      </c>
      <c r="W602" s="4" t="s">
        <v>241</v>
      </c>
      <c r="Y602" s="4" t="s">
        <v>233</v>
      </c>
      <c r="Z602" s="4" t="s">
        <v>234</v>
      </c>
      <c r="AA602" s="4" t="s">
        <v>234</v>
      </c>
      <c r="AC602" s="4" t="s">
        <v>2923</v>
      </c>
    </row>
    <row r="603" spans="1:29" hidden="1" x14ac:dyDescent="0.4">
      <c r="A603" s="4" t="s">
        <v>216</v>
      </c>
      <c r="B603" s="4">
        <v>1699</v>
      </c>
      <c r="C603" s="4" t="s">
        <v>242</v>
      </c>
      <c r="D603" s="4" t="s">
        <v>2427</v>
      </c>
      <c r="E603" s="4" t="s">
        <v>2428</v>
      </c>
      <c r="F603" s="4" t="s">
        <v>2429</v>
      </c>
      <c r="G603" s="4" t="s">
        <v>2430</v>
      </c>
      <c r="H603" s="4" t="s">
        <v>1695</v>
      </c>
      <c r="I603" s="4" t="s">
        <v>154</v>
      </c>
      <c r="J603" s="4" t="s">
        <v>2431</v>
      </c>
      <c r="K603" s="4" t="s">
        <v>224</v>
      </c>
      <c r="L603" s="6" t="s">
        <v>2432</v>
      </c>
      <c r="M603" s="4" t="s">
        <v>2433</v>
      </c>
      <c r="N603" s="4" t="s">
        <v>2434</v>
      </c>
      <c r="P603" s="4" t="s">
        <v>2435</v>
      </c>
      <c r="Q603" s="4" t="s">
        <v>2436</v>
      </c>
      <c r="R603" s="4" t="s">
        <v>508</v>
      </c>
      <c r="S603" s="4" t="s">
        <v>257</v>
      </c>
      <c r="T603" s="7">
        <v>44649</v>
      </c>
      <c r="U603" s="4">
        <v>0</v>
      </c>
      <c r="V603" s="4">
        <v>4</v>
      </c>
      <c r="W603" s="4" t="s">
        <v>314</v>
      </c>
      <c r="Y603" s="4" t="s">
        <v>233</v>
      </c>
      <c r="Z603" s="4" t="s">
        <v>234</v>
      </c>
      <c r="AA603" s="4" t="s">
        <v>234</v>
      </c>
      <c r="AC603" s="4" t="s">
        <v>2923</v>
      </c>
    </row>
    <row r="604" spans="1:29" hidden="1" x14ac:dyDescent="0.4">
      <c r="A604" s="4" t="s">
        <v>216</v>
      </c>
      <c r="B604" s="4">
        <v>1699</v>
      </c>
      <c r="C604" s="4" t="s">
        <v>242</v>
      </c>
      <c r="D604" s="4" t="s">
        <v>2427</v>
      </c>
      <c r="E604" s="4" t="s">
        <v>2428</v>
      </c>
      <c r="F604" s="4" t="s">
        <v>2429</v>
      </c>
      <c r="G604" s="4" t="s">
        <v>2430</v>
      </c>
      <c r="H604" s="4" t="s">
        <v>1695</v>
      </c>
      <c r="I604" s="4" t="s">
        <v>154</v>
      </c>
      <c r="J604" s="4" t="s">
        <v>2431</v>
      </c>
      <c r="K604" s="4" t="s">
        <v>224</v>
      </c>
      <c r="L604" s="6" t="s">
        <v>2432</v>
      </c>
      <c r="M604" s="4" t="s">
        <v>2433</v>
      </c>
      <c r="N604" s="4" t="s">
        <v>2434</v>
      </c>
      <c r="P604" s="4" t="s">
        <v>2435</v>
      </c>
      <c r="Q604" s="4" t="s">
        <v>2436</v>
      </c>
      <c r="R604" s="4" t="s">
        <v>508</v>
      </c>
      <c r="S604" s="4" t="s">
        <v>257</v>
      </c>
      <c r="T604" s="7">
        <v>44649</v>
      </c>
      <c r="U604" s="4">
        <v>0</v>
      </c>
      <c r="V604" s="4">
        <v>5</v>
      </c>
      <c r="W604" s="4" t="s">
        <v>314</v>
      </c>
      <c r="Y604" s="4" t="s">
        <v>233</v>
      </c>
      <c r="Z604" s="4" t="s">
        <v>234</v>
      </c>
      <c r="AA604" s="4" t="s">
        <v>234</v>
      </c>
      <c r="AC604" s="4" t="s">
        <v>2923</v>
      </c>
    </row>
    <row r="605" spans="1:29" hidden="1" x14ac:dyDescent="0.4">
      <c r="A605" s="4" t="s">
        <v>216</v>
      </c>
      <c r="B605" s="4">
        <v>1699</v>
      </c>
      <c r="C605" s="4" t="s">
        <v>242</v>
      </c>
      <c r="D605" s="4" t="s">
        <v>2427</v>
      </c>
      <c r="E605" s="4" t="s">
        <v>2428</v>
      </c>
      <c r="F605" s="4" t="s">
        <v>2429</v>
      </c>
      <c r="G605" s="4" t="s">
        <v>2430</v>
      </c>
      <c r="H605" s="4" t="s">
        <v>1695</v>
      </c>
      <c r="I605" s="4" t="s">
        <v>154</v>
      </c>
      <c r="J605" s="4" t="s">
        <v>2431</v>
      </c>
      <c r="K605" s="4" t="s">
        <v>224</v>
      </c>
      <c r="L605" s="6" t="s">
        <v>2432</v>
      </c>
      <c r="M605" s="4" t="s">
        <v>2433</v>
      </c>
      <c r="N605" s="4" t="s">
        <v>2434</v>
      </c>
      <c r="P605" s="4" t="s">
        <v>2435</v>
      </c>
      <c r="Q605" s="4" t="s">
        <v>2436</v>
      </c>
      <c r="R605" s="4" t="s">
        <v>508</v>
      </c>
      <c r="S605" s="4" t="s">
        <v>257</v>
      </c>
      <c r="T605" s="7">
        <v>44649</v>
      </c>
      <c r="U605" s="4">
        <v>0</v>
      </c>
      <c r="V605" s="4">
        <v>10</v>
      </c>
      <c r="W605" s="4" t="s">
        <v>314</v>
      </c>
      <c r="Y605" s="4" t="s">
        <v>233</v>
      </c>
      <c r="Z605" s="4" t="s">
        <v>234</v>
      </c>
      <c r="AA605" s="4" t="s">
        <v>234</v>
      </c>
      <c r="AC605" s="4" t="s">
        <v>2923</v>
      </c>
    </row>
    <row r="606" spans="1:29" hidden="1" x14ac:dyDescent="0.4">
      <c r="A606" s="4" t="s">
        <v>216</v>
      </c>
      <c r="B606" s="4">
        <v>1699</v>
      </c>
      <c r="C606" s="4" t="s">
        <v>242</v>
      </c>
      <c r="D606" s="4" t="s">
        <v>2427</v>
      </c>
      <c r="E606" s="4" t="s">
        <v>2428</v>
      </c>
      <c r="F606" s="4" t="s">
        <v>2429</v>
      </c>
      <c r="G606" s="4" t="s">
        <v>2430</v>
      </c>
      <c r="H606" s="4" t="s">
        <v>1695</v>
      </c>
      <c r="I606" s="4" t="s">
        <v>154</v>
      </c>
      <c r="J606" s="4" t="s">
        <v>2431</v>
      </c>
      <c r="K606" s="4" t="s">
        <v>224</v>
      </c>
      <c r="L606" s="6" t="s">
        <v>2432</v>
      </c>
      <c r="M606" s="4" t="s">
        <v>2433</v>
      </c>
      <c r="N606" s="4" t="s">
        <v>2434</v>
      </c>
      <c r="P606" s="4" t="s">
        <v>2435</v>
      </c>
      <c r="Q606" s="4" t="s">
        <v>2436</v>
      </c>
      <c r="R606" s="4" t="s">
        <v>508</v>
      </c>
      <c r="S606" s="4" t="s">
        <v>257</v>
      </c>
      <c r="T606" s="7">
        <v>44649</v>
      </c>
      <c r="U606" s="4">
        <v>0</v>
      </c>
      <c r="V606" s="4">
        <v>11</v>
      </c>
      <c r="W606" s="4" t="s">
        <v>314</v>
      </c>
      <c r="Y606" s="4" t="s">
        <v>233</v>
      </c>
      <c r="Z606" s="4" t="s">
        <v>234</v>
      </c>
      <c r="AA606" s="4" t="s">
        <v>234</v>
      </c>
      <c r="AC606" s="4" t="s">
        <v>2923</v>
      </c>
    </row>
    <row r="607" spans="1:29" hidden="1" x14ac:dyDescent="0.4">
      <c r="A607" s="4" t="s">
        <v>216</v>
      </c>
      <c r="B607" s="4">
        <v>5029</v>
      </c>
      <c r="C607" s="4" t="s">
        <v>242</v>
      </c>
      <c r="D607" s="4" t="s">
        <v>2841</v>
      </c>
      <c r="E607" s="4" t="s">
        <v>2842</v>
      </c>
      <c r="F607" s="4" t="s">
        <v>2437</v>
      </c>
      <c r="G607" s="4" t="s">
        <v>2438</v>
      </c>
      <c r="H607" s="4" t="s">
        <v>1016</v>
      </c>
      <c r="I607" s="4" t="s">
        <v>143</v>
      </c>
      <c r="J607" s="4" t="s">
        <v>2439</v>
      </c>
      <c r="K607" s="4" t="s">
        <v>224</v>
      </c>
      <c r="L607" s="5" t="s">
        <v>2440</v>
      </c>
      <c r="M607" s="4" t="s">
        <v>2441</v>
      </c>
      <c r="N607" s="4" t="s">
        <v>2442</v>
      </c>
      <c r="P607" s="4" t="s">
        <v>2443</v>
      </c>
      <c r="Q607" s="4" t="s">
        <v>2444</v>
      </c>
      <c r="R607" s="4" t="s">
        <v>313</v>
      </c>
      <c r="S607" s="4" t="s">
        <v>257</v>
      </c>
      <c r="T607" s="7">
        <v>42598</v>
      </c>
      <c r="U607" s="4">
        <v>0</v>
      </c>
      <c r="V607" s="4">
        <v>13</v>
      </c>
      <c r="W607" s="4" t="s">
        <v>240</v>
      </c>
      <c r="Y607" s="4" t="s">
        <v>233</v>
      </c>
      <c r="Z607" s="4" t="s">
        <v>234</v>
      </c>
      <c r="AA607" s="4" t="s">
        <v>233</v>
      </c>
      <c r="AC607" s="4" t="s">
        <v>2923</v>
      </c>
    </row>
    <row r="608" spans="1:29" hidden="1" x14ac:dyDescent="0.4">
      <c r="A608" s="4" t="s">
        <v>216</v>
      </c>
      <c r="B608" s="4">
        <v>4410</v>
      </c>
      <c r="C608" s="4" t="s">
        <v>242</v>
      </c>
      <c r="D608" s="4" t="s">
        <v>2261</v>
      </c>
      <c r="E608" s="4" t="s">
        <v>2445</v>
      </c>
      <c r="F608" s="4" t="s">
        <v>2446</v>
      </c>
      <c r="G608" s="4" t="s">
        <v>2447</v>
      </c>
      <c r="H608" s="4" t="s">
        <v>142</v>
      </c>
      <c r="I608" s="4" t="s">
        <v>143</v>
      </c>
      <c r="J608" s="4" t="s">
        <v>2448</v>
      </c>
      <c r="K608" s="4" t="s">
        <v>224</v>
      </c>
      <c r="L608" s="6" t="s">
        <v>2449</v>
      </c>
      <c r="M608" s="4" t="s">
        <v>2450</v>
      </c>
      <c r="N608" s="4" t="s">
        <v>2451</v>
      </c>
      <c r="P608" s="4" t="s">
        <v>2452</v>
      </c>
      <c r="Q608" s="4" t="s">
        <v>2453</v>
      </c>
      <c r="R608" s="4" t="s">
        <v>31</v>
      </c>
      <c r="S608" s="4" t="s">
        <v>231</v>
      </c>
      <c r="T608" s="7">
        <v>43249</v>
      </c>
      <c r="U608" s="4">
        <v>0</v>
      </c>
      <c r="V608" s="4">
        <v>2</v>
      </c>
      <c r="W608" s="4" t="s">
        <v>254</v>
      </c>
      <c r="Y608" s="4" t="s">
        <v>233</v>
      </c>
      <c r="Z608" s="4" t="s">
        <v>234</v>
      </c>
      <c r="AA608" s="4" t="s">
        <v>234</v>
      </c>
      <c r="AB608" t="s">
        <v>65</v>
      </c>
      <c r="AC608" s="4" t="s">
        <v>2923</v>
      </c>
    </row>
    <row r="609" spans="1:29" hidden="1" x14ac:dyDescent="0.4">
      <c r="A609" s="4" t="s">
        <v>216</v>
      </c>
      <c r="B609" s="4">
        <v>4410</v>
      </c>
      <c r="C609" s="4" t="s">
        <v>242</v>
      </c>
      <c r="D609" s="4" t="s">
        <v>2261</v>
      </c>
      <c r="E609" s="4" t="s">
        <v>2445</v>
      </c>
      <c r="F609" s="4" t="s">
        <v>2446</v>
      </c>
      <c r="G609" s="4" t="s">
        <v>2447</v>
      </c>
      <c r="H609" s="4" t="s">
        <v>142</v>
      </c>
      <c r="I609" s="4" t="s">
        <v>143</v>
      </c>
      <c r="J609" s="4" t="s">
        <v>2448</v>
      </c>
      <c r="K609" s="4" t="s">
        <v>224</v>
      </c>
      <c r="L609" s="6" t="s">
        <v>2449</v>
      </c>
      <c r="M609" s="4" t="s">
        <v>2450</v>
      </c>
      <c r="N609" s="4" t="s">
        <v>2451</v>
      </c>
      <c r="P609" s="4" t="s">
        <v>2452</v>
      </c>
      <c r="Q609" s="4" t="s">
        <v>2453</v>
      </c>
      <c r="R609" s="4" t="s">
        <v>31</v>
      </c>
      <c r="S609" s="4" t="s">
        <v>231</v>
      </c>
      <c r="T609" s="7">
        <v>43249</v>
      </c>
      <c r="U609" s="4">
        <v>0</v>
      </c>
      <c r="V609" s="4">
        <v>8</v>
      </c>
      <c r="W609" s="4" t="s">
        <v>281</v>
      </c>
      <c r="Y609" s="4" t="s">
        <v>233</v>
      </c>
      <c r="Z609" s="4" t="s">
        <v>234</v>
      </c>
      <c r="AA609" s="4" t="s">
        <v>234</v>
      </c>
      <c r="AB609" t="s">
        <v>65</v>
      </c>
      <c r="AC609" s="4" t="s">
        <v>2923</v>
      </c>
    </row>
    <row r="610" spans="1:29" hidden="1" x14ac:dyDescent="0.4">
      <c r="A610" s="4" t="s">
        <v>216</v>
      </c>
      <c r="B610" s="4">
        <v>4410</v>
      </c>
      <c r="C610" s="4" t="s">
        <v>242</v>
      </c>
      <c r="D610" s="4" t="s">
        <v>2261</v>
      </c>
      <c r="E610" s="4" t="s">
        <v>2445</v>
      </c>
      <c r="F610" s="4" t="s">
        <v>2446</v>
      </c>
      <c r="G610" s="4" t="s">
        <v>2447</v>
      </c>
      <c r="H610" s="4" t="s">
        <v>142</v>
      </c>
      <c r="I610" s="4" t="s">
        <v>143</v>
      </c>
      <c r="J610" s="4" t="s">
        <v>2448</v>
      </c>
      <c r="K610" s="4" t="s">
        <v>224</v>
      </c>
      <c r="L610" s="6" t="s">
        <v>2449</v>
      </c>
      <c r="M610" s="4" t="s">
        <v>2450</v>
      </c>
      <c r="N610" s="4" t="s">
        <v>2451</v>
      </c>
      <c r="P610" s="4" t="s">
        <v>2454</v>
      </c>
      <c r="Q610" s="4" t="s">
        <v>2455</v>
      </c>
      <c r="R610" s="4" t="s">
        <v>31</v>
      </c>
      <c r="S610" s="4" t="s">
        <v>231</v>
      </c>
      <c r="T610" s="7">
        <v>45591</v>
      </c>
      <c r="U610" s="4">
        <v>0</v>
      </c>
      <c r="V610" s="4">
        <v>2</v>
      </c>
      <c r="W610" s="4" t="s">
        <v>254</v>
      </c>
      <c r="Y610" s="4" t="s">
        <v>233</v>
      </c>
      <c r="Z610" s="4" t="s">
        <v>234</v>
      </c>
      <c r="AA610" s="4" t="s">
        <v>234</v>
      </c>
      <c r="AB610" t="s">
        <v>65</v>
      </c>
      <c r="AC610" s="4" t="s">
        <v>2923</v>
      </c>
    </row>
    <row r="611" spans="1:29" hidden="1" x14ac:dyDescent="0.4">
      <c r="A611" s="4" t="s">
        <v>216</v>
      </c>
      <c r="B611" s="4">
        <v>780</v>
      </c>
      <c r="C611" s="4" t="s">
        <v>217</v>
      </c>
      <c r="D611" s="4" t="s">
        <v>282</v>
      </c>
      <c r="E611" s="4" t="s">
        <v>2456</v>
      </c>
      <c r="F611" s="4" t="s">
        <v>2457</v>
      </c>
      <c r="H611" s="4" t="s">
        <v>2458</v>
      </c>
      <c r="I611" s="4" t="s">
        <v>34</v>
      </c>
      <c r="J611" s="4" t="s">
        <v>2459</v>
      </c>
      <c r="K611" s="4" t="s">
        <v>224</v>
      </c>
      <c r="L611" s="5" t="s">
        <v>2460</v>
      </c>
      <c r="M611" s="4" t="s">
        <v>2461</v>
      </c>
      <c r="N611" s="4" t="s">
        <v>2462</v>
      </c>
      <c r="P611" s="4" t="s">
        <v>2463</v>
      </c>
      <c r="Q611" s="4" t="s">
        <v>2464</v>
      </c>
      <c r="R611" s="4" t="s">
        <v>168</v>
      </c>
      <c r="S611" s="4" t="s">
        <v>231</v>
      </c>
      <c r="T611" s="7">
        <v>42447</v>
      </c>
      <c r="U611" s="4">
        <v>0</v>
      </c>
      <c r="V611" s="4">
        <v>6</v>
      </c>
      <c r="Y611" s="4" t="s">
        <v>233</v>
      </c>
      <c r="Z611" s="4" t="s">
        <v>234</v>
      </c>
      <c r="AA611" s="4" t="s">
        <v>234</v>
      </c>
      <c r="AB611" s="4" t="s">
        <v>2465</v>
      </c>
      <c r="AC611" s="4" t="s">
        <v>2923</v>
      </c>
    </row>
    <row r="612" spans="1:29" hidden="1" x14ac:dyDescent="0.4">
      <c r="A612" s="4" t="s">
        <v>216</v>
      </c>
      <c r="B612" s="4">
        <v>780</v>
      </c>
      <c r="C612" s="4" t="s">
        <v>217</v>
      </c>
      <c r="D612" s="4" t="s">
        <v>282</v>
      </c>
      <c r="E612" s="4" t="s">
        <v>2456</v>
      </c>
      <c r="F612" s="4" t="s">
        <v>2457</v>
      </c>
      <c r="H612" s="4" t="s">
        <v>2458</v>
      </c>
      <c r="I612" s="4" t="s">
        <v>34</v>
      </c>
      <c r="J612" s="4" t="s">
        <v>2459</v>
      </c>
      <c r="K612" s="4" t="s">
        <v>224</v>
      </c>
      <c r="L612" s="5" t="s">
        <v>2460</v>
      </c>
      <c r="M612" s="4" t="s">
        <v>2461</v>
      </c>
      <c r="N612" s="4" t="s">
        <v>2462</v>
      </c>
      <c r="P612" s="4" t="s">
        <v>2466</v>
      </c>
      <c r="Q612" s="4" t="s">
        <v>2467</v>
      </c>
      <c r="R612" s="4" t="s">
        <v>53</v>
      </c>
      <c r="S612" s="4" t="s">
        <v>231</v>
      </c>
      <c r="T612" s="7">
        <v>42988</v>
      </c>
      <c r="U612" s="4">
        <v>0</v>
      </c>
      <c r="V612" s="4">
        <v>6</v>
      </c>
      <c r="Y612" s="4" t="s">
        <v>233</v>
      </c>
      <c r="Z612" s="4" t="s">
        <v>234</v>
      </c>
      <c r="AA612" s="4" t="s">
        <v>234</v>
      </c>
      <c r="AB612" s="4" t="s">
        <v>2465</v>
      </c>
      <c r="AC612" s="4" t="s">
        <v>2923</v>
      </c>
    </row>
    <row r="613" spans="1:29" hidden="1" x14ac:dyDescent="0.4">
      <c r="A613" s="4" t="s">
        <v>216</v>
      </c>
      <c r="B613" s="4">
        <v>780</v>
      </c>
      <c r="C613" s="4" t="s">
        <v>217</v>
      </c>
      <c r="D613" s="4" t="s">
        <v>282</v>
      </c>
      <c r="E613" s="4" t="s">
        <v>2456</v>
      </c>
      <c r="F613" s="4" t="s">
        <v>2457</v>
      </c>
      <c r="H613" s="4" t="s">
        <v>2458</v>
      </c>
      <c r="I613" s="4" t="s">
        <v>34</v>
      </c>
      <c r="J613" s="4" t="s">
        <v>2459</v>
      </c>
      <c r="K613" s="4" t="s">
        <v>224</v>
      </c>
      <c r="L613" s="5" t="s">
        <v>2460</v>
      </c>
      <c r="M613" s="4" t="s">
        <v>2461</v>
      </c>
      <c r="N613" s="4" t="s">
        <v>2462</v>
      </c>
      <c r="P613" s="4" t="s">
        <v>2468</v>
      </c>
      <c r="Q613" s="4" t="s">
        <v>2469</v>
      </c>
      <c r="R613" s="4" t="s">
        <v>53</v>
      </c>
      <c r="S613" s="4" t="s">
        <v>231</v>
      </c>
      <c r="T613" s="7">
        <v>45267</v>
      </c>
      <c r="U613" s="4">
        <v>0</v>
      </c>
      <c r="V613" s="4">
        <v>4</v>
      </c>
      <c r="W613" s="4" t="s">
        <v>314</v>
      </c>
      <c r="Y613" s="4" t="s">
        <v>233</v>
      </c>
      <c r="Z613" s="4" t="s">
        <v>234</v>
      </c>
      <c r="AA613" s="4" t="s">
        <v>234</v>
      </c>
      <c r="AB613" s="4" t="s">
        <v>2465</v>
      </c>
      <c r="AC613" s="4" t="s">
        <v>2923</v>
      </c>
    </row>
    <row r="614" spans="1:29" hidden="1" x14ac:dyDescent="0.4">
      <c r="A614" s="4" t="s">
        <v>216</v>
      </c>
      <c r="B614" s="4">
        <v>780</v>
      </c>
      <c r="C614" s="4" t="s">
        <v>217</v>
      </c>
      <c r="D614" s="4" t="s">
        <v>282</v>
      </c>
      <c r="E614" s="4" t="s">
        <v>2456</v>
      </c>
      <c r="F614" s="4" t="s">
        <v>2457</v>
      </c>
      <c r="H614" s="4" t="s">
        <v>2458</v>
      </c>
      <c r="I614" s="4" t="s">
        <v>34</v>
      </c>
      <c r="J614" s="4" t="s">
        <v>2459</v>
      </c>
      <c r="K614" s="4" t="s">
        <v>224</v>
      </c>
      <c r="L614" s="5" t="s">
        <v>2460</v>
      </c>
      <c r="M614" s="4" t="s">
        <v>2461</v>
      </c>
      <c r="N614" s="4" t="s">
        <v>2462</v>
      </c>
      <c r="P614" s="4" t="s">
        <v>2468</v>
      </c>
      <c r="Q614" s="4" t="s">
        <v>2469</v>
      </c>
      <c r="R614" s="4" t="s">
        <v>53</v>
      </c>
      <c r="S614" s="4" t="s">
        <v>231</v>
      </c>
      <c r="T614" s="7">
        <v>45267</v>
      </c>
      <c r="U614" s="4">
        <v>0</v>
      </c>
      <c r="V614" s="4">
        <v>6</v>
      </c>
      <c r="Y614" s="4" t="s">
        <v>233</v>
      </c>
      <c r="Z614" s="4" t="s">
        <v>234</v>
      </c>
      <c r="AA614" s="4" t="s">
        <v>234</v>
      </c>
      <c r="AB614" s="4" t="s">
        <v>2465</v>
      </c>
      <c r="AC614" s="4" t="s">
        <v>2923</v>
      </c>
    </row>
    <row r="615" spans="1:29" hidden="1" x14ac:dyDescent="0.4">
      <c r="A615" s="4" t="s">
        <v>216</v>
      </c>
      <c r="B615" s="4">
        <v>5323</v>
      </c>
      <c r="C615" s="4" t="s">
        <v>242</v>
      </c>
      <c r="D615" s="4" t="s">
        <v>1266</v>
      </c>
      <c r="E615" s="4" t="s">
        <v>2481</v>
      </c>
      <c r="F615" s="4" t="s">
        <v>2482</v>
      </c>
      <c r="G615" s="4" t="s">
        <v>2438</v>
      </c>
      <c r="H615" s="4" t="s">
        <v>1016</v>
      </c>
      <c r="I615" s="4" t="s">
        <v>143</v>
      </c>
      <c r="J615" s="4" t="s">
        <v>2439</v>
      </c>
      <c r="K615" s="4" t="s">
        <v>224</v>
      </c>
      <c r="L615" s="6" t="s">
        <v>2483</v>
      </c>
      <c r="M615" s="4" t="s">
        <v>2484</v>
      </c>
      <c r="N615" s="4" t="s">
        <v>97</v>
      </c>
      <c r="P615" s="4" t="s">
        <v>2485</v>
      </c>
      <c r="Q615" s="4" t="s">
        <v>2486</v>
      </c>
      <c r="R615" s="4" t="s">
        <v>31</v>
      </c>
      <c r="S615" s="4" t="s">
        <v>231</v>
      </c>
      <c r="T615" s="7">
        <v>44690</v>
      </c>
      <c r="U615" s="4">
        <v>0</v>
      </c>
      <c r="V615" s="4">
        <v>11</v>
      </c>
      <c r="W615" s="4" t="s">
        <v>300</v>
      </c>
      <c r="Y615" s="4" t="s">
        <v>233</v>
      </c>
      <c r="Z615" s="4" t="s">
        <v>234</v>
      </c>
      <c r="AA615" s="4" t="s">
        <v>234</v>
      </c>
      <c r="AC615" s="4" t="s">
        <v>2923</v>
      </c>
    </row>
    <row r="616" spans="1:29" hidden="1" x14ac:dyDescent="0.4">
      <c r="A616" s="4" t="s">
        <v>216</v>
      </c>
      <c r="B616" s="4">
        <v>5323</v>
      </c>
      <c r="C616" s="4" t="s">
        <v>242</v>
      </c>
      <c r="D616" s="4" t="s">
        <v>1266</v>
      </c>
      <c r="E616" s="4" t="s">
        <v>2481</v>
      </c>
      <c r="F616" s="4" t="s">
        <v>2482</v>
      </c>
      <c r="G616" s="4" t="s">
        <v>2438</v>
      </c>
      <c r="H616" s="4" t="s">
        <v>1016</v>
      </c>
      <c r="I616" s="4" t="s">
        <v>143</v>
      </c>
      <c r="J616" s="4" t="s">
        <v>2439</v>
      </c>
      <c r="K616" s="4" t="s">
        <v>224</v>
      </c>
      <c r="L616" s="6" t="s">
        <v>2483</v>
      </c>
      <c r="M616" s="4" t="s">
        <v>2484</v>
      </c>
      <c r="N616" s="4" t="s">
        <v>97</v>
      </c>
      <c r="P616" s="4" t="s">
        <v>2485</v>
      </c>
      <c r="Q616" s="4" t="s">
        <v>2486</v>
      </c>
      <c r="R616" s="4" t="s">
        <v>31</v>
      </c>
      <c r="S616" s="4" t="s">
        <v>231</v>
      </c>
      <c r="T616" s="7">
        <v>44690</v>
      </c>
      <c r="U616" s="4">
        <v>0</v>
      </c>
      <c r="V616" s="4">
        <v>12</v>
      </c>
      <c r="Y616" s="4" t="s">
        <v>233</v>
      </c>
      <c r="Z616" s="4" t="s">
        <v>234</v>
      </c>
      <c r="AA616" s="4" t="s">
        <v>234</v>
      </c>
      <c r="AC616" s="4" t="s">
        <v>2923</v>
      </c>
    </row>
    <row r="617" spans="1:29" x14ac:dyDescent="0.4">
      <c r="A617" s="4" t="s">
        <v>216</v>
      </c>
      <c r="B617" s="4">
        <v>4745</v>
      </c>
      <c r="C617" s="4" t="s">
        <v>242</v>
      </c>
      <c r="D617" s="4" t="s">
        <v>584</v>
      </c>
      <c r="E617" s="4" t="s">
        <v>2481</v>
      </c>
      <c r="F617" s="4" t="s">
        <v>2487</v>
      </c>
      <c r="H617" s="4" t="s">
        <v>2488</v>
      </c>
      <c r="I617" s="4" t="s">
        <v>154</v>
      </c>
      <c r="J617" s="4" t="s">
        <v>2489</v>
      </c>
      <c r="K617" s="4" t="s">
        <v>224</v>
      </c>
      <c r="L617" s="6" t="s">
        <v>2490</v>
      </c>
      <c r="M617" s="4" t="s">
        <v>2491</v>
      </c>
      <c r="N617" s="4" t="s">
        <v>2492</v>
      </c>
      <c r="P617" s="4" t="s">
        <v>2903</v>
      </c>
      <c r="Q617" s="4" t="s">
        <v>2493</v>
      </c>
      <c r="R617" s="4" t="s">
        <v>31</v>
      </c>
      <c r="S617" s="4" t="s">
        <v>257</v>
      </c>
      <c r="T617" s="7">
        <v>44153</v>
      </c>
      <c r="U617" s="4">
        <v>0</v>
      </c>
      <c r="V617" s="4">
        <v>4</v>
      </c>
      <c r="W617" s="4" t="s">
        <v>2725</v>
      </c>
      <c r="Y617" s="4" t="s">
        <v>233</v>
      </c>
      <c r="Z617" s="4" t="s">
        <v>234</v>
      </c>
      <c r="AA617" s="4" t="s">
        <v>234</v>
      </c>
      <c r="AB617" t="s">
        <v>65</v>
      </c>
      <c r="AC617" s="4" t="s">
        <v>2923</v>
      </c>
    </row>
    <row r="618" spans="1:29" hidden="1" x14ac:dyDescent="0.4">
      <c r="A618" s="4" t="s">
        <v>216</v>
      </c>
      <c r="B618" s="4">
        <v>4745</v>
      </c>
      <c r="C618" s="4" t="s">
        <v>242</v>
      </c>
      <c r="D618" s="4" t="s">
        <v>584</v>
      </c>
      <c r="E618" s="4" t="s">
        <v>2481</v>
      </c>
      <c r="F618" s="4" t="s">
        <v>2487</v>
      </c>
      <c r="H618" s="4" t="s">
        <v>2488</v>
      </c>
      <c r="I618" s="4" t="s">
        <v>154</v>
      </c>
      <c r="J618" s="4" t="s">
        <v>2489</v>
      </c>
      <c r="K618" s="4" t="s">
        <v>224</v>
      </c>
      <c r="L618" s="6" t="s">
        <v>2490</v>
      </c>
      <c r="M618" s="4" t="s">
        <v>2491</v>
      </c>
      <c r="N618" s="4" t="s">
        <v>2492</v>
      </c>
      <c r="P618" s="4" t="s">
        <v>2903</v>
      </c>
      <c r="Q618" s="4" t="s">
        <v>2493</v>
      </c>
      <c r="R618" s="4" t="s">
        <v>31</v>
      </c>
      <c r="S618" s="4" t="s">
        <v>257</v>
      </c>
      <c r="T618" s="7">
        <v>44153</v>
      </c>
      <c r="U618" s="4">
        <v>0</v>
      </c>
      <c r="V618" s="4">
        <v>9</v>
      </c>
      <c r="W618" s="4" t="s">
        <v>358</v>
      </c>
      <c r="Y618" s="4" t="s">
        <v>233</v>
      </c>
      <c r="Z618" s="4" t="s">
        <v>234</v>
      </c>
      <c r="AA618" s="4" t="s">
        <v>234</v>
      </c>
      <c r="AB618" t="s">
        <v>65</v>
      </c>
      <c r="AC618" s="4" t="s">
        <v>2923</v>
      </c>
    </row>
    <row r="619" spans="1:29" hidden="1" x14ac:dyDescent="0.4">
      <c r="A619" s="4" t="s">
        <v>216</v>
      </c>
      <c r="B619" s="4">
        <v>4745</v>
      </c>
      <c r="C619" s="4" t="s">
        <v>242</v>
      </c>
      <c r="D619" s="4" t="s">
        <v>584</v>
      </c>
      <c r="E619" s="4" t="s">
        <v>2481</v>
      </c>
      <c r="F619" s="4" t="s">
        <v>2487</v>
      </c>
      <c r="H619" s="4" t="s">
        <v>2488</v>
      </c>
      <c r="I619" s="4" t="s">
        <v>154</v>
      </c>
      <c r="J619" s="4" t="s">
        <v>2489</v>
      </c>
      <c r="K619" s="4" t="s">
        <v>224</v>
      </c>
      <c r="L619" s="6" t="s">
        <v>2490</v>
      </c>
      <c r="M619" s="4" t="s">
        <v>2491</v>
      </c>
      <c r="N619" s="4" t="s">
        <v>2492</v>
      </c>
      <c r="P619" s="4" t="s">
        <v>2903</v>
      </c>
      <c r="Q619" s="4" t="s">
        <v>2493</v>
      </c>
      <c r="R619" s="4" t="s">
        <v>31</v>
      </c>
      <c r="S619" s="4" t="s">
        <v>257</v>
      </c>
      <c r="T619" s="7">
        <v>44153</v>
      </c>
      <c r="U619" s="4">
        <v>0</v>
      </c>
      <c r="V619" s="4">
        <v>3</v>
      </c>
      <c r="W619" s="4" t="s">
        <v>258</v>
      </c>
      <c r="Y619" s="4" t="s">
        <v>233</v>
      </c>
      <c r="Z619" s="4" t="s">
        <v>234</v>
      </c>
      <c r="AA619" s="4" t="s">
        <v>234</v>
      </c>
      <c r="AB619" t="s">
        <v>65</v>
      </c>
      <c r="AC619" s="4" t="s">
        <v>2923</v>
      </c>
    </row>
    <row r="620" spans="1:29" hidden="1" x14ac:dyDescent="0.4">
      <c r="A620" s="4" t="s">
        <v>216</v>
      </c>
      <c r="B620" s="4">
        <v>4745</v>
      </c>
      <c r="C620" s="4" t="s">
        <v>242</v>
      </c>
      <c r="D620" s="4" t="s">
        <v>584</v>
      </c>
      <c r="E620" s="4" t="s">
        <v>2481</v>
      </c>
      <c r="F620" s="4" t="s">
        <v>2487</v>
      </c>
      <c r="H620" s="4" t="s">
        <v>2488</v>
      </c>
      <c r="I620" s="4" t="s">
        <v>154</v>
      </c>
      <c r="J620" s="4" t="s">
        <v>2489</v>
      </c>
      <c r="K620" s="4" t="s">
        <v>224</v>
      </c>
      <c r="L620" s="6" t="s">
        <v>2490</v>
      </c>
      <c r="M620" s="4" t="s">
        <v>2491</v>
      </c>
      <c r="N620" s="4" t="s">
        <v>2492</v>
      </c>
      <c r="P620" s="4" t="s">
        <v>2903</v>
      </c>
      <c r="Q620" s="4" t="s">
        <v>2493</v>
      </c>
      <c r="R620" s="4" t="s">
        <v>31</v>
      </c>
      <c r="S620" s="4" t="s">
        <v>257</v>
      </c>
      <c r="T620" s="7">
        <v>44153</v>
      </c>
      <c r="U620" s="4">
        <v>0</v>
      </c>
      <c r="V620" s="4">
        <v>10</v>
      </c>
      <c r="W620" s="4" t="s">
        <v>433</v>
      </c>
      <c r="Y620" s="4" t="s">
        <v>233</v>
      </c>
      <c r="Z620" s="4" t="s">
        <v>234</v>
      </c>
      <c r="AA620" s="4" t="s">
        <v>234</v>
      </c>
      <c r="AB620" t="s">
        <v>65</v>
      </c>
      <c r="AC620" s="4" t="s">
        <v>2923</v>
      </c>
    </row>
    <row r="621" spans="1:29" hidden="1" x14ac:dyDescent="0.4">
      <c r="A621" s="4" t="s">
        <v>216</v>
      </c>
      <c r="B621" s="4">
        <v>5067</v>
      </c>
      <c r="C621" s="4" t="s">
        <v>242</v>
      </c>
      <c r="D621" s="4" t="s">
        <v>2494</v>
      </c>
      <c r="E621" s="4" t="s">
        <v>2495</v>
      </c>
      <c r="F621" s="4" t="s">
        <v>2496</v>
      </c>
      <c r="G621" s="4" t="s">
        <v>2497</v>
      </c>
      <c r="H621" s="4" t="s">
        <v>2498</v>
      </c>
      <c r="I621" s="4" t="s">
        <v>34</v>
      </c>
      <c r="J621" s="4" t="s">
        <v>2499</v>
      </c>
      <c r="K621" s="4" t="s">
        <v>224</v>
      </c>
      <c r="L621" s="6" t="s">
        <v>2500</v>
      </c>
      <c r="M621" s="4" t="s">
        <v>2501</v>
      </c>
      <c r="N621" s="4" t="s">
        <v>2502</v>
      </c>
      <c r="P621" s="4" t="s">
        <v>2503</v>
      </c>
      <c r="Q621" s="4" t="s">
        <v>2504</v>
      </c>
      <c r="R621" s="4" t="s">
        <v>1370</v>
      </c>
      <c r="S621" s="4" t="s">
        <v>257</v>
      </c>
      <c r="T621" s="7">
        <v>43906</v>
      </c>
      <c r="U621" s="4">
        <v>0</v>
      </c>
      <c r="V621" s="4">
        <v>2</v>
      </c>
      <c r="W621" s="4" t="s">
        <v>254</v>
      </c>
      <c r="Y621" s="4" t="s">
        <v>233</v>
      </c>
      <c r="Z621" s="4" t="s">
        <v>234</v>
      </c>
      <c r="AA621" s="4" t="s">
        <v>234</v>
      </c>
      <c r="AC621" s="4" t="s">
        <v>2923</v>
      </c>
    </row>
    <row r="622" spans="1:29" hidden="1" x14ac:dyDescent="0.4">
      <c r="A622" s="4" t="s">
        <v>216</v>
      </c>
      <c r="B622" s="4">
        <v>5067</v>
      </c>
      <c r="C622" s="4" t="s">
        <v>242</v>
      </c>
      <c r="D622" s="4" t="s">
        <v>2494</v>
      </c>
      <c r="E622" s="4" t="s">
        <v>2495</v>
      </c>
      <c r="F622" s="4" t="s">
        <v>2496</v>
      </c>
      <c r="G622" s="4" t="s">
        <v>2497</v>
      </c>
      <c r="H622" s="4" t="s">
        <v>2498</v>
      </c>
      <c r="I622" s="4" t="s">
        <v>34</v>
      </c>
      <c r="J622" s="4" t="s">
        <v>2499</v>
      </c>
      <c r="K622" s="4" t="s">
        <v>224</v>
      </c>
      <c r="L622" s="6" t="s">
        <v>2500</v>
      </c>
      <c r="M622" s="4" t="s">
        <v>2501</v>
      </c>
      <c r="N622" s="4" t="s">
        <v>2502</v>
      </c>
      <c r="P622" s="4" t="s">
        <v>2503</v>
      </c>
      <c r="Q622" s="4" t="s">
        <v>2504</v>
      </c>
      <c r="R622" s="4" t="s">
        <v>1370</v>
      </c>
      <c r="S622" s="4" t="s">
        <v>257</v>
      </c>
      <c r="T622" s="7">
        <v>43906</v>
      </c>
      <c r="U622" s="4">
        <v>0</v>
      </c>
      <c r="V622" s="4">
        <v>3</v>
      </c>
      <c r="W622" s="4" t="s">
        <v>258</v>
      </c>
      <c r="Y622" s="4" t="s">
        <v>233</v>
      </c>
      <c r="Z622" s="4" t="s">
        <v>234</v>
      </c>
      <c r="AA622" s="4" t="s">
        <v>234</v>
      </c>
      <c r="AC622" s="4" t="s">
        <v>2923</v>
      </c>
    </row>
    <row r="623" spans="1:29" hidden="1" x14ac:dyDescent="0.4">
      <c r="A623" s="4" t="s">
        <v>216</v>
      </c>
      <c r="B623" s="4">
        <v>1430</v>
      </c>
      <c r="C623" s="4" t="s">
        <v>217</v>
      </c>
      <c r="D623" s="4" t="s">
        <v>346</v>
      </c>
      <c r="E623" s="4" t="s">
        <v>2843</v>
      </c>
      <c r="F623" s="4" t="s">
        <v>2505</v>
      </c>
      <c r="G623" s="4" t="s">
        <v>2506</v>
      </c>
      <c r="H623" s="4" t="s">
        <v>2507</v>
      </c>
      <c r="I623" s="4" t="s">
        <v>2508</v>
      </c>
      <c r="J623" s="4" t="s">
        <v>2509</v>
      </c>
      <c r="K623" s="4" t="s">
        <v>224</v>
      </c>
      <c r="L623" s="6" t="s">
        <v>2510</v>
      </c>
      <c r="M623" s="4" t="s">
        <v>2511</v>
      </c>
      <c r="N623" s="4" t="s">
        <v>2512</v>
      </c>
      <c r="P623" s="4" t="s">
        <v>2513</v>
      </c>
      <c r="Q623" s="4" t="s">
        <v>2514</v>
      </c>
      <c r="R623" s="4" t="s">
        <v>159</v>
      </c>
      <c r="S623" s="4" t="s">
        <v>231</v>
      </c>
      <c r="T623" s="7">
        <v>43638</v>
      </c>
      <c r="U623" s="4">
        <v>0</v>
      </c>
      <c r="V623" s="4">
        <v>4</v>
      </c>
      <c r="W623" s="4" t="s">
        <v>314</v>
      </c>
      <c r="Y623" s="4" t="s">
        <v>233</v>
      </c>
      <c r="Z623" s="4" t="s">
        <v>234</v>
      </c>
      <c r="AA623" s="4" t="s">
        <v>234</v>
      </c>
      <c r="AC623" s="4" t="s">
        <v>2923</v>
      </c>
    </row>
    <row r="624" spans="1:29" hidden="1" x14ac:dyDescent="0.4">
      <c r="A624" s="4" t="s">
        <v>216</v>
      </c>
      <c r="B624" s="4">
        <v>1430</v>
      </c>
      <c r="C624" s="4" t="s">
        <v>217</v>
      </c>
      <c r="D624" s="4" t="s">
        <v>346</v>
      </c>
      <c r="E624" s="4" t="s">
        <v>2843</v>
      </c>
      <c r="F624" s="4" t="s">
        <v>2505</v>
      </c>
      <c r="G624" s="4" t="s">
        <v>2506</v>
      </c>
      <c r="H624" s="4" t="s">
        <v>2507</v>
      </c>
      <c r="I624" s="4" t="s">
        <v>2508</v>
      </c>
      <c r="J624" s="4" t="s">
        <v>2509</v>
      </c>
      <c r="K624" s="4" t="s">
        <v>224</v>
      </c>
      <c r="L624" s="6" t="s">
        <v>2510</v>
      </c>
      <c r="M624" s="4" t="s">
        <v>2511</v>
      </c>
      <c r="N624" s="4" t="s">
        <v>2512</v>
      </c>
      <c r="P624" s="4" t="s">
        <v>2513</v>
      </c>
      <c r="Q624" s="4" t="s">
        <v>2514</v>
      </c>
      <c r="R624" s="4" t="s">
        <v>159</v>
      </c>
      <c r="S624" s="4" t="s">
        <v>231</v>
      </c>
      <c r="T624" s="7">
        <v>43638</v>
      </c>
      <c r="U624" s="4">
        <v>0</v>
      </c>
      <c r="V624" s="4">
        <v>5</v>
      </c>
      <c r="W624" s="4" t="s">
        <v>314</v>
      </c>
      <c r="Y624" s="4" t="s">
        <v>233</v>
      </c>
      <c r="Z624" s="4" t="s">
        <v>234</v>
      </c>
      <c r="AA624" s="4" t="s">
        <v>234</v>
      </c>
      <c r="AC624" s="4" t="s">
        <v>2923</v>
      </c>
    </row>
    <row r="625" spans="1:29" hidden="1" x14ac:dyDescent="0.4">
      <c r="A625" s="4" t="s">
        <v>216</v>
      </c>
      <c r="B625" s="4">
        <v>1430</v>
      </c>
      <c r="C625" s="4" t="s">
        <v>217</v>
      </c>
      <c r="D625" s="4" t="s">
        <v>346</v>
      </c>
      <c r="E625" s="4" t="s">
        <v>2843</v>
      </c>
      <c r="F625" s="4" t="s">
        <v>2505</v>
      </c>
      <c r="G625" s="4" t="s">
        <v>2506</v>
      </c>
      <c r="H625" s="4" t="s">
        <v>2507</v>
      </c>
      <c r="I625" s="4" t="s">
        <v>2508</v>
      </c>
      <c r="J625" s="4" t="s">
        <v>2509</v>
      </c>
      <c r="K625" s="4" t="s">
        <v>224</v>
      </c>
      <c r="L625" s="6" t="s">
        <v>2510</v>
      </c>
      <c r="M625" s="4" t="s">
        <v>2511</v>
      </c>
      <c r="N625" s="4" t="s">
        <v>2512</v>
      </c>
      <c r="P625" s="4" t="s">
        <v>2513</v>
      </c>
      <c r="Q625" s="4" t="s">
        <v>2514</v>
      </c>
      <c r="R625" s="4" t="s">
        <v>159</v>
      </c>
      <c r="S625" s="4" t="s">
        <v>231</v>
      </c>
      <c r="T625" s="7">
        <v>43638</v>
      </c>
      <c r="U625" s="4">
        <v>0</v>
      </c>
      <c r="V625" s="4">
        <v>10</v>
      </c>
      <c r="W625" s="4" t="s">
        <v>314</v>
      </c>
      <c r="Y625" s="4" t="s">
        <v>233</v>
      </c>
      <c r="Z625" s="4" t="s">
        <v>234</v>
      </c>
      <c r="AA625" s="4" t="s">
        <v>234</v>
      </c>
      <c r="AC625" s="4" t="s">
        <v>2923</v>
      </c>
    </row>
    <row r="626" spans="1:29" hidden="1" x14ac:dyDescent="0.4">
      <c r="A626" s="4" t="s">
        <v>216</v>
      </c>
      <c r="B626" s="4">
        <v>1430</v>
      </c>
      <c r="C626" s="4" t="s">
        <v>217</v>
      </c>
      <c r="D626" s="4" t="s">
        <v>346</v>
      </c>
      <c r="E626" s="4" t="s">
        <v>2843</v>
      </c>
      <c r="F626" s="4" t="s">
        <v>2505</v>
      </c>
      <c r="G626" s="4" t="s">
        <v>2506</v>
      </c>
      <c r="H626" s="4" t="s">
        <v>2507</v>
      </c>
      <c r="I626" s="4" t="s">
        <v>2508</v>
      </c>
      <c r="J626" s="4" t="s">
        <v>2509</v>
      </c>
      <c r="K626" s="4" t="s">
        <v>224</v>
      </c>
      <c r="L626" s="6" t="s">
        <v>2510</v>
      </c>
      <c r="M626" s="4" t="s">
        <v>2511</v>
      </c>
      <c r="N626" s="4" t="s">
        <v>2512</v>
      </c>
      <c r="P626" s="4" t="s">
        <v>2513</v>
      </c>
      <c r="Q626" s="4" t="s">
        <v>2514</v>
      </c>
      <c r="R626" s="4" t="s">
        <v>159</v>
      </c>
      <c r="S626" s="4" t="s">
        <v>231</v>
      </c>
      <c r="T626" s="7">
        <v>43638</v>
      </c>
      <c r="U626" s="4">
        <v>0</v>
      </c>
      <c r="V626" s="4">
        <v>11</v>
      </c>
      <c r="W626" s="4" t="s">
        <v>314</v>
      </c>
      <c r="Y626" s="4" t="s">
        <v>233</v>
      </c>
      <c r="Z626" s="4" t="s">
        <v>234</v>
      </c>
      <c r="AA626" s="4" t="s">
        <v>234</v>
      </c>
      <c r="AC626" s="4" t="s">
        <v>2923</v>
      </c>
    </row>
    <row r="627" spans="1:29" hidden="1" x14ac:dyDescent="0.4">
      <c r="A627" s="4" t="s">
        <v>216</v>
      </c>
      <c r="B627" s="4">
        <v>1030</v>
      </c>
      <c r="C627" s="4" t="s">
        <v>242</v>
      </c>
      <c r="D627" s="4" t="s">
        <v>2515</v>
      </c>
      <c r="E627" s="4" t="s">
        <v>2516</v>
      </c>
      <c r="F627" s="4" t="s">
        <v>2517</v>
      </c>
      <c r="G627" s="4" t="s">
        <v>2518</v>
      </c>
      <c r="H627" s="4" t="s">
        <v>2519</v>
      </c>
      <c r="I627" s="4" t="s">
        <v>34</v>
      </c>
      <c r="J627" s="4" t="s">
        <v>2520</v>
      </c>
      <c r="K627" s="4" t="s">
        <v>224</v>
      </c>
      <c r="L627" s="5" t="s">
        <v>2521</v>
      </c>
      <c r="M627" s="4" t="s">
        <v>2522</v>
      </c>
      <c r="N627" s="4" t="s">
        <v>2523</v>
      </c>
      <c r="P627" s="4" t="s">
        <v>2526</v>
      </c>
      <c r="Q627" s="4" t="s">
        <v>2527</v>
      </c>
      <c r="R627" s="4" t="s">
        <v>31</v>
      </c>
      <c r="S627" s="4" t="s">
        <v>257</v>
      </c>
      <c r="T627" s="7">
        <v>45501</v>
      </c>
      <c r="U627" s="4">
        <v>0</v>
      </c>
      <c r="V627" s="4">
        <v>6</v>
      </c>
      <c r="Y627" s="4" t="s">
        <v>233</v>
      </c>
      <c r="Z627" s="4" t="s">
        <v>234</v>
      </c>
      <c r="AA627" s="4" t="s">
        <v>234</v>
      </c>
      <c r="AC627" s="4" t="s">
        <v>2923</v>
      </c>
    </row>
    <row r="628" spans="1:29" hidden="1" x14ac:dyDescent="0.4">
      <c r="A628" s="4" t="s">
        <v>216</v>
      </c>
      <c r="B628" s="4">
        <v>1030</v>
      </c>
      <c r="C628" s="4" t="s">
        <v>242</v>
      </c>
      <c r="D628" s="4" t="s">
        <v>2515</v>
      </c>
      <c r="E628" s="4" t="s">
        <v>2516</v>
      </c>
      <c r="F628" s="4" t="s">
        <v>2517</v>
      </c>
      <c r="G628" s="4" t="s">
        <v>2518</v>
      </c>
      <c r="H628" s="4" t="s">
        <v>2519</v>
      </c>
      <c r="I628" s="4" t="s">
        <v>34</v>
      </c>
      <c r="J628" s="4" t="s">
        <v>2520</v>
      </c>
      <c r="K628" s="4" t="s">
        <v>224</v>
      </c>
      <c r="L628" s="5" t="s">
        <v>2521</v>
      </c>
      <c r="M628" s="4" t="s">
        <v>2522</v>
      </c>
      <c r="N628" s="4" t="s">
        <v>2523</v>
      </c>
      <c r="P628" s="4" t="s">
        <v>2526</v>
      </c>
      <c r="Q628" s="4" t="s">
        <v>2527</v>
      </c>
      <c r="R628" s="4" t="s">
        <v>31</v>
      </c>
      <c r="S628" s="4" t="s">
        <v>257</v>
      </c>
      <c r="T628" s="7">
        <v>45501</v>
      </c>
      <c r="U628" s="4">
        <v>0</v>
      </c>
      <c r="V628" s="4">
        <v>5</v>
      </c>
      <c r="W628" s="4" t="s">
        <v>314</v>
      </c>
      <c r="Y628" s="4" t="s">
        <v>233</v>
      </c>
      <c r="Z628" s="4" t="s">
        <v>234</v>
      </c>
      <c r="AA628" s="4" t="s">
        <v>234</v>
      </c>
      <c r="AC628" s="4" t="s">
        <v>2923</v>
      </c>
    </row>
    <row r="629" spans="1:29" hidden="1" x14ac:dyDescent="0.4">
      <c r="A629" s="4" t="s">
        <v>216</v>
      </c>
      <c r="B629" s="4">
        <v>1030</v>
      </c>
      <c r="C629" s="4" t="s">
        <v>242</v>
      </c>
      <c r="D629" s="4" t="s">
        <v>2515</v>
      </c>
      <c r="E629" s="4" t="s">
        <v>2516</v>
      </c>
      <c r="F629" s="4" t="s">
        <v>2517</v>
      </c>
      <c r="G629" s="4" t="s">
        <v>2518</v>
      </c>
      <c r="H629" s="4" t="s">
        <v>2519</v>
      </c>
      <c r="I629" s="4" t="s">
        <v>34</v>
      </c>
      <c r="J629" s="4" t="s">
        <v>2520</v>
      </c>
      <c r="K629" s="4" t="s">
        <v>224</v>
      </c>
      <c r="L629" s="5" t="s">
        <v>2521</v>
      </c>
      <c r="M629" s="4" t="s">
        <v>2522</v>
      </c>
      <c r="N629" s="4" t="s">
        <v>2523</v>
      </c>
      <c r="P629" s="4" t="s">
        <v>2904</v>
      </c>
      <c r="Q629" s="4" t="s">
        <v>2528</v>
      </c>
      <c r="R629" s="4" t="s">
        <v>53</v>
      </c>
      <c r="S629" s="4" t="s">
        <v>257</v>
      </c>
      <c r="T629" s="7">
        <v>43501</v>
      </c>
      <c r="U629" s="4">
        <v>0</v>
      </c>
      <c r="V629" s="4">
        <v>7</v>
      </c>
      <c r="W629" s="4" t="s">
        <v>238</v>
      </c>
      <c r="Y629" s="4" t="s">
        <v>233</v>
      </c>
      <c r="Z629" s="4" t="s">
        <v>234</v>
      </c>
      <c r="AA629" s="4" t="s">
        <v>234</v>
      </c>
      <c r="AC629" s="4" t="s">
        <v>2923</v>
      </c>
    </row>
    <row r="630" spans="1:29" hidden="1" x14ac:dyDescent="0.4">
      <c r="A630" s="4" t="s">
        <v>216</v>
      </c>
      <c r="B630" s="4">
        <v>1030</v>
      </c>
      <c r="C630" s="4" t="s">
        <v>242</v>
      </c>
      <c r="D630" s="4" t="s">
        <v>2515</v>
      </c>
      <c r="E630" s="4" t="s">
        <v>2516</v>
      </c>
      <c r="F630" s="4" t="s">
        <v>2517</v>
      </c>
      <c r="G630" s="4" t="s">
        <v>2518</v>
      </c>
      <c r="H630" s="4" t="s">
        <v>2519</v>
      </c>
      <c r="I630" s="4" t="s">
        <v>34</v>
      </c>
      <c r="J630" s="4" t="s">
        <v>2520</v>
      </c>
      <c r="K630" s="4" t="s">
        <v>224</v>
      </c>
      <c r="L630" s="5" t="s">
        <v>2521</v>
      </c>
      <c r="M630" s="4" t="s">
        <v>2522</v>
      </c>
      <c r="N630" s="4" t="s">
        <v>2523</v>
      </c>
      <c r="P630" s="4" t="s">
        <v>2526</v>
      </c>
      <c r="Q630" s="4" t="s">
        <v>2527</v>
      </c>
      <c r="R630" s="4" t="s">
        <v>31</v>
      </c>
      <c r="S630" s="4" t="s">
        <v>257</v>
      </c>
      <c r="T630" s="7">
        <v>45501</v>
      </c>
      <c r="U630" s="4">
        <v>0</v>
      </c>
      <c r="V630" s="4">
        <v>12</v>
      </c>
      <c r="Y630" s="4" t="s">
        <v>233</v>
      </c>
      <c r="Z630" s="4" t="s">
        <v>234</v>
      </c>
      <c r="AA630" s="4" t="s">
        <v>234</v>
      </c>
      <c r="AC630" s="4" t="s">
        <v>2923</v>
      </c>
    </row>
    <row r="631" spans="1:29" hidden="1" x14ac:dyDescent="0.4">
      <c r="A631" s="4" t="s">
        <v>216</v>
      </c>
      <c r="B631" s="4">
        <v>1030</v>
      </c>
      <c r="C631" s="4" t="s">
        <v>242</v>
      </c>
      <c r="D631" s="4" t="s">
        <v>2515</v>
      </c>
      <c r="E631" s="4" t="s">
        <v>2516</v>
      </c>
      <c r="F631" s="4" t="s">
        <v>2517</v>
      </c>
      <c r="G631" s="4" t="s">
        <v>2518</v>
      </c>
      <c r="H631" s="4" t="s">
        <v>2519</v>
      </c>
      <c r="I631" s="4" t="s">
        <v>34</v>
      </c>
      <c r="J631" s="4" t="s">
        <v>2520</v>
      </c>
      <c r="K631" s="4" t="s">
        <v>224</v>
      </c>
      <c r="L631" s="5" t="s">
        <v>2521</v>
      </c>
      <c r="M631" s="4" t="s">
        <v>2522</v>
      </c>
      <c r="N631" s="4" t="s">
        <v>2523</v>
      </c>
      <c r="P631" s="4" t="s">
        <v>2526</v>
      </c>
      <c r="Q631" s="4" t="s">
        <v>2527</v>
      </c>
      <c r="R631" s="4" t="s">
        <v>31</v>
      </c>
      <c r="S631" s="4" t="s">
        <v>257</v>
      </c>
      <c r="T631" s="7">
        <v>45501</v>
      </c>
      <c r="U631" s="4">
        <v>0</v>
      </c>
      <c r="V631" s="4">
        <v>11</v>
      </c>
      <c r="W631" s="4" t="s">
        <v>300</v>
      </c>
      <c r="Y631" s="4" t="s">
        <v>233</v>
      </c>
      <c r="Z631" s="4" t="s">
        <v>234</v>
      </c>
      <c r="AA631" s="4" t="s">
        <v>234</v>
      </c>
      <c r="AC631" s="4" t="s">
        <v>2923</v>
      </c>
    </row>
    <row r="632" spans="1:29" hidden="1" x14ac:dyDescent="0.4">
      <c r="A632" s="4" t="s">
        <v>216</v>
      </c>
      <c r="B632" s="4">
        <v>1030</v>
      </c>
      <c r="C632" s="4" t="s">
        <v>242</v>
      </c>
      <c r="D632" s="4" t="s">
        <v>2515</v>
      </c>
      <c r="E632" s="4" t="s">
        <v>2516</v>
      </c>
      <c r="F632" s="4" t="s">
        <v>2517</v>
      </c>
      <c r="G632" s="4" t="s">
        <v>2518</v>
      </c>
      <c r="H632" s="4" t="s">
        <v>2519</v>
      </c>
      <c r="I632" s="4" t="s">
        <v>34</v>
      </c>
      <c r="J632" s="4" t="s">
        <v>2520</v>
      </c>
      <c r="K632" s="4" t="s">
        <v>224</v>
      </c>
      <c r="L632" s="5" t="s">
        <v>2521</v>
      </c>
      <c r="M632" s="4" t="s">
        <v>2522</v>
      </c>
      <c r="N632" s="4" t="s">
        <v>2523</v>
      </c>
      <c r="P632" s="4" t="s">
        <v>2904</v>
      </c>
      <c r="Q632" s="4" t="s">
        <v>2528</v>
      </c>
      <c r="R632" s="4" t="s">
        <v>53</v>
      </c>
      <c r="S632" s="4" t="s">
        <v>257</v>
      </c>
      <c r="T632" s="7">
        <v>43501</v>
      </c>
      <c r="U632" s="4">
        <v>0</v>
      </c>
      <c r="V632" s="4">
        <v>13</v>
      </c>
      <c r="W632" s="4" t="s">
        <v>240</v>
      </c>
      <c r="Y632" s="4" t="s">
        <v>233</v>
      </c>
      <c r="Z632" s="4" t="s">
        <v>234</v>
      </c>
      <c r="AA632" s="4" t="s">
        <v>234</v>
      </c>
      <c r="AC632" s="4" t="s">
        <v>2923</v>
      </c>
    </row>
    <row r="633" spans="1:29" hidden="1" x14ac:dyDescent="0.4">
      <c r="A633" s="4" t="s">
        <v>216</v>
      </c>
      <c r="B633" s="4">
        <v>700</v>
      </c>
      <c r="C633" s="4" t="s">
        <v>417</v>
      </c>
      <c r="D633" s="4" t="s">
        <v>509</v>
      </c>
      <c r="E633" s="4" t="s">
        <v>2529</v>
      </c>
      <c r="F633" s="4" t="s">
        <v>2530</v>
      </c>
      <c r="H633" s="4" t="s">
        <v>2531</v>
      </c>
      <c r="I633" s="4" t="s">
        <v>30</v>
      </c>
      <c r="J633" s="4" t="s">
        <v>2532</v>
      </c>
      <c r="K633" s="4" t="s">
        <v>224</v>
      </c>
      <c r="L633" s="5" t="s">
        <v>2533</v>
      </c>
      <c r="M633" s="4" t="s">
        <v>2534</v>
      </c>
      <c r="N633" s="4" t="s">
        <v>2535</v>
      </c>
      <c r="P633" s="4" t="s">
        <v>2905</v>
      </c>
      <c r="Q633" s="4" t="s">
        <v>2541</v>
      </c>
      <c r="R633" s="4" t="s">
        <v>313</v>
      </c>
      <c r="S633" s="4" t="s">
        <v>257</v>
      </c>
      <c r="T633" s="7">
        <v>45139</v>
      </c>
      <c r="U633" s="4">
        <v>0</v>
      </c>
      <c r="V633" s="4">
        <v>4</v>
      </c>
      <c r="W633" s="4" t="s">
        <v>314</v>
      </c>
      <c r="Y633" s="4" t="s">
        <v>233</v>
      </c>
      <c r="Z633" s="4" t="s">
        <v>234</v>
      </c>
      <c r="AA633" s="4" t="s">
        <v>234</v>
      </c>
      <c r="AC633" s="4" t="s">
        <v>2923</v>
      </c>
    </row>
    <row r="634" spans="1:29" hidden="1" x14ac:dyDescent="0.4">
      <c r="A634" s="4" t="s">
        <v>216</v>
      </c>
      <c r="B634" s="4">
        <v>700</v>
      </c>
      <c r="C634" s="4" t="s">
        <v>417</v>
      </c>
      <c r="D634" s="4" t="s">
        <v>509</v>
      </c>
      <c r="E634" s="4" t="s">
        <v>2529</v>
      </c>
      <c r="F634" s="4" t="s">
        <v>2530</v>
      </c>
      <c r="H634" s="4" t="s">
        <v>2531</v>
      </c>
      <c r="I634" s="4" t="s">
        <v>30</v>
      </c>
      <c r="J634" s="4" t="s">
        <v>2532</v>
      </c>
      <c r="K634" s="4" t="s">
        <v>224</v>
      </c>
      <c r="L634" s="5" t="s">
        <v>2533</v>
      </c>
      <c r="M634" s="4" t="s">
        <v>2534</v>
      </c>
      <c r="N634" s="4" t="s">
        <v>2535</v>
      </c>
      <c r="P634" s="4" t="s">
        <v>2905</v>
      </c>
      <c r="Q634" s="4" t="s">
        <v>2541</v>
      </c>
      <c r="R634" s="4" t="s">
        <v>313</v>
      </c>
      <c r="S634" s="4" t="s">
        <v>257</v>
      </c>
      <c r="T634" s="7">
        <v>45139</v>
      </c>
      <c r="U634" s="4">
        <v>0</v>
      </c>
      <c r="V634" s="4">
        <v>5</v>
      </c>
      <c r="W634" s="4" t="s">
        <v>314</v>
      </c>
      <c r="Y634" s="4" t="s">
        <v>233</v>
      </c>
      <c r="Z634" s="4" t="s">
        <v>234</v>
      </c>
      <c r="AA634" s="4" t="s">
        <v>234</v>
      </c>
      <c r="AC634" s="4" t="s">
        <v>2923</v>
      </c>
    </row>
    <row r="635" spans="1:29" hidden="1" x14ac:dyDescent="0.4">
      <c r="A635" s="4" t="s">
        <v>216</v>
      </c>
      <c r="B635" s="4">
        <v>6548</v>
      </c>
      <c r="C635" s="4" t="s">
        <v>217</v>
      </c>
      <c r="D635" s="4" t="s">
        <v>2844</v>
      </c>
      <c r="E635" s="4" t="s">
        <v>2845</v>
      </c>
      <c r="F635" s="4" t="s">
        <v>2542</v>
      </c>
      <c r="H635" s="4" t="s">
        <v>2543</v>
      </c>
      <c r="I635" s="4" t="s">
        <v>28</v>
      </c>
      <c r="J635" s="4" t="s">
        <v>2544</v>
      </c>
      <c r="K635" s="4" t="s">
        <v>224</v>
      </c>
      <c r="L635" s="5">
        <v>7841748946</v>
      </c>
      <c r="M635" s="4" t="s">
        <v>2545</v>
      </c>
      <c r="N635" s="4" t="s">
        <v>2546</v>
      </c>
      <c r="P635" s="4" t="s">
        <v>2547</v>
      </c>
      <c r="Q635" s="4" t="s">
        <v>2548</v>
      </c>
      <c r="R635" s="4" t="s">
        <v>1144</v>
      </c>
      <c r="S635" s="4" t="s">
        <v>231</v>
      </c>
      <c r="T635" s="7">
        <v>43409</v>
      </c>
      <c r="U635" s="4">
        <v>0</v>
      </c>
      <c r="V635" s="4">
        <v>1</v>
      </c>
      <c r="W635" s="4" t="s">
        <v>253</v>
      </c>
      <c r="Y635" s="4" t="s">
        <v>233</v>
      </c>
      <c r="Z635" s="4" t="s">
        <v>234</v>
      </c>
      <c r="AA635" s="4" t="s">
        <v>234</v>
      </c>
      <c r="AC635" s="4" t="s">
        <v>2923</v>
      </c>
    </row>
    <row r="636" spans="1:29" hidden="1" x14ac:dyDescent="0.4">
      <c r="A636" s="4" t="s">
        <v>216</v>
      </c>
      <c r="B636" s="4">
        <v>6548</v>
      </c>
      <c r="C636" s="4" t="s">
        <v>217</v>
      </c>
      <c r="D636" s="4" t="s">
        <v>2844</v>
      </c>
      <c r="E636" s="4" t="s">
        <v>2845</v>
      </c>
      <c r="F636" s="4" t="s">
        <v>2542</v>
      </c>
      <c r="H636" s="4" t="s">
        <v>2543</v>
      </c>
      <c r="I636" s="4" t="s">
        <v>28</v>
      </c>
      <c r="J636" s="4" t="s">
        <v>2544</v>
      </c>
      <c r="K636" s="4" t="s">
        <v>224</v>
      </c>
      <c r="L636" s="5">
        <v>7841748946</v>
      </c>
      <c r="M636" s="4" t="s">
        <v>2545</v>
      </c>
      <c r="N636" s="4" t="s">
        <v>2546</v>
      </c>
      <c r="P636" s="4" t="s">
        <v>2547</v>
      </c>
      <c r="Q636" s="4" t="s">
        <v>2548</v>
      </c>
      <c r="R636" s="4" t="s">
        <v>1144</v>
      </c>
      <c r="S636" s="4" t="s">
        <v>231</v>
      </c>
      <c r="T636" s="7">
        <v>43409</v>
      </c>
      <c r="U636" s="4">
        <v>0</v>
      </c>
      <c r="V636" s="4">
        <v>2</v>
      </c>
      <c r="W636" s="4" t="s">
        <v>254</v>
      </c>
      <c r="Y636" s="4" t="s">
        <v>233</v>
      </c>
      <c r="Z636" s="4" t="s">
        <v>234</v>
      </c>
      <c r="AA636" s="4" t="s">
        <v>234</v>
      </c>
      <c r="AC636" s="4" t="s">
        <v>2923</v>
      </c>
    </row>
    <row r="637" spans="1:29" hidden="1" x14ac:dyDescent="0.4">
      <c r="A637" s="4" t="s">
        <v>216</v>
      </c>
      <c r="B637" s="4">
        <v>6548</v>
      </c>
      <c r="C637" s="4" t="s">
        <v>217</v>
      </c>
      <c r="D637" s="4" t="s">
        <v>2844</v>
      </c>
      <c r="E637" s="4" t="s">
        <v>2845</v>
      </c>
      <c r="F637" s="4" t="s">
        <v>2542</v>
      </c>
      <c r="H637" s="4" t="s">
        <v>2543</v>
      </c>
      <c r="I637" s="4" t="s">
        <v>28</v>
      </c>
      <c r="J637" s="4" t="s">
        <v>2544</v>
      </c>
      <c r="K637" s="4" t="s">
        <v>224</v>
      </c>
      <c r="L637" s="5">
        <v>7841748946</v>
      </c>
      <c r="M637" s="4" t="s">
        <v>2545</v>
      </c>
      <c r="N637" s="4" t="s">
        <v>2546</v>
      </c>
      <c r="P637" s="4" t="s">
        <v>2547</v>
      </c>
      <c r="Q637" s="4" t="s">
        <v>2548</v>
      </c>
      <c r="R637" s="4" t="s">
        <v>1144</v>
      </c>
      <c r="S637" s="4" t="s">
        <v>231</v>
      </c>
      <c r="T637" s="7">
        <v>43409</v>
      </c>
      <c r="U637" s="4">
        <v>0</v>
      </c>
      <c r="V637" s="4">
        <v>3</v>
      </c>
      <c r="W637" s="4" t="s">
        <v>258</v>
      </c>
      <c r="Y637" s="4" t="s">
        <v>233</v>
      </c>
      <c r="Z637" s="4" t="s">
        <v>234</v>
      </c>
      <c r="AA637" s="4" t="s">
        <v>234</v>
      </c>
      <c r="AC637" s="4" t="s">
        <v>2923</v>
      </c>
    </row>
    <row r="638" spans="1:29" hidden="1" x14ac:dyDescent="0.4">
      <c r="A638" s="4" t="s">
        <v>216</v>
      </c>
      <c r="B638" s="4">
        <v>5998</v>
      </c>
      <c r="C638" s="4" t="s">
        <v>242</v>
      </c>
      <c r="D638" s="4" t="s">
        <v>88</v>
      </c>
      <c r="E638" s="4" t="s">
        <v>2549</v>
      </c>
      <c r="F638" s="4" t="s">
        <v>2550</v>
      </c>
      <c r="G638" s="4" t="s">
        <v>2551</v>
      </c>
      <c r="H638" s="4" t="s">
        <v>2552</v>
      </c>
      <c r="I638" s="4" t="s">
        <v>409</v>
      </c>
      <c r="J638" s="4" t="s">
        <v>2553</v>
      </c>
      <c r="K638" s="4" t="s">
        <v>224</v>
      </c>
      <c r="L638" s="6" t="s">
        <v>2554</v>
      </c>
      <c r="M638" s="4" t="s">
        <v>2555</v>
      </c>
      <c r="N638" s="4" t="s">
        <v>2556</v>
      </c>
      <c r="P638" s="4" t="s">
        <v>2557</v>
      </c>
      <c r="Q638" s="4" t="s">
        <v>2558</v>
      </c>
      <c r="R638" s="4" t="s">
        <v>2559</v>
      </c>
      <c r="S638" s="4" t="s">
        <v>257</v>
      </c>
      <c r="T638" s="7">
        <v>41936</v>
      </c>
      <c r="U638" s="4">
        <v>0</v>
      </c>
      <c r="V638" s="4">
        <v>2</v>
      </c>
      <c r="W638" s="4" t="s">
        <v>254</v>
      </c>
      <c r="Y638" s="4" t="s">
        <v>233</v>
      </c>
      <c r="Z638" s="4" t="s">
        <v>234</v>
      </c>
      <c r="AA638" s="4" t="s">
        <v>234</v>
      </c>
      <c r="AC638" s="4" t="s">
        <v>2923</v>
      </c>
    </row>
    <row r="639" spans="1:29" hidden="1" x14ac:dyDescent="0.4">
      <c r="A639" s="4" t="s">
        <v>216</v>
      </c>
      <c r="B639" s="4">
        <v>5998</v>
      </c>
      <c r="C639" s="4" t="s">
        <v>242</v>
      </c>
      <c r="D639" s="4" t="s">
        <v>88</v>
      </c>
      <c r="E639" s="4" t="s">
        <v>2549</v>
      </c>
      <c r="F639" s="4" t="s">
        <v>2550</v>
      </c>
      <c r="G639" s="4" t="s">
        <v>2551</v>
      </c>
      <c r="H639" s="4" t="s">
        <v>2552</v>
      </c>
      <c r="I639" s="4" t="s">
        <v>409</v>
      </c>
      <c r="J639" s="4" t="s">
        <v>2553</v>
      </c>
      <c r="K639" s="4" t="s">
        <v>224</v>
      </c>
      <c r="L639" s="6" t="s">
        <v>2554</v>
      </c>
      <c r="M639" s="4" t="s">
        <v>2555</v>
      </c>
      <c r="N639" s="4" t="s">
        <v>2556</v>
      </c>
      <c r="P639" s="4" t="s">
        <v>2560</v>
      </c>
      <c r="Q639" s="4" t="s">
        <v>2561</v>
      </c>
      <c r="R639" s="4" t="s">
        <v>2559</v>
      </c>
      <c r="S639" s="4" t="s">
        <v>231</v>
      </c>
      <c r="T639" s="7">
        <v>44809</v>
      </c>
      <c r="U639" s="4">
        <v>0</v>
      </c>
      <c r="V639" s="4">
        <v>2</v>
      </c>
      <c r="W639" s="4" t="s">
        <v>254</v>
      </c>
      <c r="Y639" s="4" t="s">
        <v>233</v>
      </c>
      <c r="Z639" s="4" t="s">
        <v>234</v>
      </c>
      <c r="AA639" s="4" t="s">
        <v>234</v>
      </c>
      <c r="AC639" s="4" t="s">
        <v>2923</v>
      </c>
    </row>
    <row r="640" spans="1:29" hidden="1" x14ac:dyDescent="0.4">
      <c r="A640" s="4" t="s">
        <v>216</v>
      </c>
      <c r="B640" s="4">
        <v>5998</v>
      </c>
      <c r="C640" s="4" t="s">
        <v>242</v>
      </c>
      <c r="D640" s="4" t="s">
        <v>88</v>
      </c>
      <c r="E640" s="4" t="s">
        <v>2549</v>
      </c>
      <c r="F640" s="4" t="s">
        <v>2550</v>
      </c>
      <c r="G640" s="4" t="s">
        <v>2551</v>
      </c>
      <c r="H640" s="4" t="s">
        <v>2552</v>
      </c>
      <c r="I640" s="4" t="s">
        <v>409</v>
      </c>
      <c r="J640" s="4" t="s">
        <v>2553</v>
      </c>
      <c r="K640" s="4" t="s">
        <v>224</v>
      </c>
      <c r="L640" s="6" t="s">
        <v>2554</v>
      </c>
      <c r="M640" s="4" t="s">
        <v>2555</v>
      </c>
      <c r="N640" s="4" t="s">
        <v>2556</v>
      </c>
      <c r="P640" s="4" t="s">
        <v>2557</v>
      </c>
      <c r="Q640" s="4" t="s">
        <v>2558</v>
      </c>
      <c r="R640" s="4" t="s">
        <v>2559</v>
      </c>
      <c r="S640" s="4" t="s">
        <v>257</v>
      </c>
      <c r="T640" s="7">
        <v>41936</v>
      </c>
      <c r="U640" s="4">
        <v>0</v>
      </c>
      <c r="V640" s="4">
        <v>3</v>
      </c>
      <c r="W640" s="4" t="s">
        <v>258</v>
      </c>
      <c r="Y640" s="4" t="s">
        <v>233</v>
      </c>
      <c r="Z640" s="4" t="s">
        <v>234</v>
      </c>
      <c r="AA640" s="4" t="s">
        <v>234</v>
      </c>
      <c r="AC640" s="4" t="s">
        <v>2923</v>
      </c>
    </row>
    <row r="641" spans="1:29" hidden="1" x14ac:dyDescent="0.4">
      <c r="A641" s="4" t="s">
        <v>216</v>
      </c>
      <c r="B641" s="4">
        <v>704</v>
      </c>
      <c r="C641" s="4" t="s">
        <v>242</v>
      </c>
      <c r="D641" s="4" t="s">
        <v>323</v>
      </c>
      <c r="E641" s="4" t="s">
        <v>2846</v>
      </c>
      <c r="F641" s="4" t="s">
        <v>2562</v>
      </c>
      <c r="G641" s="4" t="s">
        <v>2563</v>
      </c>
      <c r="H641" s="4" t="s">
        <v>2564</v>
      </c>
      <c r="I641" s="4" t="s">
        <v>2565</v>
      </c>
      <c r="J641" s="4" t="s">
        <v>2566</v>
      </c>
      <c r="K641" s="4" t="s">
        <v>224</v>
      </c>
      <c r="L641" s="5" t="s">
        <v>2567</v>
      </c>
      <c r="M641" s="4" t="s">
        <v>2568</v>
      </c>
      <c r="N641" s="4" t="s">
        <v>2569</v>
      </c>
      <c r="P641" s="4" t="s">
        <v>2906</v>
      </c>
      <c r="Q641" s="4" t="s">
        <v>2570</v>
      </c>
      <c r="R641" s="4" t="s">
        <v>313</v>
      </c>
      <c r="S641" s="4" t="s">
        <v>257</v>
      </c>
      <c r="T641" s="7">
        <v>44233</v>
      </c>
      <c r="U641" s="4">
        <v>0</v>
      </c>
      <c r="V641" s="4">
        <v>7</v>
      </c>
      <c r="W641" s="4" t="s">
        <v>238</v>
      </c>
      <c r="X641" s="4" t="s">
        <v>293</v>
      </c>
      <c r="Y641" s="4" t="s">
        <v>233</v>
      </c>
      <c r="Z641" s="4" t="s">
        <v>234</v>
      </c>
      <c r="AA641" s="4" t="s">
        <v>233</v>
      </c>
      <c r="AC641" s="4" t="s">
        <v>2923</v>
      </c>
    </row>
    <row r="642" spans="1:29" hidden="1" x14ac:dyDescent="0.4">
      <c r="A642" s="4" t="s">
        <v>216</v>
      </c>
      <c r="B642" s="4">
        <v>704</v>
      </c>
      <c r="C642" s="4" t="s">
        <v>242</v>
      </c>
      <c r="D642" s="4" t="s">
        <v>323</v>
      </c>
      <c r="E642" s="4" t="s">
        <v>2846</v>
      </c>
      <c r="F642" s="4" t="s">
        <v>2562</v>
      </c>
      <c r="G642" s="4" t="s">
        <v>2563</v>
      </c>
      <c r="H642" s="4" t="s">
        <v>2564</v>
      </c>
      <c r="I642" s="4" t="s">
        <v>2565</v>
      </c>
      <c r="J642" s="4" t="s">
        <v>2566</v>
      </c>
      <c r="K642" s="4" t="s">
        <v>224</v>
      </c>
      <c r="L642" s="5" t="s">
        <v>2567</v>
      </c>
      <c r="M642" s="4" t="s">
        <v>2568</v>
      </c>
      <c r="N642" s="4" t="s">
        <v>2569</v>
      </c>
      <c r="P642" s="4" t="s">
        <v>2906</v>
      </c>
      <c r="Q642" s="4" t="s">
        <v>2570</v>
      </c>
      <c r="R642" s="4" t="s">
        <v>313</v>
      </c>
      <c r="S642" s="4" t="s">
        <v>257</v>
      </c>
      <c r="T642" s="7">
        <v>44233</v>
      </c>
      <c r="U642" s="4">
        <v>0</v>
      </c>
      <c r="V642" s="4">
        <v>13</v>
      </c>
      <c r="W642" s="4" t="s">
        <v>240</v>
      </c>
      <c r="X642" s="4" t="s">
        <v>293</v>
      </c>
      <c r="Y642" s="4" t="s">
        <v>233</v>
      </c>
      <c r="Z642" s="4" t="s">
        <v>234</v>
      </c>
      <c r="AA642" s="4" t="s">
        <v>233</v>
      </c>
      <c r="AC642" s="4" t="s">
        <v>2923</v>
      </c>
    </row>
    <row r="643" spans="1:29" hidden="1" x14ac:dyDescent="0.4">
      <c r="A643" s="4" t="s">
        <v>216</v>
      </c>
      <c r="B643" s="4">
        <v>6722</v>
      </c>
      <c r="C643" s="4" t="s">
        <v>217</v>
      </c>
      <c r="D643" s="4" t="s">
        <v>2571</v>
      </c>
      <c r="E643" s="4" t="s">
        <v>2572</v>
      </c>
      <c r="F643" s="4" t="s">
        <v>2573</v>
      </c>
      <c r="H643" s="4" t="s">
        <v>142</v>
      </c>
      <c r="I643" s="4" t="s">
        <v>143</v>
      </c>
      <c r="J643" s="4" t="s">
        <v>2574</v>
      </c>
      <c r="K643" s="4" t="s">
        <v>224</v>
      </c>
      <c r="L643" s="6" t="s">
        <v>2575</v>
      </c>
      <c r="M643" s="4" t="s">
        <v>2576</v>
      </c>
      <c r="N643" s="4" t="s">
        <v>2577</v>
      </c>
      <c r="P643" s="4" t="s">
        <v>2907</v>
      </c>
      <c r="Q643" s="4" t="s">
        <v>2578</v>
      </c>
      <c r="R643" s="4" t="s">
        <v>2426</v>
      </c>
      <c r="S643" s="4" t="s">
        <v>231</v>
      </c>
      <c r="T643" s="7">
        <v>45078</v>
      </c>
      <c r="U643" s="4">
        <v>0</v>
      </c>
      <c r="V643" s="4">
        <v>2</v>
      </c>
      <c r="W643" s="4" t="s">
        <v>254</v>
      </c>
      <c r="Y643" s="4" t="s">
        <v>233</v>
      </c>
      <c r="Z643" s="4" t="s">
        <v>234</v>
      </c>
      <c r="AA643" s="4" t="s">
        <v>234</v>
      </c>
      <c r="AC643" s="4" t="s">
        <v>2923</v>
      </c>
    </row>
    <row r="644" spans="1:29" hidden="1" x14ac:dyDescent="0.4">
      <c r="A644" s="4" t="s">
        <v>216</v>
      </c>
      <c r="B644" s="4">
        <v>6722</v>
      </c>
      <c r="C644" s="4" t="s">
        <v>217</v>
      </c>
      <c r="D644" s="4" t="s">
        <v>2571</v>
      </c>
      <c r="E644" s="4" t="s">
        <v>2572</v>
      </c>
      <c r="F644" s="4" t="s">
        <v>2573</v>
      </c>
      <c r="H644" s="4" t="s">
        <v>142</v>
      </c>
      <c r="I644" s="4" t="s">
        <v>143</v>
      </c>
      <c r="J644" s="4" t="s">
        <v>2574</v>
      </c>
      <c r="K644" s="4" t="s">
        <v>224</v>
      </c>
      <c r="L644" s="6" t="s">
        <v>2575</v>
      </c>
      <c r="M644" s="4" t="s">
        <v>2576</v>
      </c>
      <c r="N644" s="4" t="s">
        <v>2577</v>
      </c>
      <c r="P644" s="4" t="s">
        <v>2907</v>
      </c>
      <c r="Q644" s="4" t="s">
        <v>2578</v>
      </c>
      <c r="R644" s="4" t="s">
        <v>2426</v>
      </c>
      <c r="S644" s="4" t="s">
        <v>231</v>
      </c>
      <c r="T644" s="7">
        <v>45078</v>
      </c>
      <c r="U644" s="4">
        <v>0</v>
      </c>
      <c r="V644" s="4">
        <v>3</v>
      </c>
      <c r="W644" s="4" t="s">
        <v>258</v>
      </c>
      <c r="Y644" s="4" t="s">
        <v>233</v>
      </c>
      <c r="Z644" s="4" t="s">
        <v>234</v>
      </c>
      <c r="AA644" s="4" t="s">
        <v>234</v>
      </c>
      <c r="AC644" s="4" t="s">
        <v>2923</v>
      </c>
    </row>
    <row r="645" spans="1:29" hidden="1" x14ac:dyDescent="0.4">
      <c r="A645" s="4" t="s">
        <v>216</v>
      </c>
      <c r="B645" s="4">
        <v>3723</v>
      </c>
      <c r="C645" s="4" t="s">
        <v>242</v>
      </c>
      <c r="D645" s="4" t="s">
        <v>2579</v>
      </c>
      <c r="E645" s="4" t="s">
        <v>2580</v>
      </c>
      <c r="F645" s="4" t="s">
        <v>2581</v>
      </c>
      <c r="H645" s="4" t="s">
        <v>2582</v>
      </c>
      <c r="I645" s="4" t="s">
        <v>1600</v>
      </c>
      <c r="J645" s="4" t="s">
        <v>2583</v>
      </c>
      <c r="K645" s="4" t="s">
        <v>224</v>
      </c>
      <c r="L645" s="6" t="s">
        <v>2584</v>
      </c>
      <c r="M645" s="4" t="s">
        <v>2585</v>
      </c>
      <c r="N645" s="4" t="s">
        <v>2586</v>
      </c>
      <c r="P645" s="4" t="s">
        <v>2587</v>
      </c>
      <c r="Q645" s="4" t="s">
        <v>2588</v>
      </c>
      <c r="R645" s="4" t="s">
        <v>53</v>
      </c>
      <c r="S645" s="4" t="s">
        <v>257</v>
      </c>
      <c r="T645" s="7">
        <v>44889</v>
      </c>
      <c r="U645" s="4">
        <v>0</v>
      </c>
      <c r="V645" s="4">
        <v>5</v>
      </c>
      <c r="W645" s="4" t="s">
        <v>314</v>
      </c>
      <c r="Y645" s="4" t="s">
        <v>233</v>
      </c>
      <c r="Z645" s="4" t="s">
        <v>234</v>
      </c>
      <c r="AA645" s="4" t="s">
        <v>233</v>
      </c>
      <c r="AC645" s="4" t="s">
        <v>2923</v>
      </c>
    </row>
    <row r="646" spans="1:29" hidden="1" x14ac:dyDescent="0.4">
      <c r="A646" s="4" t="s">
        <v>216</v>
      </c>
      <c r="B646" s="4">
        <v>3723</v>
      </c>
      <c r="C646" s="4" t="s">
        <v>242</v>
      </c>
      <c r="D646" s="4" t="s">
        <v>2579</v>
      </c>
      <c r="E646" s="4" t="s">
        <v>2580</v>
      </c>
      <c r="F646" s="4" t="s">
        <v>2581</v>
      </c>
      <c r="H646" s="4" t="s">
        <v>2582</v>
      </c>
      <c r="I646" s="4" t="s">
        <v>1600</v>
      </c>
      <c r="J646" s="4" t="s">
        <v>2583</v>
      </c>
      <c r="K646" s="4" t="s">
        <v>224</v>
      </c>
      <c r="L646" s="6" t="s">
        <v>2584</v>
      </c>
      <c r="M646" s="4" t="s">
        <v>2585</v>
      </c>
      <c r="N646" s="4" t="s">
        <v>2586</v>
      </c>
      <c r="P646" s="4" t="s">
        <v>2587</v>
      </c>
      <c r="Q646" s="4" t="s">
        <v>2588</v>
      </c>
      <c r="R646" s="4" t="s">
        <v>53</v>
      </c>
      <c r="S646" s="4" t="s">
        <v>257</v>
      </c>
      <c r="T646" s="7">
        <v>44889</v>
      </c>
      <c r="U646" s="4">
        <v>0</v>
      </c>
      <c r="V646" s="4">
        <v>6</v>
      </c>
      <c r="Y646" s="4" t="s">
        <v>233</v>
      </c>
      <c r="Z646" s="4" t="s">
        <v>234</v>
      </c>
      <c r="AA646" s="4" t="s">
        <v>233</v>
      </c>
      <c r="AC646" s="4" t="s">
        <v>2923</v>
      </c>
    </row>
    <row r="647" spans="1:29" hidden="1" x14ac:dyDescent="0.4">
      <c r="A647" s="4" t="s">
        <v>216</v>
      </c>
      <c r="B647" s="4">
        <v>1015</v>
      </c>
      <c r="C647" s="4" t="s">
        <v>217</v>
      </c>
      <c r="D647" s="4" t="s">
        <v>2589</v>
      </c>
      <c r="E647" s="4" t="s">
        <v>2580</v>
      </c>
      <c r="F647" s="4" t="s">
        <v>2590</v>
      </c>
      <c r="G647" s="4" t="s">
        <v>2591</v>
      </c>
      <c r="H647" s="4" t="s">
        <v>718</v>
      </c>
      <c r="I647" s="4" t="s">
        <v>143</v>
      </c>
      <c r="J647" s="4" t="s">
        <v>2592</v>
      </c>
      <c r="K647" s="4" t="s">
        <v>224</v>
      </c>
      <c r="L647" s="5" t="s">
        <v>2593</v>
      </c>
      <c r="M647" s="4" t="s">
        <v>2594</v>
      </c>
      <c r="N647" s="4" t="s">
        <v>2595</v>
      </c>
      <c r="P647" s="4" t="s">
        <v>2596</v>
      </c>
      <c r="Q647" s="4" t="s">
        <v>2597</v>
      </c>
      <c r="R647" s="4" t="s">
        <v>2426</v>
      </c>
      <c r="S647" s="4" t="s">
        <v>257</v>
      </c>
      <c r="T647" s="7">
        <v>44776</v>
      </c>
      <c r="U647" s="4">
        <v>0</v>
      </c>
      <c r="V647" s="4">
        <v>5</v>
      </c>
      <c r="W647" s="4" t="s">
        <v>314</v>
      </c>
      <c r="Y647" s="4" t="s">
        <v>233</v>
      </c>
      <c r="Z647" s="4" t="s">
        <v>234</v>
      </c>
      <c r="AA647" s="4" t="s">
        <v>234</v>
      </c>
      <c r="AC647" s="4" t="s">
        <v>2923</v>
      </c>
    </row>
    <row r="648" spans="1:29" hidden="1" x14ac:dyDescent="0.4">
      <c r="A648" s="4" t="s">
        <v>216</v>
      </c>
      <c r="B648" s="4">
        <v>1015</v>
      </c>
      <c r="C648" s="4" t="s">
        <v>217</v>
      </c>
      <c r="D648" s="4" t="s">
        <v>2589</v>
      </c>
      <c r="E648" s="4" t="s">
        <v>2580</v>
      </c>
      <c r="F648" s="4" t="s">
        <v>2590</v>
      </c>
      <c r="G648" s="4" t="s">
        <v>2591</v>
      </c>
      <c r="H648" s="4" t="s">
        <v>718</v>
      </c>
      <c r="I648" s="4" t="s">
        <v>143</v>
      </c>
      <c r="J648" s="4" t="s">
        <v>2592</v>
      </c>
      <c r="K648" s="4" t="s">
        <v>224</v>
      </c>
      <c r="L648" s="5" t="s">
        <v>2593</v>
      </c>
      <c r="M648" s="4" t="s">
        <v>2594</v>
      </c>
      <c r="N648" s="4" t="s">
        <v>2595</v>
      </c>
      <c r="P648" s="4" t="s">
        <v>2596</v>
      </c>
      <c r="Q648" s="4" t="s">
        <v>2597</v>
      </c>
      <c r="R648" s="4" t="s">
        <v>2426</v>
      </c>
      <c r="S648" s="4" t="s">
        <v>257</v>
      </c>
      <c r="T648" s="7">
        <v>44776</v>
      </c>
      <c r="U648" s="4">
        <v>0</v>
      </c>
      <c r="V648" s="4">
        <v>6</v>
      </c>
      <c r="Y648" s="4" t="s">
        <v>233</v>
      </c>
      <c r="Z648" s="4" t="s">
        <v>234</v>
      </c>
      <c r="AA648" s="4" t="s">
        <v>234</v>
      </c>
      <c r="AC648" s="4" t="s">
        <v>2923</v>
      </c>
    </row>
    <row r="649" spans="1:29" hidden="1" x14ac:dyDescent="0.4">
      <c r="A649" s="4" t="s">
        <v>216</v>
      </c>
      <c r="B649" s="4">
        <v>1015</v>
      </c>
      <c r="C649" s="4" t="s">
        <v>217</v>
      </c>
      <c r="D649" s="4" t="s">
        <v>2589</v>
      </c>
      <c r="E649" s="4" t="s">
        <v>2580</v>
      </c>
      <c r="F649" s="4" t="s">
        <v>2590</v>
      </c>
      <c r="G649" s="4" t="s">
        <v>2591</v>
      </c>
      <c r="H649" s="4" t="s">
        <v>718</v>
      </c>
      <c r="I649" s="4" t="s">
        <v>143</v>
      </c>
      <c r="J649" s="4" t="s">
        <v>2592</v>
      </c>
      <c r="K649" s="4" t="s">
        <v>224</v>
      </c>
      <c r="L649" s="5" t="s">
        <v>2593</v>
      </c>
      <c r="M649" s="4" t="s">
        <v>2594</v>
      </c>
      <c r="N649" s="4" t="s">
        <v>2595</v>
      </c>
      <c r="P649" s="4" t="s">
        <v>2598</v>
      </c>
      <c r="Q649" s="4" t="s">
        <v>2599</v>
      </c>
      <c r="R649" s="4" t="s">
        <v>32</v>
      </c>
      <c r="S649" s="4" t="s">
        <v>231</v>
      </c>
      <c r="T649" s="7">
        <v>44366</v>
      </c>
      <c r="U649" s="4">
        <v>0</v>
      </c>
      <c r="V649" s="4">
        <v>5</v>
      </c>
      <c r="W649" s="4" t="s">
        <v>314</v>
      </c>
      <c r="Y649" s="4" t="s">
        <v>233</v>
      </c>
      <c r="Z649" s="4" t="s">
        <v>234</v>
      </c>
      <c r="AA649" s="4" t="s">
        <v>234</v>
      </c>
      <c r="AC649" s="4" t="s">
        <v>2923</v>
      </c>
    </row>
    <row r="650" spans="1:29" hidden="1" x14ac:dyDescent="0.4">
      <c r="A650" s="4" t="s">
        <v>216</v>
      </c>
      <c r="B650" s="4">
        <v>1015</v>
      </c>
      <c r="C650" s="4" t="s">
        <v>217</v>
      </c>
      <c r="D650" s="4" t="s">
        <v>2589</v>
      </c>
      <c r="E650" s="4" t="s">
        <v>2580</v>
      </c>
      <c r="F650" s="4" t="s">
        <v>2590</v>
      </c>
      <c r="G650" s="4" t="s">
        <v>2591</v>
      </c>
      <c r="H650" s="4" t="s">
        <v>718</v>
      </c>
      <c r="I650" s="4" t="s">
        <v>143</v>
      </c>
      <c r="J650" s="4" t="s">
        <v>2592</v>
      </c>
      <c r="K650" s="4" t="s">
        <v>224</v>
      </c>
      <c r="L650" s="5" t="s">
        <v>2593</v>
      </c>
      <c r="M650" s="4" t="s">
        <v>2594</v>
      </c>
      <c r="N650" s="4" t="s">
        <v>2595</v>
      </c>
      <c r="P650" s="4" t="s">
        <v>2598</v>
      </c>
      <c r="Q650" s="4" t="s">
        <v>2599</v>
      </c>
      <c r="R650" s="4" t="s">
        <v>32</v>
      </c>
      <c r="S650" s="4" t="s">
        <v>231</v>
      </c>
      <c r="T650" s="7">
        <v>44366</v>
      </c>
      <c r="U650" s="4">
        <v>0</v>
      </c>
      <c r="V650" s="4">
        <v>6</v>
      </c>
      <c r="Y650" s="4" t="s">
        <v>233</v>
      </c>
      <c r="Z650" s="4" t="s">
        <v>234</v>
      </c>
      <c r="AA650" s="4" t="s">
        <v>234</v>
      </c>
      <c r="AC650" s="4" t="s">
        <v>2923</v>
      </c>
    </row>
    <row r="651" spans="1:29" hidden="1" x14ac:dyDescent="0.4">
      <c r="A651" s="4" t="s">
        <v>216</v>
      </c>
      <c r="B651" s="4">
        <v>1015</v>
      </c>
      <c r="C651" s="4" t="s">
        <v>217</v>
      </c>
      <c r="D651" s="4" t="s">
        <v>2589</v>
      </c>
      <c r="E651" s="4" t="s">
        <v>2580</v>
      </c>
      <c r="F651" s="4" t="s">
        <v>2590</v>
      </c>
      <c r="G651" s="4" t="s">
        <v>2591</v>
      </c>
      <c r="H651" s="4" t="s">
        <v>718</v>
      </c>
      <c r="I651" s="4" t="s">
        <v>143</v>
      </c>
      <c r="J651" s="4" t="s">
        <v>2592</v>
      </c>
      <c r="K651" s="4" t="s">
        <v>224</v>
      </c>
      <c r="L651" s="5" t="s">
        <v>2593</v>
      </c>
      <c r="M651" s="4" t="s">
        <v>2594</v>
      </c>
      <c r="N651" s="4" t="s">
        <v>2595</v>
      </c>
      <c r="P651" s="4" t="s">
        <v>2596</v>
      </c>
      <c r="Q651" s="4" t="s">
        <v>2597</v>
      </c>
      <c r="R651" s="4" t="s">
        <v>2426</v>
      </c>
      <c r="S651" s="4" t="s">
        <v>257</v>
      </c>
      <c r="T651" s="7">
        <v>44776</v>
      </c>
      <c r="U651" s="4">
        <v>0</v>
      </c>
      <c r="V651" s="4">
        <v>11</v>
      </c>
      <c r="W651" s="4" t="s">
        <v>314</v>
      </c>
      <c r="Y651" s="4" t="s">
        <v>233</v>
      </c>
      <c r="Z651" s="4" t="s">
        <v>234</v>
      </c>
      <c r="AA651" s="4" t="s">
        <v>234</v>
      </c>
      <c r="AC651" s="4" t="s">
        <v>2923</v>
      </c>
    </row>
    <row r="652" spans="1:29" hidden="1" x14ac:dyDescent="0.4">
      <c r="A652" s="4" t="s">
        <v>216</v>
      </c>
      <c r="B652" s="4">
        <v>1015</v>
      </c>
      <c r="C652" s="4" t="s">
        <v>217</v>
      </c>
      <c r="D652" s="4" t="s">
        <v>2589</v>
      </c>
      <c r="E652" s="4" t="s">
        <v>2580</v>
      </c>
      <c r="F652" s="4" t="s">
        <v>2590</v>
      </c>
      <c r="G652" s="4" t="s">
        <v>2591</v>
      </c>
      <c r="H652" s="4" t="s">
        <v>718</v>
      </c>
      <c r="I652" s="4" t="s">
        <v>143</v>
      </c>
      <c r="J652" s="4" t="s">
        <v>2592</v>
      </c>
      <c r="K652" s="4" t="s">
        <v>224</v>
      </c>
      <c r="L652" s="5" t="s">
        <v>2593</v>
      </c>
      <c r="M652" s="4" t="s">
        <v>2594</v>
      </c>
      <c r="N652" s="4" t="s">
        <v>2595</v>
      </c>
      <c r="P652" s="4" t="s">
        <v>2596</v>
      </c>
      <c r="Q652" s="4" t="s">
        <v>2597</v>
      </c>
      <c r="R652" s="4" t="s">
        <v>2426</v>
      </c>
      <c r="S652" s="4" t="s">
        <v>257</v>
      </c>
      <c r="T652" s="7">
        <v>44776</v>
      </c>
      <c r="U652" s="4">
        <v>0</v>
      </c>
      <c r="V652" s="4">
        <v>12</v>
      </c>
      <c r="Y652" s="4" t="s">
        <v>233</v>
      </c>
      <c r="Z652" s="4" t="s">
        <v>234</v>
      </c>
      <c r="AA652" s="4" t="s">
        <v>234</v>
      </c>
      <c r="AC652" s="4" t="s">
        <v>2923</v>
      </c>
    </row>
    <row r="653" spans="1:29" hidden="1" x14ac:dyDescent="0.4">
      <c r="A653" s="4" t="s">
        <v>216</v>
      </c>
      <c r="B653" s="4">
        <v>1015</v>
      </c>
      <c r="C653" s="4" t="s">
        <v>217</v>
      </c>
      <c r="D653" s="4" t="s">
        <v>2589</v>
      </c>
      <c r="E653" s="4" t="s">
        <v>2580</v>
      </c>
      <c r="F653" s="4" t="s">
        <v>2590</v>
      </c>
      <c r="G653" s="4" t="s">
        <v>2591</v>
      </c>
      <c r="H653" s="4" t="s">
        <v>718</v>
      </c>
      <c r="I653" s="4" t="s">
        <v>143</v>
      </c>
      <c r="J653" s="4" t="s">
        <v>2592</v>
      </c>
      <c r="K653" s="4" t="s">
        <v>224</v>
      </c>
      <c r="L653" s="5" t="s">
        <v>2593</v>
      </c>
      <c r="M653" s="4" t="s">
        <v>2594</v>
      </c>
      <c r="N653" s="4" t="s">
        <v>2595</v>
      </c>
      <c r="P653" s="4" t="s">
        <v>2598</v>
      </c>
      <c r="Q653" s="4" t="s">
        <v>2599</v>
      </c>
      <c r="R653" s="4" t="s">
        <v>32</v>
      </c>
      <c r="S653" s="4" t="s">
        <v>231</v>
      </c>
      <c r="T653" s="7">
        <v>44366</v>
      </c>
      <c r="U653" s="4">
        <v>0</v>
      </c>
      <c r="V653" s="4">
        <v>11</v>
      </c>
      <c r="W653" s="4" t="s">
        <v>314</v>
      </c>
      <c r="Y653" s="4" t="s">
        <v>233</v>
      </c>
      <c r="Z653" s="4" t="s">
        <v>234</v>
      </c>
      <c r="AA653" s="4" t="s">
        <v>234</v>
      </c>
      <c r="AC653" s="4" t="s">
        <v>2923</v>
      </c>
    </row>
    <row r="654" spans="1:29" hidden="1" x14ac:dyDescent="0.4">
      <c r="A654" s="4" t="s">
        <v>216</v>
      </c>
      <c r="B654" s="4">
        <v>1015</v>
      </c>
      <c r="C654" s="4" t="s">
        <v>217</v>
      </c>
      <c r="D654" s="4" t="s">
        <v>2589</v>
      </c>
      <c r="E654" s="4" t="s">
        <v>2580</v>
      </c>
      <c r="F654" s="4" t="s">
        <v>2590</v>
      </c>
      <c r="G654" s="4" t="s">
        <v>2591</v>
      </c>
      <c r="H654" s="4" t="s">
        <v>718</v>
      </c>
      <c r="I654" s="4" t="s">
        <v>143</v>
      </c>
      <c r="J654" s="4" t="s">
        <v>2592</v>
      </c>
      <c r="K654" s="4" t="s">
        <v>224</v>
      </c>
      <c r="L654" s="5" t="s">
        <v>2593</v>
      </c>
      <c r="M654" s="4" t="s">
        <v>2594</v>
      </c>
      <c r="N654" s="4" t="s">
        <v>2595</v>
      </c>
      <c r="P654" s="4" t="s">
        <v>2598</v>
      </c>
      <c r="Q654" s="4" t="s">
        <v>2599</v>
      </c>
      <c r="R654" s="4" t="s">
        <v>32</v>
      </c>
      <c r="S654" s="4" t="s">
        <v>231</v>
      </c>
      <c r="T654" s="7">
        <v>44366</v>
      </c>
      <c r="U654" s="4">
        <v>0</v>
      </c>
      <c r="V654" s="4">
        <v>12</v>
      </c>
      <c r="Y654" s="4" t="s">
        <v>233</v>
      </c>
      <c r="Z654" s="4" t="s">
        <v>234</v>
      </c>
      <c r="AA654" s="4" t="s">
        <v>234</v>
      </c>
      <c r="AC654" s="4" t="s">
        <v>2923</v>
      </c>
    </row>
    <row r="655" spans="1:29" hidden="1" x14ac:dyDescent="0.4">
      <c r="A655" s="4" t="s">
        <v>216</v>
      </c>
      <c r="B655" s="4">
        <v>1781</v>
      </c>
      <c r="C655" s="4" t="s">
        <v>242</v>
      </c>
      <c r="D655" s="4" t="s">
        <v>952</v>
      </c>
      <c r="E655" s="4" t="s">
        <v>2580</v>
      </c>
      <c r="F655" s="4" t="s">
        <v>2604</v>
      </c>
      <c r="G655" s="4" t="s">
        <v>2605</v>
      </c>
      <c r="H655" s="4" t="s">
        <v>2591</v>
      </c>
      <c r="I655" s="4" t="s">
        <v>143</v>
      </c>
      <c r="J655" s="4" t="s">
        <v>2592</v>
      </c>
      <c r="K655" s="4" t="s">
        <v>224</v>
      </c>
      <c r="L655" s="5" t="s">
        <v>2606</v>
      </c>
      <c r="M655" s="4" t="s">
        <v>2594</v>
      </c>
      <c r="N655" s="4" t="s">
        <v>2607</v>
      </c>
      <c r="P655" s="4" t="s">
        <v>2608</v>
      </c>
      <c r="Q655" s="4" t="s">
        <v>2609</v>
      </c>
      <c r="R655" s="4" t="s">
        <v>2426</v>
      </c>
      <c r="S655" s="4" t="s">
        <v>231</v>
      </c>
      <c r="T655" s="7">
        <v>43212</v>
      </c>
      <c r="U655" s="4">
        <v>0</v>
      </c>
      <c r="V655" s="4">
        <v>5</v>
      </c>
      <c r="W655" s="4" t="s">
        <v>314</v>
      </c>
      <c r="Y655" s="4" t="s">
        <v>233</v>
      </c>
      <c r="Z655" s="4" t="s">
        <v>234</v>
      </c>
      <c r="AA655" s="4" t="s">
        <v>234</v>
      </c>
      <c r="AC655" s="4" t="s">
        <v>2923</v>
      </c>
    </row>
    <row r="656" spans="1:29" hidden="1" x14ac:dyDescent="0.4">
      <c r="A656" s="4" t="s">
        <v>216</v>
      </c>
      <c r="B656" s="4">
        <v>1781</v>
      </c>
      <c r="C656" s="4" t="s">
        <v>242</v>
      </c>
      <c r="D656" s="4" t="s">
        <v>952</v>
      </c>
      <c r="E656" s="4" t="s">
        <v>2580</v>
      </c>
      <c r="F656" s="4" t="s">
        <v>2604</v>
      </c>
      <c r="G656" s="4" t="s">
        <v>2605</v>
      </c>
      <c r="H656" s="4" t="s">
        <v>2591</v>
      </c>
      <c r="I656" s="4" t="s">
        <v>143</v>
      </c>
      <c r="J656" s="4" t="s">
        <v>2592</v>
      </c>
      <c r="K656" s="4" t="s">
        <v>224</v>
      </c>
      <c r="L656" s="5" t="s">
        <v>2606</v>
      </c>
      <c r="M656" s="4" t="s">
        <v>2594</v>
      </c>
      <c r="N656" s="4" t="s">
        <v>2607</v>
      </c>
      <c r="P656" s="4" t="s">
        <v>2608</v>
      </c>
      <c r="Q656" s="4" t="s">
        <v>2609</v>
      </c>
      <c r="R656" s="4" t="s">
        <v>2426</v>
      </c>
      <c r="S656" s="4" t="s">
        <v>231</v>
      </c>
      <c r="T656" s="7">
        <v>43212</v>
      </c>
      <c r="U656" s="4">
        <v>0</v>
      </c>
      <c r="V656" s="4">
        <v>11</v>
      </c>
      <c r="W656" s="4" t="s">
        <v>314</v>
      </c>
      <c r="Y656" s="4" t="s">
        <v>233</v>
      </c>
      <c r="Z656" s="4" t="s">
        <v>234</v>
      </c>
      <c r="AA656" s="4" t="s">
        <v>234</v>
      </c>
      <c r="AC656" s="4" t="s">
        <v>2923</v>
      </c>
    </row>
    <row r="657" spans="1:29" hidden="1" x14ac:dyDescent="0.4">
      <c r="A657" s="4" t="s">
        <v>216</v>
      </c>
      <c r="B657" s="4">
        <v>1267</v>
      </c>
      <c r="C657" s="4" t="s">
        <v>217</v>
      </c>
      <c r="D657" s="4" t="s">
        <v>1223</v>
      </c>
      <c r="E657" s="4" t="s">
        <v>2580</v>
      </c>
      <c r="F657" s="4" t="s">
        <v>2612</v>
      </c>
      <c r="G657" s="4" t="s">
        <v>2613</v>
      </c>
      <c r="H657" s="4" t="s">
        <v>2614</v>
      </c>
      <c r="I657" s="4" t="s">
        <v>30</v>
      </c>
      <c r="J657" s="4" t="s">
        <v>2615</v>
      </c>
      <c r="K657" s="4" t="s">
        <v>224</v>
      </c>
      <c r="L657" s="5" t="s">
        <v>2616</v>
      </c>
      <c r="M657" s="4" t="s">
        <v>2617</v>
      </c>
      <c r="N657" s="4" t="s">
        <v>2618</v>
      </c>
      <c r="P657" s="4" t="s">
        <v>2619</v>
      </c>
      <c r="Q657" s="4" t="s">
        <v>2620</v>
      </c>
      <c r="R657" s="4" t="s">
        <v>2811</v>
      </c>
      <c r="S657" s="4" t="s">
        <v>257</v>
      </c>
      <c r="T657" s="7">
        <v>43831</v>
      </c>
      <c r="U657" s="4">
        <v>0</v>
      </c>
      <c r="V657" s="4">
        <v>11</v>
      </c>
      <c r="W657" s="4" t="s">
        <v>314</v>
      </c>
      <c r="Y657" s="4" t="s">
        <v>233</v>
      </c>
      <c r="Z657" s="4" t="s">
        <v>234</v>
      </c>
      <c r="AA657" s="4" t="s">
        <v>234</v>
      </c>
      <c r="AC657" s="4" t="s">
        <v>2923</v>
      </c>
    </row>
    <row r="658" spans="1:29" hidden="1" x14ac:dyDescent="0.4">
      <c r="A658" s="4" t="s">
        <v>216</v>
      </c>
      <c r="B658" s="4">
        <v>1267</v>
      </c>
      <c r="C658" s="4" t="s">
        <v>217</v>
      </c>
      <c r="D658" s="4" t="s">
        <v>1223</v>
      </c>
      <c r="E658" s="4" t="s">
        <v>2580</v>
      </c>
      <c r="F658" s="4" t="s">
        <v>2612</v>
      </c>
      <c r="G658" s="4" t="s">
        <v>2613</v>
      </c>
      <c r="H658" s="4" t="s">
        <v>2614</v>
      </c>
      <c r="I658" s="4" t="s">
        <v>30</v>
      </c>
      <c r="J658" s="4" t="s">
        <v>2615</v>
      </c>
      <c r="K658" s="4" t="s">
        <v>224</v>
      </c>
      <c r="L658" s="5" t="s">
        <v>2616</v>
      </c>
      <c r="M658" s="4" t="s">
        <v>2617</v>
      </c>
      <c r="N658" s="4" t="s">
        <v>2618</v>
      </c>
      <c r="P658" s="4" t="s">
        <v>2619</v>
      </c>
      <c r="Q658" s="4" t="s">
        <v>2620</v>
      </c>
      <c r="R658" s="4" t="s">
        <v>2811</v>
      </c>
      <c r="S658" s="4" t="s">
        <v>257</v>
      </c>
      <c r="T658" s="7">
        <v>43831</v>
      </c>
      <c r="U658" s="4">
        <v>0</v>
      </c>
      <c r="V658" s="4">
        <v>14</v>
      </c>
      <c r="W658" s="4" t="s">
        <v>241</v>
      </c>
      <c r="Y658" s="4" t="s">
        <v>233</v>
      </c>
      <c r="Z658" s="4" t="s">
        <v>234</v>
      </c>
      <c r="AA658" s="4" t="s">
        <v>234</v>
      </c>
      <c r="AC658" s="4" t="s">
        <v>2923</v>
      </c>
    </row>
    <row r="659" spans="1:29" hidden="1" x14ac:dyDescent="0.4">
      <c r="A659" s="4" t="s">
        <v>216</v>
      </c>
      <c r="B659" s="4">
        <v>1267</v>
      </c>
      <c r="C659" s="4" t="s">
        <v>217</v>
      </c>
      <c r="D659" s="4" t="s">
        <v>1223</v>
      </c>
      <c r="E659" s="4" t="s">
        <v>2580</v>
      </c>
      <c r="F659" s="4" t="s">
        <v>2612</v>
      </c>
      <c r="G659" s="4" t="s">
        <v>2613</v>
      </c>
      <c r="H659" s="4" t="s">
        <v>2614</v>
      </c>
      <c r="I659" s="4" t="s">
        <v>30</v>
      </c>
      <c r="J659" s="4" t="s">
        <v>2615</v>
      </c>
      <c r="K659" s="4" t="s">
        <v>224</v>
      </c>
      <c r="L659" s="5" t="s">
        <v>2616</v>
      </c>
      <c r="M659" s="4" t="s">
        <v>2617</v>
      </c>
      <c r="N659" s="4" t="s">
        <v>2618</v>
      </c>
      <c r="P659" s="4" t="s">
        <v>2623</v>
      </c>
      <c r="Q659" s="4" t="s">
        <v>2624</v>
      </c>
      <c r="R659" s="4" t="s">
        <v>2811</v>
      </c>
      <c r="S659" s="4" t="s">
        <v>257</v>
      </c>
      <c r="T659" s="7">
        <v>45579</v>
      </c>
      <c r="U659" s="4">
        <v>0</v>
      </c>
      <c r="V659" s="4">
        <v>10</v>
      </c>
      <c r="W659" s="4" t="s">
        <v>314</v>
      </c>
      <c r="Y659" s="4" t="s">
        <v>233</v>
      </c>
      <c r="Z659" s="4" t="s">
        <v>234</v>
      </c>
      <c r="AA659" s="4" t="s">
        <v>234</v>
      </c>
      <c r="AC659" s="4" t="s">
        <v>2923</v>
      </c>
    </row>
    <row r="660" spans="1:29" hidden="1" x14ac:dyDescent="0.4">
      <c r="A660" s="4" t="s">
        <v>216</v>
      </c>
      <c r="B660" s="4">
        <v>4273</v>
      </c>
      <c r="C660" s="4" t="s">
        <v>242</v>
      </c>
      <c r="D660" s="4" t="s">
        <v>1443</v>
      </c>
      <c r="E660" s="4" t="s">
        <v>2625</v>
      </c>
      <c r="F660" s="4" t="s">
        <v>2626</v>
      </c>
      <c r="G660" s="4" t="s">
        <v>2627</v>
      </c>
      <c r="H660" s="4" t="s">
        <v>1822</v>
      </c>
      <c r="I660" s="4" t="s">
        <v>34</v>
      </c>
      <c r="J660" s="4" t="s">
        <v>2628</v>
      </c>
      <c r="K660" s="4" t="s">
        <v>224</v>
      </c>
      <c r="L660" s="6" t="s">
        <v>2629</v>
      </c>
      <c r="M660" s="4" t="s">
        <v>2630</v>
      </c>
      <c r="N660" s="4" t="s">
        <v>2631</v>
      </c>
      <c r="P660" s="4" t="s">
        <v>2632</v>
      </c>
      <c r="Q660" s="4" t="s">
        <v>2633</v>
      </c>
      <c r="R660" s="4" t="s">
        <v>31</v>
      </c>
      <c r="S660" s="4" t="s">
        <v>257</v>
      </c>
      <c r="T660" s="7">
        <v>44811</v>
      </c>
      <c r="U660" s="4">
        <v>0</v>
      </c>
      <c r="V660" s="4">
        <v>4</v>
      </c>
      <c r="W660" s="4" t="s">
        <v>314</v>
      </c>
      <c r="Y660" s="4" t="s">
        <v>233</v>
      </c>
      <c r="Z660" s="4" t="s">
        <v>234</v>
      </c>
      <c r="AA660" s="4" t="s">
        <v>234</v>
      </c>
      <c r="AC660" s="4" t="s">
        <v>2923</v>
      </c>
    </row>
    <row r="661" spans="1:29" hidden="1" x14ac:dyDescent="0.4">
      <c r="A661" s="4" t="s">
        <v>216</v>
      </c>
      <c r="B661" s="4">
        <v>4273</v>
      </c>
      <c r="C661" s="4" t="s">
        <v>242</v>
      </c>
      <c r="D661" s="4" t="s">
        <v>1443</v>
      </c>
      <c r="E661" s="4" t="s">
        <v>2625</v>
      </c>
      <c r="F661" s="4" t="s">
        <v>2626</v>
      </c>
      <c r="G661" s="4" t="s">
        <v>2627</v>
      </c>
      <c r="H661" s="4" t="s">
        <v>1822</v>
      </c>
      <c r="I661" s="4" t="s">
        <v>34</v>
      </c>
      <c r="J661" s="4" t="s">
        <v>2628</v>
      </c>
      <c r="K661" s="4" t="s">
        <v>224</v>
      </c>
      <c r="L661" s="6" t="s">
        <v>2629</v>
      </c>
      <c r="M661" s="4" t="s">
        <v>2630</v>
      </c>
      <c r="N661" s="4" t="s">
        <v>2631</v>
      </c>
      <c r="P661" s="4" t="s">
        <v>2632</v>
      </c>
      <c r="Q661" s="4" t="s">
        <v>2633</v>
      </c>
      <c r="R661" s="4" t="s">
        <v>31</v>
      </c>
      <c r="S661" s="4" t="s">
        <v>257</v>
      </c>
      <c r="T661" s="7">
        <v>44811</v>
      </c>
      <c r="U661" s="4">
        <v>0</v>
      </c>
      <c r="V661" s="4">
        <v>10</v>
      </c>
      <c r="W661" s="4" t="s">
        <v>433</v>
      </c>
      <c r="Y661" s="4" t="s">
        <v>233</v>
      </c>
      <c r="Z661" s="4" t="s">
        <v>234</v>
      </c>
      <c r="AA661" s="4" t="s">
        <v>234</v>
      </c>
      <c r="AC661" s="4" t="s">
        <v>2923</v>
      </c>
    </row>
    <row r="662" spans="1:29" hidden="1" x14ac:dyDescent="0.4">
      <c r="A662" s="4" t="s">
        <v>216</v>
      </c>
      <c r="B662" s="4">
        <v>850</v>
      </c>
      <c r="C662" s="4" t="s">
        <v>217</v>
      </c>
      <c r="D662" s="4" t="s">
        <v>2635</v>
      </c>
      <c r="E662" s="4" t="s">
        <v>2636</v>
      </c>
      <c r="F662" s="4" t="s">
        <v>2637</v>
      </c>
      <c r="H662" s="4" t="s">
        <v>2638</v>
      </c>
      <c r="I662" s="4" t="s">
        <v>34</v>
      </c>
      <c r="J662" s="4" t="s">
        <v>2639</v>
      </c>
      <c r="K662" s="4" t="s">
        <v>224</v>
      </c>
      <c r="L662" s="6" t="s">
        <v>2640</v>
      </c>
      <c r="M662" s="4" t="s">
        <v>2641</v>
      </c>
      <c r="N662" s="4" t="s">
        <v>2642</v>
      </c>
      <c r="P662" s="4" t="s">
        <v>2643</v>
      </c>
      <c r="Q662" s="4" t="s">
        <v>2644</v>
      </c>
      <c r="R662" s="4" t="s">
        <v>32</v>
      </c>
      <c r="S662" s="4" t="s">
        <v>231</v>
      </c>
      <c r="T662" s="7">
        <v>43382</v>
      </c>
      <c r="U662" s="4">
        <v>0</v>
      </c>
      <c r="V662" s="4">
        <v>5</v>
      </c>
      <c r="W662" s="4" t="s">
        <v>297</v>
      </c>
      <c r="Y662" s="4" t="s">
        <v>233</v>
      </c>
      <c r="Z662" s="4" t="s">
        <v>234</v>
      </c>
      <c r="AA662" s="4" t="s">
        <v>234</v>
      </c>
      <c r="AC662" s="4" t="s">
        <v>2923</v>
      </c>
    </row>
    <row r="663" spans="1:29" hidden="1" x14ac:dyDescent="0.4">
      <c r="A663" s="4" t="s">
        <v>216</v>
      </c>
      <c r="B663" s="4">
        <v>850</v>
      </c>
      <c r="C663" s="4" t="s">
        <v>217</v>
      </c>
      <c r="D663" s="4" t="s">
        <v>2635</v>
      </c>
      <c r="E663" s="4" t="s">
        <v>2636</v>
      </c>
      <c r="F663" s="4" t="s">
        <v>2637</v>
      </c>
      <c r="H663" s="4" t="s">
        <v>2638</v>
      </c>
      <c r="I663" s="4" t="s">
        <v>34</v>
      </c>
      <c r="J663" s="4" t="s">
        <v>2639</v>
      </c>
      <c r="K663" s="4" t="s">
        <v>224</v>
      </c>
      <c r="L663" s="6" t="s">
        <v>2640</v>
      </c>
      <c r="M663" s="4" t="s">
        <v>2641</v>
      </c>
      <c r="N663" s="4" t="s">
        <v>2642</v>
      </c>
      <c r="P663" s="4" t="s">
        <v>2645</v>
      </c>
      <c r="Q663" s="4" t="s">
        <v>2646</v>
      </c>
      <c r="R663" s="4" t="s">
        <v>32</v>
      </c>
      <c r="S663" s="4" t="s">
        <v>231</v>
      </c>
      <c r="T663" s="7">
        <v>44248</v>
      </c>
      <c r="U663" s="4">
        <v>0</v>
      </c>
      <c r="V663" s="4">
        <v>7</v>
      </c>
      <c r="W663" s="4" t="s">
        <v>238</v>
      </c>
      <c r="Y663" s="4" t="s">
        <v>233</v>
      </c>
      <c r="Z663" s="4" t="s">
        <v>234</v>
      </c>
      <c r="AA663" s="4" t="s">
        <v>234</v>
      </c>
      <c r="AC663" s="4" t="s">
        <v>2923</v>
      </c>
    </row>
    <row r="664" spans="1:29" hidden="1" x14ac:dyDescent="0.4">
      <c r="A664" s="4" t="s">
        <v>216</v>
      </c>
      <c r="B664" s="4">
        <v>850</v>
      </c>
      <c r="C664" s="4" t="s">
        <v>217</v>
      </c>
      <c r="D664" s="4" t="s">
        <v>2635</v>
      </c>
      <c r="E664" s="4" t="s">
        <v>2636</v>
      </c>
      <c r="F664" s="4" t="s">
        <v>2637</v>
      </c>
      <c r="H664" s="4" t="s">
        <v>2638</v>
      </c>
      <c r="I664" s="4" t="s">
        <v>34</v>
      </c>
      <c r="J664" s="4" t="s">
        <v>2639</v>
      </c>
      <c r="K664" s="4" t="s">
        <v>224</v>
      </c>
      <c r="L664" s="6" t="s">
        <v>2640</v>
      </c>
      <c r="M664" s="4" t="s">
        <v>2641</v>
      </c>
      <c r="N664" s="4" t="s">
        <v>2642</v>
      </c>
      <c r="P664" s="4" t="s">
        <v>2643</v>
      </c>
      <c r="Q664" s="4" t="s">
        <v>2644</v>
      </c>
      <c r="R664" s="4" t="s">
        <v>32</v>
      </c>
      <c r="S664" s="4" t="s">
        <v>231</v>
      </c>
      <c r="T664" s="7">
        <v>43382</v>
      </c>
      <c r="U664" s="4">
        <v>0</v>
      </c>
      <c r="V664" s="4">
        <v>11</v>
      </c>
      <c r="W664" s="4" t="s">
        <v>300</v>
      </c>
      <c r="Y664" s="4" t="s">
        <v>233</v>
      </c>
      <c r="Z664" s="4" t="s">
        <v>234</v>
      </c>
      <c r="AA664" s="4" t="s">
        <v>234</v>
      </c>
      <c r="AC664" s="4" t="s">
        <v>2923</v>
      </c>
    </row>
    <row r="665" spans="1:29" hidden="1" x14ac:dyDescent="0.4">
      <c r="A665" s="4" t="s">
        <v>216</v>
      </c>
      <c r="B665" s="4">
        <v>850</v>
      </c>
      <c r="C665" s="4" t="s">
        <v>217</v>
      </c>
      <c r="D665" s="4" t="s">
        <v>2635</v>
      </c>
      <c r="E665" s="4" t="s">
        <v>2636</v>
      </c>
      <c r="F665" s="4" t="s">
        <v>2637</v>
      </c>
      <c r="H665" s="4" t="s">
        <v>2638</v>
      </c>
      <c r="I665" s="4" t="s">
        <v>34</v>
      </c>
      <c r="J665" s="4" t="s">
        <v>2639</v>
      </c>
      <c r="K665" s="4" t="s">
        <v>224</v>
      </c>
      <c r="L665" s="6" t="s">
        <v>2640</v>
      </c>
      <c r="M665" s="4" t="s">
        <v>2641</v>
      </c>
      <c r="N665" s="4" t="s">
        <v>2642</v>
      </c>
      <c r="P665" s="4" t="s">
        <v>2645</v>
      </c>
      <c r="Q665" s="4" t="s">
        <v>2646</v>
      </c>
      <c r="R665" s="4" t="s">
        <v>32</v>
      </c>
      <c r="S665" s="4" t="s">
        <v>231</v>
      </c>
      <c r="T665" s="7">
        <v>44248</v>
      </c>
      <c r="U665" s="4">
        <v>0</v>
      </c>
      <c r="V665" s="4">
        <v>13</v>
      </c>
      <c r="W665" s="4" t="s">
        <v>240</v>
      </c>
      <c r="Y665" s="4" t="s">
        <v>233</v>
      </c>
      <c r="Z665" s="4" t="s">
        <v>234</v>
      </c>
      <c r="AA665" s="4" t="s">
        <v>234</v>
      </c>
      <c r="AC665" s="4" t="s">
        <v>2923</v>
      </c>
    </row>
    <row r="666" spans="1:29" hidden="1" x14ac:dyDescent="0.4">
      <c r="A666" s="4" t="s">
        <v>216</v>
      </c>
      <c r="B666" s="4">
        <v>649</v>
      </c>
      <c r="C666" s="4" t="s">
        <v>242</v>
      </c>
      <c r="D666" s="4" t="s">
        <v>525</v>
      </c>
      <c r="E666" s="4" t="s">
        <v>2847</v>
      </c>
      <c r="F666" s="4" t="s">
        <v>2647</v>
      </c>
      <c r="G666" s="4" t="s">
        <v>2648</v>
      </c>
      <c r="H666" s="4" t="s">
        <v>2649</v>
      </c>
      <c r="I666" s="4" t="s">
        <v>34</v>
      </c>
      <c r="J666" s="4" t="s">
        <v>2650</v>
      </c>
      <c r="K666" s="4" t="s">
        <v>224</v>
      </c>
      <c r="L666" s="5" t="s">
        <v>2651</v>
      </c>
      <c r="M666" s="4" t="s">
        <v>2652</v>
      </c>
      <c r="N666" s="4" t="s">
        <v>2653</v>
      </c>
      <c r="P666" s="4" t="s">
        <v>2654</v>
      </c>
      <c r="Q666" s="4" t="s">
        <v>2655</v>
      </c>
      <c r="R666" s="4" t="s">
        <v>31</v>
      </c>
      <c r="S666" s="4" t="s">
        <v>257</v>
      </c>
      <c r="T666" s="7">
        <v>45649</v>
      </c>
      <c r="U666" s="4">
        <v>0</v>
      </c>
      <c r="V666" s="4">
        <v>4</v>
      </c>
      <c r="W666" s="4" t="s">
        <v>314</v>
      </c>
      <c r="Y666" s="4" t="s">
        <v>233</v>
      </c>
      <c r="Z666" s="4" t="s">
        <v>234</v>
      </c>
      <c r="AA666" s="4" t="s">
        <v>234</v>
      </c>
      <c r="AC666" s="4" t="s">
        <v>2923</v>
      </c>
    </row>
    <row r="667" spans="1:29" hidden="1" x14ac:dyDescent="0.4">
      <c r="A667" s="4" t="s">
        <v>216</v>
      </c>
      <c r="B667" s="4">
        <v>649</v>
      </c>
      <c r="C667" s="4" t="s">
        <v>242</v>
      </c>
      <c r="D667" s="4" t="s">
        <v>525</v>
      </c>
      <c r="E667" s="4" t="s">
        <v>2847</v>
      </c>
      <c r="F667" s="4" t="s">
        <v>2647</v>
      </c>
      <c r="G667" s="4" t="s">
        <v>2648</v>
      </c>
      <c r="H667" s="4" t="s">
        <v>2649</v>
      </c>
      <c r="I667" s="4" t="s">
        <v>34</v>
      </c>
      <c r="J667" s="4" t="s">
        <v>2650</v>
      </c>
      <c r="K667" s="4" t="s">
        <v>224</v>
      </c>
      <c r="L667" s="5" t="s">
        <v>2651</v>
      </c>
      <c r="M667" s="4" t="s">
        <v>2652</v>
      </c>
      <c r="N667" s="4" t="s">
        <v>2653</v>
      </c>
      <c r="P667" s="4" t="s">
        <v>2656</v>
      </c>
      <c r="Q667" s="4" t="s">
        <v>2657</v>
      </c>
      <c r="R667" s="4" t="s">
        <v>2811</v>
      </c>
      <c r="S667" s="4" t="s">
        <v>257</v>
      </c>
      <c r="T667" s="7">
        <v>43909</v>
      </c>
      <c r="U667" s="4">
        <v>0</v>
      </c>
      <c r="V667" s="4">
        <v>7</v>
      </c>
      <c r="W667" s="4" t="s">
        <v>238</v>
      </c>
      <c r="Y667" s="4" t="s">
        <v>233</v>
      </c>
      <c r="Z667" s="4" t="s">
        <v>234</v>
      </c>
      <c r="AA667" s="4" t="s">
        <v>234</v>
      </c>
      <c r="AC667" s="4" t="s">
        <v>2923</v>
      </c>
    </row>
    <row r="668" spans="1:29" hidden="1" x14ac:dyDescent="0.4">
      <c r="A668" s="4" t="s">
        <v>216</v>
      </c>
      <c r="B668" s="4">
        <v>649</v>
      </c>
      <c r="C668" s="4" t="s">
        <v>242</v>
      </c>
      <c r="D668" s="4" t="s">
        <v>525</v>
      </c>
      <c r="E668" s="4" t="s">
        <v>2847</v>
      </c>
      <c r="F668" s="4" t="s">
        <v>2647</v>
      </c>
      <c r="G668" s="4" t="s">
        <v>2648</v>
      </c>
      <c r="H668" s="4" t="s">
        <v>2649</v>
      </c>
      <c r="I668" s="4" t="s">
        <v>34</v>
      </c>
      <c r="J668" s="4" t="s">
        <v>2650</v>
      </c>
      <c r="K668" s="4" t="s">
        <v>224</v>
      </c>
      <c r="L668" s="5" t="s">
        <v>2651</v>
      </c>
      <c r="M668" s="4" t="s">
        <v>2652</v>
      </c>
      <c r="N668" s="4" t="s">
        <v>2653</v>
      </c>
      <c r="P668" s="4" t="s">
        <v>2654</v>
      </c>
      <c r="Q668" s="4" t="s">
        <v>2655</v>
      </c>
      <c r="R668" s="4" t="s">
        <v>31</v>
      </c>
      <c r="S668" s="4" t="s">
        <v>257</v>
      </c>
      <c r="T668" s="7">
        <v>45649</v>
      </c>
      <c r="U668" s="4">
        <v>0</v>
      </c>
      <c r="V668" s="4">
        <v>10</v>
      </c>
      <c r="W668" s="4" t="s">
        <v>524</v>
      </c>
      <c r="Y668" s="4" t="s">
        <v>233</v>
      </c>
      <c r="Z668" s="4" t="s">
        <v>234</v>
      </c>
      <c r="AA668" s="4" t="s">
        <v>234</v>
      </c>
      <c r="AC668" s="4" t="s">
        <v>2923</v>
      </c>
    </row>
    <row r="669" spans="1:29" hidden="1" x14ac:dyDescent="0.4">
      <c r="A669" s="4" t="s">
        <v>216</v>
      </c>
      <c r="B669" s="4">
        <v>649</v>
      </c>
      <c r="C669" s="4" t="s">
        <v>242</v>
      </c>
      <c r="D669" s="4" t="s">
        <v>525</v>
      </c>
      <c r="E669" s="4" t="s">
        <v>2847</v>
      </c>
      <c r="F669" s="4" t="s">
        <v>2647</v>
      </c>
      <c r="G669" s="4" t="s">
        <v>2648</v>
      </c>
      <c r="H669" s="4" t="s">
        <v>2649</v>
      </c>
      <c r="I669" s="4" t="s">
        <v>34</v>
      </c>
      <c r="J669" s="4" t="s">
        <v>2650</v>
      </c>
      <c r="K669" s="4" t="s">
        <v>224</v>
      </c>
      <c r="L669" s="5" t="s">
        <v>2651</v>
      </c>
      <c r="M669" s="4" t="s">
        <v>2652</v>
      </c>
      <c r="N669" s="4" t="s">
        <v>2653</v>
      </c>
      <c r="P669" s="4" t="s">
        <v>2908</v>
      </c>
      <c r="Q669" s="4" t="s">
        <v>2658</v>
      </c>
      <c r="R669" s="4" t="s">
        <v>2916</v>
      </c>
      <c r="S669" s="4" t="s">
        <v>257</v>
      </c>
      <c r="T669" s="7">
        <v>44609</v>
      </c>
      <c r="U669" s="4">
        <v>0</v>
      </c>
      <c r="V669" s="4">
        <v>4</v>
      </c>
      <c r="W669" s="4" t="s">
        <v>314</v>
      </c>
      <c r="Y669" s="4" t="s">
        <v>233</v>
      </c>
      <c r="Z669" s="4" t="s">
        <v>234</v>
      </c>
      <c r="AA669" s="4" t="s">
        <v>234</v>
      </c>
      <c r="AC669" s="4" t="s">
        <v>2923</v>
      </c>
    </row>
    <row r="670" spans="1:29" hidden="1" x14ac:dyDescent="0.4">
      <c r="A670" s="4" t="s">
        <v>216</v>
      </c>
      <c r="B670" s="4">
        <v>649</v>
      </c>
      <c r="C670" s="4" t="s">
        <v>242</v>
      </c>
      <c r="D670" s="4" t="s">
        <v>525</v>
      </c>
      <c r="E670" s="4" t="s">
        <v>2847</v>
      </c>
      <c r="F670" s="4" t="s">
        <v>2647</v>
      </c>
      <c r="G670" s="4" t="s">
        <v>2648</v>
      </c>
      <c r="H670" s="4" t="s">
        <v>2649</v>
      </c>
      <c r="I670" s="4" t="s">
        <v>34</v>
      </c>
      <c r="J670" s="4" t="s">
        <v>2650</v>
      </c>
      <c r="K670" s="4" t="s">
        <v>224</v>
      </c>
      <c r="L670" s="5" t="s">
        <v>2651</v>
      </c>
      <c r="M670" s="4" t="s">
        <v>2652</v>
      </c>
      <c r="N670" s="4" t="s">
        <v>2653</v>
      </c>
      <c r="P670" s="4" t="s">
        <v>2908</v>
      </c>
      <c r="Q670" s="4" t="s">
        <v>2658</v>
      </c>
      <c r="R670" s="4" t="s">
        <v>2916</v>
      </c>
      <c r="S670" s="4" t="s">
        <v>257</v>
      </c>
      <c r="T670" s="7">
        <v>44609</v>
      </c>
      <c r="U670" s="4">
        <v>0</v>
      </c>
      <c r="V670" s="4">
        <v>5</v>
      </c>
      <c r="W670" s="4" t="s">
        <v>314</v>
      </c>
      <c r="Y670" s="4" t="s">
        <v>233</v>
      </c>
      <c r="Z670" s="4" t="s">
        <v>234</v>
      </c>
      <c r="AA670" s="4" t="s">
        <v>234</v>
      </c>
      <c r="AC670" s="4" t="s">
        <v>2923</v>
      </c>
    </row>
    <row r="671" spans="1:29" hidden="1" x14ac:dyDescent="0.4">
      <c r="A671" s="4" t="s">
        <v>216</v>
      </c>
      <c r="B671" s="4">
        <v>5385</v>
      </c>
      <c r="C671" s="4" t="s">
        <v>217</v>
      </c>
      <c r="D671" s="4" t="s">
        <v>701</v>
      </c>
      <c r="E671" s="4" t="s">
        <v>2659</v>
      </c>
      <c r="F671" s="4" t="s">
        <v>2660</v>
      </c>
      <c r="G671" s="4" t="s">
        <v>2661</v>
      </c>
      <c r="H671" s="4" t="s">
        <v>2662</v>
      </c>
      <c r="I671" s="4" t="s">
        <v>143</v>
      </c>
      <c r="J671" s="4" t="s">
        <v>2663</v>
      </c>
      <c r="K671" s="4" t="s">
        <v>224</v>
      </c>
      <c r="L671" s="5" t="s">
        <v>2664</v>
      </c>
      <c r="M671" s="4" t="s">
        <v>2665</v>
      </c>
      <c r="N671" s="4" t="s">
        <v>2666</v>
      </c>
      <c r="P671" s="4" t="s">
        <v>2667</v>
      </c>
      <c r="Q671" s="4" t="s">
        <v>2668</v>
      </c>
      <c r="R671" s="4" t="s">
        <v>159</v>
      </c>
      <c r="S671" s="4" t="s">
        <v>231</v>
      </c>
      <c r="T671" s="7">
        <v>45046</v>
      </c>
      <c r="U671" s="4">
        <v>0</v>
      </c>
      <c r="V671" s="4">
        <v>3</v>
      </c>
      <c r="W671" s="4" t="s">
        <v>258</v>
      </c>
      <c r="Y671" s="4" t="s">
        <v>233</v>
      </c>
      <c r="Z671" s="4" t="s">
        <v>234</v>
      </c>
      <c r="AA671" s="4" t="s">
        <v>233</v>
      </c>
      <c r="AC671" s="4" t="s">
        <v>2923</v>
      </c>
    </row>
    <row r="672" spans="1:29" hidden="1" x14ac:dyDescent="0.4">
      <c r="A672" s="4" t="s">
        <v>216</v>
      </c>
      <c r="B672" s="4">
        <v>5385</v>
      </c>
      <c r="C672" s="4" t="s">
        <v>217</v>
      </c>
      <c r="D672" s="4" t="s">
        <v>701</v>
      </c>
      <c r="E672" s="4" t="s">
        <v>2659</v>
      </c>
      <c r="F672" s="4" t="s">
        <v>2660</v>
      </c>
      <c r="G672" s="4" t="s">
        <v>2661</v>
      </c>
      <c r="H672" s="4" t="s">
        <v>2662</v>
      </c>
      <c r="I672" s="4" t="s">
        <v>143</v>
      </c>
      <c r="J672" s="4" t="s">
        <v>2663</v>
      </c>
      <c r="K672" s="4" t="s">
        <v>224</v>
      </c>
      <c r="L672" s="5" t="s">
        <v>2664</v>
      </c>
      <c r="M672" s="4" t="s">
        <v>2665</v>
      </c>
      <c r="N672" s="4" t="s">
        <v>2666</v>
      </c>
      <c r="P672" s="4" t="s">
        <v>2667</v>
      </c>
      <c r="Q672" s="4" t="s">
        <v>2668</v>
      </c>
      <c r="R672" s="4" t="s">
        <v>159</v>
      </c>
      <c r="S672" s="4" t="s">
        <v>231</v>
      </c>
      <c r="T672" s="7">
        <v>45046</v>
      </c>
      <c r="U672" s="4">
        <v>0</v>
      </c>
      <c r="V672" s="4">
        <v>4</v>
      </c>
      <c r="W672" s="4" t="s">
        <v>314</v>
      </c>
      <c r="Y672" s="4" t="s">
        <v>233</v>
      </c>
      <c r="Z672" s="4" t="s">
        <v>234</v>
      </c>
      <c r="AA672" s="4" t="s">
        <v>233</v>
      </c>
      <c r="AC672" s="4" t="s">
        <v>2923</v>
      </c>
    </row>
    <row r="673" spans="1:30" hidden="1" x14ac:dyDescent="0.4">
      <c r="A673" s="4" t="s">
        <v>216</v>
      </c>
      <c r="B673" s="4">
        <v>5385</v>
      </c>
      <c r="C673" s="4" t="s">
        <v>217</v>
      </c>
      <c r="D673" s="4" t="s">
        <v>701</v>
      </c>
      <c r="E673" s="4" t="s">
        <v>2659</v>
      </c>
      <c r="F673" s="4" t="s">
        <v>2660</v>
      </c>
      <c r="G673" s="4" t="s">
        <v>2661</v>
      </c>
      <c r="H673" s="4" t="s">
        <v>2662</v>
      </c>
      <c r="I673" s="4" t="s">
        <v>143</v>
      </c>
      <c r="J673" s="4" t="s">
        <v>2663</v>
      </c>
      <c r="K673" s="4" t="s">
        <v>224</v>
      </c>
      <c r="L673" s="5" t="s">
        <v>2664</v>
      </c>
      <c r="M673" s="4" t="s">
        <v>2665</v>
      </c>
      <c r="N673" s="4" t="s">
        <v>2666</v>
      </c>
      <c r="P673" s="4" t="s">
        <v>2667</v>
      </c>
      <c r="Q673" s="4" t="s">
        <v>2668</v>
      </c>
      <c r="R673" s="4" t="s">
        <v>159</v>
      </c>
      <c r="S673" s="4" t="s">
        <v>231</v>
      </c>
      <c r="T673" s="7">
        <v>45046</v>
      </c>
      <c r="U673" s="4">
        <v>0</v>
      </c>
      <c r="V673" s="4">
        <v>9</v>
      </c>
      <c r="W673" s="4" t="s">
        <v>358</v>
      </c>
      <c r="Y673" s="4" t="s">
        <v>233</v>
      </c>
      <c r="Z673" s="4" t="s">
        <v>234</v>
      </c>
      <c r="AA673" s="4" t="s">
        <v>233</v>
      </c>
      <c r="AC673" s="4" t="s">
        <v>2923</v>
      </c>
    </row>
    <row r="674" spans="1:30" hidden="1" x14ac:dyDescent="0.4">
      <c r="A674" s="4" t="s">
        <v>216</v>
      </c>
      <c r="B674" s="4">
        <v>5385</v>
      </c>
      <c r="C674" s="4" t="s">
        <v>217</v>
      </c>
      <c r="D674" s="4" t="s">
        <v>701</v>
      </c>
      <c r="E674" s="4" t="s">
        <v>2659</v>
      </c>
      <c r="F674" s="4" t="s">
        <v>2660</v>
      </c>
      <c r="G674" s="4" t="s">
        <v>2661</v>
      </c>
      <c r="H674" s="4" t="s">
        <v>2662</v>
      </c>
      <c r="I674" s="4" t="s">
        <v>143</v>
      </c>
      <c r="J674" s="4" t="s">
        <v>2663</v>
      </c>
      <c r="K674" s="4" t="s">
        <v>224</v>
      </c>
      <c r="L674" s="5" t="s">
        <v>2664</v>
      </c>
      <c r="M674" s="4" t="s">
        <v>2665</v>
      </c>
      <c r="N674" s="4" t="s">
        <v>2666</v>
      </c>
      <c r="P674" s="4" t="s">
        <v>2667</v>
      </c>
      <c r="Q674" s="4" t="s">
        <v>2668</v>
      </c>
      <c r="R674" s="4" t="s">
        <v>159</v>
      </c>
      <c r="S674" s="4" t="s">
        <v>231</v>
      </c>
      <c r="T674" s="7">
        <v>45046</v>
      </c>
      <c r="U674" s="4">
        <v>0</v>
      </c>
      <c r="V674" s="4">
        <v>10</v>
      </c>
      <c r="W674" s="4" t="s">
        <v>314</v>
      </c>
      <c r="Y674" s="4" t="s">
        <v>233</v>
      </c>
      <c r="Z674" s="4" t="s">
        <v>234</v>
      </c>
      <c r="AA674" s="4" t="s">
        <v>233</v>
      </c>
      <c r="AC674" s="4" t="s">
        <v>2923</v>
      </c>
    </row>
    <row r="675" spans="1:30" hidden="1" x14ac:dyDescent="0.4">
      <c r="A675" s="4" t="s">
        <v>216</v>
      </c>
      <c r="B675" s="4">
        <v>1278</v>
      </c>
      <c r="C675" s="4" t="s">
        <v>217</v>
      </c>
      <c r="D675" s="4" t="s">
        <v>2671</v>
      </c>
      <c r="E675" s="4" t="s">
        <v>2672</v>
      </c>
      <c r="F675" s="4" t="s">
        <v>2673</v>
      </c>
      <c r="G675" s="4" t="s">
        <v>2674</v>
      </c>
      <c r="H675" s="4" t="s">
        <v>245</v>
      </c>
      <c r="I675" s="4" t="s">
        <v>154</v>
      </c>
      <c r="J675" s="4" t="s">
        <v>2675</v>
      </c>
      <c r="K675" s="4" t="s">
        <v>224</v>
      </c>
      <c r="L675" s="6" t="s">
        <v>2676</v>
      </c>
      <c r="M675" s="4" t="s">
        <v>2677</v>
      </c>
      <c r="N675" s="4" t="s">
        <v>2678</v>
      </c>
      <c r="P675" s="4" t="s">
        <v>2679</v>
      </c>
      <c r="Q675" s="4" t="s">
        <v>2680</v>
      </c>
      <c r="R675" s="4" t="s">
        <v>2811</v>
      </c>
      <c r="S675" s="4" t="s">
        <v>257</v>
      </c>
      <c r="T675" s="7">
        <v>44890</v>
      </c>
      <c r="U675" s="4">
        <v>0</v>
      </c>
      <c r="V675" s="4">
        <v>6</v>
      </c>
      <c r="X675" s="4" t="s">
        <v>1488</v>
      </c>
      <c r="Y675" s="4" t="s">
        <v>233</v>
      </c>
      <c r="Z675" s="4" t="s">
        <v>234</v>
      </c>
      <c r="AA675" s="4" t="s">
        <v>234</v>
      </c>
      <c r="AB675" s="4" t="s">
        <v>2681</v>
      </c>
      <c r="AC675" s="4" t="s">
        <v>2923</v>
      </c>
    </row>
    <row r="676" spans="1:30" hidden="1" x14ac:dyDescent="0.4">
      <c r="A676" s="4" t="s">
        <v>216</v>
      </c>
      <c r="B676" s="4">
        <v>1278</v>
      </c>
      <c r="C676" s="4" t="s">
        <v>217</v>
      </c>
      <c r="D676" s="4" t="s">
        <v>2671</v>
      </c>
      <c r="E676" s="4" t="s">
        <v>2672</v>
      </c>
      <c r="F676" s="4" t="s">
        <v>2673</v>
      </c>
      <c r="G676" s="4" t="s">
        <v>2674</v>
      </c>
      <c r="H676" s="4" t="s">
        <v>245</v>
      </c>
      <c r="I676" s="4" t="s">
        <v>154</v>
      </c>
      <c r="J676" s="4" t="s">
        <v>2675</v>
      </c>
      <c r="K676" s="4" t="s">
        <v>224</v>
      </c>
      <c r="L676" s="6" t="s">
        <v>2676</v>
      </c>
      <c r="M676" s="4" t="s">
        <v>2677</v>
      </c>
      <c r="N676" s="4" t="s">
        <v>2678</v>
      </c>
      <c r="P676" s="4" t="s">
        <v>2679</v>
      </c>
      <c r="Q676" s="4" t="s">
        <v>2680</v>
      </c>
      <c r="R676" s="4" t="s">
        <v>2811</v>
      </c>
      <c r="S676" s="4" t="s">
        <v>257</v>
      </c>
      <c r="T676" s="7">
        <v>44890</v>
      </c>
      <c r="U676" s="4">
        <v>0</v>
      </c>
      <c r="V676" s="4">
        <v>12</v>
      </c>
      <c r="X676" s="4" t="s">
        <v>1488</v>
      </c>
      <c r="Y676" s="4" t="s">
        <v>233</v>
      </c>
      <c r="Z676" s="4" t="s">
        <v>234</v>
      </c>
      <c r="AA676" s="4" t="s">
        <v>234</v>
      </c>
      <c r="AB676" s="4" t="s">
        <v>2681</v>
      </c>
      <c r="AC676" s="4" t="s">
        <v>2923</v>
      </c>
    </row>
    <row r="677" spans="1:30" hidden="1" x14ac:dyDescent="0.4">
      <c r="A677" s="4" t="s">
        <v>216</v>
      </c>
      <c r="B677" s="4">
        <v>623</v>
      </c>
      <c r="C677" s="4" t="s">
        <v>242</v>
      </c>
      <c r="D677" s="4" t="s">
        <v>2682</v>
      </c>
      <c r="E677" s="4" t="s">
        <v>2683</v>
      </c>
      <c r="F677" s="4" t="s">
        <v>2684</v>
      </c>
      <c r="G677" s="4" t="s">
        <v>2685</v>
      </c>
      <c r="H677" s="4" t="s">
        <v>2686</v>
      </c>
      <c r="I677" s="4" t="s">
        <v>1600</v>
      </c>
      <c r="J677" s="4" t="s">
        <v>2687</v>
      </c>
      <c r="K677" s="4" t="s">
        <v>224</v>
      </c>
      <c r="L677" s="5" t="s">
        <v>2688</v>
      </c>
      <c r="M677" s="4" t="s">
        <v>2689</v>
      </c>
      <c r="N677" s="4" t="s">
        <v>2690</v>
      </c>
      <c r="P677" s="4" t="s">
        <v>2691</v>
      </c>
      <c r="Q677" s="4" t="s">
        <v>2692</v>
      </c>
      <c r="R677" s="4" t="s">
        <v>53</v>
      </c>
      <c r="S677" s="4" t="s">
        <v>257</v>
      </c>
      <c r="T677" s="7">
        <v>45501</v>
      </c>
      <c r="U677" s="4">
        <v>0</v>
      </c>
      <c r="V677" s="4">
        <v>10</v>
      </c>
      <c r="W677" s="4" t="s">
        <v>314</v>
      </c>
      <c r="Y677" s="4" t="s">
        <v>233</v>
      </c>
      <c r="Z677" s="4" t="s">
        <v>234</v>
      </c>
      <c r="AA677" s="4" t="s">
        <v>233</v>
      </c>
      <c r="AC677" s="4" t="s">
        <v>2923</v>
      </c>
    </row>
    <row r="678" spans="1:30" hidden="1" x14ac:dyDescent="0.4">
      <c r="A678" s="4" t="s">
        <v>216</v>
      </c>
      <c r="B678" s="4">
        <v>623</v>
      </c>
      <c r="C678" s="4" t="s">
        <v>242</v>
      </c>
      <c r="D678" s="4" t="s">
        <v>2682</v>
      </c>
      <c r="E678" s="4" t="s">
        <v>2683</v>
      </c>
      <c r="F678" s="4" t="s">
        <v>2684</v>
      </c>
      <c r="G678" s="4" t="s">
        <v>2685</v>
      </c>
      <c r="H678" s="4" t="s">
        <v>2686</v>
      </c>
      <c r="I678" s="4" t="s">
        <v>1600</v>
      </c>
      <c r="J678" s="4" t="s">
        <v>2687</v>
      </c>
      <c r="K678" s="4" t="s">
        <v>224</v>
      </c>
      <c r="L678" s="5" t="s">
        <v>2688</v>
      </c>
      <c r="M678" s="4" t="s">
        <v>2689</v>
      </c>
      <c r="N678" s="4" t="s">
        <v>2690</v>
      </c>
      <c r="P678" s="4" t="s">
        <v>2693</v>
      </c>
      <c r="Q678" s="4" t="s">
        <v>2694</v>
      </c>
      <c r="R678" s="4" t="s">
        <v>53</v>
      </c>
      <c r="S678" s="4" t="s">
        <v>257</v>
      </c>
      <c r="T678" s="7">
        <v>42682</v>
      </c>
      <c r="U678" s="4">
        <v>0</v>
      </c>
      <c r="V678" s="4">
        <v>13</v>
      </c>
      <c r="W678" s="4" t="s">
        <v>240</v>
      </c>
      <c r="Y678" s="4" t="s">
        <v>233</v>
      </c>
      <c r="Z678" s="4" t="s">
        <v>234</v>
      </c>
      <c r="AA678" s="4" t="s">
        <v>233</v>
      </c>
      <c r="AC678" s="4" t="s">
        <v>2923</v>
      </c>
    </row>
    <row r="679" spans="1:30" hidden="1" x14ac:dyDescent="0.4">
      <c r="A679" s="4" t="s">
        <v>216</v>
      </c>
      <c r="B679" s="4">
        <v>5218</v>
      </c>
      <c r="C679" s="4" t="s">
        <v>242</v>
      </c>
      <c r="D679" s="4" t="s">
        <v>2697</v>
      </c>
      <c r="E679" s="4" t="s">
        <v>2698</v>
      </c>
      <c r="F679" s="4" t="s">
        <v>2699</v>
      </c>
      <c r="G679" s="4" t="s">
        <v>2700</v>
      </c>
      <c r="H679" s="4" t="s">
        <v>409</v>
      </c>
      <c r="I679" s="4" t="s">
        <v>34</v>
      </c>
      <c r="J679" s="4" t="s">
        <v>2701</v>
      </c>
      <c r="K679" s="4" t="s">
        <v>224</v>
      </c>
      <c r="L679" s="6" t="s">
        <v>2702</v>
      </c>
      <c r="M679" s="4" t="s">
        <v>2703</v>
      </c>
      <c r="N679" s="4" t="s">
        <v>2704</v>
      </c>
      <c r="P679" s="4" t="s">
        <v>2705</v>
      </c>
      <c r="Q679" s="4" t="s">
        <v>2706</v>
      </c>
      <c r="R679" s="4" t="s">
        <v>2426</v>
      </c>
      <c r="S679" s="4" t="s">
        <v>257</v>
      </c>
      <c r="T679" s="7">
        <v>43967</v>
      </c>
      <c r="U679" s="4">
        <v>0</v>
      </c>
      <c r="V679" s="4">
        <v>4</v>
      </c>
      <c r="W679" s="4" t="s">
        <v>314</v>
      </c>
      <c r="Y679" s="4" t="s">
        <v>233</v>
      </c>
      <c r="Z679" s="4" t="s">
        <v>234</v>
      </c>
      <c r="AA679" s="4" t="s">
        <v>234</v>
      </c>
      <c r="AC679" s="4" t="s">
        <v>2923</v>
      </c>
    </row>
    <row r="680" spans="1:30" hidden="1" x14ac:dyDescent="0.4">
      <c r="A680" s="4" t="s">
        <v>216</v>
      </c>
      <c r="B680" s="4">
        <v>5218</v>
      </c>
      <c r="C680" s="4" t="s">
        <v>242</v>
      </c>
      <c r="D680" s="4" t="s">
        <v>2697</v>
      </c>
      <c r="E680" s="4" t="s">
        <v>2698</v>
      </c>
      <c r="F680" s="4" t="s">
        <v>2699</v>
      </c>
      <c r="G680" s="4" t="s">
        <v>2700</v>
      </c>
      <c r="H680" s="4" t="s">
        <v>409</v>
      </c>
      <c r="I680" s="4" t="s">
        <v>34</v>
      </c>
      <c r="J680" s="4" t="s">
        <v>2701</v>
      </c>
      <c r="K680" s="4" t="s">
        <v>224</v>
      </c>
      <c r="L680" s="6" t="s">
        <v>2702</v>
      </c>
      <c r="M680" s="4" t="s">
        <v>2703</v>
      </c>
      <c r="N680" s="4" t="s">
        <v>2704</v>
      </c>
      <c r="P680" s="4" t="s">
        <v>2705</v>
      </c>
      <c r="Q680" s="4" t="s">
        <v>2706</v>
      </c>
      <c r="R680" s="4" t="s">
        <v>2426</v>
      </c>
      <c r="S680" s="4" t="s">
        <v>257</v>
      </c>
      <c r="T680" s="7">
        <v>43967</v>
      </c>
      <c r="U680" s="4">
        <v>0</v>
      </c>
      <c r="V680" s="4">
        <v>10</v>
      </c>
      <c r="W680" s="4" t="s">
        <v>314</v>
      </c>
      <c r="Y680" s="4" t="s">
        <v>233</v>
      </c>
      <c r="Z680" s="4" t="s">
        <v>234</v>
      </c>
      <c r="AA680" s="4" t="s">
        <v>234</v>
      </c>
      <c r="AC680" s="4" t="s">
        <v>2923</v>
      </c>
    </row>
    <row r="681" spans="1:30" hidden="1" x14ac:dyDescent="0.4">
      <c r="A681" s="4" t="s">
        <v>216</v>
      </c>
      <c r="B681" s="4">
        <v>99</v>
      </c>
      <c r="C681" s="4" t="s">
        <v>217</v>
      </c>
      <c r="D681" s="4" t="s">
        <v>2707</v>
      </c>
      <c r="E681" s="4" t="s">
        <v>2708</v>
      </c>
      <c r="F681" s="4" t="s">
        <v>2709</v>
      </c>
      <c r="G681" s="4" t="s">
        <v>2710</v>
      </c>
      <c r="H681" s="4" t="s">
        <v>2711</v>
      </c>
      <c r="I681" s="4" t="s">
        <v>154</v>
      </c>
      <c r="J681" s="4" t="s">
        <v>2712</v>
      </c>
      <c r="K681" s="4" t="s">
        <v>224</v>
      </c>
      <c r="L681" s="5" t="s">
        <v>2713</v>
      </c>
      <c r="M681" s="4" t="s">
        <v>2714</v>
      </c>
      <c r="N681" s="4" t="s">
        <v>2715</v>
      </c>
      <c r="P681" s="4" t="s">
        <v>2909</v>
      </c>
      <c r="Q681" s="4" t="s">
        <v>2720</v>
      </c>
      <c r="R681" s="4" t="s">
        <v>31</v>
      </c>
      <c r="S681" s="4" t="s">
        <v>231</v>
      </c>
      <c r="T681" s="7">
        <v>43867</v>
      </c>
      <c r="U681" s="4">
        <v>0</v>
      </c>
      <c r="V681" s="4">
        <v>11</v>
      </c>
      <c r="W681" s="4" t="s">
        <v>132</v>
      </c>
      <c r="Y681" s="4" t="s">
        <v>233</v>
      </c>
      <c r="Z681" s="4" t="s">
        <v>234</v>
      </c>
      <c r="AA681" s="4" t="s">
        <v>234</v>
      </c>
      <c r="AB681" t="s">
        <v>65</v>
      </c>
      <c r="AC681" s="4" t="s">
        <v>2923</v>
      </c>
    </row>
    <row r="682" spans="1:30" hidden="1" x14ac:dyDescent="0.4">
      <c r="A682" s="4" t="s">
        <v>216</v>
      </c>
      <c r="B682" s="4">
        <v>99</v>
      </c>
      <c r="C682" s="4" t="s">
        <v>217</v>
      </c>
      <c r="D682" s="4" t="s">
        <v>2707</v>
      </c>
      <c r="E682" s="4" t="s">
        <v>2708</v>
      </c>
      <c r="F682" s="4" t="s">
        <v>2709</v>
      </c>
      <c r="G682" s="4" t="s">
        <v>2710</v>
      </c>
      <c r="H682" s="4" t="s">
        <v>2711</v>
      </c>
      <c r="I682" s="4" t="s">
        <v>154</v>
      </c>
      <c r="J682" s="4" t="s">
        <v>2712</v>
      </c>
      <c r="K682" s="4" t="s">
        <v>224</v>
      </c>
      <c r="L682" s="5" t="s">
        <v>2713</v>
      </c>
      <c r="M682" s="4" t="s">
        <v>2714</v>
      </c>
      <c r="N682" s="4" t="s">
        <v>2715</v>
      </c>
      <c r="P682" s="4" t="s">
        <v>2716</v>
      </c>
      <c r="Q682" s="4" t="s">
        <v>2717</v>
      </c>
      <c r="R682" s="4" t="s">
        <v>2811</v>
      </c>
      <c r="S682" s="4" t="s">
        <v>231</v>
      </c>
      <c r="T682" s="7">
        <v>45036</v>
      </c>
      <c r="U682" s="4">
        <v>0</v>
      </c>
      <c r="V682" s="4">
        <v>12</v>
      </c>
      <c r="Y682" s="4" t="s">
        <v>233</v>
      </c>
      <c r="Z682" s="4" t="s">
        <v>234</v>
      </c>
      <c r="AA682" s="4" t="s">
        <v>234</v>
      </c>
      <c r="AB682" t="s">
        <v>65</v>
      </c>
      <c r="AC682" s="4" t="s">
        <v>2923</v>
      </c>
    </row>
    <row r="683" spans="1:30" hidden="1" x14ac:dyDescent="0.4">
      <c r="A683" s="4" t="s">
        <v>216</v>
      </c>
      <c r="B683" s="4">
        <v>99</v>
      </c>
      <c r="C683" s="4" t="s">
        <v>217</v>
      </c>
      <c r="D683" s="4" t="s">
        <v>2707</v>
      </c>
      <c r="E683" s="4" t="s">
        <v>2708</v>
      </c>
      <c r="F683" s="4" t="s">
        <v>2709</v>
      </c>
      <c r="G683" s="4" t="s">
        <v>2710</v>
      </c>
      <c r="H683" s="4" t="s">
        <v>2711</v>
      </c>
      <c r="I683" s="4" t="s">
        <v>154</v>
      </c>
      <c r="J683" s="4" t="s">
        <v>2712</v>
      </c>
      <c r="K683" s="4" t="s">
        <v>224</v>
      </c>
      <c r="L683" s="5" t="s">
        <v>2713</v>
      </c>
      <c r="M683" s="4" t="s">
        <v>2714</v>
      </c>
      <c r="N683" s="4" t="s">
        <v>2715</v>
      </c>
      <c r="P683" s="4" t="s">
        <v>2716</v>
      </c>
      <c r="Q683" s="4" t="s">
        <v>2717</v>
      </c>
      <c r="R683" s="4" t="s">
        <v>2811</v>
      </c>
      <c r="S683" s="4" t="s">
        <v>231</v>
      </c>
      <c r="T683" s="7">
        <v>45036</v>
      </c>
      <c r="U683" s="4">
        <v>0</v>
      </c>
      <c r="V683" s="4">
        <v>13</v>
      </c>
      <c r="W683" s="4" t="s">
        <v>240</v>
      </c>
      <c r="Y683" s="4" t="s">
        <v>233</v>
      </c>
      <c r="Z683" s="4" t="s">
        <v>234</v>
      </c>
      <c r="AA683" s="4" t="s">
        <v>234</v>
      </c>
      <c r="AB683" t="s">
        <v>65</v>
      </c>
      <c r="AC683" s="4" t="s">
        <v>2923</v>
      </c>
    </row>
    <row r="684" spans="1:30" hidden="1" x14ac:dyDescent="0.4">
      <c r="A684" s="4" t="s">
        <v>216</v>
      </c>
      <c r="B684" s="4">
        <v>99</v>
      </c>
      <c r="C684" s="4" t="s">
        <v>217</v>
      </c>
      <c r="D684" s="4" t="s">
        <v>2707</v>
      </c>
      <c r="E684" s="4" t="s">
        <v>2708</v>
      </c>
      <c r="F684" s="4" t="s">
        <v>2709</v>
      </c>
      <c r="G684" s="4" t="s">
        <v>2710</v>
      </c>
      <c r="H684" s="4" t="s">
        <v>2711</v>
      </c>
      <c r="I684" s="4" t="s">
        <v>154</v>
      </c>
      <c r="J684" s="4" t="s">
        <v>2712</v>
      </c>
      <c r="K684" s="4" t="s">
        <v>224</v>
      </c>
      <c r="L684" s="5" t="s">
        <v>2713</v>
      </c>
      <c r="M684" s="4" t="s">
        <v>2714</v>
      </c>
      <c r="N684" s="4" t="s">
        <v>2715</v>
      </c>
      <c r="P684" s="4" t="s">
        <v>2721</v>
      </c>
      <c r="Q684" s="4" t="s">
        <v>2722</v>
      </c>
      <c r="R684" s="4" t="s">
        <v>31</v>
      </c>
      <c r="S684" s="4" t="s">
        <v>257</v>
      </c>
      <c r="T684" s="7">
        <v>42551</v>
      </c>
      <c r="U684" s="4">
        <v>0</v>
      </c>
      <c r="V684" s="4">
        <v>13</v>
      </c>
      <c r="W684" s="4" t="s">
        <v>240</v>
      </c>
      <c r="Y684" s="4" t="s">
        <v>233</v>
      </c>
      <c r="Z684" s="4" t="s">
        <v>234</v>
      </c>
      <c r="AA684" s="4" t="s">
        <v>234</v>
      </c>
      <c r="AB684" t="s">
        <v>65</v>
      </c>
      <c r="AC684" s="4" t="s">
        <v>2923</v>
      </c>
    </row>
    <row r="685" spans="1:30" customFormat="1" hidden="1" x14ac:dyDescent="0.4">
      <c r="A685" s="4" t="s">
        <v>216</v>
      </c>
      <c r="B685" t="s">
        <v>188</v>
      </c>
      <c r="D685" t="s">
        <v>44</v>
      </c>
      <c r="E685" t="s">
        <v>45</v>
      </c>
      <c r="F685" t="s">
        <v>46</v>
      </c>
      <c r="G685" t="s">
        <v>47</v>
      </c>
      <c r="H685" t="s">
        <v>33</v>
      </c>
      <c r="I685" t="s">
        <v>28</v>
      </c>
      <c r="J685" t="s">
        <v>48</v>
      </c>
      <c r="L685" s="1" t="s">
        <v>49</v>
      </c>
      <c r="M685" s="3" t="s">
        <v>50</v>
      </c>
      <c r="P685" t="s">
        <v>51</v>
      </c>
      <c r="Q685" t="s">
        <v>52</v>
      </c>
      <c r="R685" t="s">
        <v>53</v>
      </c>
      <c r="S685" t="s">
        <v>54</v>
      </c>
      <c r="T685" s="2">
        <v>43790</v>
      </c>
      <c r="V685">
        <v>4</v>
      </c>
      <c r="X685" t="s">
        <v>57</v>
      </c>
      <c r="AC685" s="4" t="s">
        <v>2923</v>
      </c>
      <c r="AD685" s="4" t="s">
        <v>2792</v>
      </c>
    </row>
    <row r="686" spans="1:30" customFormat="1" hidden="1" x14ac:dyDescent="0.4">
      <c r="A686" s="4" t="s">
        <v>216</v>
      </c>
      <c r="B686" t="s">
        <v>188</v>
      </c>
      <c r="D686" t="s">
        <v>44</v>
      </c>
      <c r="E686" t="s">
        <v>45</v>
      </c>
      <c r="F686" t="s">
        <v>46</v>
      </c>
      <c r="G686" t="s">
        <v>47</v>
      </c>
      <c r="H686" t="s">
        <v>33</v>
      </c>
      <c r="I686" t="s">
        <v>28</v>
      </c>
      <c r="J686" t="s">
        <v>48</v>
      </c>
      <c r="L686" s="1" t="s">
        <v>49</v>
      </c>
      <c r="M686" s="3" t="s">
        <v>50</v>
      </c>
      <c r="P686" t="s">
        <v>51</v>
      </c>
      <c r="Q686" t="s">
        <v>52</v>
      </c>
      <c r="R686" t="s">
        <v>53</v>
      </c>
      <c r="S686" t="s">
        <v>54</v>
      </c>
      <c r="T686" s="2">
        <v>43790</v>
      </c>
      <c r="V686">
        <v>5</v>
      </c>
      <c r="AC686" s="4" t="s">
        <v>2923</v>
      </c>
      <c r="AD686" s="4" t="s">
        <v>2792</v>
      </c>
    </row>
    <row r="687" spans="1:30" customFormat="1" hidden="1" x14ac:dyDescent="0.4">
      <c r="A687" s="4" t="s">
        <v>216</v>
      </c>
      <c r="B687" t="s">
        <v>188</v>
      </c>
      <c r="D687" t="s">
        <v>44</v>
      </c>
      <c r="E687" t="s">
        <v>45</v>
      </c>
      <c r="F687" t="s">
        <v>46</v>
      </c>
      <c r="G687" t="s">
        <v>47</v>
      </c>
      <c r="H687" t="s">
        <v>33</v>
      </c>
      <c r="I687" t="s">
        <v>28</v>
      </c>
      <c r="J687" t="s">
        <v>48</v>
      </c>
      <c r="L687" s="1" t="s">
        <v>49</v>
      </c>
      <c r="M687" s="3" t="s">
        <v>50</v>
      </c>
      <c r="P687" t="s">
        <v>51</v>
      </c>
      <c r="Q687" t="s">
        <v>52</v>
      </c>
      <c r="R687" t="s">
        <v>53</v>
      </c>
      <c r="S687" t="s">
        <v>54</v>
      </c>
      <c r="T687" s="2">
        <v>43790</v>
      </c>
      <c r="V687">
        <v>10</v>
      </c>
      <c r="AC687" s="4" t="s">
        <v>2923</v>
      </c>
      <c r="AD687" s="4" t="s">
        <v>2792</v>
      </c>
    </row>
    <row r="688" spans="1:30" customFormat="1" hidden="1" x14ac:dyDescent="0.4">
      <c r="A688" s="4" t="s">
        <v>216</v>
      </c>
      <c r="B688" t="s">
        <v>188</v>
      </c>
      <c r="D688" t="s">
        <v>44</v>
      </c>
      <c r="E688" t="s">
        <v>45</v>
      </c>
      <c r="F688" t="s">
        <v>46</v>
      </c>
      <c r="G688" t="s">
        <v>47</v>
      </c>
      <c r="H688" t="s">
        <v>33</v>
      </c>
      <c r="I688" t="s">
        <v>28</v>
      </c>
      <c r="J688" t="s">
        <v>48</v>
      </c>
      <c r="L688" s="1" t="s">
        <v>49</v>
      </c>
      <c r="M688" s="3" t="s">
        <v>50</v>
      </c>
      <c r="P688" t="s">
        <v>51</v>
      </c>
      <c r="Q688" t="s">
        <v>52</v>
      </c>
      <c r="R688" t="s">
        <v>53</v>
      </c>
      <c r="S688" t="s">
        <v>54</v>
      </c>
      <c r="T688" s="2">
        <v>43790</v>
      </c>
      <c r="V688">
        <v>11</v>
      </c>
      <c r="AC688" s="4" t="s">
        <v>2923</v>
      </c>
      <c r="AD688" s="4" t="s">
        <v>2792</v>
      </c>
    </row>
    <row r="689" spans="1:30" customFormat="1" hidden="1" x14ac:dyDescent="0.4">
      <c r="A689" s="4" t="s">
        <v>216</v>
      </c>
      <c r="B689" t="s">
        <v>188</v>
      </c>
      <c r="D689" t="s">
        <v>44</v>
      </c>
      <c r="E689" t="s">
        <v>45</v>
      </c>
      <c r="F689" t="s">
        <v>46</v>
      </c>
      <c r="G689" t="s">
        <v>47</v>
      </c>
      <c r="H689" t="s">
        <v>33</v>
      </c>
      <c r="I689" t="s">
        <v>28</v>
      </c>
      <c r="J689" t="s">
        <v>48</v>
      </c>
      <c r="L689" s="1" t="s">
        <v>49</v>
      </c>
      <c r="M689" s="3" t="s">
        <v>50</v>
      </c>
      <c r="P689" t="s">
        <v>55</v>
      </c>
      <c r="Q689" t="s">
        <v>56</v>
      </c>
      <c r="R689" t="s">
        <v>31</v>
      </c>
      <c r="S689" t="s">
        <v>54</v>
      </c>
      <c r="T689" s="2">
        <v>44663</v>
      </c>
      <c r="V689">
        <v>4</v>
      </c>
      <c r="AC689" s="4" t="s">
        <v>2923</v>
      </c>
      <c r="AD689" s="4" t="s">
        <v>2792</v>
      </c>
    </row>
    <row r="690" spans="1:30" customFormat="1" hidden="1" x14ac:dyDescent="0.4">
      <c r="A690" s="4" t="s">
        <v>216</v>
      </c>
      <c r="B690" t="s">
        <v>188</v>
      </c>
      <c r="D690" t="s">
        <v>44</v>
      </c>
      <c r="E690" t="s">
        <v>45</v>
      </c>
      <c r="F690" t="s">
        <v>46</v>
      </c>
      <c r="G690" t="s">
        <v>47</v>
      </c>
      <c r="H690" t="s">
        <v>33</v>
      </c>
      <c r="I690" t="s">
        <v>28</v>
      </c>
      <c r="J690" t="s">
        <v>48</v>
      </c>
      <c r="L690" s="1" t="s">
        <v>49</v>
      </c>
      <c r="M690" s="3" t="s">
        <v>50</v>
      </c>
      <c r="P690" t="s">
        <v>55</v>
      </c>
      <c r="Q690" t="s">
        <v>56</v>
      </c>
      <c r="R690" t="s">
        <v>31</v>
      </c>
      <c r="S690" t="s">
        <v>54</v>
      </c>
      <c r="T690" s="2">
        <v>44663</v>
      </c>
      <c r="V690">
        <v>5</v>
      </c>
      <c r="AC690" s="4" t="s">
        <v>2923</v>
      </c>
      <c r="AD690" s="4" t="s">
        <v>2792</v>
      </c>
    </row>
    <row r="691" spans="1:30" customFormat="1" hidden="1" x14ac:dyDescent="0.4">
      <c r="A691" s="4" t="s">
        <v>216</v>
      </c>
      <c r="B691" t="s">
        <v>188</v>
      </c>
      <c r="D691" t="s">
        <v>44</v>
      </c>
      <c r="E691" t="s">
        <v>45</v>
      </c>
      <c r="F691" t="s">
        <v>46</v>
      </c>
      <c r="G691" t="s">
        <v>47</v>
      </c>
      <c r="H691" t="s">
        <v>33</v>
      </c>
      <c r="I691" t="s">
        <v>28</v>
      </c>
      <c r="J691" t="s">
        <v>48</v>
      </c>
      <c r="L691" s="1" t="s">
        <v>49</v>
      </c>
      <c r="M691" s="3" t="s">
        <v>50</v>
      </c>
      <c r="P691" t="s">
        <v>55</v>
      </c>
      <c r="Q691" t="s">
        <v>56</v>
      </c>
      <c r="R691" t="s">
        <v>31</v>
      </c>
      <c r="S691" t="s">
        <v>54</v>
      </c>
      <c r="T691" s="2">
        <v>44663</v>
      </c>
      <c r="V691">
        <v>10</v>
      </c>
      <c r="AC691" s="4" t="s">
        <v>2923</v>
      </c>
      <c r="AD691" s="4" t="s">
        <v>2792</v>
      </c>
    </row>
    <row r="692" spans="1:30" customFormat="1" hidden="1" x14ac:dyDescent="0.4">
      <c r="A692" s="4" t="s">
        <v>216</v>
      </c>
      <c r="B692" t="s">
        <v>188</v>
      </c>
      <c r="D692" t="s">
        <v>44</v>
      </c>
      <c r="E692" t="s">
        <v>45</v>
      </c>
      <c r="F692" t="s">
        <v>46</v>
      </c>
      <c r="G692" t="s">
        <v>47</v>
      </c>
      <c r="H692" t="s">
        <v>33</v>
      </c>
      <c r="I692" t="s">
        <v>28</v>
      </c>
      <c r="J692" t="s">
        <v>48</v>
      </c>
      <c r="L692" s="1" t="s">
        <v>49</v>
      </c>
      <c r="M692" s="3" t="s">
        <v>50</v>
      </c>
      <c r="P692" t="s">
        <v>55</v>
      </c>
      <c r="Q692" t="s">
        <v>56</v>
      </c>
      <c r="R692" t="s">
        <v>31</v>
      </c>
      <c r="S692" t="s">
        <v>54</v>
      </c>
      <c r="T692" s="2">
        <v>44663</v>
      </c>
      <c r="V692">
        <v>11</v>
      </c>
      <c r="AC692" s="4" t="s">
        <v>2923</v>
      </c>
      <c r="AD692" s="4" t="s">
        <v>2792</v>
      </c>
    </row>
    <row r="693" spans="1:30" customFormat="1" hidden="1" x14ac:dyDescent="0.4">
      <c r="A693" s="4" t="s">
        <v>216</v>
      </c>
      <c r="B693" t="s">
        <v>189</v>
      </c>
      <c r="D693" t="s">
        <v>29</v>
      </c>
      <c r="E693" t="s">
        <v>58</v>
      </c>
      <c r="F693" t="s">
        <v>59</v>
      </c>
      <c r="H693" t="s">
        <v>60</v>
      </c>
      <c r="J693" t="s">
        <v>61</v>
      </c>
      <c r="P693" t="s">
        <v>62</v>
      </c>
      <c r="Q693" t="s">
        <v>63</v>
      </c>
      <c r="R693" t="s">
        <v>64</v>
      </c>
      <c r="S693" t="s">
        <v>54</v>
      </c>
      <c r="T693" s="2">
        <v>44368</v>
      </c>
      <c r="V693">
        <v>11</v>
      </c>
      <c r="AB693" t="s">
        <v>65</v>
      </c>
      <c r="AC693" s="4" t="s">
        <v>2923</v>
      </c>
      <c r="AD693" s="4" t="s">
        <v>2792</v>
      </c>
    </row>
    <row r="694" spans="1:30" customFormat="1" hidden="1" x14ac:dyDescent="0.4">
      <c r="A694" s="4" t="s">
        <v>216</v>
      </c>
      <c r="B694" t="s">
        <v>189</v>
      </c>
      <c r="D694" t="s">
        <v>29</v>
      </c>
      <c r="E694" t="s">
        <v>58</v>
      </c>
      <c r="F694" t="s">
        <v>59</v>
      </c>
      <c r="H694" t="s">
        <v>60</v>
      </c>
      <c r="J694" t="s">
        <v>61</v>
      </c>
      <c r="P694" t="s">
        <v>62</v>
      </c>
      <c r="Q694" t="s">
        <v>63</v>
      </c>
      <c r="R694" t="s">
        <v>64</v>
      </c>
      <c r="S694" t="s">
        <v>54</v>
      </c>
      <c r="T694" s="2">
        <v>44368</v>
      </c>
      <c r="V694">
        <v>12</v>
      </c>
      <c r="AB694" t="s">
        <v>65</v>
      </c>
      <c r="AC694" s="4" t="s">
        <v>2923</v>
      </c>
      <c r="AD694" s="4" t="s">
        <v>2792</v>
      </c>
    </row>
    <row r="695" spans="1:30" customFormat="1" hidden="1" x14ac:dyDescent="0.4">
      <c r="A695" s="4" t="s">
        <v>216</v>
      </c>
      <c r="B695" t="s">
        <v>190</v>
      </c>
      <c r="D695" t="s">
        <v>29</v>
      </c>
      <c r="E695" t="s">
        <v>66</v>
      </c>
      <c r="F695" t="s">
        <v>67</v>
      </c>
      <c r="G695" t="s">
        <v>68</v>
      </c>
      <c r="H695" t="s">
        <v>69</v>
      </c>
      <c r="I695" t="s">
        <v>30</v>
      </c>
      <c r="J695" t="s">
        <v>70</v>
      </c>
      <c r="L695" s="1" t="s">
        <v>71</v>
      </c>
      <c r="P695" t="s">
        <v>72</v>
      </c>
      <c r="Q695" t="s">
        <v>186</v>
      </c>
      <c r="R695" t="s">
        <v>73</v>
      </c>
      <c r="S695" t="s">
        <v>54</v>
      </c>
      <c r="T695" s="2">
        <v>44945</v>
      </c>
      <c r="V695">
        <v>11</v>
      </c>
      <c r="X695" t="s">
        <v>74</v>
      </c>
      <c r="AC695" s="4" t="s">
        <v>2923</v>
      </c>
      <c r="AD695" s="4" t="s">
        <v>2792</v>
      </c>
    </row>
    <row r="696" spans="1:30" customFormat="1" hidden="1" x14ac:dyDescent="0.4">
      <c r="A696" s="4" t="s">
        <v>216</v>
      </c>
      <c r="B696" t="s">
        <v>190</v>
      </c>
      <c r="D696" t="s">
        <v>29</v>
      </c>
      <c r="E696" t="s">
        <v>66</v>
      </c>
      <c r="F696" t="s">
        <v>67</v>
      </c>
      <c r="G696" t="s">
        <v>68</v>
      </c>
      <c r="H696" t="s">
        <v>69</v>
      </c>
      <c r="I696" t="s">
        <v>30</v>
      </c>
      <c r="J696" t="s">
        <v>70</v>
      </c>
      <c r="L696" s="1" t="s">
        <v>71</v>
      </c>
      <c r="P696" t="s">
        <v>72</v>
      </c>
      <c r="Q696" t="s">
        <v>186</v>
      </c>
      <c r="R696" t="s">
        <v>73</v>
      </c>
      <c r="S696" t="s">
        <v>54</v>
      </c>
      <c r="T696" s="2">
        <v>44945</v>
      </c>
      <c r="V696">
        <v>12</v>
      </c>
      <c r="AC696" s="4" t="s">
        <v>2923</v>
      </c>
      <c r="AD696" s="4" t="s">
        <v>2792</v>
      </c>
    </row>
    <row r="697" spans="1:30" customFormat="1" hidden="1" x14ac:dyDescent="0.4">
      <c r="A697" s="4" t="s">
        <v>216</v>
      </c>
      <c r="B697" t="s">
        <v>191</v>
      </c>
      <c r="D697" t="s">
        <v>75</v>
      </c>
      <c r="E697" t="s">
        <v>76</v>
      </c>
      <c r="F697" t="s">
        <v>77</v>
      </c>
      <c r="G697" t="s">
        <v>78</v>
      </c>
      <c r="H697" t="s">
        <v>79</v>
      </c>
      <c r="I697" t="s">
        <v>80</v>
      </c>
      <c r="J697" t="s">
        <v>81</v>
      </c>
      <c r="L697" s="1" t="s">
        <v>82</v>
      </c>
      <c r="M697" s="3" t="s">
        <v>83</v>
      </c>
      <c r="P697" t="s">
        <v>84</v>
      </c>
      <c r="Q697" t="s">
        <v>85</v>
      </c>
      <c r="R697" t="s">
        <v>53</v>
      </c>
      <c r="S697" t="s">
        <v>54</v>
      </c>
      <c r="T697" s="2">
        <v>43843</v>
      </c>
      <c r="V697">
        <v>7</v>
      </c>
      <c r="AC697" s="4" t="s">
        <v>2923</v>
      </c>
      <c r="AD697" s="4" t="s">
        <v>2792</v>
      </c>
    </row>
    <row r="698" spans="1:30" customFormat="1" hidden="1" x14ac:dyDescent="0.4">
      <c r="A698" s="4" t="s">
        <v>216</v>
      </c>
      <c r="B698" t="s">
        <v>191</v>
      </c>
      <c r="D698" t="s">
        <v>75</v>
      </c>
      <c r="E698" t="s">
        <v>76</v>
      </c>
      <c r="F698" t="s">
        <v>77</v>
      </c>
      <c r="G698" t="s">
        <v>78</v>
      </c>
      <c r="H698" t="s">
        <v>79</v>
      </c>
      <c r="I698" t="s">
        <v>80</v>
      </c>
      <c r="J698" t="s">
        <v>81</v>
      </c>
      <c r="L698" s="1" t="s">
        <v>82</v>
      </c>
      <c r="M698" s="3" t="s">
        <v>83</v>
      </c>
      <c r="P698" t="s">
        <v>84</v>
      </c>
      <c r="Q698" t="s">
        <v>85</v>
      </c>
      <c r="R698" t="s">
        <v>53</v>
      </c>
      <c r="S698" t="s">
        <v>54</v>
      </c>
      <c r="T698" s="2">
        <v>43843</v>
      </c>
      <c r="V698">
        <v>13</v>
      </c>
      <c r="AC698" s="4" t="s">
        <v>2923</v>
      </c>
      <c r="AD698" s="4" t="s">
        <v>2792</v>
      </c>
    </row>
    <row r="699" spans="1:30" customFormat="1" hidden="1" x14ac:dyDescent="0.4">
      <c r="A699" s="4" t="s">
        <v>216</v>
      </c>
      <c r="B699" t="s">
        <v>191</v>
      </c>
      <c r="D699" t="s">
        <v>75</v>
      </c>
      <c r="E699" t="s">
        <v>76</v>
      </c>
      <c r="F699" t="s">
        <v>77</v>
      </c>
      <c r="G699" t="s">
        <v>78</v>
      </c>
      <c r="H699" t="s">
        <v>79</v>
      </c>
      <c r="I699" t="s">
        <v>80</v>
      </c>
      <c r="J699" t="s">
        <v>81</v>
      </c>
      <c r="L699" s="1" t="s">
        <v>82</v>
      </c>
      <c r="M699" s="3" t="s">
        <v>83</v>
      </c>
      <c r="P699" t="s">
        <v>86</v>
      </c>
      <c r="Q699" t="s">
        <v>87</v>
      </c>
      <c r="R699" t="s">
        <v>53</v>
      </c>
      <c r="S699" t="s">
        <v>54</v>
      </c>
      <c r="T699" s="2">
        <v>45258</v>
      </c>
      <c r="V699">
        <v>6</v>
      </c>
      <c r="AC699" s="4" t="s">
        <v>2923</v>
      </c>
      <c r="AD699" s="4" t="s">
        <v>2792</v>
      </c>
    </row>
    <row r="700" spans="1:30" customFormat="1" hidden="1" x14ac:dyDescent="0.4">
      <c r="A700" s="4" t="s">
        <v>216</v>
      </c>
      <c r="B700" t="s">
        <v>191</v>
      </c>
      <c r="D700" t="s">
        <v>75</v>
      </c>
      <c r="E700" t="s">
        <v>76</v>
      </c>
      <c r="F700" t="s">
        <v>77</v>
      </c>
      <c r="G700" t="s">
        <v>78</v>
      </c>
      <c r="H700" t="s">
        <v>79</v>
      </c>
      <c r="I700" t="s">
        <v>80</v>
      </c>
      <c r="J700" t="s">
        <v>81</v>
      </c>
      <c r="L700" s="1" t="s">
        <v>82</v>
      </c>
      <c r="M700" s="3" t="s">
        <v>83</v>
      </c>
      <c r="P700" t="s">
        <v>86</v>
      </c>
      <c r="Q700" t="s">
        <v>87</v>
      </c>
      <c r="R700" t="s">
        <v>53</v>
      </c>
      <c r="S700" t="s">
        <v>54</v>
      </c>
      <c r="T700" s="2">
        <v>45258</v>
      </c>
      <c r="V700">
        <v>12</v>
      </c>
      <c r="AC700" s="4" t="s">
        <v>2923</v>
      </c>
      <c r="AD700" s="4" t="s">
        <v>2792</v>
      </c>
    </row>
    <row r="701" spans="1:30" customFormat="1" x14ac:dyDescent="0.4">
      <c r="A701" s="4" t="s">
        <v>216</v>
      </c>
      <c r="B701" t="s">
        <v>192</v>
      </c>
      <c r="D701" t="s">
        <v>88</v>
      </c>
      <c r="E701" t="s">
        <v>89</v>
      </c>
      <c r="F701" t="s">
        <v>90</v>
      </c>
      <c r="G701" t="s">
        <v>91</v>
      </c>
      <c r="H701" t="s">
        <v>91</v>
      </c>
      <c r="I701" t="s">
        <v>34</v>
      </c>
      <c r="J701" t="s">
        <v>92</v>
      </c>
      <c r="L701" s="1" t="s">
        <v>93</v>
      </c>
      <c r="M701" s="3" t="s">
        <v>94</v>
      </c>
      <c r="P701" t="s">
        <v>95</v>
      </c>
      <c r="Q701" t="s">
        <v>96</v>
      </c>
      <c r="R701" t="s">
        <v>32</v>
      </c>
      <c r="S701" t="s">
        <v>54</v>
      </c>
      <c r="T701" s="2">
        <v>42860</v>
      </c>
      <c r="V701">
        <v>4</v>
      </c>
      <c r="W701" t="s">
        <v>97</v>
      </c>
      <c r="X701" t="s">
        <v>102</v>
      </c>
      <c r="AB701" t="s">
        <v>101</v>
      </c>
      <c r="AC701" s="4" t="s">
        <v>2923</v>
      </c>
      <c r="AD701" s="4" t="s">
        <v>2792</v>
      </c>
    </row>
    <row r="702" spans="1:30" customFormat="1" hidden="1" x14ac:dyDescent="0.4">
      <c r="A702" s="4" t="s">
        <v>216</v>
      </c>
      <c r="B702" t="s">
        <v>192</v>
      </c>
      <c r="D702" t="s">
        <v>88</v>
      </c>
      <c r="E702" t="s">
        <v>89</v>
      </c>
      <c r="F702" t="s">
        <v>90</v>
      </c>
      <c r="G702" t="s">
        <v>91</v>
      </c>
      <c r="H702" t="s">
        <v>91</v>
      </c>
      <c r="I702" t="s">
        <v>34</v>
      </c>
      <c r="J702" t="s">
        <v>92</v>
      </c>
      <c r="L702" s="1" t="s">
        <v>93</v>
      </c>
      <c r="M702" s="3" t="s">
        <v>94</v>
      </c>
      <c r="P702" t="s">
        <v>95</v>
      </c>
      <c r="Q702" t="s">
        <v>96</v>
      </c>
      <c r="R702" t="s">
        <v>32</v>
      </c>
      <c r="S702" t="s">
        <v>54</v>
      </c>
      <c r="T702" s="2">
        <v>42860</v>
      </c>
      <c r="V702">
        <v>5</v>
      </c>
      <c r="AC702" s="4" t="s">
        <v>2923</v>
      </c>
      <c r="AD702" s="4" t="s">
        <v>2792</v>
      </c>
    </row>
    <row r="703" spans="1:30" customFormat="1" hidden="1" x14ac:dyDescent="0.4">
      <c r="A703" s="4" t="s">
        <v>216</v>
      </c>
      <c r="B703" t="s">
        <v>192</v>
      </c>
      <c r="D703" t="s">
        <v>88</v>
      </c>
      <c r="E703" t="s">
        <v>89</v>
      </c>
      <c r="F703" t="s">
        <v>90</v>
      </c>
      <c r="G703" t="s">
        <v>91</v>
      </c>
      <c r="H703" t="s">
        <v>91</v>
      </c>
      <c r="I703" t="s">
        <v>34</v>
      </c>
      <c r="J703" t="s">
        <v>92</v>
      </c>
      <c r="L703" s="1" t="s">
        <v>93</v>
      </c>
      <c r="M703" s="3" t="s">
        <v>94</v>
      </c>
      <c r="P703" t="s">
        <v>95</v>
      </c>
      <c r="Q703" t="s">
        <v>96</v>
      </c>
      <c r="R703" t="s">
        <v>32</v>
      </c>
      <c r="S703" t="s">
        <v>54</v>
      </c>
      <c r="T703" s="2">
        <v>42860</v>
      </c>
      <c r="V703">
        <v>10</v>
      </c>
      <c r="AC703" s="4" t="s">
        <v>2923</v>
      </c>
      <c r="AD703" s="4" t="s">
        <v>2792</v>
      </c>
    </row>
    <row r="704" spans="1:30" customFormat="1" hidden="1" x14ac:dyDescent="0.4">
      <c r="A704" s="4" t="s">
        <v>216</v>
      </c>
      <c r="B704" t="s">
        <v>192</v>
      </c>
      <c r="D704" t="s">
        <v>88</v>
      </c>
      <c r="E704" t="s">
        <v>89</v>
      </c>
      <c r="F704" t="s">
        <v>90</v>
      </c>
      <c r="G704" t="s">
        <v>91</v>
      </c>
      <c r="H704" t="s">
        <v>91</v>
      </c>
      <c r="I704" t="s">
        <v>34</v>
      </c>
      <c r="J704" t="s">
        <v>92</v>
      </c>
      <c r="L704" s="1" t="s">
        <v>93</v>
      </c>
      <c r="M704" s="3" t="s">
        <v>94</v>
      </c>
      <c r="P704" t="s">
        <v>95</v>
      </c>
      <c r="Q704" t="s">
        <v>96</v>
      </c>
      <c r="R704" t="s">
        <v>32</v>
      </c>
      <c r="S704" t="s">
        <v>54</v>
      </c>
      <c r="T704" s="2">
        <v>42860</v>
      </c>
      <c r="V704">
        <v>11</v>
      </c>
      <c r="AC704" s="4" t="s">
        <v>2923</v>
      </c>
      <c r="AD704" s="4" t="s">
        <v>2792</v>
      </c>
    </row>
    <row r="705" spans="1:30" customFormat="1" hidden="1" x14ac:dyDescent="0.4">
      <c r="A705" s="4" t="s">
        <v>216</v>
      </c>
      <c r="B705" t="s">
        <v>192</v>
      </c>
      <c r="D705" t="s">
        <v>88</v>
      </c>
      <c r="E705" t="s">
        <v>89</v>
      </c>
      <c r="F705" t="s">
        <v>90</v>
      </c>
      <c r="G705" t="s">
        <v>91</v>
      </c>
      <c r="H705" t="s">
        <v>91</v>
      </c>
      <c r="I705" t="s">
        <v>34</v>
      </c>
      <c r="J705" t="s">
        <v>92</v>
      </c>
      <c r="L705" s="1" t="s">
        <v>93</v>
      </c>
      <c r="M705" s="3" t="s">
        <v>94</v>
      </c>
      <c r="P705" t="s">
        <v>98</v>
      </c>
      <c r="Q705" t="s">
        <v>99</v>
      </c>
      <c r="R705" t="s">
        <v>32</v>
      </c>
      <c r="S705" t="s">
        <v>100</v>
      </c>
      <c r="T705" s="2">
        <v>42444</v>
      </c>
      <c r="V705">
        <v>5</v>
      </c>
      <c r="AC705" s="4" t="s">
        <v>2923</v>
      </c>
      <c r="AD705" s="4" t="s">
        <v>2792</v>
      </c>
    </row>
    <row r="706" spans="1:30" customFormat="1" hidden="1" x14ac:dyDescent="0.4">
      <c r="A706" s="4" t="s">
        <v>216</v>
      </c>
      <c r="B706" t="s">
        <v>192</v>
      </c>
      <c r="D706" t="s">
        <v>88</v>
      </c>
      <c r="E706" t="s">
        <v>89</v>
      </c>
      <c r="F706" t="s">
        <v>90</v>
      </c>
      <c r="G706" t="s">
        <v>91</v>
      </c>
      <c r="H706" t="s">
        <v>91</v>
      </c>
      <c r="I706" t="s">
        <v>34</v>
      </c>
      <c r="J706" t="s">
        <v>92</v>
      </c>
      <c r="L706" s="1" t="s">
        <v>93</v>
      </c>
      <c r="M706" s="3" t="s">
        <v>94</v>
      </c>
      <c r="P706" t="s">
        <v>98</v>
      </c>
      <c r="Q706" t="s">
        <v>99</v>
      </c>
      <c r="R706" t="s">
        <v>32</v>
      </c>
      <c r="S706" t="s">
        <v>100</v>
      </c>
      <c r="T706" s="2">
        <v>42444</v>
      </c>
      <c r="V706">
        <v>6</v>
      </c>
      <c r="AC706" s="4" t="s">
        <v>2923</v>
      </c>
      <c r="AD706" s="4" t="s">
        <v>2792</v>
      </c>
    </row>
    <row r="707" spans="1:30" customFormat="1" hidden="1" x14ac:dyDescent="0.4">
      <c r="A707" s="4" t="s">
        <v>216</v>
      </c>
      <c r="B707" t="s">
        <v>192</v>
      </c>
      <c r="D707" t="s">
        <v>88</v>
      </c>
      <c r="E707" t="s">
        <v>89</v>
      </c>
      <c r="F707" t="s">
        <v>90</v>
      </c>
      <c r="G707" t="s">
        <v>91</v>
      </c>
      <c r="H707" t="s">
        <v>91</v>
      </c>
      <c r="I707" t="s">
        <v>34</v>
      </c>
      <c r="J707" t="s">
        <v>92</v>
      </c>
      <c r="L707" s="1" t="s">
        <v>93</v>
      </c>
      <c r="M707" s="3" t="s">
        <v>94</v>
      </c>
      <c r="P707" t="s">
        <v>98</v>
      </c>
      <c r="Q707" t="s">
        <v>99</v>
      </c>
      <c r="R707" t="s">
        <v>32</v>
      </c>
      <c r="S707" t="s">
        <v>100</v>
      </c>
      <c r="T707" s="2">
        <v>42444</v>
      </c>
      <c r="V707">
        <v>11</v>
      </c>
      <c r="AC707" s="4" t="s">
        <v>2923</v>
      </c>
      <c r="AD707" s="4" t="s">
        <v>2792</v>
      </c>
    </row>
    <row r="708" spans="1:30" customFormat="1" hidden="1" x14ac:dyDescent="0.4">
      <c r="A708" s="4" t="s">
        <v>216</v>
      </c>
      <c r="B708" t="s">
        <v>192</v>
      </c>
      <c r="D708" t="s">
        <v>88</v>
      </c>
      <c r="E708" t="s">
        <v>89</v>
      </c>
      <c r="F708" t="s">
        <v>90</v>
      </c>
      <c r="G708" t="s">
        <v>91</v>
      </c>
      <c r="H708" t="s">
        <v>91</v>
      </c>
      <c r="I708" t="s">
        <v>34</v>
      </c>
      <c r="J708" t="s">
        <v>92</v>
      </c>
      <c r="L708" s="1" t="s">
        <v>93</v>
      </c>
      <c r="M708" s="3" t="s">
        <v>94</v>
      </c>
      <c r="P708" t="s">
        <v>98</v>
      </c>
      <c r="Q708" t="s">
        <v>99</v>
      </c>
      <c r="R708" t="s">
        <v>32</v>
      </c>
      <c r="S708" t="s">
        <v>100</v>
      </c>
      <c r="T708" s="2">
        <v>42444</v>
      </c>
      <c r="V708">
        <v>13</v>
      </c>
      <c r="AC708" s="4" t="s">
        <v>2923</v>
      </c>
      <c r="AD708" s="4" t="s">
        <v>2792</v>
      </c>
    </row>
    <row r="709" spans="1:30" customFormat="1" hidden="1" x14ac:dyDescent="0.4">
      <c r="A709" s="4" t="s">
        <v>216</v>
      </c>
      <c r="B709" t="s">
        <v>193</v>
      </c>
      <c r="D709" t="s">
        <v>103</v>
      </c>
      <c r="E709" t="s">
        <v>104</v>
      </c>
      <c r="F709" t="s">
        <v>105</v>
      </c>
      <c r="J709" t="s">
        <v>106</v>
      </c>
      <c r="L709" s="1" t="s">
        <v>107</v>
      </c>
      <c r="M709" s="3" t="s">
        <v>108</v>
      </c>
      <c r="P709" t="s">
        <v>109</v>
      </c>
      <c r="Q709" t="s">
        <v>110</v>
      </c>
      <c r="R709" s="4" t="s">
        <v>2426</v>
      </c>
      <c r="S709" t="s">
        <v>54</v>
      </c>
      <c r="T709" s="2">
        <v>43282</v>
      </c>
      <c r="V709">
        <v>2</v>
      </c>
      <c r="AC709" s="4" t="s">
        <v>2923</v>
      </c>
      <c r="AD709" s="4" t="s">
        <v>2792</v>
      </c>
    </row>
    <row r="710" spans="1:30" customFormat="1" hidden="1" x14ac:dyDescent="0.4">
      <c r="A710" s="4" t="s">
        <v>216</v>
      </c>
      <c r="B710" t="s">
        <v>193</v>
      </c>
      <c r="D710" t="s">
        <v>103</v>
      </c>
      <c r="E710" t="s">
        <v>104</v>
      </c>
      <c r="F710" t="s">
        <v>105</v>
      </c>
      <c r="J710" t="s">
        <v>106</v>
      </c>
      <c r="L710" s="1" t="s">
        <v>107</v>
      </c>
      <c r="M710" s="3" t="s">
        <v>108</v>
      </c>
      <c r="P710" t="s">
        <v>109</v>
      </c>
      <c r="Q710" t="s">
        <v>110</v>
      </c>
      <c r="R710" s="4" t="s">
        <v>2426</v>
      </c>
      <c r="S710" t="s">
        <v>54</v>
      </c>
      <c r="T710" s="2">
        <v>43282</v>
      </c>
      <c r="V710">
        <v>3</v>
      </c>
      <c r="AC710" s="4" t="s">
        <v>2923</v>
      </c>
      <c r="AD710" s="4" t="s">
        <v>2792</v>
      </c>
    </row>
    <row r="711" spans="1:30" customFormat="1" hidden="1" x14ac:dyDescent="0.4">
      <c r="A711" s="4" t="s">
        <v>216</v>
      </c>
      <c r="B711" t="s">
        <v>194</v>
      </c>
      <c r="D711" t="s">
        <v>112</v>
      </c>
      <c r="E711" t="s">
        <v>113</v>
      </c>
      <c r="F711" t="s">
        <v>114</v>
      </c>
      <c r="G711" t="s">
        <v>115</v>
      </c>
      <c r="H711" t="s">
        <v>116</v>
      </c>
      <c r="I711" t="s">
        <v>34</v>
      </c>
      <c r="J711" t="s">
        <v>117</v>
      </c>
      <c r="L711" s="1" t="s">
        <v>118</v>
      </c>
      <c r="M711" s="3" t="s">
        <v>119</v>
      </c>
      <c r="P711" t="s">
        <v>120</v>
      </c>
      <c r="Q711" t="s">
        <v>121</v>
      </c>
      <c r="R711" s="4" t="s">
        <v>333</v>
      </c>
      <c r="S711" t="s">
        <v>54</v>
      </c>
      <c r="T711" s="2">
        <v>45194</v>
      </c>
      <c r="V711">
        <v>4</v>
      </c>
      <c r="AC711" s="4" t="s">
        <v>2923</v>
      </c>
      <c r="AD711" s="4" t="s">
        <v>2792</v>
      </c>
    </row>
    <row r="712" spans="1:30" customFormat="1" hidden="1" x14ac:dyDescent="0.4">
      <c r="A712" s="4" t="s">
        <v>216</v>
      </c>
      <c r="B712" t="s">
        <v>194</v>
      </c>
      <c r="D712" t="s">
        <v>112</v>
      </c>
      <c r="E712" t="s">
        <v>113</v>
      </c>
      <c r="F712" t="s">
        <v>114</v>
      </c>
      <c r="G712" t="s">
        <v>115</v>
      </c>
      <c r="H712" t="s">
        <v>116</v>
      </c>
      <c r="I712" t="s">
        <v>34</v>
      </c>
      <c r="J712" t="s">
        <v>117</v>
      </c>
      <c r="L712" s="1" t="s">
        <v>118</v>
      </c>
      <c r="M712" s="3" t="s">
        <v>119</v>
      </c>
      <c r="P712" t="s">
        <v>120</v>
      </c>
      <c r="Q712" t="s">
        <v>121</v>
      </c>
      <c r="R712" s="4" t="s">
        <v>333</v>
      </c>
      <c r="S712" t="s">
        <v>54</v>
      </c>
      <c r="T712" s="2">
        <v>45194</v>
      </c>
      <c r="V712">
        <v>10</v>
      </c>
      <c r="AC712" s="4" t="s">
        <v>2923</v>
      </c>
      <c r="AD712" s="4" t="s">
        <v>2792</v>
      </c>
    </row>
    <row r="713" spans="1:30" customFormat="1" hidden="1" x14ac:dyDescent="0.4">
      <c r="A713" s="4" t="s">
        <v>216</v>
      </c>
      <c r="B713" t="s">
        <v>195</v>
      </c>
      <c r="D713" t="s">
        <v>122</v>
      </c>
      <c r="E713" t="s">
        <v>123</v>
      </c>
      <c r="F713" t="s">
        <v>124</v>
      </c>
      <c r="G713" t="s">
        <v>125</v>
      </c>
      <c r="H713" t="s">
        <v>126</v>
      </c>
      <c r="J713" t="s">
        <v>127</v>
      </c>
      <c r="L713" s="1" t="s">
        <v>128</v>
      </c>
      <c r="P713" t="s">
        <v>130</v>
      </c>
      <c r="Q713" t="s">
        <v>131</v>
      </c>
      <c r="R713" t="s">
        <v>129</v>
      </c>
      <c r="S713" t="s">
        <v>54</v>
      </c>
      <c r="T713" s="2">
        <v>43331</v>
      </c>
      <c r="V713">
        <v>4</v>
      </c>
      <c r="X713" t="s">
        <v>57</v>
      </c>
      <c r="AB713" t="s">
        <v>133</v>
      </c>
      <c r="AC713" s="4" t="s">
        <v>2923</v>
      </c>
      <c r="AD713" s="4" t="s">
        <v>2792</v>
      </c>
    </row>
    <row r="714" spans="1:30" customFormat="1" hidden="1" x14ac:dyDescent="0.4">
      <c r="A714" s="4" t="s">
        <v>216</v>
      </c>
      <c r="B714" t="s">
        <v>195</v>
      </c>
      <c r="D714" t="s">
        <v>122</v>
      </c>
      <c r="E714" t="s">
        <v>123</v>
      </c>
      <c r="F714" t="s">
        <v>124</v>
      </c>
      <c r="G714" t="s">
        <v>125</v>
      </c>
      <c r="H714" t="s">
        <v>126</v>
      </c>
      <c r="J714" t="s">
        <v>127</v>
      </c>
      <c r="L714" s="1" t="s">
        <v>128</v>
      </c>
      <c r="P714" t="s">
        <v>130</v>
      </c>
      <c r="Q714" t="s">
        <v>131</v>
      </c>
      <c r="R714" t="s">
        <v>129</v>
      </c>
      <c r="S714" t="s">
        <v>54</v>
      </c>
      <c r="T714" s="2">
        <v>43331</v>
      </c>
      <c r="V714">
        <v>5</v>
      </c>
      <c r="AC714" s="4" t="s">
        <v>2923</v>
      </c>
      <c r="AD714" s="4" t="s">
        <v>2792</v>
      </c>
    </row>
    <row r="715" spans="1:30" customFormat="1" hidden="1" x14ac:dyDescent="0.4">
      <c r="A715" s="4" t="s">
        <v>216</v>
      </c>
      <c r="B715" t="s">
        <v>195</v>
      </c>
      <c r="D715" t="s">
        <v>122</v>
      </c>
      <c r="E715" t="s">
        <v>123</v>
      </c>
      <c r="F715" t="s">
        <v>124</v>
      </c>
      <c r="G715" t="s">
        <v>125</v>
      </c>
      <c r="H715" t="s">
        <v>126</v>
      </c>
      <c r="J715" t="s">
        <v>127</v>
      </c>
      <c r="L715" s="1" t="s">
        <v>128</v>
      </c>
      <c r="P715" t="s">
        <v>130</v>
      </c>
      <c r="Q715" t="s">
        <v>131</v>
      </c>
      <c r="R715" t="s">
        <v>129</v>
      </c>
      <c r="S715" t="s">
        <v>54</v>
      </c>
      <c r="T715" s="2">
        <v>43331</v>
      </c>
      <c r="V715">
        <v>10</v>
      </c>
      <c r="AC715" s="4" t="s">
        <v>2923</v>
      </c>
      <c r="AD715" s="4" t="s">
        <v>2792</v>
      </c>
    </row>
    <row r="716" spans="1:30" customFormat="1" hidden="1" x14ac:dyDescent="0.4">
      <c r="A716" s="4" t="s">
        <v>216</v>
      </c>
      <c r="B716" t="s">
        <v>195</v>
      </c>
      <c r="D716" t="s">
        <v>122</v>
      </c>
      <c r="E716" t="s">
        <v>123</v>
      </c>
      <c r="F716" t="s">
        <v>124</v>
      </c>
      <c r="G716" t="s">
        <v>125</v>
      </c>
      <c r="H716" t="s">
        <v>126</v>
      </c>
      <c r="J716" t="s">
        <v>127</v>
      </c>
      <c r="L716" s="1" t="s">
        <v>128</v>
      </c>
      <c r="P716" t="s">
        <v>130</v>
      </c>
      <c r="Q716" t="s">
        <v>131</v>
      </c>
      <c r="R716" t="s">
        <v>129</v>
      </c>
      <c r="S716" t="s">
        <v>54</v>
      </c>
      <c r="T716" s="2">
        <v>43331</v>
      </c>
      <c r="V716">
        <v>11</v>
      </c>
      <c r="W716" t="s">
        <v>132</v>
      </c>
      <c r="AC716" s="4" t="s">
        <v>2923</v>
      </c>
      <c r="AD716" s="4" t="s">
        <v>2792</v>
      </c>
    </row>
    <row r="717" spans="1:30" customFormat="1" hidden="1" x14ac:dyDescent="0.4">
      <c r="A717" s="4" t="s">
        <v>216</v>
      </c>
      <c r="B717" t="s">
        <v>195</v>
      </c>
      <c r="D717" t="s">
        <v>122</v>
      </c>
      <c r="E717" t="s">
        <v>123</v>
      </c>
      <c r="F717" t="s">
        <v>124</v>
      </c>
      <c r="G717" t="s">
        <v>125</v>
      </c>
      <c r="H717" t="s">
        <v>126</v>
      </c>
      <c r="J717" t="s">
        <v>127</v>
      </c>
      <c r="L717" s="1" t="s">
        <v>128</v>
      </c>
      <c r="P717" t="s">
        <v>134</v>
      </c>
      <c r="Q717" t="s">
        <v>135</v>
      </c>
      <c r="R717" t="s">
        <v>129</v>
      </c>
      <c r="S717" t="s">
        <v>54</v>
      </c>
      <c r="T717" s="2">
        <v>44935</v>
      </c>
      <c r="V717">
        <v>3</v>
      </c>
      <c r="AC717" s="4" t="s">
        <v>2923</v>
      </c>
      <c r="AD717" s="4" t="s">
        <v>2792</v>
      </c>
    </row>
    <row r="718" spans="1:30" customFormat="1" hidden="1" x14ac:dyDescent="0.4">
      <c r="A718" s="4" t="s">
        <v>216</v>
      </c>
      <c r="B718" t="s">
        <v>195</v>
      </c>
      <c r="D718" t="s">
        <v>122</v>
      </c>
      <c r="E718" t="s">
        <v>123</v>
      </c>
      <c r="F718" t="s">
        <v>124</v>
      </c>
      <c r="G718" t="s">
        <v>125</v>
      </c>
      <c r="H718" t="s">
        <v>126</v>
      </c>
      <c r="J718" t="s">
        <v>127</v>
      </c>
      <c r="L718" s="1" t="s">
        <v>128</v>
      </c>
      <c r="P718" t="s">
        <v>134</v>
      </c>
      <c r="Q718" t="s">
        <v>135</v>
      </c>
      <c r="R718" t="s">
        <v>129</v>
      </c>
      <c r="S718" t="s">
        <v>54</v>
      </c>
      <c r="T718" s="2">
        <v>44935</v>
      </c>
      <c r="V718">
        <v>9</v>
      </c>
      <c r="AC718" s="4" t="s">
        <v>2923</v>
      </c>
      <c r="AD718" s="4" t="s">
        <v>2792</v>
      </c>
    </row>
    <row r="719" spans="1:30" customFormat="1" hidden="1" x14ac:dyDescent="0.4">
      <c r="A719" s="4" t="s">
        <v>216</v>
      </c>
      <c r="B719" t="s">
        <v>196</v>
      </c>
      <c r="D719" t="s">
        <v>35</v>
      </c>
      <c r="E719" t="s">
        <v>36</v>
      </c>
      <c r="F719" t="s">
        <v>136</v>
      </c>
      <c r="H719" t="s">
        <v>37</v>
      </c>
      <c r="I719" t="s">
        <v>28</v>
      </c>
      <c r="J719" t="s">
        <v>38</v>
      </c>
      <c r="L719" s="1" t="s">
        <v>39</v>
      </c>
      <c r="M719" s="3" t="s">
        <v>40</v>
      </c>
      <c r="P719" t="s">
        <v>41</v>
      </c>
      <c r="Q719" t="s">
        <v>42</v>
      </c>
      <c r="R719" t="s">
        <v>53</v>
      </c>
      <c r="S719" t="s">
        <v>100</v>
      </c>
      <c r="T719" s="2">
        <v>43480</v>
      </c>
      <c r="V719">
        <v>7</v>
      </c>
      <c r="AC719" s="4" t="s">
        <v>2923</v>
      </c>
      <c r="AD719" s="4" t="s">
        <v>2792</v>
      </c>
    </row>
    <row r="720" spans="1:30" customFormat="1" hidden="1" x14ac:dyDescent="0.4">
      <c r="A720" s="4" t="s">
        <v>216</v>
      </c>
      <c r="B720" t="s">
        <v>196</v>
      </c>
      <c r="D720" t="s">
        <v>35</v>
      </c>
      <c r="E720" t="s">
        <v>36</v>
      </c>
      <c r="F720" t="s">
        <v>136</v>
      </c>
      <c r="H720" t="s">
        <v>37</v>
      </c>
      <c r="I720" t="s">
        <v>28</v>
      </c>
      <c r="J720" t="s">
        <v>38</v>
      </c>
      <c r="L720" s="1" t="s">
        <v>39</v>
      </c>
      <c r="M720" s="3" t="s">
        <v>40</v>
      </c>
      <c r="P720" t="s">
        <v>41</v>
      </c>
      <c r="Q720" t="s">
        <v>42</v>
      </c>
      <c r="R720" t="s">
        <v>53</v>
      </c>
      <c r="S720" t="s">
        <v>100</v>
      </c>
      <c r="T720" s="2">
        <v>43480</v>
      </c>
      <c r="V720">
        <v>13</v>
      </c>
      <c r="AC720" s="4" t="s">
        <v>2923</v>
      </c>
      <c r="AD720" s="4" t="s">
        <v>2792</v>
      </c>
    </row>
    <row r="721" spans="1:30" customFormat="1" hidden="1" x14ac:dyDescent="0.4">
      <c r="A721" s="4" t="s">
        <v>216</v>
      </c>
      <c r="B721" t="s">
        <v>196</v>
      </c>
      <c r="D721" t="s">
        <v>35</v>
      </c>
      <c r="E721" t="s">
        <v>36</v>
      </c>
      <c r="F721" t="s">
        <v>136</v>
      </c>
      <c r="H721" t="s">
        <v>37</v>
      </c>
      <c r="I721" t="s">
        <v>28</v>
      </c>
      <c r="J721" t="s">
        <v>38</v>
      </c>
      <c r="L721" s="1" t="s">
        <v>39</v>
      </c>
      <c r="M721" s="3" t="s">
        <v>40</v>
      </c>
      <c r="P721" t="s">
        <v>137</v>
      </c>
      <c r="Q721" t="s">
        <v>138</v>
      </c>
      <c r="R721" s="4" t="s">
        <v>333</v>
      </c>
      <c r="S721" t="s">
        <v>100</v>
      </c>
      <c r="T721" s="2">
        <v>45841</v>
      </c>
      <c r="V721">
        <v>4</v>
      </c>
      <c r="AC721" s="4" t="s">
        <v>2923</v>
      </c>
      <c r="AD721" s="4" t="s">
        <v>2792</v>
      </c>
    </row>
    <row r="722" spans="1:30" customFormat="1" hidden="1" x14ac:dyDescent="0.4">
      <c r="A722" s="4" t="s">
        <v>216</v>
      </c>
      <c r="B722" t="s">
        <v>196</v>
      </c>
      <c r="D722" t="s">
        <v>35</v>
      </c>
      <c r="E722" t="s">
        <v>36</v>
      </c>
      <c r="F722" t="s">
        <v>136</v>
      </c>
      <c r="H722" t="s">
        <v>37</v>
      </c>
      <c r="I722" t="s">
        <v>28</v>
      </c>
      <c r="J722" t="s">
        <v>38</v>
      </c>
      <c r="L722" s="1" t="s">
        <v>39</v>
      </c>
      <c r="M722" s="3" t="s">
        <v>40</v>
      </c>
      <c r="P722" t="s">
        <v>137</v>
      </c>
      <c r="Q722" t="s">
        <v>138</v>
      </c>
      <c r="R722" s="4" t="s">
        <v>333</v>
      </c>
      <c r="S722" t="s">
        <v>100</v>
      </c>
      <c r="T722" s="2">
        <v>45841</v>
      </c>
      <c r="V722">
        <v>10</v>
      </c>
      <c r="AC722" s="4" t="s">
        <v>2923</v>
      </c>
      <c r="AD722" s="4" t="s">
        <v>2792</v>
      </c>
    </row>
    <row r="723" spans="1:30" customFormat="1" hidden="1" x14ac:dyDescent="0.4">
      <c r="A723" s="4" t="s">
        <v>216</v>
      </c>
      <c r="B723" t="s">
        <v>197</v>
      </c>
      <c r="D723" t="s">
        <v>43</v>
      </c>
      <c r="E723" t="s">
        <v>139</v>
      </c>
      <c r="F723" t="s">
        <v>140</v>
      </c>
      <c r="G723" t="s">
        <v>141</v>
      </c>
      <c r="H723" t="s">
        <v>142</v>
      </c>
      <c r="I723" t="s">
        <v>143</v>
      </c>
      <c r="J723" t="s">
        <v>144</v>
      </c>
      <c r="L723" s="1" t="s">
        <v>145</v>
      </c>
      <c r="M723" s="3" t="s">
        <v>146</v>
      </c>
      <c r="P723" t="s">
        <v>147</v>
      </c>
      <c r="Q723" t="s">
        <v>148</v>
      </c>
      <c r="R723" t="s">
        <v>149</v>
      </c>
      <c r="S723" t="s">
        <v>100</v>
      </c>
      <c r="T723" s="2">
        <v>42659</v>
      </c>
      <c r="V723">
        <v>5</v>
      </c>
      <c r="AC723" s="4" t="s">
        <v>2923</v>
      </c>
      <c r="AD723" s="4" t="s">
        <v>2792</v>
      </c>
    </row>
    <row r="724" spans="1:30" customFormat="1" hidden="1" x14ac:dyDescent="0.4">
      <c r="A724" s="4" t="s">
        <v>216</v>
      </c>
      <c r="B724" t="s">
        <v>197</v>
      </c>
      <c r="D724" t="s">
        <v>43</v>
      </c>
      <c r="E724" t="s">
        <v>139</v>
      </c>
      <c r="F724" t="s">
        <v>140</v>
      </c>
      <c r="G724" t="s">
        <v>141</v>
      </c>
      <c r="H724" t="s">
        <v>142</v>
      </c>
      <c r="I724" t="s">
        <v>143</v>
      </c>
      <c r="J724" t="s">
        <v>144</v>
      </c>
      <c r="L724" s="1" t="s">
        <v>145</v>
      </c>
      <c r="M724" s="3" t="s">
        <v>146</v>
      </c>
      <c r="P724" t="s">
        <v>147</v>
      </c>
      <c r="Q724" t="s">
        <v>148</v>
      </c>
      <c r="R724" t="s">
        <v>149</v>
      </c>
      <c r="S724" t="s">
        <v>100</v>
      </c>
      <c r="T724" s="2">
        <v>42659</v>
      </c>
      <c r="V724">
        <v>6</v>
      </c>
      <c r="AC724" s="4" t="s">
        <v>2923</v>
      </c>
      <c r="AD724" s="4" t="s">
        <v>2792</v>
      </c>
    </row>
    <row r="725" spans="1:30" customFormat="1" hidden="1" x14ac:dyDescent="0.4">
      <c r="A725" s="4" t="s">
        <v>216</v>
      </c>
      <c r="B725" t="s">
        <v>197</v>
      </c>
      <c r="D725" t="s">
        <v>43</v>
      </c>
      <c r="E725" t="s">
        <v>139</v>
      </c>
      <c r="F725" t="s">
        <v>140</v>
      </c>
      <c r="G725" t="s">
        <v>141</v>
      </c>
      <c r="H725" t="s">
        <v>142</v>
      </c>
      <c r="I725" t="s">
        <v>143</v>
      </c>
      <c r="J725" t="s">
        <v>144</v>
      </c>
      <c r="L725" s="1" t="s">
        <v>145</v>
      </c>
      <c r="M725" s="3" t="s">
        <v>146</v>
      </c>
      <c r="P725" t="s">
        <v>147</v>
      </c>
      <c r="Q725" t="s">
        <v>148</v>
      </c>
      <c r="R725" t="s">
        <v>149</v>
      </c>
      <c r="S725" t="s">
        <v>100</v>
      </c>
      <c r="T725" s="2">
        <v>42659</v>
      </c>
      <c r="V725">
        <v>11</v>
      </c>
      <c r="AC725" s="4" t="s">
        <v>2923</v>
      </c>
      <c r="AD725" s="4" t="s">
        <v>2792</v>
      </c>
    </row>
    <row r="726" spans="1:30" customFormat="1" hidden="1" x14ac:dyDescent="0.4">
      <c r="A726" s="4" t="s">
        <v>216</v>
      </c>
      <c r="B726" t="s">
        <v>197</v>
      </c>
      <c r="D726" t="s">
        <v>43</v>
      </c>
      <c r="E726" t="s">
        <v>139</v>
      </c>
      <c r="F726" t="s">
        <v>140</v>
      </c>
      <c r="G726" t="s">
        <v>141</v>
      </c>
      <c r="H726" t="s">
        <v>142</v>
      </c>
      <c r="I726" t="s">
        <v>143</v>
      </c>
      <c r="J726" t="s">
        <v>144</v>
      </c>
      <c r="L726" s="1" t="s">
        <v>145</v>
      </c>
      <c r="M726" s="3" t="s">
        <v>146</v>
      </c>
      <c r="P726" t="s">
        <v>147</v>
      </c>
      <c r="Q726" t="s">
        <v>148</v>
      </c>
      <c r="R726" t="s">
        <v>149</v>
      </c>
      <c r="S726" t="s">
        <v>100</v>
      </c>
      <c r="T726" s="2">
        <v>42659</v>
      </c>
      <c r="V726">
        <v>12</v>
      </c>
      <c r="AC726" s="4" t="s">
        <v>2923</v>
      </c>
      <c r="AD726" s="4" t="s">
        <v>2792</v>
      </c>
    </row>
    <row r="727" spans="1:30" customFormat="1" hidden="1" x14ac:dyDescent="0.4">
      <c r="A727" s="4" t="s">
        <v>216</v>
      </c>
      <c r="B727" t="s">
        <v>198</v>
      </c>
      <c r="D727" t="s">
        <v>150</v>
      </c>
      <c r="E727" t="s">
        <v>151</v>
      </c>
      <c r="F727" t="s">
        <v>152</v>
      </c>
      <c r="H727" t="s">
        <v>153</v>
      </c>
      <c r="I727" t="s">
        <v>154</v>
      </c>
      <c r="J727" t="s">
        <v>155</v>
      </c>
      <c r="L727" s="1" t="s">
        <v>156</v>
      </c>
      <c r="P727" t="s">
        <v>157</v>
      </c>
      <c r="Q727" t="s">
        <v>158</v>
      </c>
      <c r="R727" t="s">
        <v>159</v>
      </c>
      <c r="S727" t="s">
        <v>54</v>
      </c>
      <c r="T727" s="2">
        <v>43299</v>
      </c>
      <c r="V727">
        <v>4</v>
      </c>
      <c r="AC727" s="4" t="s">
        <v>2923</v>
      </c>
      <c r="AD727" s="4" t="s">
        <v>2792</v>
      </c>
    </row>
    <row r="728" spans="1:30" customFormat="1" hidden="1" x14ac:dyDescent="0.4">
      <c r="A728" s="4" t="s">
        <v>216</v>
      </c>
      <c r="B728" t="s">
        <v>198</v>
      </c>
      <c r="D728" t="s">
        <v>150</v>
      </c>
      <c r="E728" t="s">
        <v>151</v>
      </c>
      <c r="F728" t="s">
        <v>152</v>
      </c>
      <c r="H728" t="s">
        <v>153</v>
      </c>
      <c r="I728" t="s">
        <v>154</v>
      </c>
      <c r="J728" t="s">
        <v>155</v>
      </c>
      <c r="L728" s="1" t="s">
        <v>156</v>
      </c>
      <c r="P728" t="s">
        <v>157</v>
      </c>
      <c r="Q728" t="s">
        <v>158</v>
      </c>
      <c r="R728" t="s">
        <v>159</v>
      </c>
      <c r="S728" t="s">
        <v>54</v>
      </c>
      <c r="T728" s="2">
        <v>43299</v>
      </c>
      <c r="V728">
        <v>5</v>
      </c>
      <c r="AC728" s="4" t="s">
        <v>2923</v>
      </c>
      <c r="AD728" s="4" t="s">
        <v>2792</v>
      </c>
    </row>
    <row r="729" spans="1:30" customFormat="1" hidden="1" x14ac:dyDescent="0.4">
      <c r="A729" s="4" t="s">
        <v>216</v>
      </c>
      <c r="B729" t="s">
        <v>199</v>
      </c>
      <c r="D729" t="s">
        <v>160</v>
      </c>
      <c r="E729" t="s">
        <v>161</v>
      </c>
      <c r="F729" t="s">
        <v>162</v>
      </c>
      <c r="H729" t="s">
        <v>163</v>
      </c>
      <c r="I729" t="s">
        <v>143</v>
      </c>
      <c r="J729" t="s">
        <v>164</v>
      </c>
      <c r="L729" s="1" t="s">
        <v>165</v>
      </c>
      <c r="M729" s="3" t="s">
        <v>166</v>
      </c>
      <c r="P729" t="s">
        <v>167</v>
      </c>
      <c r="Q729" t="s">
        <v>185</v>
      </c>
      <c r="R729" t="s">
        <v>168</v>
      </c>
      <c r="S729" t="s">
        <v>54</v>
      </c>
      <c r="T729" s="2">
        <v>44502</v>
      </c>
      <c r="V729">
        <v>4</v>
      </c>
      <c r="AB729" t="s">
        <v>65</v>
      </c>
      <c r="AC729" s="4" t="s">
        <v>2923</v>
      </c>
      <c r="AD729" s="4" t="s">
        <v>2792</v>
      </c>
    </row>
    <row r="730" spans="1:30" customFormat="1" hidden="1" x14ac:dyDescent="0.4">
      <c r="A730" s="4" t="s">
        <v>216</v>
      </c>
      <c r="B730" t="s">
        <v>199</v>
      </c>
      <c r="D730" t="s">
        <v>160</v>
      </c>
      <c r="E730" t="s">
        <v>161</v>
      </c>
      <c r="F730" t="s">
        <v>162</v>
      </c>
      <c r="H730" t="s">
        <v>163</v>
      </c>
      <c r="I730" t="s">
        <v>143</v>
      </c>
      <c r="J730" t="s">
        <v>164</v>
      </c>
      <c r="L730" s="1" t="s">
        <v>165</v>
      </c>
      <c r="M730" s="3" t="s">
        <v>166</v>
      </c>
      <c r="P730" t="s">
        <v>167</v>
      </c>
      <c r="Q730" t="s">
        <v>185</v>
      </c>
      <c r="R730" t="s">
        <v>168</v>
      </c>
      <c r="S730" t="s">
        <v>54</v>
      </c>
      <c r="T730" s="2">
        <v>44502</v>
      </c>
      <c r="V730">
        <v>10</v>
      </c>
      <c r="AB730" t="s">
        <v>65</v>
      </c>
      <c r="AC730" s="4" t="s">
        <v>2923</v>
      </c>
      <c r="AD730" s="4" t="s">
        <v>2792</v>
      </c>
    </row>
    <row r="731" spans="1:30" customFormat="1" hidden="1" x14ac:dyDescent="0.4">
      <c r="A731" s="4" t="s">
        <v>216</v>
      </c>
      <c r="B731" t="s">
        <v>200</v>
      </c>
      <c r="D731" t="s">
        <v>177</v>
      </c>
      <c r="E731" t="s">
        <v>169</v>
      </c>
      <c r="F731" t="s">
        <v>170</v>
      </c>
      <c r="G731" t="s">
        <v>171</v>
      </c>
      <c r="H731" t="s">
        <v>126</v>
      </c>
      <c r="J731" t="s">
        <v>172</v>
      </c>
      <c r="L731" s="1" t="s">
        <v>173</v>
      </c>
      <c r="P731" t="s">
        <v>174</v>
      </c>
      <c r="Q731" t="s">
        <v>175</v>
      </c>
      <c r="R731" t="s">
        <v>53</v>
      </c>
      <c r="S731" t="s">
        <v>54</v>
      </c>
      <c r="T731" s="2">
        <v>42920</v>
      </c>
      <c r="V731">
        <v>5</v>
      </c>
      <c r="W731" t="s">
        <v>176</v>
      </c>
      <c r="AC731" s="4" t="s">
        <v>2923</v>
      </c>
      <c r="AD731" s="4" t="s">
        <v>2792</v>
      </c>
    </row>
    <row r="732" spans="1:30" customFormat="1" hidden="1" x14ac:dyDescent="0.4">
      <c r="A732" s="4" t="s">
        <v>216</v>
      </c>
      <c r="B732" t="s">
        <v>200</v>
      </c>
      <c r="D732" t="s">
        <v>177</v>
      </c>
      <c r="E732" t="s">
        <v>169</v>
      </c>
      <c r="F732" t="s">
        <v>170</v>
      </c>
      <c r="G732" t="s">
        <v>171</v>
      </c>
      <c r="H732" t="s">
        <v>126</v>
      </c>
      <c r="J732" t="s">
        <v>172</v>
      </c>
      <c r="L732" s="1" t="s">
        <v>173</v>
      </c>
      <c r="P732" t="s">
        <v>174</v>
      </c>
      <c r="Q732" t="s">
        <v>175</v>
      </c>
      <c r="R732" t="s">
        <v>53</v>
      </c>
      <c r="S732" t="s">
        <v>54</v>
      </c>
      <c r="T732" s="2">
        <v>42920</v>
      </c>
      <c r="V732">
        <v>6</v>
      </c>
      <c r="AC732" s="4" t="s">
        <v>2923</v>
      </c>
      <c r="AD732" s="4" t="s">
        <v>2792</v>
      </c>
    </row>
    <row r="733" spans="1:30" customFormat="1" hidden="1" x14ac:dyDescent="0.4">
      <c r="A733" s="4" t="s">
        <v>216</v>
      </c>
      <c r="B733" t="s">
        <v>201</v>
      </c>
      <c r="D733" t="s">
        <v>202</v>
      </c>
      <c r="E733" t="s">
        <v>203</v>
      </c>
      <c r="F733" t="s">
        <v>206</v>
      </c>
      <c r="H733" t="s">
        <v>207</v>
      </c>
      <c r="J733" t="s">
        <v>208</v>
      </c>
      <c r="L733" s="1" t="s">
        <v>209</v>
      </c>
      <c r="M733" t="s">
        <v>210</v>
      </c>
      <c r="P733" t="s">
        <v>204</v>
      </c>
      <c r="Q733" t="s">
        <v>205</v>
      </c>
      <c r="R733" t="s">
        <v>32</v>
      </c>
      <c r="S733" t="s">
        <v>100</v>
      </c>
      <c r="T733" s="2">
        <v>43483</v>
      </c>
      <c r="V733">
        <v>6</v>
      </c>
      <c r="AC733" s="4" t="s">
        <v>2923</v>
      </c>
      <c r="AD733" s="4" t="s">
        <v>2792</v>
      </c>
    </row>
    <row r="734" spans="1:30" customFormat="1" hidden="1" x14ac:dyDescent="0.4">
      <c r="A734" s="4" t="s">
        <v>216</v>
      </c>
      <c r="B734" t="s">
        <v>201</v>
      </c>
      <c r="D734" t="s">
        <v>202</v>
      </c>
      <c r="E734" t="s">
        <v>203</v>
      </c>
      <c r="F734" t="s">
        <v>206</v>
      </c>
      <c r="H734" t="s">
        <v>207</v>
      </c>
      <c r="J734" t="s">
        <v>208</v>
      </c>
      <c r="L734" s="1" t="s">
        <v>209</v>
      </c>
      <c r="M734" t="s">
        <v>210</v>
      </c>
      <c r="P734" t="s">
        <v>204</v>
      </c>
      <c r="Q734" t="s">
        <v>205</v>
      </c>
      <c r="R734" t="s">
        <v>32</v>
      </c>
      <c r="S734" t="s">
        <v>100</v>
      </c>
      <c r="T734" s="2">
        <v>43483</v>
      </c>
      <c r="V734">
        <v>7</v>
      </c>
      <c r="AC734" s="4" t="s">
        <v>2923</v>
      </c>
      <c r="AD734" s="4" t="s">
        <v>2792</v>
      </c>
    </row>
    <row r="735" spans="1:30" customFormat="1" hidden="1" x14ac:dyDescent="0.4">
      <c r="A735" s="4" t="s">
        <v>216</v>
      </c>
      <c r="B735" t="s">
        <v>201</v>
      </c>
      <c r="D735" t="s">
        <v>202</v>
      </c>
      <c r="E735" t="s">
        <v>203</v>
      </c>
      <c r="F735" t="s">
        <v>206</v>
      </c>
      <c r="H735" t="s">
        <v>207</v>
      </c>
      <c r="J735" t="s">
        <v>208</v>
      </c>
      <c r="L735" s="1" t="s">
        <v>209</v>
      </c>
      <c r="M735" t="s">
        <v>210</v>
      </c>
      <c r="P735" t="s">
        <v>204</v>
      </c>
      <c r="Q735" t="s">
        <v>205</v>
      </c>
      <c r="R735" t="s">
        <v>32</v>
      </c>
      <c r="S735" t="s">
        <v>100</v>
      </c>
      <c r="T735" s="2">
        <v>43483</v>
      </c>
      <c r="V735">
        <v>12</v>
      </c>
      <c r="AB735" t="s">
        <v>215</v>
      </c>
      <c r="AC735" s="4" t="s">
        <v>2923</v>
      </c>
      <c r="AD735" s="4" t="s">
        <v>2792</v>
      </c>
    </row>
    <row r="736" spans="1:30" customFormat="1" hidden="1" x14ac:dyDescent="0.4">
      <c r="A736" s="4" t="s">
        <v>216</v>
      </c>
      <c r="B736" t="s">
        <v>201</v>
      </c>
      <c r="D736" t="s">
        <v>202</v>
      </c>
      <c r="E736" t="s">
        <v>203</v>
      </c>
      <c r="F736" t="s">
        <v>206</v>
      </c>
      <c r="H736" t="s">
        <v>207</v>
      </c>
      <c r="J736" t="s">
        <v>208</v>
      </c>
      <c r="L736" s="1" t="s">
        <v>209</v>
      </c>
      <c r="M736" t="s">
        <v>210</v>
      </c>
      <c r="P736" t="s">
        <v>204</v>
      </c>
      <c r="Q736" t="s">
        <v>205</v>
      </c>
      <c r="R736" t="s">
        <v>32</v>
      </c>
      <c r="S736" t="s">
        <v>100</v>
      </c>
      <c r="T736" s="2">
        <v>43483</v>
      </c>
      <c r="V736">
        <v>13</v>
      </c>
      <c r="AC736" s="4" t="s">
        <v>2923</v>
      </c>
      <c r="AD736" s="4" t="s">
        <v>2792</v>
      </c>
    </row>
    <row r="737" spans="1:30" customFormat="1" hidden="1" x14ac:dyDescent="0.4">
      <c r="A737" s="4" t="s">
        <v>216</v>
      </c>
      <c r="B737" t="s">
        <v>201</v>
      </c>
      <c r="D737" t="s">
        <v>202</v>
      </c>
      <c r="E737" t="s">
        <v>203</v>
      </c>
      <c r="F737" t="s">
        <v>206</v>
      </c>
      <c r="H737" t="s">
        <v>207</v>
      </c>
      <c r="J737" t="s">
        <v>208</v>
      </c>
      <c r="L737" s="1" t="s">
        <v>209</v>
      </c>
      <c r="M737" t="s">
        <v>210</v>
      </c>
      <c r="P737" t="s">
        <v>211</v>
      </c>
      <c r="Q737" t="s">
        <v>212</v>
      </c>
      <c r="R737" t="s">
        <v>32</v>
      </c>
      <c r="S737" t="s">
        <v>100</v>
      </c>
      <c r="T737" s="2">
        <v>44560</v>
      </c>
      <c r="V737">
        <v>6</v>
      </c>
      <c r="AC737" s="4" t="s">
        <v>2923</v>
      </c>
      <c r="AD737" s="4" t="s">
        <v>2792</v>
      </c>
    </row>
    <row r="738" spans="1:30" customFormat="1" hidden="1" x14ac:dyDescent="0.4">
      <c r="A738" s="4" t="s">
        <v>216</v>
      </c>
      <c r="B738" t="s">
        <v>201</v>
      </c>
      <c r="D738" t="s">
        <v>202</v>
      </c>
      <c r="E738" t="s">
        <v>203</v>
      </c>
      <c r="F738" t="s">
        <v>206</v>
      </c>
      <c r="H738" t="s">
        <v>207</v>
      </c>
      <c r="J738" t="s">
        <v>208</v>
      </c>
      <c r="L738" s="1" t="s">
        <v>209</v>
      </c>
      <c r="M738" t="s">
        <v>210</v>
      </c>
      <c r="P738" t="s">
        <v>211</v>
      </c>
      <c r="Q738" t="s">
        <v>212</v>
      </c>
      <c r="R738" t="s">
        <v>32</v>
      </c>
      <c r="S738" t="s">
        <v>100</v>
      </c>
      <c r="T738" s="2">
        <v>44560</v>
      </c>
      <c r="V738">
        <v>7</v>
      </c>
      <c r="AC738" s="4" t="s">
        <v>2923</v>
      </c>
      <c r="AD738" s="4" t="s">
        <v>2792</v>
      </c>
    </row>
    <row r="739" spans="1:30" customFormat="1" hidden="1" x14ac:dyDescent="0.4">
      <c r="A739" s="4" t="s">
        <v>216</v>
      </c>
      <c r="B739" t="s">
        <v>201</v>
      </c>
      <c r="D739" t="s">
        <v>202</v>
      </c>
      <c r="E739" t="s">
        <v>203</v>
      </c>
      <c r="F739" t="s">
        <v>206</v>
      </c>
      <c r="H739" t="s">
        <v>207</v>
      </c>
      <c r="J739" t="s">
        <v>208</v>
      </c>
      <c r="L739" s="1" t="s">
        <v>209</v>
      </c>
      <c r="M739" t="s">
        <v>210</v>
      </c>
      <c r="P739" t="s">
        <v>211</v>
      </c>
      <c r="Q739" t="s">
        <v>212</v>
      </c>
      <c r="R739" t="s">
        <v>32</v>
      </c>
      <c r="S739" t="s">
        <v>100</v>
      </c>
      <c r="T739" s="2">
        <v>44560</v>
      </c>
      <c r="V739">
        <v>12</v>
      </c>
      <c r="AB739" t="s">
        <v>215</v>
      </c>
      <c r="AC739" s="4" t="s">
        <v>2923</v>
      </c>
      <c r="AD739" s="4" t="s">
        <v>2792</v>
      </c>
    </row>
    <row r="740" spans="1:30" customFormat="1" hidden="1" x14ac:dyDescent="0.4">
      <c r="A740" s="4" t="s">
        <v>216</v>
      </c>
      <c r="B740" t="s">
        <v>201</v>
      </c>
      <c r="D740" t="s">
        <v>202</v>
      </c>
      <c r="E740" t="s">
        <v>203</v>
      </c>
      <c r="F740" t="s">
        <v>206</v>
      </c>
      <c r="H740" t="s">
        <v>207</v>
      </c>
      <c r="J740" t="s">
        <v>208</v>
      </c>
      <c r="L740" s="1" t="s">
        <v>209</v>
      </c>
      <c r="M740" t="s">
        <v>210</v>
      </c>
      <c r="P740" t="s">
        <v>211</v>
      </c>
      <c r="Q740" t="s">
        <v>212</v>
      </c>
      <c r="R740" t="s">
        <v>32</v>
      </c>
      <c r="S740" t="s">
        <v>100</v>
      </c>
      <c r="T740" s="2">
        <v>44560</v>
      </c>
      <c r="V740">
        <v>13</v>
      </c>
      <c r="AC740" s="4" t="s">
        <v>2923</v>
      </c>
      <c r="AD740" s="4" t="s">
        <v>2792</v>
      </c>
    </row>
    <row r="741" spans="1:30" customFormat="1" hidden="1" x14ac:dyDescent="0.4">
      <c r="A741" s="4" t="s">
        <v>216</v>
      </c>
      <c r="B741" t="s">
        <v>201</v>
      </c>
      <c r="D741" t="s">
        <v>202</v>
      </c>
      <c r="E741" t="s">
        <v>203</v>
      </c>
      <c r="F741" t="s">
        <v>206</v>
      </c>
      <c r="H741" t="s">
        <v>207</v>
      </c>
      <c r="J741" t="s">
        <v>208</v>
      </c>
      <c r="L741" s="1" t="s">
        <v>209</v>
      </c>
      <c r="M741" t="s">
        <v>210</v>
      </c>
      <c r="P741" t="s">
        <v>213</v>
      </c>
      <c r="Q741" t="s">
        <v>214</v>
      </c>
      <c r="R741" t="s">
        <v>32</v>
      </c>
      <c r="S741" t="s">
        <v>100</v>
      </c>
      <c r="T741" s="2">
        <v>45351</v>
      </c>
      <c r="V741">
        <v>5</v>
      </c>
      <c r="AC741" s="4" t="s">
        <v>2923</v>
      </c>
      <c r="AD741" s="4" t="s">
        <v>2792</v>
      </c>
    </row>
    <row r="742" spans="1:30" customFormat="1" hidden="1" x14ac:dyDescent="0.4">
      <c r="A742" s="4" t="s">
        <v>216</v>
      </c>
      <c r="B742" t="s">
        <v>201</v>
      </c>
      <c r="D742" t="s">
        <v>202</v>
      </c>
      <c r="E742" t="s">
        <v>203</v>
      </c>
      <c r="F742" t="s">
        <v>206</v>
      </c>
      <c r="H742" t="s">
        <v>207</v>
      </c>
      <c r="J742" t="s">
        <v>208</v>
      </c>
      <c r="L742" s="1" t="s">
        <v>209</v>
      </c>
      <c r="M742" t="s">
        <v>210</v>
      </c>
      <c r="P742" t="s">
        <v>213</v>
      </c>
      <c r="Q742" t="s">
        <v>214</v>
      </c>
      <c r="R742" t="s">
        <v>32</v>
      </c>
      <c r="S742" t="s">
        <v>100</v>
      </c>
      <c r="T742" s="2">
        <v>45351</v>
      </c>
      <c r="V742">
        <v>6</v>
      </c>
      <c r="AC742" s="4" t="s">
        <v>2923</v>
      </c>
      <c r="AD742" s="4" t="s">
        <v>2792</v>
      </c>
    </row>
    <row r="743" spans="1:30" customFormat="1" hidden="1" x14ac:dyDescent="0.4">
      <c r="A743" s="4" t="s">
        <v>216</v>
      </c>
      <c r="B743" t="s">
        <v>201</v>
      </c>
      <c r="D743" t="s">
        <v>202</v>
      </c>
      <c r="E743" t="s">
        <v>203</v>
      </c>
      <c r="F743" t="s">
        <v>206</v>
      </c>
      <c r="H743" t="s">
        <v>207</v>
      </c>
      <c r="J743" t="s">
        <v>208</v>
      </c>
      <c r="L743" s="1" t="s">
        <v>209</v>
      </c>
      <c r="M743" t="s">
        <v>210</v>
      </c>
      <c r="P743" t="s">
        <v>213</v>
      </c>
      <c r="Q743" t="s">
        <v>214</v>
      </c>
      <c r="R743" t="s">
        <v>32</v>
      </c>
      <c r="S743" t="s">
        <v>100</v>
      </c>
      <c r="T743" s="2">
        <v>45351</v>
      </c>
      <c r="V743">
        <v>11</v>
      </c>
      <c r="AB743" t="s">
        <v>215</v>
      </c>
      <c r="AC743" s="4" t="s">
        <v>2923</v>
      </c>
      <c r="AD743" s="4" t="s">
        <v>2792</v>
      </c>
    </row>
    <row r="744" spans="1:30" customFormat="1" hidden="1" x14ac:dyDescent="0.4">
      <c r="A744" s="4" t="s">
        <v>216</v>
      </c>
      <c r="B744" t="s">
        <v>201</v>
      </c>
      <c r="D744" t="s">
        <v>202</v>
      </c>
      <c r="E744" t="s">
        <v>203</v>
      </c>
      <c r="F744" t="s">
        <v>206</v>
      </c>
      <c r="H744" t="s">
        <v>207</v>
      </c>
      <c r="J744" t="s">
        <v>208</v>
      </c>
      <c r="L744" s="1" t="s">
        <v>209</v>
      </c>
      <c r="M744" t="s">
        <v>210</v>
      </c>
      <c r="P744" t="s">
        <v>213</v>
      </c>
      <c r="Q744" t="s">
        <v>214</v>
      </c>
      <c r="R744" t="s">
        <v>32</v>
      </c>
      <c r="S744" t="s">
        <v>100</v>
      </c>
      <c r="T744" s="2">
        <v>45351</v>
      </c>
      <c r="V744">
        <v>12</v>
      </c>
      <c r="AB744" t="s">
        <v>215</v>
      </c>
      <c r="AC744" s="4" t="s">
        <v>2923</v>
      </c>
      <c r="AD744" s="4" t="s">
        <v>2792</v>
      </c>
    </row>
  </sheetData>
  <autoFilter ref="A1:AB744" xr:uid="{95ECD803-957F-4A49-A695-FE038DE67FC0}">
    <filterColumn colId="21">
      <filters>
        <filter val="4"/>
      </filters>
    </filterColumn>
    <filterColumn colId="22">
      <filters>
        <filter val="Christine Bowles"/>
        <filter val="Suzanne Walker"/>
      </filters>
    </filterColumn>
  </autoFilter>
  <phoneticPr fontId="20" type="noConversion"/>
  <hyperlinks>
    <hyperlink ref="M698" r:id="rId1" xr:uid="{D0474825-2DED-499F-88DD-1E04A0D13B7E}"/>
    <hyperlink ref="M699" r:id="rId2" xr:uid="{C07B1E48-E8EF-41FB-B1B7-5E316D553FED}"/>
    <hyperlink ref="M700" r:id="rId3" xr:uid="{36C19A25-FE66-484D-89A7-4930499C37D0}"/>
    <hyperlink ref="M701" r:id="rId4" xr:uid="{F1995926-C10F-458F-B074-1F3D10C10DE5}"/>
    <hyperlink ref="M702" r:id="rId5" xr:uid="{442F3D87-123D-446F-921A-9AED7C86AC55}"/>
    <hyperlink ref="M703" r:id="rId6" xr:uid="{BCD90447-09ED-4177-8ED3-DF7CBB8205BC}"/>
    <hyperlink ref="M704" r:id="rId7" xr:uid="{1C93B2C4-8593-4154-8293-82A2E7BE68B4}"/>
    <hyperlink ref="M705" r:id="rId8" xr:uid="{7F2E88F2-AAAC-44FB-96B7-A825194A0C7B}"/>
    <hyperlink ref="M706" r:id="rId9" xr:uid="{18720572-A221-430E-9CA1-6F33DEB9ACCD}"/>
    <hyperlink ref="M707" r:id="rId10" xr:uid="{A0ED1A18-9D34-4FDF-AF97-27A363A0A317}"/>
    <hyperlink ref="M708" r:id="rId11" xr:uid="{F15C02C5-1B45-4E8A-B9E0-AFEE6BA134AE}"/>
    <hyperlink ref="M709" r:id="rId12" xr:uid="{8E9B3C06-A278-4BA8-BF1E-EA51A8B7F60A}"/>
    <hyperlink ref="M710" r:id="rId13" xr:uid="{3C82E116-5000-45CA-B34E-D98FAEC45117}"/>
    <hyperlink ref="M711" r:id="rId14" xr:uid="{EB0877BD-E8FF-4A23-8A17-CE4CD936142C}"/>
    <hyperlink ref="M712" r:id="rId15" xr:uid="{23F642FD-3C3A-4079-9E99-3072B8E1BF7F}"/>
    <hyperlink ref="M719" r:id="rId16" xr:uid="{9820E686-D477-419E-AF16-8CF1933D5C0C}"/>
    <hyperlink ref="M720" r:id="rId17" xr:uid="{16C3A180-880F-4645-92D3-7E97CD701F77}"/>
    <hyperlink ref="M721" r:id="rId18" xr:uid="{8E517CF3-D7F8-4697-B6A3-40045A6E362C}"/>
    <hyperlink ref="M722" r:id="rId19" xr:uid="{C24631B4-A66D-4A72-B23A-663FD51F942A}"/>
    <hyperlink ref="M723" r:id="rId20" xr:uid="{4C994A91-4ED3-4316-9076-69784E65963F}"/>
    <hyperlink ref="M724" r:id="rId21" xr:uid="{7B7D0C0B-56D6-449D-BE61-7BD5386DFFA6}"/>
    <hyperlink ref="M725" r:id="rId22" xr:uid="{FAE8DCB2-C793-46D4-B3E4-8565F93342BA}"/>
    <hyperlink ref="M726" r:id="rId23" xr:uid="{A9B2B01C-60CB-4929-B4DF-B7875793E16E}"/>
    <hyperlink ref="M729" r:id="rId24" xr:uid="{D5210878-10E6-4689-B6BA-FDFDDCA20557}"/>
    <hyperlink ref="M730" r:id="rId25" xr:uid="{0D2B25FB-BA47-4145-B3FB-2EF483D6C46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6808-322B-4CA5-9842-F70799A16C3B}">
  <dimension ref="A1:K19"/>
  <sheetViews>
    <sheetView workbookViewId="0">
      <selection activeCell="C19" sqref="C19"/>
    </sheetView>
  </sheetViews>
  <sheetFormatPr defaultRowHeight="16" x14ac:dyDescent="0.4"/>
  <cols>
    <col min="2" max="2" width="38.58203125" customWidth="1"/>
    <col min="6" max="6" width="17.5" bestFit="1" customWidth="1"/>
    <col min="7" max="7" width="18" bestFit="1" customWidth="1"/>
    <col min="9" max="11" width="9" style="14"/>
  </cols>
  <sheetData>
    <row r="1" spans="1:11" x14ac:dyDescent="0.4">
      <c r="A1" t="s">
        <v>2724</v>
      </c>
      <c r="B1" t="s">
        <v>2723</v>
      </c>
      <c r="C1" t="s">
        <v>2807</v>
      </c>
      <c r="D1" t="s">
        <v>2734</v>
      </c>
      <c r="E1" t="s">
        <v>2735</v>
      </c>
      <c r="F1" t="s">
        <v>2736</v>
      </c>
      <c r="G1" t="s">
        <v>2737</v>
      </c>
      <c r="I1" s="14" t="s">
        <v>2739</v>
      </c>
      <c r="J1" s="14" t="s">
        <v>2740</v>
      </c>
      <c r="K1" s="14" t="s">
        <v>2806</v>
      </c>
    </row>
    <row r="2" spans="1:11" x14ac:dyDescent="0.4">
      <c r="A2">
        <v>1</v>
      </c>
      <c r="B2" s="8" t="s">
        <v>2727</v>
      </c>
      <c r="C2">
        <f>COUNTIF(Entries!$V$1:$V$744,$A2)</f>
        <v>19</v>
      </c>
      <c r="F2" t="s">
        <v>253</v>
      </c>
      <c r="I2" s="14">
        <v>19</v>
      </c>
      <c r="J2" s="14">
        <v>0</v>
      </c>
      <c r="K2" s="14">
        <f>I2+J2</f>
        <v>19</v>
      </c>
    </row>
    <row r="3" spans="1:11" x14ac:dyDescent="0.4">
      <c r="A3">
        <v>2</v>
      </c>
      <c r="B3" s="8" t="s">
        <v>2728</v>
      </c>
      <c r="C3">
        <f>COUNTIF(Entries!$V$1:$V$744,$A3)</f>
        <v>25</v>
      </c>
      <c r="F3" t="s">
        <v>254</v>
      </c>
      <c r="I3" s="14">
        <v>24</v>
      </c>
      <c r="J3" s="14">
        <v>1</v>
      </c>
      <c r="K3" s="14">
        <f t="shared" ref="K3:K15" si="0">I3+J3</f>
        <v>25</v>
      </c>
    </row>
    <row r="4" spans="1:11" x14ac:dyDescent="0.4">
      <c r="A4">
        <v>3</v>
      </c>
      <c r="B4" s="8" t="s">
        <v>2729</v>
      </c>
      <c r="C4">
        <f>COUNTIF(Entries!$V$1:$V$744,$A4)</f>
        <v>27</v>
      </c>
      <c r="F4" t="s">
        <v>258</v>
      </c>
      <c r="I4" s="14">
        <v>25</v>
      </c>
      <c r="J4" s="14">
        <v>2</v>
      </c>
      <c r="K4" s="14">
        <f t="shared" si="0"/>
        <v>27</v>
      </c>
    </row>
    <row r="5" spans="1:11" x14ac:dyDescent="0.4">
      <c r="A5">
        <v>4</v>
      </c>
      <c r="B5" s="8" t="s">
        <v>2730</v>
      </c>
      <c r="C5">
        <f>COUNTIF(Entries!$V$1:$V$744,$A5)</f>
        <v>92</v>
      </c>
      <c r="D5">
        <f>ROUND(C5/2,)</f>
        <v>46</v>
      </c>
      <c r="E5">
        <f>C5-D5</f>
        <v>46</v>
      </c>
      <c r="F5" t="s">
        <v>2725</v>
      </c>
      <c r="G5" t="s">
        <v>97</v>
      </c>
      <c r="I5" s="14">
        <v>84</v>
      </c>
      <c r="J5" s="14">
        <v>8</v>
      </c>
      <c r="K5" s="14">
        <f t="shared" si="0"/>
        <v>92</v>
      </c>
    </row>
    <row r="6" spans="1:11" x14ac:dyDescent="0.4">
      <c r="A6">
        <v>5</v>
      </c>
      <c r="B6" s="8" t="s">
        <v>2731</v>
      </c>
      <c r="C6">
        <f>COUNTIF(Entries!$V$1:$V$744,$A6)</f>
        <v>80</v>
      </c>
      <c r="D6">
        <f>ROUND(C6/2,)</f>
        <v>40</v>
      </c>
      <c r="E6">
        <f>C6-D6</f>
        <v>40</v>
      </c>
      <c r="F6" t="s">
        <v>176</v>
      </c>
      <c r="G6" t="s">
        <v>297</v>
      </c>
      <c r="I6" s="14">
        <v>71</v>
      </c>
      <c r="J6" s="14">
        <v>9</v>
      </c>
      <c r="K6" s="14">
        <f t="shared" si="0"/>
        <v>80</v>
      </c>
    </row>
    <row r="7" spans="1:11" x14ac:dyDescent="0.4">
      <c r="A7">
        <v>6</v>
      </c>
      <c r="B7" s="8" t="s">
        <v>2732</v>
      </c>
      <c r="C7">
        <f>COUNTIF(Entries!$V$1:$V$744,$A7)</f>
        <v>72</v>
      </c>
      <c r="D7">
        <f>ROUND(C7/2,)</f>
        <v>36</v>
      </c>
      <c r="E7">
        <f>C7-D7</f>
        <v>36</v>
      </c>
      <c r="F7" t="s">
        <v>237</v>
      </c>
      <c r="G7" t="s">
        <v>2726</v>
      </c>
      <c r="I7" s="14">
        <v>65</v>
      </c>
      <c r="J7" s="14">
        <v>7</v>
      </c>
      <c r="K7" s="14">
        <f t="shared" si="0"/>
        <v>72</v>
      </c>
    </row>
    <row r="8" spans="1:11" x14ac:dyDescent="0.4">
      <c r="A8">
        <v>7</v>
      </c>
      <c r="B8" s="8" t="s">
        <v>2733</v>
      </c>
      <c r="C8">
        <f>COUNTIF(Entries!$V$1:$V$744,$A8)</f>
        <v>49</v>
      </c>
      <c r="F8" t="s">
        <v>238</v>
      </c>
      <c r="I8" s="14">
        <v>45</v>
      </c>
      <c r="J8" s="14">
        <v>4</v>
      </c>
      <c r="K8" s="14">
        <f t="shared" si="0"/>
        <v>49</v>
      </c>
    </row>
    <row r="9" spans="1:11" x14ac:dyDescent="0.4">
      <c r="A9">
        <v>8</v>
      </c>
      <c r="B9" s="8" t="s">
        <v>2728</v>
      </c>
      <c r="C9">
        <f>COUNTIF(Entries!$V$1:$V$744,$A9)</f>
        <v>31</v>
      </c>
      <c r="F9" t="s">
        <v>281</v>
      </c>
      <c r="I9" s="14">
        <v>31</v>
      </c>
      <c r="J9" s="14">
        <v>0</v>
      </c>
      <c r="K9" s="14">
        <f t="shared" si="0"/>
        <v>31</v>
      </c>
    </row>
    <row r="10" spans="1:11" x14ac:dyDescent="0.4">
      <c r="A10">
        <v>9</v>
      </c>
      <c r="B10" s="8" t="s">
        <v>2729</v>
      </c>
      <c r="C10">
        <f>COUNTIF(Entries!$V$1:$V$744,$A10)</f>
        <v>33</v>
      </c>
      <c r="F10" t="s">
        <v>358</v>
      </c>
      <c r="I10" s="14">
        <v>32</v>
      </c>
      <c r="J10" s="14">
        <v>1</v>
      </c>
      <c r="K10" s="14">
        <f t="shared" si="0"/>
        <v>33</v>
      </c>
    </row>
    <row r="11" spans="1:11" x14ac:dyDescent="0.4">
      <c r="A11">
        <v>10</v>
      </c>
      <c r="B11" s="8" t="s">
        <v>2730</v>
      </c>
      <c r="C11">
        <f>COUNTIF(Entries!$V$1:$V$744,$A11)</f>
        <v>85</v>
      </c>
      <c r="D11">
        <f>ROUND(C11/2,)</f>
        <v>43</v>
      </c>
      <c r="E11">
        <f>C11-D11</f>
        <v>42</v>
      </c>
      <c r="F11" t="s">
        <v>524</v>
      </c>
      <c r="G11" t="s">
        <v>433</v>
      </c>
      <c r="I11" s="14">
        <v>78</v>
      </c>
      <c r="J11" s="14">
        <v>7</v>
      </c>
      <c r="K11" s="14">
        <f t="shared" si="0"/>
        <v>85</v>
      </c>
    </row>
    <row r="12" spans="1:11" x14ac:dyDescent="0.4">
      <c r="A12">
        <v>11</v>
      </c>
      <c r="B12" s="8" t="s">
        <v>2731</v>
      </c>
      <c r="C12">
        <f>COUNTIF(Entries!$V$1:$V$744,$A12)</f>
        <v>77</v>
      </c>
      <c r="D12">
        <f>ROUND(C12/2,)</f>
        <v>39</v>
      </c>
      <c r="E12">
        <f>C12-D12</f>
        <v>38</v>
      </c>
      <c r="F12" t="s">
        <v>132</v>
      </c>
      <c r="G12" t="s">
        <v>300</v>
      </c>
      <c r="I12" s="14">
        <v>68</v>
      </c>
      <c r="J12" s="14">
        <v>9</v>
      </c>
      <c r="K12" s="14">
        <f t="shared" si="0"/>
        <v>77</v>
      </c>
    </row>
    <row r="13" spans="1:11" x14ac:dyDescent="0.4">
      <c r="A13">
        <v>12</v>
      </c>
      <c r="B13" s="8" t="s">
        <v>2732</v>
      </c>
      <c r="C13">
        <f>COUNTIF(Entries!$V$1:$V$744,$A13)</f>
        <v>71</v>
      </c>
      <c r="D13">
        <f>ROUND(C13/2,)</f>
        <v>36</v>
      </c>
      <c r="E13">
        <f>C13-D13</f>
        <v>35</v>
      </c>
      <c r="F13" t="s">
        <v>239</v>
      </c>
      <c r="G13" t="s">
        <v>310</v>
      </c>
      <c r="I13" s="14">
        <v>64</v>
      </c>
      <c r="J13" s="14">
        <v>7</v>
      </c>
      <c r="K13" s="14">
        <f t="shared" si="0"/>
        <v>71</v>
      </c>
    </row>
    <row r="14" spans="1:11" x14ac:dyDescent="0.4">
      <c r="A14">
        <v>13</v>
      </c>
      <c r="B14" s="8" t="s">
        <v>2733</v>
      </c>
      <c r="C14">
        <f>COUNTIF(Entries!$V$1:$V$744,$A14)</f>
        <v>53</v>
      </c>
      <c r="F14" t="s">
        <v>240</v>
      </c>
      <c r="I14" s="14">
        <v>48</v>
      </c>
      <c r="J14" s="14">
        <v>5</v>
      </c>
      <c r="K14" s="14">
        <f t="shared" si="0"/>
        <v>53</v>
      </c>
    </row>
    <row r="15" spans="1:11" x14ac:dyDescent="0.4">
      <c r="A15">
        <v>14</v>
      </c>
      <c r="B15" s="8" t="s">
        <v>2738</v>
      </c>
      <c r="C15">
        <f>COUNTIF(Entries!$V$1:$V$744,$A15)</f>
        <v>29</v>
      </c>
      <c r="F15" t="s">
        <v>241</v>
      </c>
      <c r="I15" s="14">
        <v>29</v>
      </c>
      <c r="J15" s="14">
        <v>0</v>
      </c>
      <c r="K15" s="14">
        <f t="shared" si="0"/>
        <v>29</v>
      </c>
    </row>
    <row r="17" spans="3:3" x14ac:dyDescent="0.4">
      <c r="C17" s="9">
        <f>SUM(C1:C15)</f>
        <v>743</v>
      </c>
    </row>
    <row r="19" spans="3:3" x14ac:dyDescent="0.4">
      <c r="C19" s="12">
        <f>C17*7</f>
        <v>5201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D6D0-7481-4F98-8226-4AB61AC168B8}">
  <dimension ref="A1:G61"/>
  <sheetViews>
    <sheetView topLeftCell="A34" workbookViewId="0">
      <selection activeCell="B43" sqref="B43"/>
    </sheetView>
  </sheetViews>
  <sheetFormatPr defaultRowHeight="16" x14ac:dyDescent="0.4"/>
  <cols>
    <col min="1" max="1" width="25.83203125" bestFit="1" customWidth="1"/>
    <col min="2" max="2" width="30.25" bestFit="1" customWidth="1"/>
    <col min="3" max="3" width="15.75" bestFit="1" customWidth="1"/>
    <col min="4" max="6" width="9" style="10"/>
    <col min="7" max="7" width="125.5" bestFit="1" customWidth="1"/>
  </cols>
  <sheetData>
    <row r="1" spans="1:7" x14ac:dyDescent="0.4">
      <c r="A1" t="s">
        <v>2741</v>
      </c>
      <c r="B1" t="s">
        <v>2742</v>
      </c>
      <c r="C1" t="s">
        <v>2743</v>
      </c>
      <c r="D1" s="10" t="s">
        <v>2744</v>
      </c>
      <c r="E1" s="10" t="s">
        <v>2745</v>
      </c>
      <c r="F1" s="10" t="s">
        <v>2746</v>
      </c>
      <c r="G1" t="s">
        <v>2747</v>
      </c>
    </row>
    <row r="2" spans="1:7" x14ac:dyDescent="0.4">
      <c r="A2" t="s">
        <v>2748</v>
      </c>
      <c r="B2" t="s">
        <v>1140</v>
      </c>
      <c r="C2" t="s">
        <v>1139</v>
      </c>
      <c r="D2" s="10" t="s">
        <v>2792</v>
      </c>
      <c r="E2" s="11" t="s">
        <v>2792</v>
      </c>
    </row>
    <row r="3" spans="1:7" x14ac:dyDescent="0.4">
      <c r="A3" t="s">
        <v>2789</v>
      </c>
      <c r="B3" t="s">
        <v>1797</v>
      </c>
      <c r="C3" t="s">
        <v>1796</v>
      </c>
      <c r="D3" s="10" t="s">
        <v>2792</v>
      </c>
      <c r="E3" s="11" t="s">
        <v>2792</v>
      </c>
    </row>
    <row r="4" spans="1:7" x14ac:dyDescent="0.4">
      <c r="A4" t="s">
        <v>1714</v>
      </c>
      <c r="B4" t="s">
        <v>1713</v>
      </c>
      <c r="C4" t="s">
        <v>1712</v>
      </c>
      <c r="D4" s="10" t="s">
        <v>2792</v>
      </c>
      <c r="E4" s="11" t="s">
        <v>2792</v>
      </c>
    </row>
    <row r="5" spans="1:7" x14ac:dyDescent="0.4">
      <c r="A5" t="s">
        <v>2783</v>
      </c>
      <c r="B5" t="s">
        <v>2677</v>
      </c>
      <c r="C5" t="s">
        <v>2676</v>
      </c>
      <c r="E5" s="11" t="s">
        <v>2792</v>
      </c>
    </row>
    <row r="6" spans="1:7" x14ac:dyDescent="0.4">
      <c r="A6" t="s">
        <v>2755</v>
      </c>
      <c r="B6" t="s">
        <v>2756</v>
      </c>
      <c r="C6" t="s">
        <v>2795</v>
      </c>
      <c r="D6" s="10" t="s">
        <v>2792</v>
      </c>
      <c r="E6" s="11" t="s">
        <v>2792</v>
      </c>
      <c r="F6" s="10" t="s">
        <v>2792</v>
      </c>
    </row>
    <row r="7" spans="1:7" x14ac:dyDescent="0.4">
      <c r="A7" t="s">
        <v>2763</v>
      </c>
      <c r="B7" t="s">
        <v>1433</v>
      </c>
      <c r="C7" t="s">
        <v>2793</v>
      </c>
      <c r="D7" s="10" t="s">
        <v>2792</v>
      </c>
      <c r="E7" s="11" t="s">
        <v>2792</v>
      </c>
    </row>
    <row r="8" spans="1:7" x14ac:dyDescent="0.4">
      <c r="A8" t="s">
        <v>2766</v>
      </c>
      <c r="B8" t="s">
        <v>756</v>
      </c>
      <c r="C8" t="s">
        <v>755</v>
      </c>
      <c r="D8" s="10" t="s">
        <v>2792</v>
      </c>
      <c r="E8" s="11" t="s">
        <v>2792</v>
      </c>
      <c r="F8" s="10" t="s">
        <v>2792</v>
      </c>
    </row>
    <row r="9" spans="1:7" x14ac:dyDescent="0.4">
      <c r="A9" t="s">
        <v>2773</v>
      </c>
      <c r="B9" t="s">
        <v>1758</v>
      </c>
      <c r="C9" t="s">
        <v>1757</v>
      </c>
      <c r="D9" s="10" t="s">
        <v>2792</v>
      </c>
      <c r="E9" s="11" t="s">
        <v>2792</v>
      </c>
    </row>
    <row r="10" spans="1:7" x14ac:dyDescent="0.4">
      <c r="A10" t="s">
        <v>2768</v>
      </c>
      <c r="B10" t="s">
        <v>484</v>
      </c>
      <c r="C10" t="s">
        <v>483</v>
      </c>
      <c r="D10" s="10" t="s">
        <v>2792</v>
      </c>
      <c r="E10" s="11" t="s">
        <v>2792</v>
      </c>
      <c r="F10" s="10" t="s">
        <v>2792</v>
      </c>
    </row>
    <row r="11" spans="1:7" x14ac:dyDescent="0.4">
      <c r="A11" t="s">
        <v>2754</v>
      </c>
      <c r="B11" t="s">
        <v>1979</v>
      </c>
      <c r="C11" t="s">
        <v>1978</v>
      </c>
      <c r="D11" s="10" t="s">
        <v>2792</v>
      </c>
      <c r="E11" s="11" t="s">
        <v>2792</v>
      </c>
      <c r="F11" s="10" t="s">
        <v>2792</v>
      </c>
    </row>
    <row r="12" spans="1:7" x14ac:dyDescent="0.4">
      <c r="A12" t="s">
        <v>2750</v>
      </c>
      <c r="B12" t="s">
        <v>987</v>
      </c>
      <c r="C12" t="s">
        <v>986</v>
      </c>
      <c r="D12" s="10" t="s">
        <v>2792</v>
      </c>
      <c r="E12" s="11" t="s">
        <v>2792</v>
      </c>
    </row>
    <row r="13" spans="1:7" x14ac:dyDescent="0.4">
      <c r="A13" t="s">
        <v>2770</v>
      </c>
      <c r="B13" t="s">
        <v>460</v>
      </c>
      <c r="C13" t="s">
        <v>459</v>
      </c>
      <c r="D13" s="10" t="s">
        <v>2792</v>
      </c>
      <c r="E13" s="11" t="s">
        <v>2792</v>
      </c>
      <c r="F13" s="10" t="s">
        <v>2792</v>
      </c>
    </row>
    <row r="14" spans="1:7" x14ac:dyDescent="0.4">
      <c r="A14" t="s">
        <v>1772</v>
      </c>
      <c r="B14" t="s">
        <v>1771</v>
      </c>
      <c r="C14" t="s">
        <v>1770</v>
      </c>
      <c r="D14" s="10" t="s">
        <v>2792</v>
      </c>
      <c r="E14" s="11" t="s">
        <v>2792</v>
      </c>
      <c r="G14" s="4" t="s">
        <v>1776</v>
      </c>
    </row>
    <row r="15" spans="1:7" x14ac:dyDescent="0.4">
      <c r="A15" t="s">
        <v>2786</v>
      </c>
      <c r="B15" t="s">
        <v>2568</v>
      </c>
      <c r="C15" t="s">
        <v>2567</v>
      </c>
      <c r="D15" s="10" t="s">
        <v>2792</v>
      </c>
      <c r="E15" s="11" t="s">
        <v>2792</v>
      </c>
    </row>
    <row r="16" spans="1:7" x14ac:dyDescent="0.4">
      <c r="A16" t="s">
        <v>2749</v>
      </c>
      <c r="B16" t="s">
        <v>2314</v>
      </c>
      <c r="C16" t="s">
        <v>2313</v>
      </c>
      <c r="D16" s="10" t="s">
        <v>2792</v>
      </c>
      <c r="E16" s="11" t="s">
        <v>2792</v>
      </c>
    </row>
    <row r="17" spans="1:7" x14ac:dyDescent="0.4">
      <c r="A17" t="s">
        <v>2765</v>
      </c>
      <c r="B17" t="s">
        <v>1157</v>
      </c>
      <c r="C17" t="s">
        <v>1156</v>
      </c>
      <c r="D17" s="10" t="s">
        <v>2792</v>
      </c>
      <c r="E17" s="11" t="s">
        <v>2792</v>
      </c>
    </row>
    <row r="18" spans="1:7" x14ac:dyDescent="0.4">
      <c r="A18" t="s">
        <v>2772</v>
      </c>
      <c r="B18" t="s">
        <v>2110</v>
      </c>
      <c r="C18" t="s">
        <v>2109</v>
      </c>
      <c r="D18" s="10" t="s">
        <v>2792</v>
      </c>
      <c r="E18" s="11" t="s">
        <v>2801</v>
      </c>
      <c r="G18" s="4" t="s">
        <v>2114</v>
      </c>
    </row>
    <row r="19" spans="1:7" x14ac:dyDescent="0.4">
      <c r="A19" t="s">
        <v>2762</v>
      </c>
      <c r="B19" t="s">
        <v>916</v>
      </c>
      <c r="C19" t="s">
        <v>915</v>
      </c>
      <c r="D19" s="10" t="s">
        <v>2792</v>
      </c>
      <c r="E19" s="11" t="s">
        <v>2792</v>
      </c>
      <c r="F19" s="10" t="s">
        <v>2792</v>
      </c>
    </row>
    <row r="20" spans="1:7" x14ac:dyDescent="0.4">
      <c r="A20" t="s">
        <v>2761</v>
      </c>
      <c r="B20" t="s">
        <v>2028</v>
      </c>
      <c r="C20" t="s">
        <v>2027</v>
      </c>
      <c r="D20" s="10" t="s">
        <v>2792</v>
      </c>
      <c r="E20" s="11" t="s">
        <v>2792</v>
      </c>
    </row>
    <row r="21" spans="1:7" x14ac:dyDescent="0.4">
      <c r="A21" t="s">
        <v>2788</v>
      </c>
      <c r="B21" t="s">
        <v>2290</v>
      </c>
      <c r="C21" t="s">
        <v>2289</v>
      </c>
      <c r="E21" s="11" t="s">
        <v>2792</v>
      </c>
    </row>
    <row r="22" spans="1:7" x14ac:dyDescent="0.4">
      <c r="A22" t="s">
        <v>2785</v>
      </c>
      <c r="B22" t="s">
        <v>709</v>
      </c>
      <c r="C22" t="s">
        <v>708</v>
      </c>
      <c r="D22" s="10" t="s">
        <v>2792</v>
      </c>
      <c r="E22" s="11" t="s">
        <v>2792</v>
      </c>
    </row>
    <row r="23" spans="1:7" x14ac:dyDescent="0.4">
      <c r="A23" t="s">
        <v>2774</v>
      </c>
      <c r="B23" t="s">
        <v>1539</v>
      </c>
      <c r="C23" t="s">
        <v>1538</v>
      </c>
      <c r="D23" s="10" t="s">
        <v>2792</v>
      </c>
      <c r="E23" s="11" t="s">
        <v>2792</v>
      </c>
      <c r="F23" s="10" t="s">
        <v>2792</v>
      </c>
    </row>
    <row r="24" spans="1:7" x14ac:dyDescent="0.4">
      <c r="A24" t="s">
        <v>2787</v>
      </c>
      <c r="B24" t="s">
        <v>1282</v>
      </c>
      <c r="C24" t="s">
        <v>1281</v>
      </c>
      <c r="D24" s="10" t="s">
        <v>2792</v>
      </c>
      <c r="E24" s="11" t="s">
        <v>2792</v>
      </c>
    </row>
    <row r="25" spans="1:7" x14ac:dyDescent="0.4">
      <c r="A25" t="s">
        <v>2753</v>
      </c>
      <c r="B25" t="s">
        <v>2183</v>
      </c>
      <c r="C25" t="s">
        <v>2182</v>
      </c>
      <c r="D25" s="10" t="s">
        <v>2792</v>
      </c>
      <c r="E25" s="11" t="s">
        <v>2792</v>
      </c>
      <c r="F25" s="10" t="s">
        <v>2792</v>
      </c>
    </row>
    <row r="26" spans="1:7" x14ac:dyDescent="0.4">
      <c r="A26" t="s">
        <v>2775</v>
      </c>
      <c r="B26" t="s">
        <v>2214</v>
      </c>
      <c r="C26" t="s">
        <v>2213</v>
      </c>
      <c r="D26" s="10" t="s">
        <v>2792</v>
      </c>
      <c r="E26" s="11" t="s">
        <v>2792</v>
      </c>
    </row>
    <row r="27" spans="1:7" x14ac:dyDescent="0.4">
      <c r="A27" t="s">
        <v>2779</v>
      </c>
      <c r="B27" t="s">
        <v>2400</v>
      </c>
      <c r="C27" t="s">
        <v>2399</v>
      </c>
      <c r="D27" s="10" t="s">
        <v>2792</v>
      </c>
      <c r="E27" s="11" t="s">
        <v>2792</v>
      </c>
    </row>
    <row r="28" spans="1:7" x14ac:dyDescent="0.4">
      <c r="A28" t="s">
        <v>2771</v>
      </c>
      <c r="B28" t="s">
        <v>1871</v>
      </c>
      <c r="C28" t="s">
        <v>1870</v>
      </c>
      <c r="D28" s="10" t="s">
        <v>2792</v>
      </c>
      <c r="E28" s="11" t="s">
        <v>2792</v>
      </c>
    </row>
    <row r="29" spans="1:7" x14ac:dyDescent="0.4">
      <c r="A29" t="s">
        <v>2758</v>
      </c>
      <c r="B29" t="s">
        <v>2244</v>
      </c>
      <c r="C29" t="s">
        <v>2243</v>
      </c>
      <c r="D29" s="10" t="s">
        <v>2792</v>
      </c>
      <c r="E29" s="11" t="s">
        <v>2792</v>
      </c>
      <c r="F29" s="10" t="s">
        <v>2792</v>
      </c>
    </row>
    <row r="30" spans="1:7" x14ac:dyDescent="0.4">
      <c r="A30" t="s">
        <v>2759</v>
      </c>
      <c r="B30" t="s">
        <v>845</v>
      </c>
      <c r="C30" t="s">
        <v>844</v>
      </c>
      <c r="D30" s="10" t="s">
        <v>2792</v>
      </c>
      <c r="E30" s="11" t="s">
        <v>2792</v>
      </c>
      <c r="F30" s="10" t="s">
        <v>2792</v>
      </c>
    </row>
    <row r="31" spans="1:7" x14ac:dyDescent="0.4">
      <c r="A31" t="s">
        <v>937</v>
      </c>
      <c r="B31" t="s">
        <v>936</v>
      </c>
      <c r="C31" t="s">
        <v>935</v>
      </c>
      <c r="D31" s="10" t="s">
        <v>2792</v>
      </c>
      <c r="E31" s="11" t="s">
        <v>2792</v>
      </c>
    </row>
    <row r="32" spans="1:7" x14ac:dyDescent="0.4">
      <c r="A32" t="s">
        <v>2781</v>
      </c>
      <c r="B32" t="s">
        <v>1097</v>
      </c>
      <c r="C32" t="s">
        <v>1096</v>
      </c>
      <c r="D32" s="10" t="s">
        <v>2792</v>
      </c>
      <c r="E32" s="11" t="s">
        <v>2792</v>
      </c>
    </row>
    <row r="33" spans="1:7" x14ac:dyDescent="0.4">
      <c r="A33" t="s">
        <v>2777</v>
      </c>
      <c r="B33" t="s">
        <v>2339</v>
      </c>
      <c r="C33" t="s">
        <v>2338</v>
      </c>
      <c r="D33" s="10" t="s">
        <v>2792</v>
      </c>
      <c r="E33" s="11" t="s">
        <v>2792</v>
      </c>
      <c r="F33" s="10" t="s">
        <v>2792</v>
      </c>
    </row>
    <row r="34" spans="1:7" x14ac:dyDescent="0.4">
      <c r="A34" t="s">
        <v>2767</v>
      </c>
      <c r="B34" t="s">
        <v>2193</v>
      </c>
      <c r="C34" t="s">
        <v>2192</v>
      </c>
      <c r="D34" s="10" t="s">
        <v>2792</v>
      </c>
      <c r="E34" s="11" t="s">
        <v>2792</v>
      </c>
    </row>
    <row r="35" spans="1:7" x14ac:dyDescent="0.4">
      <c r="A35" t="s">
        <v>2757</v>
      </c>
      <c r="B35" t="s">
        <v>1019</v>
      </c>
      <c r="C35" t="s">
        <v>1018</v>
      </c>
      <c r="D35" s="10" t="s">
        <v>2792</v>
      </c>
      <c r="E35" s="11" t="s">
        <v>2792</v>
      </c>
    </row>
    <row r="36" spans="1:7" x14ac:dyDescent="0.4">
      <c r="A36" t="s">
        <v>2764</v>
      </c>
      <c r="B36" t="s">
        <v>1504</v>
      </c>
      <c r="C36" t="s">
        <v>1503</v>
      </c>
      <c r="D36" s="10" t="s">
        <v>2792</v>
      </c>
      <c r="E36" s="11" t="s">
        <v>2792</v>
      </c>
      <c r="F36" s="10" t="s">
        <v>2792</v>
      </c>
    </row>
    <row r="37" spans="1:7" x14ac:dyDescent="0.4">
      <c r="A37" t="s">
        <v>2769</v>
      </c>
      <c r="B37" t="s">
        <v>1988</v>
      </c>
      <c r="C37" t="s">
        <v>1987</v>
      </c>
      <c r="D37" s="10" t="s">
        <v>2792</v>
      </c>
      <c r="E37" s="11" t="s">
        <v>2801</v>
      </c>
      <c r="G37" s="4" t="s">
        <v>1993</v>
      </c>
    </row>
    <row r="38" spans="1:7" x14ac:dyDescent="0.4">
      <c r="A38" t="s">
        <v>290</v>
      </c>
      <c r="B38" t="s">
        <v>289</v>
      </c>
      <c r="C38" t="s">
        <v>288</v>
      </c>
      <c r="D38" s="10" t="s">
        <v>2792</v>
      </c>
      <c r="E38" s="11" t="s">
        <v>2792</v>
      </c>
    </row>
    <row r="39" spans="1:7" x14ac:dyDescent="0.4">
      <c r="A39" t="s">
        <v>2784</v>
      </c>
      <c r="B39" t="s">
        <v>1483</v>
      </c>
      <c r="C39" t="s">
        <v>1482</v>
      </c>
      <c r="E39" s="11" t="s">
        <v>2792</v>
      </c>
    </row>
    <row r="40" spans="1:7" x14ac:dyDescent="0.4">
      <c r="A40" t="s">
        <v>2751</v>
      </c>
      <c r="B40" t="s">
        <v>1461</v>
      </c>
      <c r="C40" t="s">
        <v>1460</v>
      </c>
      <c r="D40" s="10" t="s">
        <v>2792</v>
      </c>
      <c r="E40" s="11" t="s">
        <v>2792</v>
      </c>
    </row>
    <row r="41" spans="1:7" x14ac:dyDescent="0.4">
      <c r="A41" t="s">
        <v>2780</v>
      </c>
      <c r="B41" t="s">
        <v>1971</v>
      </c>
      <c r="C41" t="s">
        <v>1970</v>
      </c>
      <c r="D41" s="10" t="s">
        <v>2792</v>
      </c>
      <c r="E41" s="11" t="s">
        <v>2792</v>
      </c>
    </row>
    <row r="42" spans="1:7" x14ac:dyDescent="0.4">
      <c r="A42" t="s">
        <v>2776</v>
      </c>
      <c r="B42" t="s">
        <v>516</v>
      </c>
      <c r="C42" t="s">
        <v>515</v>
      </c>
      <c r="D42" s="10" t="s">
        <v>2792</v>
      </c>
      <c r="E42" s="11" t="s">
        <v>2792</v>
      </c>
      <c r="F42" s="10" t="s">
        <v>2792</v>
      </c>
    </row>
    <row r="43" spans="1:7" x14ac:dyDescent="0.4">
      <c r="A43" t="s">
        <v>2760</v>
      </c>
      <c r="B43" t="s">
        <v>1244</v>
      </c>
      <c r="C43" t="s">
        <v>1243</v>
      </c>
      <c r="D43" s="10" t="s">
        <v>2792</v>
      </c>
      <c r="E43" s="11" t="s">
        <v>2792</v>
      </c>
      <c r="F43" s="10" t="s">
        <v>2792</v>
      </c>
    </row>
    <row r="44" spans="1:7" x14ac:dyDescent="0.4">
      <c r="A44" t="s">
        <v>2778</v>
      </c>
      <c r="B44" t="s">
        <v>768</v>
      </c>
      <c r="C44" t="s">
        <v>767</v>
      </c>
      <c r="D44" s="10" t="s">
        <v>2792</v>
      </c>
      <c r="E44" s="11" t="s">
        <v>2792</v>
      </c>
    </row>
    <row r="45" spans="1:7" x14ac:dyDescent="0.4">
      <c r="A45" t="s">
        <v>1903</v>
      </c>
      <c r="B45" t="s">
        <v>1902</v>
      </c>
      <c r="C45" t="s">
        <v>1901</v>
      </c>
      <c r="D45" s="10" t="s">
        <v>2792</v>
      </c>
      <c r="E45" s="11" t="s">
        <v>2792</v>
      </c>
    </row>
    <row r="46" spans="1:7" x14ac:dyDescent="0.4">
      <c r="A46" t="s">
        <v>2752</v>
      </c>
      <c r="B46" t="s">
        <v>1658</v>
      </c>
      <c r="C46" t="s">
        <v>1657</v>
      </c>
      <c r="D46" s="10" t="s">
        <v>2792</v>
      </c>
      <c r="E46" s="11" t="s">
        <v>2792</v>
      </c>
      <c r="F46" s="10" t="s">
        <v>2792</v>
      </c>
    </row>
    <row r="47" spans="1:7" x14ac:dyDescent="0.4">
      <c r="A47" t="s">
        <v>2782</v>
      </c>
      <c r="B47" t="s">
        <v>441</v>
      </c>
      <c r="C47" t="s">
        <v>2794</v>
      </c>
      <c r="D47" s="10" t="s">
        <v>2792</v>
      </c>
      <c r="E47" s="11" t="s">
        <v>2792</v>
      </c>
    </row>
    <row r="48" spans="1:7" x14ac:dyDescent="0.4">
      <c r="A48" t="s">
        <v>2095</v>
      </c>
      <c r="B48" t="s">
        <v>2094</v>
      </c>
      <c r="C48" s="5" t="s">
        <v>2093</v>
      </c>
      <c r="D48" s="10" t="s">
        <v>2792</v>
      </c>
      <c r="E48" s="11" t="s">
        <v>2792</v>
      </c>
      <c r="G48" t="s">
        <v>2802</v>
      </c>
    </row>
    <row r="49" spans="1:7" x14ac:dyDescent="0.4">
      <c r="A49" t="s">
        <v>2790</v>
      </c>
      <c r="B49" t="s">
        <v>675</v>
      </c>
      <c r="C49" s="5" t="s">
        <v>674</v>
      </c>
      <c r="D49" s="10" t="s">
        <v>2792</v>
      </c>
      <c r="E49" s="11"/>
      <c r="F49" s="10" t="s">
        <v>2792</v>
      </c>
      <c r="G49" t="s">
        <v>2802</v>
      </c>
    </row>
    <row r="50" spans="1:7" x14ac:dyDescent="0.4">
      <c r="A50" t="s">
        <v>2791</v>
      </c>
      <c r="B50" t="s">
        <v>1073</v>
      </c>
      <c r="C50" s="6" t="s">
        <v>1072</v>
      </c>
      <c r="D50" s="10" t="s">
        <v>2792</v>
      </c>
      <c r="E50" s="11" t="s">
        <v>2792</v>
      </c>
      <c r="F50" s="10" t="s">
        <v>2792</v>
      </c>
      <c r="G50" t="s">
        <v>2802</v>
      </c>
    </row>
    <row r="51" spans="1:7" x14ac:dyDescent="0.4">
      <c r="A51" t="s">
        <v>2796</v>
      </c>
      <c r="B51" t="s">
        <v>50</v>
      </c>
      <c r="C51" t="s">
        <v>49</v>
      </c>
      <c r="D51" s="10" t="s">
        <v>2792</v>
      </c>
      <c r="E51" s="11" t="s">
        <v>2792</v>
      </c>
      <c r="F51" s="10" t="s">
        <v>2792</v>
      </c>
    </row>
    <row r="52" spans="1:7" x14ac:dyDescent="0.4">
      <c r="A52" t="s">
        <v>2797</v>
      </c>
      <c r="C52" t="s">
        <v>71</v>
      </c>
      <c r="D52" s="10" t="s">
        <v>2792</v>
      </c>
      <c r="E52" s="11" t="s">
        <v>2792</v>
      </c>
    </row>
    <row r="53" spans="1:7" x14ac:dyDescent="0.4">
      <c r="A53" t="s">
        <v>2798</v>
      </c>
      <c r="B53" t="s">
        <v>94</v>
      </c>
      <c r="C53" t="s">
        <v>93</v>
      </c>
      <c r="D53" s="10" t="s">
        <v>2792</v>
      </c>
      <c r="E53" s="11" t="s">
        <v>2792</v>
      </c>
      <c r="F53" s="10" t="s">
        <v>2792</v>
      </c>
      <c r="G53" t="s">
        <v>2800</v>
      </c>
    </row>
    <row r="54" spans="1:7" x14ac:dyDescent="0.4">
      <c r="A54" t="s">
        <v>2799</v>
      </c>
      <c r="C54" t="s">
        <v>128</v>
      </c>
      <c r="D54" s="10" t="s">
        <v>2792</v>
      </c>
      <c r="E54" s="11" t="s">
        <v>2792</v>
      </c>
      <c r="F54" s="10" t="s">
        <v>2792</v>
      </c>
    </row>
    <row r="55" spans="1:7" x14ac:dyDescent="0.4">
      <c r="A55" t="s">
        <v>2035</v>
      </c>
      <c r="B55" t="s">
        <v>184</v>
      </c>
      <c r="C55" t="s">
        <v>183</v>
      </c>
      <c r="D55" s="10" t="s">
        <v>2792</v>
      </c>
      <c r="E55" s="11" t="s">
        <v>2792</v>
      </c>
    </row>
    <row r="56" spans="1:7" x14ac:dyDescent="0.4">
      <c r="A56" s="4" t="s">
        <v>433</v>
      </c>
      <c r="B56" s="4" t="s">
        <v>1611</v>
      </c>
      <c r="C56" s="6" t="s">
        <v>1610</v>
      </c>
      <c r="D56" s="10" t="s">
        <v>2801</v>
      </c>
      <c r="E56" s="10" t="s">
        <v>2801</v>
      </c>
      <c r="F56" s="10" t="s">
        <v>2801</v>
      </c>
      <c r="G56" s="4" t="s">
        <v>1615</v>
      </c>
    </row>
    <row r="59" spans="1:7" x14ac:dyDescent="0.4">
      <c r="C59" t="s">
        <v>2803</v>
      </c>
      <c r="D59" s="10">
        <f>COUNTIF(D$1:D$56,"Y")</f>
        <v>51</v>
      </c>
      <c r="E59" s="10">
        <f>COUNTIF(E$1:E$56,"Y")</f>
        <v>51</v>
      </c>
      <c r="F59" s="10">
        <f>COUNTIF(F$1:F$56,"Y")</f>
        <v>20</v>
      </c>
      <c r="G59" s="13">
        <f>(D59+E59+F59)*10</f>
        <v>1220</v>
      </c>
    </row>
    <row r="60" spans="1:7" x14ac:dyDescent="0.4">
      <c r="C60" t="s">
        <v>2804</v>
      </c>
      <c r="D60" s="10">
        <f>COUNTIF(D$1:D$56,"FREE")</f>
        <v>1</v>
      </c>
      <c r="E60" s="10">
        <f>COUNTIF(E$1:E$56,"FREE")</f>
        <v>3</v>
      </c>
      <c r="F60" s="10">
        <f>COUNTIF(F$1:F$56,"FREE")</f>
        <v>1</v>
      </c>
    </row>
    <row r="61" spans="1:7" x14ac:dyDescent="0.4">
      <c r="C61" s="9" t="s">
        <v>2805</v>
      </c>
      <c r="D61" s="15">
        <f>D59+D60</f>
        <v>52</v>
      </c>
      <c r="E61" s="15">
        <f>E59+E60</f>
        <v>54</v>
      </c>
      <c r="F61" s="15">
        <f>F59+F60</f>
        <v>21</v>
      </c>
    </row>
  </sheetData>
  <sortState xmlns:xlrd2="http://schemas.microsoft.com/office/spreadsheetml/2017/richdata2" ref="A2:G55">
    <sortCondition ref="A2:A5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EAD8-75E4-48E8-BE4C-8AE8C15572F9}">
  <dimension ref="A1:AB215"/>
  <sheetViews>
    <sheetView topLeftCell="C199" workbookViewId="0">
      <selection activeCell="P216" sqref="P216"/>
    </sheetView>
  </sheetViews>
  <sheetFormatPr defaultRowHeight="16" x14ac:dyDescent="0.4"/>
  <cols>
    <col min="19" max="20" width="10.08203125" bestFit="1" customWidth="1"/>
  </cols>
  <sheetData>
    <row r="1" spans="1:28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x14ac:dyDescent="0.4">
      <c r="A2" s="4" t="s">
        <v>216</v>
      </c>
      <c r="B2" s="4">
        <v>677</v>
      </c>
      <c r="C2" s="4" t="s">
        <v>217</v>
      </c>
      <c r="D2" s="4" t="s">
        <v>218</v>
      </c>
      <c r="E2" s="4" t="s">
        <v>219</v>
      </c>
      <c r="F2" s="4" t="s">
        <v>220</v>
      </c>
      <c r="G2" s="4" t="s">
        <v>221</v>
      </c>
      <c r="H2" s="4" t="s">
        <v>222</v>
      </c>
      <c r="I2" s="4" t="s">
        <v>154</v>
      </c>
      <c r="J2" s="4" t="s">
        <v>223</v>
      </c>
      <c r="K2" s="4" t="s">
        <v>224</v>
      </c>
      <c r="L2" s="6" t="s">
        <v>225</v>
      </c>
      <c r="M2" s="4" t="s">
        <v>226</v>
      </c>
      <c r="N2" s="4" t="s">
        <v>227</v>
      </c>
      <c r="O2" s="4"/>
      <c r="P2" s="4" t="s">
        <v>228</v>
      </c>
      <c r="Q2" s="4" t="s">
        <v>229</v>
      </c>
      <c r="R2" s="4" t="s">
        <v>230</v>
      </c>
      <c r="S2" s="4" t="s">
        <v>231</v>
      </c>
      <c r="T2" s="7">
        <v>45151</v>
      </c>
      <c r="U2" s="4">
        <v>0</v>
      </c>
      <c r="V2" s="4">
        <v>0</v>
      </c>
      <c r="W2" s="4" t="s">
        <v>232</v>
      </c>
      <c r="X2" s="4"/>
      <c r="Y2" s="4" t="s">
        <v>233</v>
      </c>
      <c r="Z2" s="4" t="s">
        <v>234</v>
      </c>
      <c r="AA2" s="4" t="s">
        <v>234</v>
      </c>
      <c r="AB2" s="4"/>
    </row>
    <row r="3" spans="1:28" x14ac:dyDescent="0.4">
      <c r="A3" s="4" t="s">
        <v>216</v>
      </c>
      <c r="B3" s="4">
        <v>677</v>
      </c>
      <c r="C3" s="4" t="s">
        <v>217</v>
      </c>
      <c r="D3" s="4" t="s">
        <v>218</v>
      </c>
      <c r="E3" s="4" t="s">
        <v>219</v>
      </c>
      <c r="F3" s="4" t="s">
        <v>220</v>
      </c>
      <c r="G3" s="4" t="s">
        <v>221</v>
      </c>
      <c r="H3" s="4" t="s">
        <v>222</v>
      </c>
      <c r="I3" s="4" t="s">
        <v>154</v>
      </c>
      <c r="J3" s="4" t="s">
        <v>223</v>
      </c>
      <c r="K3" s="4" t="s">
        <v>224</v>
      </c>
      <c r="L3" s="6" t="s">
        <v>225</v>
      </c>
      <c r="M3" s="4" t="s">
        <v>226</v>
      </c>
      <c r="N3" s="4" t="s">
        <v>227</v>
      </c>
      <c r="O3" s="4"/>
      <c r="P3" s="4" t="s">
        <v>228</v>
      </c>
      <c r="Q3" s="4" t="s">
        <v>229</v>
      </c>
      <c r="R3" s="4" t="s">
        <v>230</v>
      </c>
      <c r="S3" s="4" t="s">
        <v>231</v>
      </c>
      <c r="T3" s="7">
        <v>45151</v>
      </c>
      <c r="U3" s="4">
        <v>0</v>
      </c>
      <c r="V3" s="4">
        <v>0</v>
      </c>
      <c r="W3" s="4" t="s">
        <v>232</v>
      </c>
      <c r="X3" s="4"/>
      <c r="Y3" s="4" t="s">
        <v>233</v>
      </c>
      <c r="Z3" s="4" t="s">
        <v>234</v>
      </c>
      <c r="AA3" s="4" t="s">
        <v>234</v>
      </c>
      <c r="AB3" s="4"/>
    </row>
    <row r="4" spans="1:28" x14ac:dyDescent="0.4">
      <c r="A4" s="4" t="s">
        <v>216</v>
      </c>
      <c r="B4" s="4">
        <v>878</v>
      </c>
      <c r="C4" s="4" t="s">
        <v>315</v>
      </c>
      <c r="D4" s="4" t="s">
        <v>316</v>
      </c>
      <c r="E4" s="4" t="s">
        <v>301</v>
      </c>
      <c r="F4" s="4" t="s">
        <v>302</v>
      </c>
      <c r="G4" s="4"/>
      <c r="H4" s="4" t="s">
        <v>303</v>
      </c>
      <c r="I4" s="4" t="s">
        <v>34</v>
      </c>
      <c r="J4" s="4" t="s">
        <v>304</v>
      </c>
      <c r="K4" s="4" t="s">
        <v>224</v>
      </c>
      <c r="L4" s="5" t="s">
        <v>305</v>
      </c>
      <c r="M4" s="4" t="s">
        <v>317</v>
      </c>
      <c r="N4" s="4" t="s">
        <v>318</v>
      </c>
      <c r="O4" s="4"/>
      <c r="P4" s="4" t="s">
        <v>321</v>
      </c>
      <c r="Q4" s="4" t="s">
        <v>322</v>
      </c>
      <c r="R4" s="4" t="s">
        <v>313</v>
      </c>
      <c r="S4" s="4" t="s">
        <v>257</v>
      </c>
      <c r="T4" s="7">
        <v>42013</v>
      </c>
      <c r="U4" s="4">
        <v>0</v>
      </c>
      <c r="V4" s="4">
        <v>0</v>
      </c>
      <c r="W4" s="4" t="s">
        <v>232</v>
      </c>
      <c r="X4" s="4"/>
      <c r="Y4" s="4" t="s">
        <v>233</v>
      </c>
      <c r="Z4" s="4" t="s">
        <v>234</v>
      </c>
      <c r="AA4" s="4" t="s">
        <v>234</v>
      </c>
      <c r="AB4" s="4"/>
    </row>
    <row r="5" spans="1:28" x14ac:dyDescent="0.4">
      <c r="A5" s="4" t="s">
        <v>216</v>
      </c>
      <c r="B5" s="4">
        <v>878</v>
      </c>
      <c r="C5" s="4" t="s">
        <v>315</v>
      </c>
      <c r="D5" s="4" t="s">
        <v>316</v>
      </c>
      <c r="E5" s="4" t="s">
        <v>301</v>
      </c>
      <c r="F5" s="4" t="s">
        <v>302</v>
      </c>
      <c r="G5" s="4"/>
      <c r="H5" s="4" t="s">
        <v>303</v>
      </c>
      <c r="I5" s="4" t="s">
        <v>34</v>
      </c>
      <c r="J5" s="4" t="s">
        <v>304</v>
      </c>
      <c r="K5" s="4" t="s">
        <v>224</v>
      </c>
      <c r="L5" s="5" t="s">
        <v>305</v>
      </c>
      <c r="M5" s="4" t="s">
        <v>317</v>
      </c>
      <c r="N5" s="4" t="s">
        <v>318</v>
      </c>
      <c r="O5" s="4"/>
      <c r="P5" s="4" t="s">
        <v>321</v>
      </c>
      <c r="Q5" s="4" t="s">
        <v>322</v>
      </c>
      <c r="R5" s="4" t="s">
        <v>313</v>
      </c>
      <c r="S5" s="4" t="s">
        <v>257</v>
      </c>
      <c r="T5" s="7">
        <v>42013</v>
      </c>
      <c r="U5" s="4">
        <v>0</v>
      </c>
      <c r="V5" s="4">
        <v>0</v>
      </c>
      <c r="W5" s="4" t="s">
        <v>232</v>
      </c>
      <c r="X5" s="4"/>
      <c r="Y5" s="4" t="s">
        <v>233</v>
      </c>
      <c r="Z5" s="4" t="s">
        <v>234</v>
      </c>
      <c r="AA5" s="4" t="s">
        <v>234</v>
      </c>
      <c r="AB5" s="4"/>
    </row>
    <row r="6" spans="1:28" x14ac:dyDescent="0.4">
      <c r="A6" s="4" t="s">
        <v>216</v>
      </c>
      <c r="B6" s="4">
        <v>2342</v>
      </c>
      <c r="C6" s="4" t="s">
        <v>217</v>
      </c>
      <c r="D6" s="4" t="s">
        <v>334</v>
      </c>
      <c r="E6" s="4" t="s">
        <v>335</v>
      </c>
      <c r="F6" s="4" t="s">
        <v>336</v>
      </c>
      <c r="G6" s="4"/>
      <c r="H6" s="4" t="s">
        <v>181</v>
      </c>
      <c r="I6" s="4" t="s">
        <v>337</v>
      </c>
      <c r="J6" s="4" t="s">
        <v>338</v>
      </c>
      <c r="K6" s="4" t="s">
        <v>224</v>
      </c>
      <c r="L6" s="6" t="s">
        <v>339</v>
      </c>
      <c r="M6" s="4" t="s">
        <v>340</v>
      </c>
      <c r="N6" s="4" t="s">
        <v>341</v>
      </c>
      <c r="O6" s="4"/>
      <c r="P6" s="4" t="s">
        <v>344</v>
      </c>
      <c r="Q6" s="4" t="s">
        <v>345</v>
      </c>
      <c r="R6" s="4" t="s">
        <v>252</v>
      </c>
      <c r="S6" s="4" t="s">
        <v>257</v>
      </c>
      <c r="T6" s="7">
        <v>43302</v>
      </c>
      <c r="U6" s="4">
        <v>0</v>
      </c>
      <c r="V6" s="4">
        <v>0</v>
      </c>
      <c r="W6" s="4" t="s">
        <v>232</v>
      </c>
      <c r="X6" s="4"/>
      <c r="Y6" s="4" t="s">
        <v>233</v>
      </c>
      <c r="Z6" s="4" t="s">
        <v>234</v>
      </c>
      <c r="AA6" s="4" t="s">
        <v>234</v>
      </c>
      <c r="AB6" s="4"/>
    </row>
    <row r="7" spans="1:28" x14ac:dyDescent="0.4">
      <c r="A7" s="4" t="s">
        <v>216</v>
      </c>
      <c r="B7" s="4">
        <v>2342</v>
      </c>
      <c r="C7" s="4" t="s">
        <v>217</v>
      </c>
      <c r="D7" s="4" t="s">
        <v>334</v>
      </c>
      <c r="E7" s="4" t="s">
        <v>335</v>
      </c>
      <c r="F7" s="4" t="s">
        <v>336</v>
      </c>
      <c r="G7" s="4"/>
      <c r="H7" s="4" t="s">
        <v>181</v>
      </c>
      <c r="I7" s="4" t="s">
        <v>337</v>
      </c>
      <c r="J7" s="4" t="s">
        <v>338</v>
      </c>
      <c r="K7" s="4" t="s">
        <v>224</v>
      </c>
      <c r="L7" s="6" t="s">
        <v>339</v>
      </c>
      <c r="M7" s="4" t="s">
        <v>340</v>
      </c>
      <c r="N7" s="4" t="s">
        <v>341</v>
      </c>
      <c r="O7" s="4"/>
      <c r="P7" s="4" t="s">
        <v>342</v>
      </c>
      <c r="Q7" s="4" t="s">
        <v>343</v>
      </c>
      <c r="R7" s="4" t="s">
        <v>256</v>
      </c>
      <c r="S7" s="4" t="s">
        <v>257</v>
      </c>
      <c r="T7" s="7">
        <v>45348</v>
      </c>
      <c r="U7" s="4">
        <v>0</v>
      </c>
      <c r="V7" s="4">
        <v>0</v>
      </c>
      <c r="W7" s="4" t="s">
        <v>232</v>
      </c>
      <c r="X7" s="4"/>
      <c r="Y7" s="4" t="s">
        <v>233</v>
      </c>
      <c r="Z7" s="4" t="s">
        <v>234</v>
      </c>
      <c r="AA7" s="4" t="s">
        <v>234</v>
      </c>
      <c r="AB7" s="4"/>
    </row>
    <row r="8" spans="1:28" x14ac:dyDescent="0.4">
      <c r="A8" s="4" t="s">
        <v>216</v>
      </c>
      <c r="B8" s="4">
        <v>5751</v>
      </c>
      <c r="C8" s="4" t="s">
        <v>242</v>
      </c>
      <c r="D8" s="4" t="s">
        <v>359</v>
      </c>
      <c r="E8" s="4" t="s">
        <v>360</v>
      </c>
      <c r="F8" s="4" t="s">
        <v>361</v>
      </c>
      <c r="G8" s="4"/>
      <c r="H8" s="4" t="s">
        <v>362</v>
      </c>
      <c r="I8" s="4" t="s">
        <v>363</v>
      </c>
      <c r="J8" s="4" t="s">
        <v>364</v>
      </c>
      <c r="K8" s="4" t="s">
        <v>224</v>
      </c>
      <c r="L8" s="5" t="s">
        <v>365</v>
      </c>
      <c r="M8" s="4" t="s">
        <v>366</v>
      </c>
      <c r="N8" s="4" t="s">
        <v>367</v>
      </c>
      <c r="O8" s="4"/>
      <c r="P8" s="4" t="s">
        <v>370</v>
      </c>
      <c r="Q8" s="4" t="s">
        <v>371</v>
      </c>
      <c r="R8" s="4" t="s">
        <v>372</v>
      </c>
      <c r="S8" s="4" t="s">
        <v>231</v>
      </c>
      <c r="T8" s="7">
        <v>44034</v>
      </c>
      <c r="U8" s="4">
        <v>0</v>
      </c>
      <c r="V8" s="4">
        <v>0</v>
      </c>
      <c r="W8" s="4" t="s">
        <v>232</v>
      </c>
      <c r="X8" s="4"/>
      <c r="Y8" s="4" t="s">
        <v>233</v>
      </c>
      <c r="Z8" s="4" t="s">
        <v>234</v>
      </c>
      <c r="AA8" s="4" t="s">
        <v>234</v>
      </c>
      <c r="AB8" s="4"/>
    </row>
    <row r="9" spans="1:28" x14ac:dyDescent="0.4">
      <c r="A9" s="4" t="s">
        <v>216</v>
      </c>
      <c r="B9" s="4">
        <v>683</v>
      </c>
      <c r="C9" s="4" t="s">
        <v>217</v>
      </c>
      <c r="D9" s="4" t="s">
        <v>373</v>
      </c>
      <c r="E9" s="4" t="s">
        <v>374</v>
      </c>
      <c r="F9" s="4" t="s">
        <v>375</v>
      </c>
      <c r="G9" s="4"/>
      <c r="H9" s="4" t="s">
        <v>376</v>
      </c>
      <c r="I9" s="4" t="s">
        <v>377</v>
      </c>
      <c r="J9" s="4" t="s">
        <v>378</v>
      </c>
      <c r="K9" s="4" t="s">
        <v>224</v>
      </c>
      <c r="L9" s="6" t="s">
        <v>379</v>
      </c>
      <c r="M9" s="4" t="s">
        <v>380</v>
      </c>
      <c r="N9" s="4" t="s">
        <v>381</v>
      </c>
      <c r="O9" s="4"/>
      <c r="P9" s="4" t="s">
        <v>382</v>
      </c>
      <c r="Q9" s="4" t="s">
        <v>383</v>
      </c>
      <c r="R9" s="4" t="s">
        <v>384</v>
      </c>
      <c r="S9" s="4" t="s">
        <v>257</v>
      </c>
      <c r="T9" s="7">
        <v>41847</v>
      </c>
      <c r="U9" s="4">
        <v>0</v>
      </c>
      <c r="V9" s="4">
        <v>0</v>
      </c>
      <c r="W9" s="4" t="s">
        <v>232</v>
      </c>
      <c r="X9" s="4"/>
      <c r="Y9" s="4" t="s">
        <v>233</v>
      </c>
      <c r="Z9" s="4" t="s">
        <v>234</v>
      </c>
      <c r="AA9" s="4" t="s">
        <v>234</v>
      </c>
      <c r="AB9" s="4"/>
    </row>
    <row r="10" spans="1:28" x14ac:dyDescent="0.4">
      <c r="A10" s="4" t="s">
        <v>216</v>
      </c>
      <c r="B10" s="4">
        <v>683</v>
      </c>
      <c r="C10" s="4" t="s">
        <v>217</v>
      </c>
      <c r="D10" s="4" t="s">
        <v>373</v>
      </c>
      <c r="E10" s="4" t="s">
        <v>374</v>
      </c>
      <c r="F10" s="4" t="s">
        <v>375</v>
      </c>
      <c r="G10" s="4"/>
      <c r="H10" s="4" t="s">
        <v>376</v>
      </c>
      <c r="I10" s="4" t="s">
        <v>377</v>
      </c>
      <c r="J10" s="4" t="s">
        <v>378</v>
      </c>
      <c r="K10" s="4" t="s">
        <v>224</v>
      </c>
      <c r="L10" s="6" t="s">
        <v>379</v>
      </c>
      <c r="M10" s="4" t="s">
        <v>380</v>
      </c>
      <c r="N10" s="4" t="s">
        <v>381</v>
      </c>
      <c r="O10" s="4"/>
      <c r="P10" s="4" t="s">
        <v>385</v>
      </c>
      <c r="Q10" s="4" t="s">
        <v>386</v>
      </c>
      <c r="R10" s="4" t="s">
        <v>387</v>
      </c>
      <c r="S10" s="4" t="s">
        <v>257</v>
      </c>
      <c r="T10" s="7">
        <v>45501</v>
      </c>
      <c r="U10" s="4">
        <v>0</v>
      </c>
      <c r="V10" s="4">
        <v>0</v>
      </c>
      <c r="W10" s="4" t="s">
        <v>232</v>
      </c>
      <c r="X10" s="4"/>
      <c r="Y10" s="4" t="s">
        <v>233</v>
      </c>
      <c r="Z10" s="4" t="s">
        <v>234</v>
      </c>
      <c r="AA10" s="4" t="s">
        <v>234</v>
      </c>
      <c r="AB10" s="4"/>
    </row>
    <row r="11" spans="1:28" x14ac:dyDescent="0.4">
      <c r="A11" s="4" t="s">
        <v>216</v>
      </c>
      <c r="B11" s="4">
        <v>683</v>
      </c>
      <c r="C11" s="4" t="s">
        <v>217</v>
      </c>
      <c r="D11" s="4" t="s">
        <v>373</v>
      </c>
      <c r="E11" s="4" t="s">
        <v>374</v>
      </c>
      <c r="F11" s="4" t="s">
        <v>375</v>
      </c>
      <c r="G11" s="4"/>
      <c r="H11" s="4" t="s">
        <v>376</v>
      </c>
      <c r="I11" s="4" t="s">
        <v>377</v>
      </c>
      <c r="J11" s="4" t="s">
        <v>378</v>
      </c>
      <c r="K11" s="4" t="s">
        <v>224</v>
      </c>
      <c r="L11" s="6" t="s">
        <v>379</v>
      </c>
      <c r="M11" s="4" t="s">
        <v>380</v>
      </c>
      <c r="N11" s="4" t="s">
        <v>381</v>
      </c>
      <c r="O11" s="4"/>
      <c r="P11" s="4" t="s">
        <v>388</v>
      </c>
      <c r="Q11" s="4" t="s">
        <v>389</v>
      </c>
      <c r="R11" s="4" t="s">
        <v>390</v>
      </c>
      <c r="S11" s="4" t="s">
        <v>257</v>
      </c>
      <c r="T11" s="7">
        <v>42992</v>
      </c>
      <c r="U11" s="4">
        <v>0</v>
      </c>
      <c r="V11" s="4">
        <v>0</v>
      </c>
      <c r="W11" s="4" t="s">
        <v>232</v>
      </c>
      <c r="X11" s="4"/>
      <c r="Y11" s="4" t="s">
        <v>233</v>
      </c>
      <c r="Z11" s="4" t="s">
        <v>234</v>
      </c>
      <c r="AA11" s="4" t="s">
        <v>234</v>
      </c>
      <c r="AB11" s="4"/>
    </row>
    <row r="12" spans="1:28" x14ac:dyDescent="0.4">
      <c r="A12" s="4" t="s">
        <v>216</v>
      </c>
      <c r="B12" s="4">
        <v>683</v>
      </c>
      <c r="C12" s="4" t="s">
        <v>217</v>
      </c>
      <c r="D12" s="4" t="s">
        <v>373</v>
      </c>
      <c r="E12" s="4" t="s">
        <v>374</v>
      </c>
      <c r="F12" s="4" t="s">
        <v>375</v>
      </c>
      <c r="G12" s="4"/>
      <c r="H12" s="4" t="s">
        <v>376</v>
      </c>
      <c r="I12" s="4" t="s">
        <v>377</v>
      </c>
      <c r="J12" s="4" t="s">
        <v>378</v>
      </c>
      <c r="K12" s="4" t="s">
        <v>224</v>
      </c>
      <c r="L12" s="6" t="s">
        <v>379</v>
      </c>
      <c r="M12" s="4" t="s">
        <v>380</v>
      </c>
      <c r="N12" s="4" t="s">
        <v>381</v>
      </c>
      <c r="O12" s="4"/>
      <c r="P12" s="4" t="s">
        <v>391</v>
      </c>
      <c r="Q12" s="4" t="s">
        <v>392</v>
      </c>
      <c r="R12" s="4" t="s">
        <v>384</v>
      </c>
      <c r="S12" s="4" t="s">
        <v>231</v>
      </c>
      <c r="T12" s="7">
        <v>43291</v>
      </c>
      <c r="U12" s="4">
        <v>0</v>
      </c>
      <c r="V12" s="4">
        <v>0</v>
      </c>
      <c r="W12" s="4" t="s">
        <v>232</v>
      </c>
      <c r="X12" s="4"/>
      <c r="Y12" s="4" t="s">
        <v>233</v>
      </c>
      <c r="Z12" s="4" t="s">
        <v>234</v>
      </c>
      <c r="AA12" s="4" t="s">
        <v>234</v>
      </c>
      <c r="AB12" s="4"/>
    </row>
    <row r="13" spans="1:28" x14ac:dyDescent="0.4">
      <c r="A13" s="4" t="s">
        <v>216</v>
      </c>
      <c r="B13" s="4">
        <v>683</v>
      </c>
      <c r="C13" s="4" t="s">
        <v>217</v>
      </c>
      <c r="D13" s="4" t="s">
        <v>373</v>
      </c>
      <c r="E13" s="4" t="s">
        <v>374</v>
      </c>
      <c r="F13" s="4" t="s">
        <v>375</v>
      </c>
      <c r="G13" s="4"/>
      <c r="H13" s="4" t="s">
        <v>376</v>
      </c>
      <c r="I13" s="4" t="s">
        <v>377</v>
      </c>
      <c r="J13" s="4" t="s">
        <v>378</v>
      </c>
      <c r="K13" s="4" t="s">
        <v>224</v>
      </c>
      <c r="L13" s="6" t="s">
        <v>379</v>
      </c>
      <c r="M13" s="4" t="s">
        <v>380</v>
      </c>
      <c r="N13" s="4" t="s">
        <v>381</v>
      </c>
      <c r="O13" s="4"/>
      <c r="P13" s="4" t="s">
        <v>382</v>
      </c>
      <c r="Q13" s="4" t="s">
        <v>383</v>
      </c>
      <c r="R13" s="4" t="s">
        <v>384</v>
      </c>
      <c r="S13" s="4" t="s">
        <v>257</v>
      </c>
      <c r="T13" s="7">
        <v>41847</v>
      </c>
      <c r="U13" s="4">
        <v>0</v>
      </c>
      <c r="V13" s="4">
        <v>0</v>
      </c>
      <c r="W13" s="4" t="s">
        <v>232</v>
      </c>
      <c r="X13" s="4"/>
      <c r="Y13" s="4" t="s">
        <v>233</v>
      </c>
      <c r="Z13" s="4" t="s">
        <v>234</v>
      </c>
      <c r="AA13" s="4" t="s">
        <v>234</v>
      </c>
      <c r="AB13" s="4"/>
    </row>
    <row r="14" spans="1:28" x14ac:dyDescent="0.4">
      <c r="A14" s="4" t="s">
        <v>216</v>
      </c>
      <c r="B14" s="4">
        <v>683</v>
      </c>
      <c r="C14" s="4" t="s">
        <v>217</v>
      </c>
      <c r="D14" s="4" t="s">
        <v>373</v>
      </c>
      <c r="E14" s="4" t="s">
        <v>374</v>
      </c>
      <c r="F14" s="4" t="s">
        <v>375</v>
      </c>
      <c r="G14" s="4"/>
      <c r="H14" s="4" t="s">
        <v>376</v>
      </c>
      <c r="I14" s="4" t="s">
        <v>377</v>
      </c>
      <c r="J14" s="4" t="s">
        <v>378</v>
      </c>
      <c r="K14" s="4" t="s">
        <v>224</v>
      </c>
      <c r="L14" s="6" t="s">
        <v>379</v>
      </c>
      <c r="M14" s="4" t="s">
        <v>380</v>
      </c>
      <c r="N14" s="4" t="s">
        <v>381</v>
      </c>
      <c r="O14" s="4"/>
      <c r="P14" s="4" t="s">
        <v>385</v>
      </c>
      <c r="Q14" s="4" t="s">
        <v>386</v>
      </c>
      <c r="R14" s="4" t="s">
        <v>387</v>
      </c>
      <c r="S14" s="4" t="s">
        <v>257</v>
      </c>
      <c r="T14" s="7">
        <v>45501</v>
      </c>
      <c r="U14" s="4">
        <v>0</v>
      </c>
      <c r="V14" s="4">
        <v>0</v>
      </c>
      <c r="W14" s="4" t="s">
        <v>232</v>
      </c>
      <c r="X14" s="4"/>
      <c r="Y14" s="4" t="s">
        <v>233</v>
      </c>
      <c r="Z14" s="4" t="s">
        <v>234</v>
      </c>
      <c r="AA14" s="4" t="s">
        <v>234</v>
      </c>
      <c r="AB14" s="4"/>
    </row>
    <row r="15" spans="1:28" x14ac:dyDescent="0.4">
      <c r="A15" s="4" t="s">
        <v>216</v>
      </c>
      <c r="B15" s="4">
        <v>683</v>
      </c>
      <c r="C15" s="4" t="s">
        <v>217</v>
      </c>
      <c r="D15" s="4" t="s">
        <v>373</v>
      </c>
      <c r="E15" s="4" t="s">
        <v>374</v>
      </c>
      <c r="F15" s="4" t="s">
        <v>375</v>
      </c>
      <c r="G15" s="4"/>
      <c r="H15" s="4" t="s">
        <v>376</v>
      </c>
      <c r="I15" s="4" t="s">
        <v>377</v>
      </c>
      <c r="J15" s="4" t="s">
        <v>378</v>
      </c>
      <c r="K15" s="4" t="s">
        <v>224</v>
      </c>
      <c r="L15" s="6" t="s">
        <v>379</v>
      </c>
      <c r="M15" s="4" t="s">
        <v>380</v>
      </c>
      <c r="N15" s="4" t="s">
        <v>381</v>
      </c>
      <c r="O15" s="4"/>
      <c r="P15" s="4" t="s">
        <v>391</v>
      </c>
      <c r="Q15" s="4" t="s">
        <v>392</v>
      </c>
      <c r="R15" s="4" t="s">
        <v>384</v>
      </c>
      <c r="S15" s="4" t="s">
        <v>231</v>
      </c>
      <c r="T15" s="7">
        <v>43291</v>
      </c>
      <c r="U15" s="4">
        <v>0</v>
      </c>
      <c r="V15" s="4">
        <v>0</v>
      </c>
      <c r="W15" s="4" t="s">
        <v>232</v>
      </c>
      <c r="X15" s="4"/>
      <c r="Y15" s="4" t="s">
        <v>233</v>
      </c>
      <c r="Z15" s="4" t="s">
        <v>234</v>
      </c>
      <c r="AA15" s="4" t="s">
        <v>234</v>
      </c>
      <c r="AB15" s="4"/>
    </row>
    <row r="16" spans="1:28" x14ac:dyDescent="0.4">
      <c r="A16" s="4" t="s">
        <v>216</v>
      </c>
      <c r="B16" s="4">
        <v>1131</v>
      </c>
      <c r="C16" s="4" t="s">
        <v>417</v>
      </c>
      <c r="D16" s="4" t="s">
        <v>418</v>
      </c>
      <c r="E16" s="4" t="s">
        <v>419</v>
      </c>
      <c r="F16" s="4" t="s">
        <v>420</v>
      </c>
      <c r="G16" s="4" t="s">
        <v>421</v>
      </c>
      <c r="H16" s="4" t="s">
        <v>422</v>
      </c>
      <c r="I16" s="4" t="s">
        <v>30</v>
      </c>
      <c r="J16" s="4" t="s">
        <v>423</v>
      </c>
      <c r="K16" s="4" t="s">
        <v>224</v>
      </c>
      <c r="L16" s="5" t="s">
        <v>424</v>
      </c>
      <c r="M16" s="4" t="s">
        <v>425</v>
      </c>
      <c r="N16" s="4" t="s">
        <v>426</v>
      </c>
      <c r="O16" s="4"/>
      <c r="P16" s="4" t="s">
        <v>431</v>
      </c>
      <c r="Q16" s="4" t="s">
        <v>432</v>
      </c>
      <c r="R16" s="4" t="s">
        <v>256</v>
      </c>
      <c r="S16" s="4" t="s">
        <v>231</v>
      </c>
      <c r="T16" s="7">
        <v>42451</v>
      </c>
      <c r="U16" s="4">
        <v>0</v>
      </c>
      <c r="V16" s="4">
        <v>0</v>
      </c>
      <c r="W16" s="4" t="s">
        <v>232</v>
      </c>
      <c r="X16" s="4"/>
      <c r="Y16" s="4" t="s">
        <v>233</v>
      </c>
      <c r="Z16" s="4" t="s">
        <v>234</v>
      </c>
      <c r="AA16" s="4" t="s">
        <v>234</v>
      </c>
      <c r="AB16" s="4"/>
    </row>
    <row r="17" spans="1:28" x14ac:dyDescent="0.4">
      <c r="A17" s="4" t="s">
        <v>216</v>
      </c>
      <c r="B17" s="4">
        <v>1131</v>
      </c>
      <c r="C17" s="4" t="s">
        <v>417</v>
      </c>
      <c r="D17" s="4" t="s">
        <v>418</v>
      </c>
      <c r="E17" s="4" t="s">
        <v>419</v>
      </c>
      <c r="F17" s="4" t="s">
        <v>420</v>
      </c>
      <c r="G17" s="4" t="s">
        <v>421</v>
      </c>
      <c r="H17" s="4" t="s">
        <v>422</v>
      </c>
      <c r="I17" s="4" t="s">
        <v>30</v>
      </c>
      <c r="J17" s="4" t="s">
        <v>423</v>
      </c>
      <c r="K17" s="4" t="s">
        <v>224</v>
      </c>
      <c r="L17" s="5" t="s">
        <v>424</v>
      </c>
      <c r="M17" s="4" t="s">
        <v>425</v>
      </c>
      <c r="N17" s="4" t="s">
        <v>426</v>
      </c>
      <c r="O17" s="4"/>
      <c r="P17" s="4" t="s">
        <v>431</v>
      </c>
      <c r="Q17" s="4" t="s">
        <v>432</v>
      </c>
      <c r="R17" s="4" t="s">
        <v>256</v>
      </c>
      <c r="S17" s="4" t="s">
        <v>231</v>
      </c>
      <c r="T17" s="7">
        <v>42451</v>
      </c>
      <c r="U17" s="4">
        <v>0</v>
      </c>
      <c r="V17" s="4">
        <v>0</v>
      </c>
      <c r="W17" s="4" t="s">
        <v>232</v>
      </c>
      <c r="X17" s="4"/>
      <c r="Y17" s="4" t="s">
        <v>233</v>
      </c>
      <c r="Z17" s="4" t="s">
        <v>234</v>
      </c>
      <c r="AA17" s="4" t="s">
        <v>234</v>
      </c>
      <c r="AB17" s="4"/>
    </row>
    <row r="18" spans="1:28" x14ac:dyDescent="0.4">
      <c r="A18" s="4" t="s">
        <v>216</v>
      </c>
      <c r="B18" s="4">
        <v>54</v>
      </c>
      <c r="C18" s="4" t="s">
        <v>417</v>
      </c>
      <c r="D18" s="4" t="s">
        <v>434</v>
      </c>
      <c r="E18" s="4" t="s">
        <v>435</v>
      </c>
      <c r="F18" s="4" t="s">
        <v>436</v>
      </c>
      <c r="G18" s="4" t="s">
        <v>437</v>
      </c>
      <c r="H18" s="4" t="s">
        <v>438</v>
      </c>
      <c r="I18" s="4" t="s">
        <v>439</v>
      </c>
      <c r="J18" s="4" t="s">
        <v>440</v>
      </c>
      <c r="K18" s="4" t="s">
        <v>224</v>
      </c>
      <c r="L18" s="5">
        <v>441728660244</v>
      </c>
      <c r="M18" s="4" t="s">
        <v>441</v>
      </c>
      <c r="N18" s="4" t="s">
        <v>442</v>
      </c>
      <c r="O18" s="4"/>
      <c r="P18" s="4" t="s">
        <v>443</v>
      </c>
      <c r="Q18" s="4" t="s">
        <v>444</v>
      </c>
      <c r="R18" s="4" t="s">
        <v>445</v>
      </c>
      <c r="S18" s="4" t="s">
        <v>231</v>
      </c>
      <c r="T18" s="7">
        <v>44376</v>
      </c>
      <c r="U18" s="4">
        <v>0</v>
      </c>
      <c r="V18" s="4">
        <v>0</v>
      </c>
      <c r="W18" s="4" t="s">
        <v>232</v>
      </c>
      <c r="X18" s="4" t="s">
        <v>293</v>
      </c>
      <c r="Y18" s="4" t="s">
        <v>233</v>
      </c>
      <c r="Z18" s="4" t="s">
        <v>234</v>
      </c>
      <c r="AA18" s="4" t="s">
        <v>234</v>
      </c>
      <c r="AB18" s="4"/>
    </row>
    <row r="19" spans="1:28" x14ac:dyDescent="0.4">
      <c r="A19" s="4" t="s">
        <v>216</v>
      </c>
      <c r="B19" s="4">
        <v>54</v>
      </c>
      <c r="C19" s="4" t="s">
        <v>417</v>
      </c>
      <c r="D19" s="4" t="s">
        <v>434</v>
      </c>
      <c r="E19" s="4" t="s">
        <v>435</v>
      </c>
      <c r="F19" s="4" t="s">
        <v>436</v>
      </c>
      <c r="G19" s="4" t="s">
        <v>437</v>
      </c>
      <c r="H19" s="4" t="s">
        <v>438</v>
      </c>
      <c r="I19" s="4" t="s">
        <v>439</v>
      </c>
      <c r="J19" s="4" t="s">
        <v>440</v>
      </c>
      <c r="K19" s="4" t="s">
        <v>224</v>
      </c>
      <c r="L19" s="5">
        <v>441728660244</v>
      </c>
      <c r="M19" s="4" t="s">
        <v>441</v>
      </c>
      <c r="N19" s="4" t="s">
        <v>442</v>
      </c>
      <c r="O19" s="4"/>
      <c r="P19" s="4" t="s">
        <v>446</v>
      </c>
      <c r="Q19" s="4" t="s">
        <v>447</v>
      </c>
      <c r="R19" s="4" t="s">
        <v>252</v>
      </c>
      <c r="S19" s="4" t="s">
        <v>231</v>
      </c>
      <c r="T19" s="7">
        <v>45332</v>
      </c>
      <c r="U19" s="4">
        <v>0</v>
      </c>
      <c r="V19" s="4">
        <v>0</v>
      </c>
      <c r="W19" s="4" t="s">
        <v>232</v>
      </c>
      <c r="X19" s="4" t="s">
        <v>293</v>
      </c>
      <c r="Y19" s="4" t="s">
        <v>233</v>
      </c>
      <c r="Z19" s="4" t="s">
        <v>234</v>
      </c>
      <c r="AA19" s="4" t="s">
        <v>234</v>
      </c>
      <c r="AB19" s="4"/>
    </row>
    <row r="20" spans="1:28" x14ac:dyDescent="0.4">
      <c r="A20" s="4" t="s">
        <v>216</v>
      </c>
      <c r="B20" s="4">
        <v>54</v>
      </c>
      <c r="C20" s="4" t="s">
        <v>417</v>
      </c>
      <c r="D20" s="4" t="s">
        <v>434</v>
      </c>
      <c r="E20" s="4" t="s">
        <v>435</v>
      </c>
      <c r="F20" s="4" t="s">
        <v>436</v>
      </c>
      <c r="G20" s="4" t="s">
        <v>437</v>
      </c>
      <c r="H20" s="4" t="s">
        <v>438</v>
      </c>
      <c r="I20" s="4" t="s">
        <v>439</v>
      </c>
      <c r="J20" s="4" t="s">
        <v>440</v>
      </c>
      <c r="K20" s="4" t="s">
        <v>224</v>
      </c>
      <c r="L20" s="5">
        <v>441728660244</v>
      </c>
      <c r="M20" s="4" t="s">
        <v>441</v>
      </c>
      <c r="N20" s="4" t="s">
        <v>442</v>
      </c>
      <c r="O20" s="4"/>
      <c r="P20" s="4" t="s">
        <v>448</v>
      </c>
      <c r="Q20" s="4" t="s">
        <v>449</v>
      </c>
      <c r="R20" s="4" t="s">
        <v>450</v>
      </c>
      <c r="S20" s="4" t="s">
        <v>257</v>
      </c>
      <c r="T20" s="7">
        <v>43609</v>
      </c>
      <c r="U20" s="4">
        <v>0</v>
      </c>
      <c r="V20" s="4">
        <v>0</v>
      </c>
      <c r="W20" s="4" t="s">
        <v>232</v>
      </c>
      <c r="X20" s="4" t="s">
        <v>293</v>
      </c>
      <c r="Y20" s="4" t="s">
        <v>233</v>
      </c>
      <c r="Z20" s="4" t="s">
        <v>234</v>
      </c>
      <c r="AA20" s="4" t="s">
        <v>234</v>
      </c>
      <c r="AB20" s="4"/>
    </row>
    <row r="21" spans="1:28" x14ac:dyDescent="0.4">
      <c r="A21" s="4" t="s">
        <v>216</v>
      </c>
      <c r="B21" s="4">
        <v>54</v>
      </c>
      <c r="C21" s="4" t="s">
        <v>417</v>
      </c>
      <c r="D21" s="4" t="s">
        <v>434</v>
      </c>
      <c r="E21" s="4" t="s">
        <v>435</v>
      </c>
      <c r="F21" s="4" t="s">
        <v>436</v>
      </c>
      <c r="G21" s="4" t="s">
        <v>437</v>
      </c>
      <c r="H21" s="4" t="s">
        <v>438</v>
      </c>
      <c r="I21" s="4" t="s">
        <v>439</v>
      </c>
      <c r="J21" s="4" t="s">
        <v>440</v>
      </c>
      <c r="K21" s="4" t="s">
        <v>224</v>
      </c>
      <c r="L21" s="5">
        <v>441728660244</v>
      </c>
      <c r="M21" s="4" t="s">
        <v>441</v>
      </c>
      <c r="N21" s="4" t="s">
        <v>442</v>
      </c>
      <c r="O21" s="4"/>
      <c r="P21" s="4" t="s">
        <v>443</v>
      </c>
      <c r="Q21" s="4" t="s">
        <v>444</v>
      </c>
      <c r="R21" s="4" t="s">
        <v>445</v>
      </c>
      <c r="S21" s="4" t="s">
        <v>231</v>
      </c>
      <c r="T21" s="7">
        <v>44376</v>
      </c>
      <c r="U21" s="4">
        <v>0</v>
      </c>
      <c r="V21" s="4">
        <v>0</v>
      </c>
      <c r="W21" s="4" t="s">
        <v>232</v>
      </c>
      <c r="X21" s="4" t="s">
        <v>293</v>
      </c>
      <c r="Y21" s="4" t="s">
        <v>233</v>
      </c>
      <c r="Z21" s="4" t="s">
        <v>234</v>
      </c>
      <c r="AA21" s="4" t="s">
        <v>234</v>
      </c>
      <c r="AB21" s="4"/>
    </row>
    <row r="22" spans="1:28" x14ac:dyDescent="0.4">
      <c r="A22" s="4" t="s">
        <v>216</v>
      </c>
      <c r="B22" s="4">
        <v>54</v>
      </c>
      <c r="C22" s="4" t="s">
        <v>417</v>
      </c>
      <c r="D22" s="4" t="s">
        <v>434</v>
      </c>
      <c r="E22" s="4" t="s">
        <v>435</v>
      </c>
      <c r="F22" s="4" t="s">
        <v>436</v>
      </c>
      <c r="G22" s="4" t="s">
        <v>437</v>
      </c>
      <c r="H22" s="4" t="s">
        <v>438</v>
      </c>
      <c r="I22" s="4" t="s">
        <v>439</v>
      </c>
      <c r="J22" s="4" t="s">
        <v>440</v>
      </c>
      <c r="K22" s="4" t="s">
        <v>224</v>
      </c>
      <c r="L22" s="5">
        <v>441728660244</v>
      </c>
      <c r="M22" s="4" t="s">
        <v>441</v>
      </c>
      <c r="N22" s="4" t="s">
        <v>442</v>
      </c>
      <c r="O22" s="4"/>
      <c r="P22" s="4" t="s">
        <v>446</v>
      </c>
      <c r="Q22" s="4" t="s">
        <v>447</v>
      </c>
      <c r="R22" s="4" t="s">
        <v>252</v>
      </c>
      <c r="S22" s="4" t="s">
        <v>231</v>
      </c>
      <c r="T22" s="7">
        <v>45332</v>
      </c>
      <c r="U22" s="4">
        <v>0</v>
      </c>
      <c r="V22" s="4">
        <v>0</v>
      </c>
      <c r="W22" s="4" t="s">
        <v>232</v>
      </c>
      <c r="X22" s="4" t="s">
        <v>293</v>
      </c>
      <c r="Y22" s="4" t="s">
        <v>233</v>
      </c>
      <c r="Z22" s="4" t="s">
        <v>234</v>
      </c>
      <c r="AA22" s="4" t="s">
        <v>234</v>
      </c>
      <c r="AB22" s="4"/>
    </row>
    <row r="23" spans="1:28" x14ac:dyDescent="0.4">
      <c r="A23" s="4" t="s">
        <v>216</v>
      </c>
      <c r="B23" s="4">
        <v>54</v>
      </c>
      <c r="C23" s="4" t="s">
        <v>417</v>
      </c>
      <c r="D23" s="4" t="s">
        <v>434</v>
      </c>
      <c r="E23" s="4" t="s">
        <v>435</v>
      </c>
      <c r="F23" s="4" t="s">
        <v>436</v>
      </c>
      <c r="G23" s="4" t="s">
        <v>437</v>
      </c>
      <c r="H23" s="4" t="s">
        <v>438</v>
      </c>
      <c r="I23" s="4" t="s">
        <v>439</v>
      </c>
      <c r="J23" s="4" t="s">
        <v>440</v>
      </c>
      <c r="K23" s="4" t="s">
        <v>224</v>
      </c>
      <c r="L23" s="5">
        <v>441728660244</v>
      </c>
      <c r="M23" s="4" t="s">
        <v>441</v>
      </c>
      <c r="N23" s="4" t="s">
        <v>442</v>
      </c>
      <c r="O23" s="4"/>
      <c r="P23" s="4" t="s">
        <v>448</v>
      </c>
      <c r="Q23" s="4" t="s">
        <v>449</v>
      </c>
      <c r="R23" s="4" t="s">
        <v>450</v>
      </c>
      <c r="S23" s="4" t="s">
        <v>257</v>
      </c>
      <c r="T23" s="7">
        <v>43609</v>
      </c>
      <c r="U23" s="4">
        <v>0</v>
      </c>
      <c r="V23" s="4">
        <v>0</v>
      </c>
      <c r="W23" s="4" t="s">
        <v>232</v>
      </c>
      <c r="X23" s="4" t="s">
        <v>293</v>
      </c>
      <c r="Y23" s="4" t="s">
        <v>233</v>
      </c>
      <c r="Z23" s="4" t="s">
        <v>234</v>
      </c>
      <c r="AA23" s="4" t="s">
        <v>234</v>
      </c>
      <c r="AB23" s="4"/>
    </row>
    <row r="24" spans="1:28" x14ac:dyDescent="0.4">
      <c r="A24" s="4" t="s">
        <v>216</v>
      </c>
      <c r="B24" s="4">
        <v>4237</v>
      </c>
      <c r="C24" s="4" t="s">
        <v>315</v>
      </c>
      <c r="D24" s="4" t="s">
        <v>478</v>
      </c>
      <c r="E24" s="4" t="s">
        <v>469</v>
      </c>
      <c r="F24" s="4" t="s">
        <v>479</v>
      </c>
      <c r="G24" s="4"/>
      <c r="H24" s="4" t="s">
        <v>480</v>
      </c>
      <c r="I24" s="4" t="s">
        <v>481</v>
      </c>
      <c r="J24" s="4" t="s">
        <v>482</v>
      </c>
      <c r="K24" s="4" t="s">
        <v>224</v>
      </c>
      <c r="L24" s="6" t="s">
        <v>483</v>
      </c>
      <c r="M24" s="4" t="s">
        <v>484</v>
      </c>
      <c r="N24" s="4" t="s">
        <v>485</v>
      </c>
      <c r="O24" s="4"/>
      <c r="P24" s="4" t="s">
        <v>486</v>
      </c>
      <c r="Q24" s="4" t="s">
        <v>487</v>
      </c>
      <c r="R24" s="4" t="s">
        <v>488</v>
      </c>
      <c r="S24" s="4" t="s">
        <v>257</v>
      </c>
      <c r="T24" s="7">
        <v>43388</v>
      </c>
      <c r="U24" s="4">
        <v>0</v>
      </c>
      <c r="V24" s="4">
        <v>0</v>
      </c>
      <c r="W24" s="4" t="s">
        <v>232</v>
      </c>
      <c r="X24" s="4" t="s">
        <v>464</v>
      </c>
      <c r="Y24" s="4" t="s">
        <v>233</v>
      </c>
      <c r="Z24" s="4" t="s">
        <v>234</v>
      </c>
      <c r="AA24" s="4" t="s">
        <v>234</v>
      </c>
      <c r="AB24" s="4"/>
    </row>
    <row r="25" spans="1:28" x14ac:dyDescent="0.4">
      <c r="A25" s="4" t="s">
        <v>216</v>
      </c>
      <c r="B25" s="4">
        <v>4237</v>
      </c>
      <c r="C25" s="4" t="s">
        <v>315</v>
      </c>
      <c r="D25" s="4" t="s">
        <v>478</v>
      </c>
      <c r="E25" s="4" t="s">
        <v>469</v>
      </c>
      <c r="F25" s="4" t="s">
        <v>479</v>
      </c>
      <c r="G25" s="4"/>
      <c r="H25" s="4" t="s">
        <v>480</v>
      </c>
      <c r="I25" s="4" t="s">
        <v>481</v>
      </c>
      <c r="J25" s="4" t="s">
        <v>482</v>
      </c>
      <c r="K25" s="4" t="s">
        <v>224</v>
      </c>
      <c r="L25" s="6" t="s">
        <v>483</v>
      </c>
      <c r="M25" s="4" t="s">
        <v>484</v>
      </c>
      <c r="N25" s="4" t="s">
        <v>485</v>
      </c>
      <c r="O25" s="4"/>
      <c r="P25" s="4" t="s">
        <v>486</v>
      </c>
      <c r="Q25" s="4" t="s">
        <v>487</v>
      </c>
      <c r="R25" s="4" t="s">
        <v>488</v>
      </c>
      <c r="S25" s="4" t="s">
        <v>257</v>
      </c>
      <c r="T25" s="7">
        <v>43388</v>
      </c>
      <c r="U25" s="4">
        <v>0</v>
      </c>
      <c r="V25" s="4">
        <v>0</v>
      </c>
      <c r="W25" s="4" t="s">
        <v>232</v>
      </c>
      <c r="X25" s="4" t="s">
        <v>464</v>
      </c>
      <c r="Y25" s="4" t="s">
        <v>233</v>
      </c>
      <c r="Z25" s="4" t="s">
        <v>234</v>
      </c>
      <c r="AA25" s="4" t="s">
        <v>234</v>
      </c>
      <c r="AB25" s="4"/>
    </row>
    <row r="26" spans="1:28" x14ac:dyDescent="0.4">
      <c r="A26" s="4" t="s">
        <v>216</v>
      </c>
      <c r="B26" s="4">
        <v>4237</v>
      </c>
      <c r="C26" s="4" t="s">
        <v>315</v>
      </c>
      <c r="D26" s="4" t="s">
        <v>478</v>
      </c>
      <c r="E26" s="4" t="s">
        <v>469</v>
      </c>
      <c r="F26" s="4" t="s">
        <v>479</v>
      </c>
      <c r="G26" s="4"/>
      <c r="H26" s="4" t="s">
        <v>480</v>
      </c>
      <c r="I26" s="4" t="s">
        <v>481</v>
      </c>
      <c r="J26" s="4" t="s">
        <v>482</v>
      </c>
      <c r="K26" s="4" t="s">
        <v>224</v>
      </c>
      <c r="L26" s="6" t="s">
        <v>483</v>
      </c>
      <c r="M26" s="4" t="s">
        <v>484</v>
      </c>
      <c r="N26" s="4" t="s">
        <v>485</v>
      </c>
      <c r="O26" s="4"/>
      <c r="P26" s="4" t="s">
        <v>489</v>
      </c>
      <c r="Q26" s="4" t="s">
        <v>490</v>
      </c>
      <c r="R26" s="4" t="s">
        <v>491</v>
      </c>
      <c r="S26" s="4" t="s">
        <v>231</v>
      </c>
      <c r="T26" s="7">
        <v>45292</v>
      </c>
      <c r="U26" s="4">
        <v>0</v>
      </c>
      <c r="V26" s="4">
        <v>0</v>
      </c>
      <c r="W26" s="4" t="s">
        <v>232</v>
      </c>
      <c r="X26" s="4" t="s">
        <v>464</v>
      </c>
      <c r="Y26" s="4" t="s">
        <v>233</v>
      </c>
      <c r="Z26" s="4" t="s">
        <v>234</v>
      </c>
      <c r="AA26" s="4" t="s">
        <v>234</v>
      </c>
      <c r="AB26" s="4"/>
    </row>
    <row r="27" spans="1:28" x14ac:dyDescent="0.4">
      <c r="A27" s="4" t="s">
        <v>216</v>
      </c>
      <c r="B27" s="4">
        <v>4237</v>
      </c>
      <c r="C27" s="4" t="s">
        <v>315</v>
      </c>
      <c r="D27" s="4" t="s">
        <v>478</v>
      </c>
      <c r="E27" s="4" t="s">
        <v>469</v>
      </c>
      <c r="F27" s="4" t="s">
        <v>479</v>
      </c>
      <c r="G27" s="4"/>
      <c r="H27" s="4" t="s">
        <v>480</v>
      </c>
      <c r="I27" s="4" t="s">
        <v>481</v>
      </c>
      <c r="J27" s="4" t="s">
        <v>482</v>
      </c>
      <c r="K27" s="4" t="s">
        <v>224</v>
      </c>
      <c r="L27" s="6" t="s">
        <v>483</v>
      </c>
      <c r="M27" s="4" t="s">
        <v>484</v>
      </c>
      <c r="N27" s="4" t="s">
        <v>485</v>
      </c>
      <c r="O27" s="4"/>
      <c r="P27" s="4" t="s">
        <v>489</v>
      </c>
      <c r="Q27" s="4" t="s">
        <v>490</v>
      </c>
      <c r="R27" s="4" t="s">
        <v>491</v>
      </c>
      <c r="S27" s="4" t="s">
        <v>231</v>
      </c>
      <c r="T27" s="7">
        <v>45292</v>
      </c>
      <c r="U27" s="4">
        <v>0</v>
      </c>
      <c r="V27" s="4">
        <v>0</v>
      </c>
      <c r="W27" s="4" t="s">
        <v>232</v>
      </c>
      <c r="X27" s="4" t="s">
        <v>464</v>
      </c>
      <c r="Y27" s="4" t="s">
        <v>233</v>
      </c>
      <c r="Z27" s="4" t="s">
        <v>234</v>
      </c>
      <c r="AA27" s="4" t="s">
        <v>234</v>
      </c>
      <c r="AB27" s="4"/>
    </row>
    <row r="28" spans="1:28" x14ac:dyDescent="0.4">
      <c r="A28" s="4" t="s">
        <v>216</v>
      </c>
      <c r="B28" s="4">
        <v>1849</v>
      </c>
      <c r="C28" s="4" t="s">
        <v>242</v>
      </c>
      <c r="D28" s="4" t="s">
        <v>552</v>
      </c>
      <c r="E28" s="4" t="s">
        <v>553</v>
      </c>
      <c r="F28" s="4" t="s">
        <v>554</v>
      </c>
      <c r="G28" s="4" t="s">
        <v>555</v>
      </c>
      <c r="H28" s="4" t="s">
        <v>556</v>
      </c>
      <c r="I28" s="4" t="s">
        <v>351</v>
      </c>
      <c r="J28" s="4" t="s">
        <v>557</v>
      </c>
      <c r="K28" s="4" t="s">
        <v>224</v>
      </c>
      <c r="L28" s="5" t="s">
        <v>558</v>
      </c>
      <c r="M28" s="4" t="s">
        <v>559</v>
      </c>
      <c r="N28" s="4" t="s">
        <v>560</v>
      </c>
      <c r="O28" s="4"/>
      <c r="P28" s="4" t="s">
        <v>561</v>
      </c>
      <c r="Q28" s="4" t="s">
        <v>562</v>
      </c>
      <c r="R28" s="4" t="s">
        <v>252</v>
      </c>
      <c r="S28" s="4" t="s">
        <v>231</v>
      </c>
      <c r="T28" s="7">
        <v>44477</v>
      </c>
      <c r="U28" s="4"/>
      <c r="V28" s="4">
        <v>0</v>
      </c>
      <c r="W28" s="4" t="s">
        <v>232</v>
      </c>
      <c r="X28" s="4"/>
      <c r="Y28" s="4" t="s">
        <v>233</v>
      </c>
      <c r="Z28" s="4" t="s">
        <v>234</v>
      </c>
      <c r="AA28" s="4" t="s">
        <v>234</v>
      </c>
      <c r="AB28" s="4" t="s">
        <v>563</v>
      </c>
    </row>
    <row r="29" spans="1:28" x14ac:dyDescent="0.4">
      <c r="A29" s="4" t="s">
        <v>216</v>
      </c>
      <c r="B29" s="4">
        <v>1849</v>
      </c>
      <c r="C29" s="4" t="s">
        <v>242</v>
      </c>
      <c r="D29" s="4" t="s">
        <v>552</v>
      </c>
      <c r="E29" s="4" t="s">
        <v>553</v>
      </c>
      <c r="F29" s="4" t="s">
        <v>554</v>
      </c>
      <c r="G29" s="4" t="s">
        <v>555</v>
      </c>
      <c r="H29" s="4" t="s">
        <v>556</v>
      </c>
      <c r="I29" s="4" t="s">
        <v>351</v>
      </c>
      <c r="J29" s="4" t="s">
        <v>557</v>
      </c>
      <c r="K29" s="4" t="s">
        <v>224</v>
      </c>
      <c r="L29" s="5" t="s">
        <v>558</v>
      </c>
      <c r="M29" s="4" t="s">
        <v>559</v>
      </c>
      <c r="N29" s="4" t="s">
        <v>560</v>
      </c>
      <c r="O29" s="4"/>
      <c r="P29" s="4" t="s">
        <v>564</v>
      </c>
      <c r="Q29" s="4" t="s">
        <v>565</v>
      </c>
      <c r="R29" s="4" t="s">
        <v>252</v>
      </c>
      <c r="S29" s="4" t="s">
        <v>231</v>
      </c>
      <c r="T29" s="7">
        <v>42215</v>
      </c>
      <c r="U29" s="4"/>
      <c r="V29" s="4">
        <v>0</v>
      </c>
      <c r="W29" s="4" t="s">
        <v>232</v>
      </c>
      <c r="X29" s="4"/>
      <c r="Y29" s="4" t="s">
        <v>233</v>
      </c>
      <c r="Z29" s="4" t="s">
        <v>234</v>
      </c>
      <c r="AA29" s="4" t="s">
        <v>234</v>
      </c>
      <c r="AB29" s="4" t="s">
        <v>563</v>
      </c>
    </row>
    <row r="30" spans="1:28" x14ac:dyDescent="0.4">
      <c r="A30" s="4" t="s">
        <v>216</v>
      </c>
      <c r="B30" s="4">
        <v>660</v>
      </c>
      <c r="C30" s="4" t="s">
        <v>242</v>
      </c>
      <c r="D30" s="4" t="s">
        <v>566</v>
      </c>
      <c r="E30" s="4" t="s">
        <v>567</v>
      </c>
      <c r="F30" s="4" t="s">
        <v>568</v>
      </c>
      <c r="G30" s="4" t="s">
        <v>569</v>
      </c>
      <c r="H30" s="4" t="s">
        <v>570</v>
      </c>
      <c r="I30" s="4" t="s">
        <v>34</v>
      </c>
      <c r="J30" s="4" t="s">
        <v>571</v>
      </c>
      <c r="K30" s="4" t="s">
        <v>224</v>
      </c>
      <c r="L30" s="5" t="s">
        <v>572</v>
      </c>
      <c r="M30" s="4" t="s">
        <v>573</v>
      </c>
      <c r="N30" s="4" t="s">
        <v>574</v>
      </c>
      <c r="O30" s="4"/>
      <c r="P30" s="4" t="s">
        <v>575</v>
      </c>
      <c r="Q30" s="4" t="s">
        <v>576</v>
      </c>
      <c r="R30" s="4" t="s">
        <v>256</v>
      </c>
      <c r="S30" s="4" t="s">
        <v>231</v>
      </c>
      <c r="T30" s="7">
        <v>42417</v>
      </c>
      <c r="U30" s="4">
        <v>0</v>
      </c>
      <c r="V30" s="4">
        <v>0</v>
      </c>
      <c r="W30" s="4" t="s">
        <v>232</v>
      </c>
      <c r="X30" s="4"/>
      <c r="Y30" s="4" t="s">
        <v>233</v>
      </c>
      <c r="Z30" s="4" t="s">
        <v>234</v>
      </c>
      <c r="AA30" s="4" t="s">
        <v>234</v>
      </c>
      <c r="AB30" s="4" t="s">
        <v>577</v>
      </c>
    </row>
    <row r="31" spans="1:28" x14ac:dyDescent="0.4">
      <c r="A31" s="4" t="s">
        <v>216</v>
      </c>
      <c r="B31" s="4">
        <v>660</v>
      </c>
      <c r="C31" s="4" t="s">
        <v>242</v>
      </c>
      <c r="D31" s="4" t="s">
        <v>566</v>
      </c>
      <c r="E31" s="4" t="s">
        <v>567</v>
      </c>
      <c r="F31" s="4" t="s">
        <v>568</v>
      </c>
      <c r="G31" s="4" t="s">
        <v>569</v>
      </c>
      <c r="H31" s="4" t="s">
        <v>570</v>
      </c>
      <c r="I31" s="4" t="s">
        <v>34</v>
      </c>
      <c r="J31" s="4" t="s">
        <v>571</v>
      </c>
      <c r="K31" s="4" t="s">
        <v>224</v>
      </c>
      <c r="L31" s="5" t="s">
        <v>572</v>
      </c>
      <c r="M31" s="4" t="s">
        <v>573</v>
      </c>
      <c r="N31" s="4" t="s">
        <v>574</v>
      </c>
      <c r="O31" s="4"/>
      <c r="P31" s="4" t="s">
        <v>575</v>
      </c>
      <c r="Q31" s="4" t="s">
        <v>576</v>
      </c>
      <c r="R31" s="4" t="s">
        <v>256</v>
      </c>
      <c r="S31" s="4" t="s">
        <v>231</v>
      </c>
      <c r="T31" s="7">
        <v>42417</v>
      </c>
      <c r="U31" s="4">
        <v>0</v>
      </c>
      <c r="V31" s="4">
        <v>0</v>
      </c>
      <c r="W31" s="4" t="s">
        <v>232</v>
      </c>
      <c r="X31" s="4"/>
      <c r="Y31" s="4" t="s">
        <v>233</v>
      </c>
      <c r="Z31" s="4" t="s">
        <v>234</v>
      </c>
      <c r="AA31" s="4" t="s">
        <v>234</v>
      </c>
      <c r="AB31" s="4" t="s">
        <v>577</v>
      </c>
    </row>
    <row r="32" spans="1:28" x14ac:dyDescent="0.4">
      <c r="A32" s="4" t="s">
        <v>216</v>
      </c>
      <c r="B32" s="4">
        <v>1801</v>
      </c>
      <c r="C32" s="4" t="s">
        <v>417</v>
      </c>
      <c r="D32" s="4" t="s">
        <v>605</v>
      </c>
      <c r="E32" s="4" t="s">
        <v>606</v>
      </c>
      <c r="F32" s="4" t="s">
        <v>607</v>
      </c>
      <c r="G32" s="4" t="s">
        <v>608</v>
      </c>
      <c r="H32" s="4" t="s">
        <v>609</v>
      </c>
      <c r="I32" s="4" t="s">
        <v>610</v>
      </c>
      <c r="J32" s="4" t="s">
        <v>611</v>
      </c>
      <c r="K32" s="4" t="s">
        <v>224</v>
      </c>
      <c r="L32" s="6" t="s">
        <v>612</v>
      </c>
      <c r="M32" s="4" t="s">
        <v>613</v>
      </c>
      <c r="N32" s="4" t="s">
        <v>240</v>
      </c>
      <c r="O32" s="4"/>
      <c r="P32" s="4" t="s">
        <v>616</v>
      </c>
      <c r="Q32" s="4" t="s">
        <v>617</v>
      </c>
      <c r="R32" s="4" t="s">
        <v>256</v>
      </c>
      <c r="S32" s="4" t="s">
        <v>257</v>
      </c>
      <c r="T32" s="7">
        <v>41300</v>
      </c>
      <c r="U32" s="4">
        <v>0</v>
      </c>
      <c r="V32" s="4">
        <v>0</v>
      </c>
      <c r="W32" s="4" t="s">
        <v>232</v>
      </c>
      <c r="X32" s="4"/>
      <c r="Y32" s="4" t="s">
        <v>233</v>
      </c>
      <c r="Z32" s="4" t="s">
        <v>234</v>
      </c>
      <c r="AA32" s="4" t="s">
        <v>234</v>
      </c>
      <c r="AB32" s="4"/>
    </row>
    <row r="33" spans="1:28" x14ac:dyDescent="0.4">
      <c r="A33" s="4" t="s">
        <v>216</v>
      </c>
      <c r="B33" s="4">
        <v>1320</v>
      </c>
      <c r="C33" s="4" t="s">
        <v>242</v>
      </c>
      <c r="D33" s="4" t="s">
        <v>655</v>
      </c>
      <c r="E33" s="4" t="s">
        <v>656</v>
      </c>
      <c r="F33" s="4" t="s">
        <v>657</v>
      </c>
      <c r="G33" s="4" t="s">
        <v>658</v>
      </c>
      <c r="H33" s="4" t="s">
        <v>245</v>
      </c>
      <c r="I33" s="4" t="s">
        <v>154</v>
      </c>
      <c r="J33" s="4" t="s">
        <v>659</v>
      </c>
      <c r="K33" s="4" t="s">
        <v>224</v>
      </c>
      <c r="L33" s="6" t="s">
        <v>660</v>
      </c>
      <c r="M33" s="4" t="s">
        <v>661</v>
      </c>
      <c r="N33" s="4" t="s">
        <v>662</v>
      </c>
      <c r="O33" s="4"/>
      <c r="P33" s="4" t="s">
        <v>666</v>
      </c>
      <c r="Q33" s="4" t="s">
        <v>667</v>
      </c>
      <c r="R33" s="4" t="s">
        <v>665</v>
      </c>
      <c r="S33" s="4" t="s">
        <v>257</v>
      </c>
      <c r="T33" s="7">
        <v>43650</v>
      </c>
      <c r="U33" s="4">
        <v>0</v>
      </c>
      <c r="V33" s="4">
        <v>0</v>
      </c>
      <c r="W33" s="4" t="s">
        <v>232</v>
      </c>
      <c r="X33" s="4"/>
      <c r="Y33" s="4" t="s">
        <v>233</v>
      </c>
      <c r="Z33" s="4" t="s">
        <v>234</v>
      </c>
      <c r="AA33" s="4" t="s">
        <v>234</v>
      </c>
      <c r="AB33" s="4"/>
    </row>
    <row r="34" spans="1:28" x14ac:dyDescent="0.4">
      <c r="A34" s="4" t="s">
        <v>216</v>
      </c>
      <c r="B34" s="4">
        <v>1320</v>
      </c>
      <c r="C34" s="4" t="s">
        <v>242</v>
      </c>
      <c r="D34" s="4" t="s">
        <v>655</v>
      </c>
      <c r="E34" s="4" t="s">
        <v>656</v>
      </c>
      <c r="F34" s="4" t="s">
        <v>657</v>
      </c>
      <c r="G34" s="4" t="s">
        <v>658</v>
      </c>
      <c r="H34" s="4" t="s">
        <v>245</v>
      </c>
      <c r="I34" s="4" t="s">
        <v>154</v>
      </c>
      <c r="J34" s="4" t="s">
        <v>659</v>
      </c>
      <c r="K34" s="4" t="s">
        <v>224</v>
      </c>
      <c r="L34" s="6" t="s">
        <v>660</v>
      </c>
      <c r="M34" s="4" t="s">
        <v>661</v>
      </c>
      <c r="N34" s="4" t="s">
        <v>662</v>
      </c>
      <c r="O34" s="4"/>
      <c r="P34" s="4" t="s">
        <v>666</v>
      </c>
      <c r="Q34" s="4" t="s">
        <v>667</v>
      </c>
      <c r="R34" s="4" t="s">
        <v>665</v>
      </c>
      <c r="S34" s="4" t="s">
        <v>257</v>
      </c>
      <c r="T34" s="7">
        <v>43650</v>
      </c>
      <c r="U34" s="4">
        <v>0</v>
      </c>
      <c r="V34" s="4">
        <v>0</v>
      </c>
      <c r="W34" s="4" t="s">
        <v>232</v>
      </c>
      <c r="X34" s="4"/>
      <c r="Y34" s="4" t="s">
        <v>233</v>
      </c>
      <c r="Z34" s="4" t="s">
        <v>234</v>
      </c>
      <c r="AA34" s="4" t="s">
        <v>234</v>
      </c>
      <c r="AB34" s="4"/>
    </row>
    <row r="35" spans="1:28" x14ac:dyDescent="0.4">
      <c r="A35" s="4" t="s">
        <v>216</v>
      </c>
      <c r="B35" s="4">
        <v>785</v>
      </c>
      <c r="C35" s="4" t="s">
        <v>417</v>
      </c>
      <c r="D35" s="4" t="s">
        <v>762</v>
      </c>
      <c r="E35" s="4" t="s">
        <v>763</v>
      </c>
      <c r="F35" s="4">
        <v>13</v>
      </c>
      <c r="G35" s="4" t="s">
        <v>764</v>
      </c>
      <c r="H35" s="4" t="s">
        <v>765</v>
      </c>
      <c r="I35" s="4" t="s">
        <v>30</v>
      </c>
      <c r="J35" s="4" t="s">
        <v>766</v>
      </c>
      <c r="K35" s="4" t="s">
        <v>224</v>
      </c>
      <c r="L35" s="6" t="s">
        <v>767</v>
      </c>
      <c r="M35" s="4" t="s">
        <v>768</v>
      </c>
      <c r="N35" s="4" t="s">
        <v>769</v>
      </c>
      <c r="O35" s="4"/>
      <c r="P35" s="4" t="s">
        <v>770</v>
      </c>
      <c r="Q35" s="4" t="s">
        <v>771</v>
      </c>
      <c r="R35" s="4" t="s">
        <v>32</v>
      </c>
      <c r="S35" s="4" t="s">
        <v>231</v>
      </c>
      <c r="T35" s="7">
        <v>42450</v>
      </c>
      <c r="U35" s="4">
        <v>0</v>
      </c>
      <c r="V35" s="4">
        <v>0</v>
      </c>
      <c r="W35" s="4" t="s">
        <v>232</v>
      </c>
      <c r="X35" s="4" t="s">
        <v>293</v>
      </c>
      <c r="Y35" s="4" t="s">
        <v>233</v>
      </c>
      <c r="Z35" s="4" t="s">
        <v>234</v>
      </c>
      <c r="AA35" s="4" t="s">
        <v>234</v>
      </c>
      <c r="AB35" s="4"/>
    </row>
    <row r="36" spans="1:28" x14ac:dyDescent="0.4">
      <c r="A36" s="4" t="s">
        <v>216</v>
      </c>
      <c r="B36" s="4">
        <v>785</v>
      </c>
      <c r="C36" s="4" t="s">
        <v>417</v>
      </c>
      <c r="D36" s="4" t="s">
        <v>762</v>
      </c>
      <c r="E36" s="4" t="s">
        <v>763</v>
      </c>
      <c r="F36" s="4">
        <v>13</v>
      </c>
      <c r="G36" s="4" t="s">
        <v>764</v>
      </c>
      <c r="H36" s="4" t="s">
        <v>765</v>
      </c>
      <c r="I36" s="4" t="s">
        <v>30</v>
      </c>
      <c r="J36" s="4" t="s">
        <v>766</v>
      </c>
      <c r="K36" s="4" t="s">
        <v>224</v>
      </c>
      <c r="L36" s="6" t="s">
        <v>767</v>
      </c>
      <c r="M36" s="4" t="s">
        <v>768</v>
      </c>
      <c r="N36" s="4" t="s">
        <v>769</v>
      </c>
      <c r="O36" s="4"/>
      <c r="P36" s="4" t="s">
        <v>770</v>
      </c>
      <c r="Q36" s="4" t="s">
        <v>771</v>
      </c>
      <c r="R36" s="4" t="s">
        <v>32</v>
      </c>
      <c r="S36" s="4" t="s">
        <v>231</v>
      </c>
      <c r="T36" s="7">
        <v>42450</v>
      </c>
      <c r="U36" s="4">
        <v>0</v>
      </c>
      <c r="V36" s="4">
        <v>0</v>
      </c>
      <c r="W36" s="4" t="s">
        <v>232</v>
      </c>
      <c r="X36" s="4" t="s">
        <v>293</v>
      </c>
      <c r="Y36" s="4" t="s">
        <v>233</v>
      </c>
      <c r="Z36" s="4" t="s">
        <v>234</v>
      </c>
      <c r="AA36" s="4" t="s">
        <v>234</v>
      </c>
      <c r="AB36" s="4"/>
    </row>
    <row r="37" spans="1:28" x14ac:dyDescent="0.4">
      <c r="A37" s="4" t="s">
        <v>216</v>
      </c>
      <c r="B37" s="4">
        <v>1708</v>
      </c>
      <c r="C37" s="4" t="s">
        <v>242</v>
      </c>
      <c r="D37" s="4" t="s">
        <v>837</v>
      </c>
      <c r="E37" s="4" t="s">
        <v>838</v>
      </c>
      <c r="F37" s="4" t="s">
        <v>839</v>
      </c>
      <c r="G37" s="4" t="s">
        <v>840</v>
      </c>
      <c r="H37" s="4" t="s">
        <v>841</v>
      </c>
      <c r="I37" s="4" t="s">
        <v>842</v>
      </c>
      <c r="J37" s="4" t="s">
        <v>843</v>
      </c>
      <c r="K37" s="4" t="s">
        <v>224</v>
      </c>
      <c r="L37" s="5" t="s">
        <v>844</v>
      </c>
      <c r="M37" s="4" t="s">
        <v>845</v>
      </c>
      <c r="N37" s="4" t="s">
        <v>846</v>
      </c>
      <c r="O37" s="4"/>
      <c r="P37" s="4" t="s">
        <v>847</v>
      </c>
      <c r="Q37" s="4" t="s">
        <v>848</v>
      </c>
      <c r="R37" s="4" t="s">
        <v>252</v>
      </c>
      <c r="S37" s="4" t="s">
        <v>231</v>
      </c>
      <c r="T37" s="7">
        <v>41543</v>
      </c>
      <c r="U37" s="4">
        <v>0</v>
      </c>
      <c r="V37" s="4">
        <v>0</v>
      </c>
      <c r="W37" s="4" t="s">
        <v>232</v>
      </c>
      <c r="X37" s="4" t="s">
        <v>464</v>
      </c>
      <c r="Y37" s="4" t="s">
        <v>233</v>
      </c>
      <c r="Z37" s="4" t="s">
        <v>234</v>
      </c>
      <c r="AA37" s="4" t="s">
        <v>234</v>
      </c>
      <c r="AB37" s="4"/>
    </row>
    <row r="38" spans="1:28" x14ac:dyDescent="0.4">
      <c r="A38" s="4" t="s">
        <v>216</v>
      </c>
      <c r="B38" s="4">
        <v>1708</v>
      </c>
      <c r="C38" s="4" t="s">
        <v>242</v>
      </c>
      <c r="D38" s="4" t="s">
        <v>837</v>
      </c>
      <c r="E38" s="4" t="s">
        <v>838</v>
      </c>
      <c r="F38" s="4" t="s">
        <v>839</v>
      </c>
      <c r="G38" s="4" t="s">
        <v>840</v>
      </c>
      <c r="H38" s="4" t="s">
        <v>841</v>
      </c>
      <c r="I38" s="4" t="s">
        <v>842</v>
      </c>
      <c r="J38" s="4" t="s">
        <v>843</v>
      </c>
      <c r="K38" s="4" t="s">
        <v>224</v>
      </c>
      <c r="L38" s="5" t="s">
        <v>844</v>
      </c>
      <c r="M38" s="4" t="s">
        <v>845</v>
      </c>
      <c r="N38" s="4" t="s">
        <v>846</v>
      </c>
      <c r="O38" s="4"/>
      <c r="P38" s="4" t="s">
        <v>847</v>
      </c>
      <c r="Q38" s="4" t="s">
        <v>848</v>
      </c>
      <c r="R38" s="4" t="s">
        <v>252</v>
      </c>
      <c r="S38" s="4" t="s">
        <v>231</v>
      </c>
      <c r="T38" s="7">
        <v>41543</v>
      </c>
      <c r="U38" s="4">
        <v>0</v>
      </c>
      <c r="V38" s="4">
        <v>0</v>
      </c>
      <c r="W38" s="4" t="s">
        <v>232</v>
      </c>
      <c r="X38" s="4" t="s">
        <v>464</v>
      </c>
      <c r="Y38" s="4" t="s">
        <v>233</v>
      </c>
      <c r="Z38" s="4" t="s">
        <v>234</v>
      </c>
      <c r="AA38" s="4" t="s">
        <v>234</v>
      </c>
      <c r="AB38" s="4"/>
    </row>
    <row r="39" spans="1:28" x14ac:dyDescent="0.4">
      <c r="A39" s="4" t="s">
        <v>216</v>
      </c>
      <c r="B39" s="4">
        <v>2017</v>
      </c>
      <c r="C39" s="4" t="s">
        <v>242</v>
      </c>
      <c r="D39" s="4" t="s">
        <v>394</v>
      </c>
      <c r="E39" s="4" t="s">
        <v>876</v>
      </c>
      <c r="F39" s="4" t="s">
        <v>877</v>
      </c>
      <c r="G39" s="4" t="s">
        <v>878</v>
      </c>
      <c r="H39" s="4" t="s">
        <v>879</v>
      </c>
      <c r="I39" s="4" t="s">
        <v>351</v>
      </c>
      <c r="J39" s="4" t="s">
        <v>880</v>
      </c>
      <c r="K39" s="4" t="s">
        <v>224</v>
      </c>
      <c r="L39" s="6" t="s">
        <v>881</v>
      </c>
      <c r="M39" s="4" t="s">
        <v>882</v>
      </c>
      <c r="N39" s="4" t="s">
        <v>883</v>
      </c>
      <c r="O39" s="4"/>
      <c r="P39" s="4" t="s">
        <v>884</v>
      </c>
      <c r="Q39" s="4" t="s">
        <v>885</v>
      </c>
      <c r="R39" s="4" t="s">
        <v>252</v>
      </c>
      <c r="S39" s="4" t="s">
        <v>231</v>
      </c>
      <c r="T39" s="7">
        <v>41656</v>
      </c>
      <c r="U39" s="4">
        <v>0</v>
      </c>
      <c r="V39" s="4">
        <v>0</v>
      </c>
      <c r="W39" s="4" t="s">
        <v>232</v>
      </c>
      <c r="X39" s="4"/>
      <c r="Y39" s="4" t="s">
        <v>233</v>
      </c>
      <c r="Z39" s="4" t="s">
        <v>234</v>
      </c>
      <c r="AA39" s="4" t="s">
        <v>234</v>
      </c>
      <c r="AB39" s="4"/>
    </row>
    <row r="40" spans="1:28" x14ac:dyDescent="0.4">
      <c r="A40" s="4" t="s">
        <v>216</v>
      </c>
      <c r="B40" s="4">
        <v>2017</v>
      </c>
      <c r="C40" s="4" t="s">
        <v>242</v>
      </c>
      <c r="D40" s="4" t="s">
        <v>394</v>
      </c>
      <c r="E40" s="4" t="s">
        <v>876</v>
      </c>
      <c r="F40" s="4" t="s">
        <v>877</v>
      </c>
      <c r="G40" s="4" t="s">
        <v>878</v>
      </c>
      <c r="H40" s="4" t="s">
        <v>879</v>
      </c>
      <c r="I40" s="4" t="s">
        <v>351</v>
      </c>
      <c r="J40" s="4" t="s">
        <v>880</v>
      </c>
      <c r="K40" s="4" t="s">
        <v>224</v>
      </c>
      <c r="L40" s="6" t="s">
        <v>881</v>
      </c>
      <c r="M40" s="4" t="s">
        <v>882</v>
      </c>
      <c r="N40" s="4" t="s">
        <v>883</v>
      </c>
      <c r="O40" s="4"/>
      <c r="P40" s="4" t="s">
        <v>884</v>
      </c>
      <c r="Q40" s="4" t="s">
        <v>885</v>
      </c>
      <c r="R40" s="4" t="s">
        <v>252</v>
      </c>
      <c r="S40" s="4" t="s">
        <v>231</v>
      </c>
      <c r="T40" s="7">
        <v>41656</v>
      </c>
      <c r="U40" s="4">
        <v>0</v>
      </c>
      <c r="V40" s="4">
        <v>0</v>
      </c>
      <c r="W40" s="4"/>
      <c r="X40" s="4"/>
      <c r="Y40" s="4" t="s">
        <v>233</v>
      </c>
      <c r="Z40" s="4" t="s">
        <v>234</v>
      </c>
      <c r="AA40" s="4" t="s">
        <v>234</v>
      </c>
      <c r="AB40" s="4"/>
    </row>
    <row r="41" spans="1:28" x14ac:dyDescent="0.4">
      <c r="A41" s="4" t="s">
        <v>216</v>
      </c>
      <c r="B41" s="4">
        <v>2017</v>
      </c>
      <c r="C41" s="4" t="s">
        <v>242</v>
      </c>
      <c r="D41" s="4" t="s">
        <v>394</v>
      </c>
      <c r="E41" s="4" t="s">
        <v>876</v>
      </c>
      <c r="F41" s="4" t="s">
        <v>877</v>
      </c>
      <c r="G41" s="4" t="s">
        <v>878</v>
      </c>
      <c r="H41" s="4" t="s">
        <v>879</v>
      </c>
      <c r="I41" s="4" t="s">
        <v>351</v>
      </c>
      <c r="J41" s="4" t="s">
        <v>880</v>
      </c>
      <c r="K41" s="4" t="s">
        <v>224</v>
      </c>
      <c r="L41" s="6" t="s">
        <v>881</v>
      </c>
      <c r="M41" s="4" t="s">
        <v>882</v>
      </c>
      <c r="N41" s="4" t="s">
        <v>883</v>
      </c>
      <c r="O41" s="4"/>
      <c r="P41" s="4" t="s">
        <v>886</v>
      </c>
      <c r="Q41" s="4" t="s">
        <v>887</v>
      </c>
      <c r="R41" s="4" t="s">
        <v>888</v>
      </c>
      <c r="S41" s="4" t="s">
        <v>231</v>
      </c>
      <c r="T41" s="7">
        <v>43274</v>
      </c>
      <c r="U41" s="4">
        <v>0</v>
      </c>
      <c r="V41" s="4">
        <v>0</v>
      </c>
      <c r="W41" s="4" t="s">
        <v>232</v>
      </c>
      <c r="X41" s="4"/>
      <c r="Y41" s="4" t="s">
        <v>233</v>
      </c>
      <c r="Z41" s="4" t="s">
        <v>234</v>
      </c>
      <c r="AA41" s="4" t="s">
        <v>234</v>
      </c>
      <c r="AB41" s="4"/>
    </row>
    <row r="42" spans="1:28" x14ac:dyDescent="0.4">
      <c r="A42" s="4" t="s">
        <v>216</v>
      </c>
      <c r="B42" s="4">
        <v>2017</v>
      </c>
      <c r="C42" s="4" t="s">
        <v>242</v>
      </c>
      <c r="D42" s="4" t="s">
        <v>394</v>
      </c>
      <c r="E42" s="4" t="s">
        <v>876</v>
      </c>
      <c r="F42" s="4" t="s">
        <v>877</v>
      </c>
      <c r="G42" s="4" t="s">
        <v>878</v>
      </c>
      <c r="H42" s="4" t="s">
        <v>879</v>
      </c>
      <c r="I42" s="4" t="s">
        <v>351</v>
      </c>
      <c r="J42" s="4" t="s">
        <v>880</v>
      </c>
      <c r="K42" s="4" t="s">
        <v>224</v>
      </c>
      <c r="L42" s="6" t="s">
        <v>881</v>
      </c>
      <c r="M42" s="4" t="s">
        <v>882</v>
      </c>
      <c r="N42" s="4" t="s">
        <v>883</v>
      </c>
      <c r="O42" s="4"/>
      <c r="P42" s="4" t="s">
        <v>886</v>
      </c>
      <c r="Q42" s="4" t="s">
        <v>887</v>
      </c>
      <c r="R42" s="4" t="s">
        <v>888</v>
      </c>
      <c r="S42" s="4" t="s">
        <v>231</v>
      </c>
      <c r="T42" s="7">
        <v>43274</v>
      </c>
      <c r="U42" s="4">
        <v>0</v>
      </c>
      <c r="V42" s="4">
        <v>0</v>
      </c>
      <c r="W42" s="4" t="s">
        <v>232</v>
      </c>
      <c r="X42" s="4"/>
      <c r="Y42" s="4" t="s">
        <v>233</v>
      </c>
      <c r="Z42" s="4" t="s">
        <v>234</v>
      </c>
      <c r="AA42" s="4" t="s">
        <v>234</v>
      </c>
      <c r="AB42" s="4"/>
    </row>
    <row r="43" spans="1:28" x14ac:dyDescent="0.4">
      <c r="A43" s="4" t="s">
        <v>216</v>
      </c>
      <c r="B43" s="4">
        <v>2017</v>
      </c>
      <c r="C43" s="4" t="s">
        <v>242</v>
      </c>
      <c r="D43" s="4" t="s">
        <v>394</v>
      </c>
      <c r="E43" s="4" t="s">
        <v>876</v>
      </c>
      <c r="F43" s="4" t="s">
        <v>877</v>
      </c>
      <c r="G43" s="4" t="s">
        <v>878</v>
      </c>
      <c r="H43" s="4" t="s">
        <v>879</v>
      </c>
      <c r="I43" s="4" t="s">
        <v>351</v>
      </c>
      <c r="J43" s="4" t="s">
        <v>880</v>
      </c>
      <c r="K43" s="4" t="s">
        <v>224</v>
      </c>
      <c r="L43" s="6" t="s">
        <v>881</v>
      </c>
      <c r="M43" s="4" t="s">
        <v>882</v>
      </c>
      <c r="N43" s="4" t="s">
        <v>883</v>
      </c>
      <c r="O43" s="4"/>
      <c r="P43" s="4" t="s">
        <v>889</v>
      </c>
      <c r="Q43" s="4" t="s">
        <v>890</v>
      </c>
      <c r="R43" s="4" t="s">
        <v>445</v>
      </c>
      <c r="S43" s="4" t="s">
        <v>231</v>
      </c>
      <c r="T43" s="7">
        <v>42279</v>
      </c>
      <c r="U43" s="4">
        <v>0</v>
      </c>
      <c r="V43" s="4">
        <v>0</v>
      </c>
      <c r="W43" s="4"/>
      <c r="X43" s="4"/>
      <c r="Y43" s="4" t="s">
        <v>233</v>
      </c>
      <c r="Z43" s="4" t="s">
        <v>234</v>
      </c>
      <c r="AA43" s="4" t="s">
        <v>234</v>
      </c>
      <c r="AB43" s="4"/>
    </row>
    <row r="44" spans="1:28" x14ac:dyDescent="0.4">
      <c r="A44" s="4" t="s">
        <v>216</v>
      </c>
      <c r="B44" s="4">
        <v>2017</v>
      </c>
      <c r="C44" s="4" t="s">
        <v>242</v>
      </c>
      <c r="D44" s="4" t="s">
        <v>394</v>
      </c>
      <c r="E44" s="4" t="s">
        <v>876</v>
      </c>
      <c r="F44" s="4" t="s">
        <v>877</v>
      </c>
      <c r="G44" s="4" t="s">
        <v>878</v>
      </c>
      <c r="H44" s="4" t="s">
        <v>879</v>
      </c>
      <c r="I44" s="4" t="s">
        <v>351</v>
      </c>
      <c r="J44" s="4" t="s">
        <v>880</v>
      </c>
      <c r="K44" s="4" t="s">
        <v>224</v>
      </c>
      <c r="L44" s="6" t="s">
        <v>881</v>
      </c>
      <c r="M44" s="4" t="s">
        <v>882</v>
      </c>
      <c r="N44" s="4" t="s">
        <v>883</v>
      </c>
      <c r="O44" s="4"/>
      <c r="P44" s="4" t="s">
        <v>889</v>
      </c>
      <c r="Q44" s="4" t="s">
        <v>890</v>
      </c>
      <c r="R44" s="4" t="s">
        <v>445</v>
      </c>
      <c r="S44" s="4" t="s">
        <v>231</v>
      </c>
      <c r="T44" s="7">
        <v>42279</v>
      </c>
      <c r="U44" s="4">
        <v>0</v>
      </c>
      <c r="V44" s="4">
        <v>0</v>
      </c>
      <c r="W44" s="4"/>
      <c r="X44" s="4"/>
      <c r="Y44" s="4" t="s">
        <v>233</v>
      </c>
      <c r="Z44" s="4" t="s">
        <v>234</v>
      </c>
      <c r="AA44" s="4" t="s">
        <v>234</v>
      </c>
      <c r="AB44" s="4"/>
    </row>
    <row r="45" spans="1:28" x14ac:dyDescent="0.4">
      <c r="A45" s="4" t="s">
        <v>216</v>
      </c>
      <c r="B45" s="4">
        <v>399</v>
      </c>
      <c r="C45" s="4" t="s">
        <v>895</v>
      </c>
      <c r="D45" s="4" t="s">
        <v>896</v>
      </c>
      <c r="E45" s="4" t="s">
        <v>897</v>
      </c>
      <c r="F45" s="4" t="s">
        <v>898</v>
      </c>
      <c r="G45" s="4"/>
      <c r="H45" s="4" t="s">
        <v>899</v>
      </c>
      <c r="I45" s="4" t="s">
        <v>900</v>
      </c>
      <c r="J45" s="4" t="s">
        <v>901</v>
      </c>
      <c r="K45" s="4" t="s">
        <v>224</v>
      </c>
      <c r="L45" s="5" t="s">
        <v>902</v>
      </c>
      <c r="M45" s="4" t="s">
        <v>903</v>
      </c>
      <c r="N45" s="4" t="s">
        <v>904</v>
      </c>
      <c r="O45" s="4"/>
      <c r="P45" s="4" t="s">
        <v>905</v>
      </c>
      <c r="Q45" s="4" t="s">
        <v>906</v>
      </c>
      <c r="R45" s="4" t="s">
        <v>252</v>
      </c>
      <c r="S45" s="4" t="s">
        <v>257</v>
      </c>
      <c r="T45" s="7">
        <v>45498</v>
      </c>
      <c r="U45" s="4">
        <v>0</v>
      </c>
      <c r="V45" s="4">
        <v>0</v>
      </c>
      <c r="W45" s="4" t="s">
        <v>232</v>
      </c>
      <c r="X45" s="4"/>
      <c r="Y45" s="4" t="s">
        <v>233</v>
      </c>
      <c r="Z45" s="4" t="s">
        <v>234</v>
      </c>
      <c r="AA45" s="4" t="s">
        <v>234</v>
      </c>
      <c r="AB45" s="4"/>
    </row>
    <row r="46" spans="1:28" x14ac:dyDescent="0.4">
      <c r="A46" s="4" t="s">
        <v>216</v>
      </c>
      <c r="B46" s="4">
        <v>2984</v>
      </c>
      <c r="C46" s="4" t="s">
        <v>242</v>
      </c>
      <c r="D46" s="4" t="s">
        <v>909</v>
      </c>
      <c r="E46" s="4" t="s">
        <v>910</v>
      </c>
      <c r="F46" s="4" t="s">
        <v>911</v>
      </c>
      <c r="G46" s="4" t="s">
        <v>912</v>
      </c>
      <c r="H46" s="4" t="s">
        <v>913</v>
      </c>
      <c r="I46" s="4" t="s">
        <v>154</v>
      </c>
      <c r="J46" s="4" t="s">
        <v>914</v>
      </c>
      <c r="K46" s="4" t="s">
        <v>224</v>
      </c>
      <c r="L46" s="6" t="s">
        <v>915</v>
      </c>
      <c r="M46" s="4" t="s">
        <v>916</v>
      </c>
      <c r="N46" s="4" t="s">
        <v>917</v>
      </c>
      <c r="O46" s="4"/>
      <c r="P46" s="4" t="s">
        <v>918</v>
      </c>
      <c r="Q46" s="4" t="s">
        <v>919</v>
      </c>
      <c r="R46" s="4" t="s">
        <v>920</v>
      </c>
      <c r="S46" s="4" t="s">
        <v>257</v>
      </c>
      <c r="T46" s="7">
        <v>45802</v>
      </c>
      <c r="U46" s="4">
        <v>0</v>
      </c>
      <c r="V46" s="4">
        <v>0</v>
      </c>
      <c r="W46" s="4" t="s">
        <v>232</v>
      </c>
      <c r="X46" s="4" t="s">
        <v>464</v>
      </c>
      <c r="Y46" s="4" t="s">
        <v>233</v>
      </c>
      <c r="Z46" s="4" t="s">
        <v>234</v>
      </c>
      <c r="AA46" s="4" t="s">
        <v>234</v>
      </c>
      <c r="AB46" s="4"/>
    </row>
    <row r="47" spans="1:28" x14ac:dyDescent="0.4">
      <c r="A47" s="4" t="s">
        <v>216</v>
      </c>
      <c r="B47" s="4">
        <v>2984</v>
      </c>
      <c r="C47" s="4" t="s">
        <v>242</v>
      </c>
      <c r="D47" s="4" t="s">
        <v>909</v>
      </c>
      <c r="E47" s="4" t="s">
        <v>910</v>
      </c>
      <c r="F47" s="4" t="s">
        <v>911</v>
      </c>
      <c r="G47" s="4" t="s">
        <v>912</v>
      </c>
      <c r="H47" s="4" t="s">
        <v>913</v>
      </c>
      <c r="I47" s="4" t="s">
        <v>154</v>
      </c>
      <c r="J47" s="4" t="s">
        <v>914</v>
      </c>
      <c r="K47" s="4" t="s">
        <v>224</v>
      </c>
      <c r="L47" s="6" t="s">
        <v>915</v>
      </c>
      <c r="M47" s="4" t="s">
        <v>916</v>
      </c>
      <c r="N47" s="4" t="s">
        <v>917</v>
      </c>
      <c r="O47" s="4"/>
      <c r="P47" s="4" t="s">
        <v>921</v>
      </c>
      <c r="Q47" s="4" t="s">
        <v>922</v>
      </c>
      <c r="R47" s="4" t="s">
        <v>923</v>
      </c>
      <c r="S47" s="4" t="s">
        <v>231</v>
      </c>
      <c r="T47" s="7">
        <v>42539</v>
      </c>
      <c r="U47" s="4">
        <v>0</v>
      </c>
      <c r="V47" s="4">
        <v>0</v>
      </c>
      <c r="W47" s="4" t="s">
        <v>232</v>
      </c>
      <c r="X47" s="4" t="s">
        <v>464</v>
      </c>
      <c r="Y47" s="4" t="s">
        <v>233</v>
      </c>
      <c r="Z47" s="4" t="s">
        <v>234</v>
      </c>
      <c r="AA47" s="4" t="s">
        <v>234</v>
      </c>
      <c r="AB47" s="4"/>
    </row>
    <row r="48" spans="1:28" x14ac:dyDescent="0.4">
      <c r="A48" s="4" t="s">
        <v>216</v>
      </c>
      <c r="B48" s="4">
        <v>2984</v>
      </c>
      <c r="C48" s="4" t="s">
        <v>242</v>
      </c>
      <c r="D48" s="4" t="s">
        <v>909</v>
      </c>
      <c r="E48" s="4" t="s">
        <v>910</v>
      </c>
      <c r="F48" s="4" t="s">
        <v>911</v>
      </c>
      <c r="G48" s="4" t="s">
        <v>912</v>
      </c>
      <c r="H48" s="4" t="s">
        <v>913</v>
      </c>
      <c r="I48" s="4" t="s">
        <v>154</v>
      </c>
      <c r="J48" s="4" t="s">
        <v>914</v>
      </c>
      <c r="K48" s="4" t="s">
        <v>224</v>
      </c>
      <c r="L48" s="6" t="s">
        <v>915</v>
      </c>
      <c r="M48" s="4" t="s">
        <v>916</v>
      </c>
      <c r="N48" s="4" t="s">
        <v>917</v>
      </c>
      <c r="O48" s="4"/>
      <c r="P48" s="4" t="s">
        <v>924</v>
      </c>
      <c r="Q48" s="4" t="s">
        <v>925</v>
      </c>
      <c r="R48" s="4" t="s">
        <v>923</v>
      </c>
      <c r="S48" s="4" t="s">
        <v>231</v>
      </c>
      <c r="T48" s="7">
        <v>41639</v>
      </c>
      <c r="U48" s="4">
        <v>0</v>
      </c>
      <c r="V48" s="4">
        <v>0</v>
      </c>
      <c r="W48" s="4" t="s">
        <v>232</v>
      </c>
      <c r="X48" s="4" t="s">
        <v>464</v>
      </c>
      <c r="Y48" s="4" t="s">
        <v>233</v>
      </c>
      <c r="Z48" s="4" t="s">
        <v>234</v>
      </c>
      <c r="AA48" s="4" t="s">
        <v>234</v>
      </c>
      <c r="AB48" s="4"/>
    </row>
    <row r="49" spans="1:28" x14ac:dyDescent="0.4">
      <c r="A49" s="4" t="s">
        <v>216</v>
      </c>
      <c r="B49" s="4">
        <v>2984</v>
      </c>
      <c r="C49" s="4" t="s">
        <v>242</v>
      </c>
      <c r="D49" s="4" t="s">
        <v>909</v>
      </c>
      <c r="E49" s="4" t="s">
        <v>910</v>
      </c>
      <c r="F49" s="4" t="s">
        <v>911</v>
      </c>
      <c r="G49" s="4" t="s">
        <v>912</v>
      </c>
      <c r="H49" s="4" t="s">
        <v>913</v>
      </c>
      <c r="I49" s="4" t="s">
        <v>154</v>
      </c>
      <c r="J49" s="4" t="s">
        <v>914</v>
      </c>
      <c r="K49" s="4" t="s">
        <v>224</v>
      </c>
      <c r="L49" s="6" t="s">
        <v>915</v>
      </c>
      <c r="M49" s="4" t="s">
        <v>916</v>
      </c>
      <c r="N49" s="4" t="s">
        <v>917</v>
      </c>
      <c r="O49" s="4"/>
      <c r="P49" s="4" t="s">
        <v>918</v>
      </c>
      <c r="Q49" s="4" t="s">
        <v>919</v>
      </c>
      <c r="R49" s="4" t="s">
        <v>920</v>
      </c>
      <c r="S49" s="4" t="s">
        <v>257</v>
      </c>
      <c r="T49" s="7">
        <v>45802</v>
      </c>
      <c r="U49" s="4">
        <v>0</v>
      </c>
      <c r="V49" s="4">
        <v>0</v>
      </c>
      <c r="W49" s="4" t="s">
        <v>232</v>
      </c>
      <c r="X49" s="4" t="s">
        <v>464</v>
      </c>
      <c r="Y49" s="4" t="s">
        <v>233</v>
      </c>
      <c r="Z49" s="4" t="s">
        <v>234</v>
      </c>
      <c r="AA49" s="4" t="s">
        <v>234</v>
      </c>
      <c r="AB49" s="4"/>
    </row>
    <row r="50" spans="1:28" x14ac:dyDescent="0.4">
      <c r="A50" s="4" t="s">
        <v>216</v>
      </c>
      <c r="B50" s="4">
        <v>2984</v>
      </c>
      <c r="C50" s="4" t="s">
        <v>242</v>
      </c>
      <c r="D50" s="4" t="s">
        <v>909</v>
      </c>
      <c r="E50" s="4" t="s">
        <v>910</v>
      </c>
      <c r="F50" s="4" t="s">
        <v>911</v>
      </c>
      <c r="G50" s="4" t="s">
        <v>912</v>
      </c>
      <c r="H50" s="4" t="s">
        <v>913</v>
      </c>
      <c r="I50" s="4" t="s">
        <v>154</v>
      </c>
      <c r="J50" s="4" t="s">
        <v>914</v>
      </c>
      <c r="K50" s="4" t="s">
        <v>224</v>
      </c>
      <c r="L50" s="6" t="s">
        <v>915</v>
      </c>
      <c r="M50" s="4" t="s">
        <v>916</v>
      </c>
      <c r="N50" s="4" t="s">
        <v>917</v>
      </c>
      <c r="O50" s="4"/>
      <c r="P50" s="4" t="s">
        <v>921</v>
      </c>
      <c r="Q50" s="4" t="s">
        <v>922</v>
      </c>
      <c r="R50" s="4" t="s">
        <v>923</v>
      </c>
      <c r="S50" s="4" t="s">
        <v>231</v>
      </c>
      <c r="T50" s="7">
        <v>42539</v>
      </c>
      <c r="U50" s="4">
        <v>0</v>
      </c>
      <c r="V50" s="4">
        <v>0</v>
      </c>
      <c r="W50" s="4" t="s">
        <v>232</v>
      </c>
      <c r="X50" s="4" t="s">
        <v>464</v>
      </c>
      <c r="Y50" s="4" t="s">
        <v>233</v>
      </c>
      <c r="Z50" s="4" t="s">
        <v>234</v>
      </c>
      <c r="AA50" s="4" t="s">
        <v>234</v>
      </c>
      <c r="AB50" s="4"/>
    </row>
    <row r="51" spans="1:28" x14ac:dyDescent="0.4">
      <c r="A51" s="4" t="s">
        <v>216</v>
      </c>
      <c r="B51" s="4">
        <v>2984</v>
      </c>
      <c r="C51" s="4" t="s">
        <v>242</v>
      </c>
      <c r="D51" s="4" t="s">
        <v>909</v>
      </c>
      <c r="E51" s="4" t="s">
        <v>910</v>
      </c>
      <c r="F51" s="4" t="s">
        <v>911</v>
      </c>
      <c r="G51" s="4" t="s">
        <v>912</v>
      </c>
      <c r="H51" s="4" t="s">
        <v>913</v>
      </c>
      <c r="I51" s="4" t="s">
        <v>154</v>
      </c>
      <c r="J51" s="4" t="s">
        <v>914</v>
      </c>
      <c r="K51" s="4" t="s">
        <v>224</v>
      </c>
      <c r="L51" s="6" t="s">
        <v>915</v>
      </c>
      <c r="M51" s="4" t="s">
        <v>916</v>
      </c>
      <c r="N51" s="4" t="s">
        <v>917</v>
      </c>
      <c r="O51" s="4"/>
      <c r="P51" s="4" t="s">
        <v>924</v>
      </c>
      <c r="Q51" s="4" t="s">
        <v>925</v>
      </c>
      <c r="R51" s="4" t="s">
        <v>923</v>
      </c>
      <c r="S51" s="4" t="s">
        <v>231</v>
      </c>
      <c r="T51" s="7">
        <v>41639</v>
      </c>
      <c r="U51" s="4">
        <v>0</v>
      </c>
      <c r="V51" s="4">
        <v>0</v>
      </c>
      <c r="W51" s="4" t="s">
        <v>232</v>
      </c>
      <c r="X51" s="4" t="s">
        <v>464</v>
      </c>
      <c r="Y51" s="4" t="s">
        <v>233</v>
      </c>
      <c r="Z51" s="4" t="s">
        <v>234</v>
      </c>
      <c r="AA51" s="4" t="s">
        <v>234</v>
      </c>
      <c r="AB51" s="4"/>
    </row>
    <row r="52" spans="1:28" x14ac:dyDescent="0.4">
      <c r="A52" s="4" t="s">
        <v>216</v>
      </c>
      <c r="B52" s="4">
        <v>460</v>
      </c>
      <c r="C52" s="4" t="s">
        <v>242</v>
      </c>
      <c r="D52" s="4" t="s">
        <v>952</v>
      </c>
      <c r="E52" s="4" t="s">
        <v>953</v>
      </c>
      <c r="F52" s="4" t="s">
        <v>954</v>
      </c>
      <c r="G52" s="4" t="s">
        <v>955</v>
      </c>
      <c r="H52" s="4" t="s">
        <v>956</v>
      </c>
      <c r="I52" s="4" t="s">
        <v>154</v>
      </c>
      <c r="J52" s="4" t="s">
        <v>957</v>
      </c>
      <c r="K52" s="4" t="s">
        <v>224</v>
      </c>
      <c r="L52" s="5" t="s">
        <v>958</v>
      </c>
      <c r="M52" s="4" t="s">
        <v>959</v>
      </c>
      <c r="N52" s="4" t="s">
        <v>960</v>
      </c>
      <c r="O52" s="4"/>
      <c r="P52" s="4" t="s">
        <v>961</v>
      </c>
      <c r="Q52" s="4" t="s">
        <v>962</v>
      </c>
      <c r="R52" s="4" t="s">
        <v>252</v>
      </c>
      <c r="S52" s="4" t="s">
        <v>257</v>
      </c>
      <c r="T52" s="7">
        <v>41095</v>
      </c>
      <c r="U52" s="4">
        <v>0</v>
      </c>
      <c r="V52" s="4">
        <v>0</v>
      </c>
      <c r="W52" s="4" t="s">
        <v>232</v>
      </c>
      <c r="X52" s="4"/>
      <c r="Y52" s="4" t="s">
        <v>233</v>
      </c>
      <c r="Z52" s="4" t="s">
        <v>234</v>
      </c>
      <c r="AA52" s="4" t="s">
        <v>234</v>
      </c>
      <c r="AB52" s="4" t="s">
        <v>963</v>
      </c>
    </row>
    <row r="53" spans="1:28" x14ac:dyDescent="0.4">
      <c r="A53" s="4" t="s">
        <v>216</v>
      </c>
      <c r="B53" s="4">
        <v>460</v>
      </c>
      <c r="C53" s="4" t="s">
        <v>242</v>
      </c>
      <c r="D53" s="4" t="s">
        <v>952</v>
      </c>
      <c r="E53" s="4" t="s">
        <v>953</v>
      </c>
      <c r="F53" s="4" t="s">
        <v>954</v>
      </c>
      <c r="G53" s="4" t="s">
        <v>955</v>
      </c>
      <c r="H53" s="4" t="s">
        <v>956</v>
      </c>
      <c r="I53" s="4" t="s">
        <v>154</v>
      </c>
      <c r="J53" s="4" t="s">
        <v>957</v>
      </c>
      <c r="K53" s="4" t="s">
        <v>224</v>
      </c>
      <c r="L53" s="5" t="s">
        <v>958</v>
      </c>
      <c r="M53" s="4" t="s">
        <v>959</v>
      </c>
      <c r="N53" s="4" t="s">
        <v>960</v>
      </c>
      <c r="O53" s="4"/>
      <c r="P53" s="4" t="s">
        <v>964</v>
      </c>
      <c r="Q53" s="4" t="s">
        <v>965</v>
      </c>
      <c r="R53" s="4" t="s">
        <v>252</v>
      </c>
      <c r="S53" s="4" t="s">
        <v>257</v>
      </c>
      <c r="T53" s="7">
        <v>42415</v>
      </c>
      <c r="U53" s="4">
        <v>0</v>
      </c>
      <c r="V53" s="4">
        <v>0</v>
      </c>
      <c r="W53" s="4" t="s">
        <v>232</v>
      </c>
      <c r="X53" s="4"/>
      <c r="Y53" s="4" t="s">
        <v>233</v>
      </c>
      <c r="Z53" s="4" t="s">
        <v>234</v>
      </c>
      <c r="AA53" s="4" t="s">
        <v>234</v>
      </c>
      <c r="AB53" s="4" t="s">
        <v>963</v>
      </c>
    </row>
    <row r="54" spans="1:28" x14ac:dyDescent="0.4">
      <c r="A54" s="4" t="s">
        <v>216</v>
      </c>
      <c r="B54" s="4">
        <v>2242</v>
      </c>
      <c r="C54" s="4" t="s">
        <v>315</v>
      </c>
      <c r="D54" s="4" t="s">
        <v>981</v>
      </c>
      <c r="E54" s="4" t="s">
        <v>982</v>
      </c>
      <c r="F54" s="4" t="s">
        <v>983</v>
      </c>
      <c r="G54" s="4"/>
      <c r="H54" s="4" t="s">
        <v>984</v>
      </c>
      <c r="I54" s="4" t="s">
        <v>985</v>
      </c>
      <c r="J54" s="4" t="s">
        <v>378</v>
      </c>
      <c r="K54" s="4" t="s">
        <v>224</v>
      </c>
      <c r="L54" s="6" t="s">
        <v>986</v>
      </c>
      <c r="M54" s="4" t="s">
        <v>987</v>
      </c>
      <c r="N54" s="4" t="s">
        <v>988</v>
      </c>
      <c r="O54" s="4"/>
      <c r="P54" s="4" t="s">
        <v>989</v>
      </c>
      <c r="Q54" s="4" t="s">
        <v>990</v>
      </c>
      <c r="R54" s="4" t="s">
        <v>450</v>
      </c>
      <c r="S54" s="4" t="s">
        <v>257</v>
      </c>
      <c r="T54" s="7">
        <v>42092</v>
      </c>
      <c r="U54" s="4">
        <v>0</v>
      </c>
      <c r="V54" s="4">
        <v>0</v>
      </c>
      <c r="W54" s="4" t="s">
        <v>232</v>
      </c>
      <c r="X54" s="4" t="s">
        <v>293</v>
      </c>
      <c r="Y54" s="4" t="s">
        <v>233</v>
      </c>
      <c r="Z54" s="4" t="s">
        <v>234</v>
      </c>
      <c r="AA54" s="4" t="s">
        <v>234</v>
      </c>
      <c r="AB54" s="4"/>
    </row>
    <row r="55" spans="1:28" x14ac:dyDescent="0.4">
      <c r="A55" s="4" t="s">
        <v>216</v>
      </c>
      <c r="B55" s="4">
        <v>2242</v>
      </c>
      <c r="C55" s="4" t="s">
        <v>315</v>
      </c>
      <c r="D55" s="4" t="s">
        <v>981</v>
      </c>
      <c r="E55" s="4" t="s">
        <v>982</v>
      </c>
      <c r="F55" s="4" t="s">
        <v>983</v>
      </c>
      <c r="G55" s="4"/>
      <c r="H55" s="4" t="s">
        <v>984</v>
      </c>
      <c r="I55" s="4" t="s">
        <v>985</v>
      </c>
      <c r="J55" s="4" t="s">
        <v>378</v>
      </c>
      <c r="K55" s="4" t="s">
        <v>224</v>
      </c>
      <c r="L55" s="6" t="s">
        <v>986</v>
      </c>
      <c r="M55" s="4" t="s">
        <v>987</v>
      </c>
      <c r="N55" s="4" t="s">
        <v>988</v>
      </c>
      <c r="O55" s="4"/>
      <c r="P55" s="4" t="s">
        <v>989</v>
      </c>
      <c r="Q55" s="4" t="s">
        <v>990</v>
      </c>
      <c r="R55" s="4" t="s">
        <v>450</v>
      </c>
      <c r="S55" s="4" t="s">
        <v>257</v>
      </c>
      <c r="T55" s="7">
        <v>42092</v>
      </c>
      <c r="U55" s="4">
        <v>0</v>
      </c>
      <c r="V55" s="4">
        <v>0</v>
      </c>
      <c r="W55" s="4" t="s">
        <v>232</v>
      </c>
      <c r="X55" s="4" t="s">
        <v>293</v>
      </c>
      <c r="Y55" s="4" t="s">
        <v>233</v>
      </c>
      <c r="Z55" s="4" t="s">
        <v>234</v>
      </c>
      <c r="AA55" s="4" t="s">
        <v>234</v>
      </c>
      <c r="AB55" s="4"/>
    </row>
    <row r="56" spans="1:28" x14ac:dyDescent="0.4">
      <c r="A56" s="4" t="s">
        <v>216</v>
      </c>
      <c r="B56" s="4">
        <v>2151</v>
      </c>
      <c r="C56" s="4" t="s">
        <v>217</v>
      </c>
      <c r="D56" s="4" t="s">
        <v>1025</v>
      </c>
      <c r="E56" s="4" t="s">
        <v>1026</v>
      </c>
      <c r="F56" s="4" t="s">
        <v>1027</v>
      </c>
      <c r="G56" s="4"/>
      <c r="H56" s="4" t="s">
        <v>1028</v>
      </c>
      <c r="I56" s="4" t="s">
        <v>154</v>
      </c>
      <c r="J56" s="4" t="s">
        <v>1029</v>
      </c>
      <c r="K56" s="4" t="s">
        <v>224</v>
      </c>
      <c r="L56" s="6" t="s">
        <v>1030</v>
      </c>
      <c r="M56" s="4" t="s">
        <v>1031</v>
      </c>
      <c r="N56" s="4" t="s">
        <v>1032</v>
      </c>
      <c r="O56" s="4"/>
      <c r="P56" s="4" t="s">
        <v>1033</v>
      </c>
      <c r="Q56" s="4" t="s">
        <v>1034</v>
      </c>
      <c r="R56" s="4" t="s">
        <v>252</v>
      </c>
      <c r="S56" s="4" t="s">
        <v>257</v>
      </c>
      <c r="T56" s="7">
        <v>41899</v>
      </c>
      <c r="U56" s="4">
        <v>0</v>
      </c>
      <c r="V56" s="4">
        <v>0</v>
      </c>
      <c r="W56" s="4" t="s">
        <v>232</v>
      </c>
      <c r="X56" s="4"/>
      <c r="Y56" s="4" t="s">
        <v>233</v>
      </c>
      <c r="Z56" s="4" t="s">
        <v>234</v>
      </c>
      <c r="AA56" s="4" t="s">
        <v>234</v>
      </c>
      <c r="AB56" s="4"/>
    </row>
    <row r="57" spans="1:28" x14ac:dyDescent="0.4">
      <c r="A57" s="4" t="s">
        <v>216</v>
      </c>
      <c r="B57" s="4">
        <v>2151</v>
      </c>
      <c r="C57" s="4" t="s">
        <v>217</v>
      </c>
      <c r="D57" s="4" t="s">
        <v>1025</v>
      </c>
      <c r="E57" s="4" t="s">
        <v>1026</v>
      </c>
      <c r="F57" s="4" t="s">
        <v>1027</v>
      </c>
      <c r="G57" s="4"/>
      <c r="H57" s="4" t="s">
        <v>1028</v>
      </c>
      <c r="I57" s="4" t="s">
        <v>154</v>
      </c>
      <c r="J57" s="4" t="s">
        <v>1029</v>
      </c>
      <c r="K57" s="4" t="s">
        <v>224</v>
      </c>
      <c r="L57" s="6" t="s">
        <v>1030</v>
      </c>
      <c r="M57" s="4" t="s">
        <v>1031</v>
      </c>
      <c r="N57" s="4" t="s">
        <v>1032</v>
      </c>
      <c r="O57" s="4"/>
      <c r="P57" s="4" t="s">
        <v>1033</v>
      </c>
      <c r="Q57" s="4" t="s">
        <v>1034</v>
      </c>
      <c r="R57" s="4" t="s">
        <v>252</v>
      </c>
      <c r="S57" s="4" t="s">
        <v>257</v>
      </c>
      <c r="T57" s="7">
        <v>41899</v>
      </c>
      <c r="U57" s="4">
        <v>0</v>
      </c>
      <c r="V57" s="4">
        <v>0</v>
      </c>
      <c r="W57" s="4" t="s">
        <v>232</v>
      </c>
      <c r="X57" s="4"/>
      <c r="Y57" s="4" t="s">
        <v>233</v>
      </c>
      <c r="Z57" s="4" t="s">
        <v>234</v>
      </c>
      <c r="AA57" s="4" t="s">
        <v>234</v>
      </c>
      <c r="AB57" s="4"/>
    </row>
    <row r="58" spans="1:28" x14ac:dyDescent="0.4">
      <c r="A58" s="4" t="s">
        <v>216</v>
      </c>
      <c r="B58" s="4">
        <v>2151</v>
      </c>
      <c r="C58" s="4" t="s">
        <v>217</v>
      </c>
      <c r="D58" s="4" t="s">
        <v>1025</v>
      </c>
      <c r="E58" s="4" t="s">
        <v>1026</v>
      </c>
      <c r="F58" s="4" t="s">
        <v>1027</v>
      </c>
      <c r="G58" s="4"/>
      <c r="H58" s="4" t="s">
        <v>1028</v>
      </c>
      <c r="I58" s="4" t="s">
        <v>154</v>
      </c>
      <c r="J58" s="4" t="s">
        <v>1029</v>
      </c>
      <c r="K58" s="4" t="s">
        <v>224</v>
      </c>
      <c r="L58" s="6" t="s">
        <v>1030</v>
      </c>
      <c r="M58" s="4" t="s">
        <v>1031</v>
      </c>
      <c r="N58" s="4" t="s">
        <v>1032</v>
      </c>
      <c r="O58" s="4"/>
      <c r="P58" s="4" t="s">
        <v>1035</v>
      </c>
      <c r="Q58" s="4" t="s">
        <v>1036</v>
      </c>
      <c r="R58" s="4" t="s">
        <v>252</v>
      </c>
      <c r="S58" s="4" t="s">
        <v>257</v>
      </c>
      <c r="T58" s="7">
        <v>43490</v>
      </c>
      <c r="U58" s="4">
        <v>0</v>
      </c>
      <c r="V58" s="4">
        <v>0</v>
      </c>
      <c r="W58" s="4" t="s">
        <v>232</v>
      </c>
      <c r="X58" s="4"/>
      <c r="Y58" s="4" t="s">
        <v>233</v>
      </c>
      <c r="Z58" s="4" t="s">
        <v>234</v>
      </c>
      <c r="AA58" s="4" t="s">
        <v>234</v>
      </c>
      <c r="AB58" s="4"/>
    </row>
    <row r="59" spans="1:28" x14ac:dyDescent="0.4">
      <c r="A59" s="4" t="s">
        <v>216</v>
      </c>
      <c r="B59" s="4">
        <v>2151</v>
      </c>
      <c r="C59" s="4" t="s">
        <v>217</v>
      </c>
      <c r="D59" s="4" t="s">
        <v>1025</v>
      </c>
      <c r="E59" s="4" t="s">
        <v>1026</v>
      </c>
      <c r="F59" s="4" t="s">
        <v>1027</v>
      </c>
      <c r="G59" s="4"/>
      <c r="H59" s="4" t="s">
        <v>1028</v>
      </c>
      <c r="I59" s="4" t="s">
        <v>154</v>
      </c>
      <c r="J59" s="4" t="s">
        <v>1029</v>
      </c>
      <c r="K59" s="4" t="s">
        <v>224</v>
      </c>
      <c r="L59" s="6" t="s">
        <v>1030</v>
      </c>
      <c r="M59" s="4" t="s">
        <v>1031</v>
      </c>
      <c r="N59" s="4" t="s">
        <v>1032</v>
      </c>
      <c r="O59" s="4"/>
      <c r="P59" s="4" t="s">
        <v>1035</v>
      </c>
      <c r="Q59" s="4" t="s">
        <v>1036</v>
      </c>
      <c r="R59" s="4" t="s">
        <v>252</v>
      </c>
      <c r="S59" s="4" t="s">
        <v>257</v>
      </c>
      <c r="T59" s="7">
        <v>43490</v>
      </c>
      <c r="U59" s="4">
        <v>0</v>
      </c>
      <c r="V59" s="4">
        <v>0</v>
      </c>
      <c r="W59" s="4" t="s">
        <v>232</v>
      </c>
      <c r="X59" s="4"/>
      <c r="Y59" s="4" t="s">
        <v>233</v>
      </c>
      <c r="Z59" s="4" t="s">
        <v>234</v>
      </c>
      <c r="AA59" s="4" t="s">
        <v>234</v>
      </c>
      <c r="AB59" s="4"/>
    </row>
    <row r="60" spans="1:28" x14ac:dyDescent="0.4">
      <c r="A60" s="4" t="s">
        <v>216</v>
      </c>
      <c r="B60" s="4">
        <v>1375</v>
      </c>
      <c r="C60" s="4" t="s">
        <v>315</v>
      </c>
      <c r="D60" s="4" t="s">
        <v>1103</v>
      </c>
      <c r="E60" s="4" t="s">
        <v>1104</v>
      </c>
      <c r="F60" s="4" t="s">
        <v>1105</v>
      </c>
      <c r="G60" s="4" t="s">
        <v>1106</v>
      </c>
      <c r="H60" s="4" t="s">
        <v>556</v>
      </c>
      <c r="I60" s="4" t="s">
        <v>1107</v>
      </c>
      <c r="J60" s="4" t="s">
        <v>1108</v>
      </c>
      <c r="K60" s="4" t="s">
        <v>224</v>
      </c>
      <c r="L60" s="6" t="s">
        <v>1109</v>
      </c>
      <c r="M60" s="4" t="s">
        <v>1110</v>
      </c>
      <c r="N60" s="4" t="s">
        <v>1111</v>
      </c>
      <c r="O60" s="4"/>
      <c r="P60" s="4" t="s">
        <v>1117</v>
      </c>
      <c r="Q60" s="4" t="s">
        <v>1118</v>
      </c>
      <c r="R60" s="4" t="s">
        <v>309</v>
      </c>
      <c r="S60" s="4" t="s">
        <v>231</v>
      </c>
      <c r="T60" s="7">
        <v>45775</v>
      </c>
      <c r="U60" s="4">
        <v>0</v>
      </c>
      <c r="V60" s="4">
        <v>0</v>
      </c>
      <c r="W60" s="4" t="s">
        <v>232</v>
      </c>
      <c r="X60" s="4"/>
      <c r="Y60" s="4" t="s">
        <v>233</v>
      </c>
      <c r="Z60" s="4" t="s">
        <v>234</v>
      </c>
      <c r="AA60" s="4" t="s">
        <v>234</v>
      </c>
      <c r="AB60" s="4"/>
    </row>
    <row r="61" spans="1:28" x14ac:dyDescent="0.4">
      <c r="A61" s="4" t="s">
        <v>216</v>
      </c>
      <c r="B61" s="4">
        <v>1375</v>
      </c>
      <c r="C61" s="4" t="s">
        <v>315</v>
      </c>
      <c r="D61" s="4" t="s">
        <v>1103</v>
      </c>
      <c r="E61" s="4" t="s">
        <v>1104</v>
      </c>
      <c r="F61" s="4" t="s">
        <v>1105</v>
      </c>
      <c r="G61" s="4" t="s">
        <v>1106</v>
      </c>
      <c r="H61" s="4" t="s">
        <v>556</v>
      </c>
      <c r="I61" s="4" t="s">
        <v>1107</v>
      </c>
      <c r="J61" s="4" t="s">
        <v>1108</v>
      </c>
      <c r="K61" s="4" t="s">
        <v>224</v>
      </c>
      <c r="L61" s="6" t="s">
        <v>1109</v>
      </c>
      <c r="M61" s="4" t="s">
        <v>1110</v>
      </c>
      <c r="N61" s="4" t="s">
        <v>1111</v>
      </c>
      <c r="O61" s="4"/>
      <c r="P61" s="4" t="s">
        <v>1119</v>
      </c>
      <c r="Q61" s="4" t="s">
        <v>1120</v>
      </c>
      <c r="R61" s="4" t="s">
        <v>1114</v>
      </c>
      <c r="S61" s="4" t="s">
        <v>257</v>
      </c>
      <c r="T61" s="7">
        <v>42314</v>
      </c>
      <c r="U61" s="4">
        <v>0</v>
      </c>
      <c r="V61" s="4">
        <v>0</v>
      </c>
      <c r="W61" s="4" t="s">
        <v>232</v>
      </c>
      <c r="X61" s="4"/>
      <c r="Y61" s="4" t="s">
        <v>233</v>
      </c>
      <c r="Z61" s="4" t="s">
        <v>234</v>
      </c>
      <c r="AA61" s="4" t="s">
        <v>234</v>
      </c>
      <c r="AB61" s="4"/>
    </row>
    <row r="62" spans="1:28" x14ac:dyDescent="0.4">
      <c r="A62" s="4" t="s">
        <v>216</v>
      </c>
      <c r="B62" s="4">
        <v>1375</v>
      </c>
      <c r="C62" s="4" t="s">
        <v>315</v>
      </c>
      <c r="D62" s="4" t="s">
        <v>1103</v>
      </c>
      <c r="E62" s="4" t="s">
        <v>1104</v>
      </c>
      <c r="F62" s="4" t="s">
        <v>1105</v>
      </c>
      <c r="G62" s="4" t="s">
        <v>1106</v>
      </c>
      <c r="H62" s="4" t="s">
        <v>556</v>
      </c>
      <c r="I62" s="4" t="s">
        <v>1107</v>
      </c>
      <c r="J62" s="4" t="s">
        <v>1108</v>
      </c>
      <c r="K62" s="4" t="s">
        <v>224</v>
      </c>
      <c r="L62" s="6" t="s">
        <v>1109</v>
      </c>
      <c r="M62" s="4" t="s">
        <v>1110</v>
      </c>
      <c r="N62" s="4" t="s">
        <v>1111</v>
      </c>
      <c r="O62" s="4"/>
      <c r="P62" s="4" t="s">
        <v>1115</v>
      </c>
      <c r="Q62" s="4" t="s">
        <v>1116</v>
      </c>
      <c r="R62" s="4" t="s">
        <v>652</v>
      </c>
      <c r="S62" s="4" t="s">
        <v>231</v>
      </c>
      <c r="T62" s="7">
        <v>44988</v>
      </c>
      <c r="U62" s="4">
        <v>0</v>
      </c>
      <c r="V62" s="4">
        <v>0</v>
      </c>
      <c r="W62" s="4" t="s">
        <v>232</v>
      </c>
      <c r="X62" s="4"/>
      <c r="Y62" s="4" t="s">
        <v>233</v>
      </c>
      <c r="Z62" s="4" t="s">
        <v>234</v>
      </c>
      <c r="AA62" s="4" t="s">
        <v>234</v>
      </c>
      <c r="AB62" s="4"/>
    </row>
    <row r="63" spans="1:28" x14ac:dyDescent="0.4">
      <c r="A63" s="4" t="s">
        <v>216</v>
      </c>
      <c r="B63" s="4">
        <v>1375</v>
      </c>
      <c r="C63" s="4" t="s">
        <v>315</v>
      </c>
      <c r="D63" s="4" t="s">
        <v>1103</v>
      </c>
      <c r="E63" s="4" t="s">
        <v>1104</v>
      </c>
      <c r="F63" s="4" t="s">
        <v>1105</v>
      </c>
      <c r="G63" s="4" t="s">
        <v>1106</v>
      </c>
      <c r="H63" s="4" t="s">
        <v>556</v>
      </c>
      <c r="I63" s="4" t="s">
        <v>1107</v>
      </c>
      <c r="J63" s="4" t="s">
        <v>1108</v>
      </c>
      <c r="K63" s="4" t="s">
        <v>224</v>
      </c>
      <c r="L63" s="6" t="s">
        <v>1109</v>
      </c>
      <c r="M63" s="4" t="s">
        <v>1110</v>
      </c>
      <c r="N63" s="4" t="s">
        <v>1111</v>
      </c>
      <c r="O63" s="4"/>
      <c r="P63" s="4" t="s">
        <v>1117</v>
      </c>
      <c r="Q63" s="4" t="s">
        <v>1118</v>
      </c>
      <c r="R63" s="4" t="s">
        <v>309</v>
      </c>
      <c r="S63" s="4" t="s">
        <v>231</v>
      </c>
      <c r="T63" s="7">
        <v>45775</v>
      </c>
      <c r="U63" s="4">
        <v>0</v>
      </c>
      <c r="V63" s="4">
        <v>0</v>
      </c>
      <c r="W63" s="4" t="s">
        <v>232</v>
      </c>
      <c r="X63" s="4"/>
      <c r="Y63" s="4" t="s">
        <v>233</v>
      </c>
      <c r="Z63" s="4" t="s">
        <v>234</v>
      </c>
      <c r="AA63" s="4" t="s">
        <v>234</v>
      </c>
      <c r="AB63" s="4"/>
    </row>
    <row r="64" spans="1:28" x14ac:dyDescent="0.4">
      <c r="A64" s="4" t="s">
        <v>216</v>
      </c>
      <c r="B64" s="4">
        <v>1375</v>
      </c>
      <c r="C64" s="4" t="s">
        <v>315</v>
      </c>
      <c r="D64" s="4" t="s">
        <v>1103</v>
      </c>
      <c r="E64" s="4" t="s">
        <v>1104</v>
      </c>
      <c r="F64" s="4" t="s">
        <v>1105</v>
      </c>
      <c r="G64" s="4" t="s">
        <v>1106</v>
      </c>
      <c r="H64" s="4" t="s">
        <v>556</v>
      </c>
      <c r="I64" s="4" t="s">
        <v>1107</v>
      </c>
      <c r="J64" s="4" t="s">
        <v>1108</v>
      </c>
      <c r="K64" s="4" t="s">
        <v>224</v>
      </c>
      <c r="L64" s="6" t="s">
        <v>1109</v>
      </c>
      <c r="M64" s="4" t="s">
        <v>1110</v>
      </c>
      <c r="N64" s="4" t="s">
        <v>1111</v>
      </c>
      <c r="O64" s="4"/>
      <c r="P64" s="4" t="s">
        <v>1119</v>
      </c>
      <c r="Q64" s="4" t="s">
        <v>1120</v>
      </c>
      <c r="R64" s="4" t="s">
        <v>1114</v>
      </c>
      <c r="S64" s="4" t="s">
        <v>257</v>
      </c>
      <c r="T64" s="7">
        <v>42314</v>
      </c>
      <c r="U64" s="4">
        <v>0</v>
      </c>
      <c r="V64" s="4">
        <v>0</v>
      </c>
      <c r="W64" s="4" t="s">
        <v>232</v>
      </c>
      <c r="X64" s="4"/>
      <c r="Y64" s="4" t="s">
        <v>233</v>
      </c>
      <c r="Z64" s="4" t="s">
        <v>234</v>
      </c>
      <c r="AA64" s="4" t="s">
        <v>234</v>
      </c>
      <c r="AB64" s="4"/>
    </row>
    <row r="65" spans="1:28" x14ac:dyDescent="0.4">
      <c r="A65" s="4" t="s">
        <v>216</v>
      </c>
      <c r="B65" s="4">
        <v>5956</v>
      </c>
      <c r="C65" s="4" t="s">
        <v>242</v>
      </c>
      <c r="D65" s="4" t="s">
        <v>1122</v>
      </c>
      <c r="E65" s="4" t="s">
        <v>1123</v>
      </c>
      <c r="F65" s="4" t="s">
        <v>1124</v>
      </c>
      <c r="G65" s="4" t="s">
        <v>1125</v>
      </c>
      <c r="H65" s="4" t="s">
        <v>245</v>
      </c>
      <c r="I65" s="4" t="s">
        <v>154</v>
      </c>
      <c r="J65" s="4" t="s">
        <v>1126</v>
      </c>
      <c r="K65" s="4" t="s">
        <v>224</v>
      </c>
      <c r="L65" s="6" t="s">
        <v>1127</v>
      </c>
      <c r="M65" s="4" t="s">
        <v>1128</v>
      </c>
      <c r="N65" s="4" t="s">
        <v>1129</v>
      </c>
      <c r="O65" s="4"/>
      <c r="P65" s="4" t="s">
        <v>1131</v>
      </c>
      <c r="Q65" s="4" t="s">
        <v>1132</v>
      </c>
      <c r="R65" s="4" t="s">
        <v>256</v>
      </c>
      <c r="S65" s="4" t="s">
        <v>257</v>
      </c>
      <c r="T65" s="7">
        <v>41961</v>
      </c>
      <c r="U65" s="4">
        <v>0</v>
      </c>
      <c r="V65" s="4">
        <v>0</v>
      </c>
      <c r="W65" s="4" t="s">
        <v>232</v>
      </c>
      <c r="X65" s="4"/>
      <c r="Y65" s="4" t="s">
        <v>233</v>
      </c>
      <c r="Z65" s="4" t="s">
        <v>234</v>
      </c>
      <c r="AA65" s="4" t="s">
        <v>234</v>
      </c>
      <c r="AB65" s="4"/>
    </row>
    <row r="66" spans="1:28" x14ac:dyDescent="0.4">
      <c r="A66" s="4" t="s">
        <v>216</v>
      </c>
      <c r="B66" s="4">
        <v>818</v>
      </c>
      <c r="C66" s="4" t="s">
        <v>217</v>
      </c>
      <c r="D66" s="4" t="s">
        <v>584</v>
      </c>
      <c r="E66" s="4" t="s">
        <v>1133</v>
      </c>
      <c r="F66" s="4" t="s">
        <v>1134</v>
      </c>
      <c r="G66" s="4" t="s">
        <v>1135</v>
      </c>
      <c r="H66" s="4" t="s">
        <v>1136</v>
      </c>
      <c r="I66" s="4" t="s">
        <v>1137</v>
      </c>
      <c r="J66" s="4" t="s">
        <v>1138</v>
      </c>
      <c r="K66" s="4" t="s">
        <v>224</v>
      </c>
      <c r="L66" s="6" t="s">
        <v>1139</v>
      </c>
      <c r="M66" s="4" t="s">
        <v>1140</v>
      </c>
      <c r="N66" s="4" t="s">
        <v>1141</v>
      </c>
      <c r="O66" s="4"/>
      <c r="P66" s="4" t="s">
        <v>1142</v>
      </c>
      <c r="Q66" s="4" t="s">
        <v>1143</v>
      </c>
      <c r="R66" s="4" t="s">
        <v>1144</v>
      </c>
      <c r="S66" s="4" t="s">
        <v>257</v>
      </c>
      <c r="T66" s="7">
        <v>43678</v>
      </c>
      <c r="U66" s="4">
        <v>0</v>
      </c>
      <c r="V66" s="4">
        <v>0</v>
      </c>
      <c r="W66" s="4" t="s">
        <v>232</v>
      </c>
      <c r="X66" s="4" t="s">
        <v>293</v>
      </c>
      <c r="Y66" s="4" t="s">
        <v>233</v>
      </c>
      <c r="Z66" s="4" t="s">
        <v>234</v>
      </c>
      <c r="AA66" s="4" t="s">
        <v>234</v>
      </c>
      <c r="AB66" s="4"/>
    </row>
    <row r="67" spans="1:28" x14ac:dyDescent="0.4">
      <c r="A67" s="4" t="s">
        <v>216</v>
      </c>
      <c r="B67" s="4">
        <v>818</v>
      </c>
      <c r="C67" s="4" t="s">
        <v>217</v>
      </c>
      <c r="D67" s="4" t="s">
        <v>584</v>
      </c>
      <c r="E67" s="4" t="s">
        <v>1133</v>
      </c>
      <c r="F67" s="4" t="s">
        <v>1134</v>
      </c>
      <c r="G67" s="4" t="s">
        <v>1135</v>
      </c>
      <c r="H67" s="4" t="s">
        <v>1136</v>
      </c>
      <c r="I67" s="4" t="s">
        <v>1137</v>
      </c>
      <c r="J67" s="4" t="s">
        <v>1138</v>
      </c>
      <c r="K67" s="4" t="s">
        <v>224</v>
      </c>
      <c r="L67" s="6" t="s">
        <v>1139</v>
      </c>
      <c r="M67" s="4" t="s">
        <v>1140</v>
      </c>
      <c r="N67" s="4" t="s">
        <v>1141</v>
      </c>
      <c r="O67" s="4"/>
      <c r="P67" s="4" t="s">
        <v>1142</v>
      </c>
      <c r="Q67" s="4" t="s">
        <v>1143</v>
      </c>
      <c r="R67" s="4" t="s">
        <v>1144</v>
      </c>
      <c r="S67" s="4" t="s">
        <v>257</v>
      </c>
      <c r="T67" s="7">
        <v>43678</v>
      </c>
      <c r="U67" s="4">
        <v>0</v>
      </c>
      <c r="V67" s="4">
        <v>0</v>
      </c>
      <c r="W67" s="4" t="s">
        <v>232</v>
      </c>
      <c r="X67" s="4" t="s">
        <v>293</v>
      </c>
      <c r="Y67" s="4" t="s">
        <v>233</v>
      </c>
      <c r="Z67" s="4" t="s">
        <v>234</v>
      </c>
      <c r="AA67" s="4" t="s">
        <v>234</v>
      </c>
      <c r="AB67" s="4"/>
    </row>
    <row r="68" spans="1:28" x14ac:dyDescent="0.4">
      <c r="A68" s="4" t="s">
        <v>216</v>
      </c>
      <c r="B68" s="4">
        <v>764</v>
      </c>
      <c r="C68" s="4" t="s">
        <v>242</v>
      </c>
      <c r="D68" s="4" t="s">
        <v>1149</v>
      </c>
      <c r="E68" s="4" t="s">
        <v>1150</v>
      </c>
      <c r="F68" s="4" t="s">
        <v>1151</v>
      </c>
      <c r="G68" s="4" t="s">
        <v>1152</v>
      </c>
      <c r="H68" s="4" t="s">
        <v>1153</v>
      </c>
      <c r="I68" s="4" t="s">
        <v>1154</v>
      </c>
      <c r="J68" s="4" t="s">
        <v>1155</v>
      </c>
      <c r="K68" s="4" t="s">
        <v>224</v>
      </c>
      <c r="L68" s="6" t="s">
        <v>1156</v>
      </c>
      <c r="M68" s="4" t="s">
        <v>1157</v>
      </c>
      <c r="N68" s="4" t="s">
        <v>1158</v>
      </c>
      <c r="O68" s="4"/>
      <c r="P68" s="4" t="s">
        <v>1159</v>
      </c>
      <c r="Q68" s="4" t="s">
        <v>1160</v>
      </c>
      <c r="R68" s="4" t="s">
        <v>1161</v>
      </c>
      <c r="S68" s="4" t="s">
        <v>231</v>
      </c>
      <c r="T68" s="7">
        <v>43622</v>
      </c>
      <c r="U68" s="4">
        <v>0</v>
      </c>
      <c r="V68" s="4">
        <v>0</v>
      </c>
      <c r="W68" s="4" t="s">
        <v>232</v>
      </c>
      <c r="X68" s="4" t="s">
        <v>293</v>
      </c>
      <c r="Y68" s="4" t="s">
        <v>233</v>
      </c>
      <c r="Z68" s="4" t="s">
        <v>234</v>
      </c>
      <c r="AA68" s="4" t="s">
        <v>234</v>
      </c>
      <c r="AB68" s="4"/>
    </row>
    <row r="69" spans="1:28" x14ac:dyDescent="0.4">
      <c r="A69" s="4" t="s">
        <v>216</v>
      </c>
      <c r="B69" s="4">
        <v>764</v>
      </c>
      <c r="C69" s="4" t="s">
        <v>242</v>
      </c>
      <c r="D69" s="4" t="s">
        <v>1149</v>
      </c>
      <c r="E69" s="4" t="s">
        <v>1150</v>
      </c>
      <c r="F69" s="4" t="s">
        <v>1151</v>
      </c>
      <c r="G69" s="4" t="s">
        <v>1152</v>
      </c>
      <c r="H69" s="4" t="s">
        <v>1153</v>
      </c>
      <c r="I69" s="4" t="s">
        <v>1154</v>
      </c>
      <c r="J69" s="4" t="s">
        <v>1155</v>
      </c>
      <c r="K69" s="4" t="s">
        <v>224</v>
      </c>
      <c r="L69" s="6" t="s">
        <v>1156</v>
      </c>
      <c r="M69" s="4" t="s">
        <v>1157</v>
      </c>
      <c r="N69" s="4" t="s">
        <v>1158</v>
      </c>
      <c r="O69" s="4"/>
      <c r="P69" s="4" t="s">
        <v>1162</v>
      </c>
      <c r="Q69" s="4" t="s">
        <v>1163</v>
      </c>
      <c r="R69" s="4" t="s">
        <v>1164</v>
      </c>
      <c r="S69" s="4" t="s">
        <v>257</v>
      </c>
      <c r="T69" s="7">
        <v>42524</v>
      </c>
      <c r="U69" s="4">
        <v>0</v>
      </c>
      <c r="V69" s="4">
        <v>0</v>
      </c>
      <c r="W69" s="4" t="s">
        <v>232</v>
      </c>
      <c r="X69" s="4" t="s">
        <v>293</v>
      </c>
      <c r="Y69" s="4" t="s">
        <v>233</v>
      </c>
      <c r="Z69" s="4" t="s">
        <v>234</v>
      </c>
      <c r="AA69" s="4" t="s">
        <v>234</v>
      </c>
      <c r="AB69" s="4"/>
    </row>
    <row r="70" spans="1:28" x14ac:dyDescent="0.4">
      <c r="A70" s="4" t="s">
        <v>216</v>
      </c>
      <c r="B70" s="4">
        <v>764</v>
      </c>
      <c r="C70" s="4" t="s">
        <v>242</v>
      </c>
      <c r="D70" s="4" t="s">
        <v>1149</v>
      </c>
      <c r="E70" s="4" t="s">
        <v>1150</v>
      </c>
      <c r="F70" s="4" t="s">
        <v>1151</v>
      </c>
      <c r="G70" s="4" t="s">
        <v>1152</v>
      </c>
      <c r="H70" s="4" t="s">
        <v>1153</v>
      </c>
      <c r="I70" s="4" t="s">
        <v>1154</v>
      </c>
      <c r="J70" s="4" t="s">
        <v>1155</v>
      </c>
      <c r="K70" s="4" t="s">
        <v>224</v>
      </c>
      <c r="L70" s="6" t="s">
        <v>1156</v>
      </c>
      <c r="M70" s="4" t="s">
        <v>1157</v>
      </c>
      <c r="N70" s="4" t="s">
        <v>1158</v>
      </c>
      <c r="O70" s="4"/>
      <c r="P70" s="4" t="s">
        <v>1159</v>
      </c>
      <c r="Q70" s="4" t="s">
        <v>1160</v>
      </c>
      <c r="R70" s="4" t="s">
        <v>1161</v>
      </c>
      <c r="S70" s="4" t="s">
        <v>231</v>
      </c>
      <c r="T70" s="7">
        <v>43622</v>
      </c>
      <c r="U70" s="4">
        <v>0</v>
      </c>
      <c r="V70" s="4">
        <v>0</v>
      </c>
      <c r="W70" s="4" t="s">
        <v>232</v>
      </c>
      <c r="X70" s="4" t="s">
        <v>293</v>
      </c>
      <c r="Y70" s="4" t="s">
        <v>233</v>
      </c>
      <c r="Z70" s="4" t="s">
        <v>234</v>
      </c>
      <c r="AA70" s="4" t="s">
        <v>234</v>
      </c>
      <c r="AB70" s="4"/>
    </row>
    <row r="71" spans="1:28" x14ac:dyDescent="0.4">
      <c r="A71" s="4" t="s">
        <v>216</v>
      </c>
      <c r="B71" s="4">
        <v>764</v>
      </c>
      <c r="C71" s="4" t="s">
        <v>242</v>
      </c>
      <c r="D71" s="4" t="s">
        <v>1149</v>
      </c>
      <c r="E71" s="4" t="s">
        <v>1150</v>
      </c>
      <c r="F71" s="4" t="s">
        <v>1151</v>
      </c>
      <c r="G71" s="4" t="s">
        <v>1152</v>
      </c>
      <c r="H71" s="4" t="s">
        <v>1153</v>
      </c>
      <c r="I71" s="4" t="s">
        <v>1154</v>
      </c>
      <c r="J71" s="4" t="s">
        <v>1155</v>
      </c>
      <c r="K71" s="4" t="s">
        <v>224</v>
      </c>
      <c r="L71" s="6" t="s">
        <v>1156</v>
      </c>
      <c r="M71" s="4" t="s">
        <v>1157</v>
      </c>
      <c r="N71" s="4" t="s">
        <v>1158</v>
      </c>
      <c r="O71" s="4"/>
      <c r="P71" s="4" t="s">
        <v>1162</v>
      </c>
      <c r="Q71" s="4" t="s">
        <v>1163</v>
      </c>
      <c r="R71" s="4" t="s">
        <v>1164</v>
      </c>
      <c r="S71" s="4" t="s">
        <v>257</v>
      </c>
      <c r="T71" s="7">
        <v>42524</v>
      </c>
      <c r="U71" s="4">
        <v>0</v>
      </c>
      <c r="V71" s="4">
        <v>0</v>
      </c>
      <c r="W71" s="4" t="s">
        <v>232</v>
      </c>
      <c r="X71" s="4" t="s">
        <v>293</v>
      </c>
      <c r="Y71" s="4" t="s">
        <v>233</v>
      </c>
      <c r="Z71" s="4" t="s">
        <v>234</v>
      </c>
      <c r="AA71" s="4" t="s">
        <v>234</v>
      </c>
      <c r="AB71" s="4"/>
    </row>
    <row r="72" spans="1:28" x14ac:dyDescent="0.4">
      <c r="A72" s="4" t="s">
        <v>216</v>
      </c>
      <c r="B72" s="4">
        <v>5516</v>
      </c>
      <c r="C72" s="4" t="s">
        <v>242</v>
      </c>
      <c r="D72" s="4" t="s">
        <v>1188</v>
      </c>
      <c r="E72" s="4" t="s">
        <v>1180</v>
      </c>
      <c r="F72" s="4" t="s">
        <v>1189</v>
      </c>
      <c r="G72" s="4" t="s">
        <v>1190</v>
      </c>
      <c r="H72" s="4" t="s">
        <v>1191</v>
      </c>
      <c r="I72" s="4" t="s">
        <v>143</v>
      </c>
      <c r="J72" s="4" t="s">
        <v>1192</v>
      </c>
      <c r="K72" s="4" t="s">
        <v>224</v>
      </c>
      <c r="L72" s="6" t="s">
        <v>1193</v>
      </c>
      <c r="M72" s="4" t="s">
        <v>1194</v>
      </c>
      <c r="N72" s="4" t="s">
        <v>1195</v>
      </c>
      <c r="O72" s="4"/>
      <c r="P72" s="4" t="s">
        <v>1197</v>
      </c>
      <c r="Q72" s="4" t="s">
        <v>1198</v>
      </c>
      <c r="R72" s="4" t="s">
        <v>313</v>
      </c>
      <c r="S72" s="4" t="s">
        <v>231</v>
      </c>
      <c r="T72" s="7">
        <v>45050</v>
      </c>
      <c r="U72" s="4">
        <v>0</v>
      </c>
      <c r="V72" s="4">
        <v>0</v>
      </c>
      <c r="W72" s="4" t="s">
        <v>232</v>
      </c>
      <c r="X72" s="4"/>
      <c r="Y72" s="4" t="s">
        <v>233</v>
      </c>
      <c r="Z72" s="4" t="s">
        <v>234</v>
      </c>
      <c r="AA72" s="4" t="s">
        <v>234</v>
      </c>
      <c r="AB72" s="4"/>
    </row>
    <row r="73" spans="1:28" x14ac:dyDescent="0.4">
      <c r="A73" s="4" t="s">
        <v>216</v>
      </c>
      <c r="B73" s="4">
        <v>5516</v>
      </c>
      <c r="C73" s="4" t="s">
        <v>242</v>
      </c>
      <c r="D73" s="4" t="s">
        <v>1188</v>
      </c>
      <c r="E73" s="4" t="s">
        <v>1180</v>
      </c>
      <c r="F73" s="4" t="s">
        <v>1189</v>
      </c>
      <c r="G73" s="4" t="s">
        <v>1190</v>
      </c>
      <c r="H73" s="4" t="s">
        <v>1191</v>
      </c>
      <c r="I73" s="4" t="s">
        <v>143</v>
      </c>
      <c r="J73" s="4" t="s">
        <v>1192</v>
      </c>
      <c r="K73" s="4" t="s">
        <v>224</v>
      </c>
      <c r="L73" s="6" t="s">
        <v>1193</v>
      </c>
      <c r="M73" s="4" t="s">
        <v>1194</v>
      </c>
      <c r="N73" s="4" t="s">
        <v>1195</v>
      </c>
      <c r="O73" s="4"/>
      <c r="P73" s="4" t="s">
        <v>1197</v>
      </c>
      <c r="Q73" s="4" t="s">
        <v>1198</v>
      </c>
      <c r="R73" s="4" t="s">
        <v>313</v>
      </c>
      <c r="S73" s="4" t="s">
        <v>231</v>
      </c>
      <c r="T73" s="7">
        <v>45050</v>
      </c>
      <c r="U73" s="4">
        <v>0</v>
      </c>
      <c r="V73" s="4">
        <v>0</v>
      </c>
      <c r="W73" s="4" t="s">
        <v>232</v>
      </c>
      <c r="X73" s="4"/>
      <c r="Y73" s="4" t="s">
        <v>233</v>
      </c>
      <c r="Z73" s="4" t="s">
        <v>234</v>
      </c>
      <c r="AA73" s="4" t="s">
        <v>234</v>
      </c>
      <c r="AB73" s="4"/>
    </row>
    <row r="74" spans="1:28" x14ac:dyDescent="0.4">
      <c r="A74" s="4" t="s">
        <v>216</v>
      </c>
      <c r="B74" s="4">
        <v>1635</v>
      </c>
      <c r="C74" s="4" t="s">
        <v>217</v>
      </c>
      <c r="D74" s="4" t="s">
        <v>468</v>
      </c>
      <c r="E74" s="4" t="s">
        <v>1199</v>
      </c>
      <c r="F74" s="4" t="s">
        <v>1200</v>
      </c>
      <c r="G74" s="4"/>
      <c r="H74" s="4" t="s">
        <v>1201</v>
      </c>
      <c r="I74" s="4" t="s">
        <v>1202</v>
      </c>
      <c r="J74" s="4" t="s">
        <v>1203</v>
      </c>
      <c r="K74" s="4" t="s">
        <v>224</v>
      </c>
      <c r="L74" s="5" t="s">
        <v>1204</v>
      </c>
      <c r="M74" s="4" t="s">
        <v>1205</v>
      </c>
      <c r="N74" s="4" t="s">
        <v>1206</v>
      </c>
      <c r="O74" s="4"/>
      <c r="P74" s="4" t="s">
        <v>1207</v>
      </c>
      <c r="Q74" s="4" t="s">
        <v>1208</v>
      </c>
      <c r="R74" s="4" t="s">
        <v>252</v>
      </c>
      <c r="S74" s="4" t="s">
        <v>231</v>
      </c>
      <c r="T74" s="7">
        <v>42407</v>
      </c>
      <c r="U74" s="4">
        <v>0</v>
      </c>
      <c r="V74" s="4">
        <v>0</v>
      </c>
      <c r="W74" s="4" t="s">
        <v>232</v>
      </c>
      <c r="X74" s="4"/>
      <c r="Y74" s="4" t="s">
        <v>233</v>
      </c>
      <c r="Z74" s="4" t="s">
        <v>234</v>
      </c>
      <c r="AA74" s="4" t="s">
        <v>233</v>
      </c>
      <c r="AB74" s="4" t="s">
        <v>1209</v>
      </c>
    </row>
    <row r="75" spans="1:28" x14ac:dyDescent="0.4">
      <c r="A75" s="4" t="s">
        <v>216</v>
      </c>
      <c r="B75" s="4">
        <v>5634</v>
      </c>
      <c r="C75" s="4" t="s">
        <v>242</v>
      </c>
      <c r="D75" s="4" t="s">
        <v>1223</v>
      </c>
      <c r="E75" s="4" t="s">
        <v>1224</v>
      </c>
      <c r="F75" s="4" t="s">
        <v>1225</v>
      </c>
      <c r="G75" s="4" t="s">
        <v>1226</v>
      </c>
      <c r="H75" s="4" t="s">
        <v>222</v>
      </c>
      <c r="I75" s="4" t="s">
        <v>154</v>
      </c>
      <c r="J75" s="4" t="s">
        <v>1227</v>
      </c>
      <c r="K75" s="4" t="s">
        <v>224</v>
      </c>
      <c r="L75" s="5">
        <v>447972223220</v>
      </c>
      <c r="M75" s="4" t="s">
        <v>1228</v>
      </c>
      <c r="N75" s="4" t="s">
        <v>1229</v>
      </c>
      <c r="O75" s="4"/>
      <c r="P75" s="4" t="s">
        <v>1230</v>
      </c>
      <c r="Q75" s="4" t="s">
        <v>1231</v>
      </c>
      <c r="R75" s="4" t="s">
        <v>1232</v>
      </c>
      <c r="S75" s="4" t="s">
        <v>231</v>
      </c>
      <c r="T75" s="7">
        <v>42097</v>
      </c>
      <c r="U75" s="4">
        <v>0</v>
      </c>
      <c r="V75" s="4">
        <v>0</v>
      </c>
      <c r="W75" s="4" t="s">
        <v>232</v>
      </c>
      <c r="X75" s="4"/>
      <c r="Y75" s="4" t="s">
        <v>233</v>
      </c>
      <c r="Z75" s="4" t="s">
        <v>234</v>
      </c>
      <c r="AA75" s="4" t="s">
        <v>234</v>
      </c>
      <c r="AB75" s="4"/>
    </row>
    <row r="76" spans="1:28" x14ac:dyDescent="0.4">
      <c r="A76" s="4" t="s">
        <v>216</v>
      </c>
      <c r="B76" s="4">
        <v>5634</v>
      </c>
      <c r="C76" s="4" t="s">
        <v>242</v>
      </c>
      <c r="D76" s="4" t="s">
        <v>1223</v>
      </c>
      <c r="E76" s="4" t="s">
        <v>1224</v>
      </c>
      <c r="F76" s="4" t="s">
        <v>1225</v>
      </c>
      <c r="G76" s="4" t="s">
        <v>1226</v>
      </c>
      <c r="H76" s="4" t="s">
        <v>222</v>
      </c>
      <c r="I76" s="4" t="s">
        <v>154</v>
      </c>
      <c r="J76" s="4" t="s">
        <v>1227</v>
      </c>
      <c r="K76" s="4" t="s">
        <v>224</v>
      </c>
      <c r="L76" s="5">
        <v>447972223220</v>
      </c>
      <c r="M76" s="4" t="s">
        <v>1228</v>
      </c>
      <c r="N76" s="4" t="s">
        <v>1229</v>
      </c>
      <c r="O76" s="4"/>
      <c r="P76" s="4" t="s">
        <v>1233</v>
      </c>
      <c r="Q76" s="4" t="s">
        <v>1234</v>
      </c>
      <c r="R76" s="4" t="s">
        <v>1232</v>
      </c>
      <c r="S76" s="4" t="s">
        <v>257</v>
      </c>
      <c r="T76" s="7">
        <v>44473</v>
      </c>
      <c r="U76" s="4">
        <v>0</v>
      </c>
      <c r="V76" s="4">
        <v>0</v>
      </c>
      <c r="W76" s="4" t="s">
        <v>232</v>
      </c>
      <c r="X76" s="4"/>
      <c r="Y76" s="4" t="s">
        <v>233</v>
      </c>
      <c r="Z76" s="4" t="s">
        <v>234</v>
      </c>
      <c r="AA76" s="4" t="s">
        <v>234</v>
      </c>
      <c r="AB76" s="4"/>
    </row>
    <row r="77" spans="1:28" x14ac:dyDescent="0.4">
      <c r="A77" s="4" t="s">
        <v>216</v>
      </c>
      <c r="B77" s="4">
        <v>5634</v>
      </c>
      <c r="C77" s="4" t="s">
        <v>242</v>
      </c>
      <c r="D77" s="4" t="s">
        <v>1223</v>
      </c>
      <c r="E77" s="4" t="s">
        <v>1224</v>
      </c>
      <c r="F77" s="4" t="s">
        <v>1225</v>
      </c>
      <c r="G77" s="4" t="s">
        <v>1226</v>
      </c>
      <c r="H77" s="4" t="s">
        <v>222</v>
      </c>
      <c r="I77" s="4" t="s">
        <v>154</v>
      </c>
      <c r="J77" s="4" t="s">
        <v>1227</v>
      </c>
      <c r="K77" s="4" t="s">
        <v>224</v>
      </c>
      <c r="L77" s="5">
        <v>447972223220</v>
      </c>
      <c r="M77" s="4" t="s">
        <v>1228</v>
      </c>
      <c r="N77" s="4" t="s">
        <v>1229</v>
      </c>
      <c r="O77" s="4"/>
      <c r="P77" s="4" t="s">
        <v>1235</v>
      </c>
      <c r="Q77" s="4" t="s">
        <v>1236</v>
      </c>
      <c r="R77" s="4" t="s">
        <v>445</v>
      </c>
      <c r="S77" s="4" t="s">
        <v>231</v>
      </c>
      <c r="T77" s="7">
        <v>44328</v>
      </c>
      <c r="U77" s="4">
        <v>0</v>
      </c>
      <c r="V77" s="4">
        <v>0</v>
      </c>
      <c r="W77" s="4" t="s">
        <v>232</v>
      </c>
      <c r="X77" s="4"/>
      <c r="Y77" s="4" t="s">
        <v>233</v>
      </c>
      <c r="Z77" s="4" t="s">
        <v>234</v>
      </c>
      <c r="AA77" s="4" t="s">
        <v>234</v>
      </c>
      <c r="AB77" s="4"/>
    </row>
    <row r="78" spans="1:28" x14ac:dyDescent="0.4">
      <c r="A78" s="4" t="s">
        <v>216</v>
      </c>
      <c r="B78" s="4">
        <v>5634</v>
      </c>
      <c r="C78" s="4" t="s">
        <v>242</v>
      </c>
      <c r="D78" s="4" t="s">
        <v>1223</v>
      </c>
      <c r="E78" s="4" t="s">
        <v>1224</v>
      </c>
      <c r="F78" s="4" t="s">
        <v>1225</v>
      </c>
      <c r="G78" s="4" t="s">
        <v>1226</v>
      </c>
      <c r="H78" s="4" t="s">
        <v>222</v>
      </c>
      <c r="I78" s="4" t="s">
        <v>154</v>
      </c>
      <c r="J78" s="4" t="s">
        <v>1227</v>
      </c>
      <c r="K78" s="4" t="s">
        <v>224</v>
      </c>
      <c r="L78" s="5">
        <v>447972223220</v>
      </c>
      <c r="M78" s="4" t="s">
        <v>1228</v>
      </c>
      <c r="N78" s="4" t="s">
        <v>1229</v>
      </c>
      <c r="O78" s="4"/>
      <c r="P78" s="4" t="s">
        <v>1230</v>
      </c>
      <c r="Q78" s="4" t="s">
        <v>1231</v>
      </c>
      <c r="R78" s="4" t="s">
        <v>1232</v>
      </c>
      <c r="S78" s="4" t="s">
        <v>231</v>
      </c>
      <c r="T78" s="7">
        <v>42097</v>
      </c>
      <c r="U78" s="4">
        <v>0</v>
      </c>
      <c r="V78" s="4">
        <v>0</v>
      </c>
      <c r="W78" s="4" t="s">
        <v>232</v>
      </c>
      <c r="X78" s="4"/>
      <c r="Y78" s="4" t="s">
        <v>233</v>
      </c>
      <c r="Z78" s="4" t="s">
        <v>234</v>
      </c>
      <c r="AA78" s="4" t="s">
        <v>234</v>
      </c>
      <c r="AB78" s="4"/>
    </row>
    <row r="79" spans="1:28" x14ac:dyDescent="0.4">
      <c r="A79" s="4" t="s">
        <v>216</v>
      </c>
      <c r="B79" s="4">
        <v>5634</v>
      </c>
      <c r="C79" s="4" t="s">
        <v>242</v>
      </c>
      <c r="D79" s="4" t="s">
        <v>1223</v>
      </c>
      <c r="E79" s="4" t="s">
        <v>1224</v>
      </c>
      <c r="F79" s="4" t="s">
        <v>1225</v>
      </c>
      <c r="G79" s="4" t="s">
        <v>1226</v>
      </c>
      <c r="H79" s="4" t="s">
        <v>222</v>
      </c>
      <c r="I79" s="4" t="s">
        <v>154</v>
      </c>
      <c r="J79" s="4" t="s">
        <v>1227</v>
      </c>
      <c r="K79" s="4" t="s">
        <v>224</v>
      </c>
      <c r="L79" s="5">
        <v>447972223220</v>
      </c>
      <c r="M79" s="4" t="s">
        <v>1228</v>
      </c>
      <c r="N79" s="4" t="s">
        <v>1229</v>
      </c>
      <c r="O79" s="4"/>
      <c r="P79" s="4" t="s">
        <v>1233</v>
      </c>
      <c r="Q79" s="4" t="s">
        <v>1234</v>
      </c>
      <c r="R79" s="4" t="s">
        <v>1232</v>
      </c>
      <c r="S79" s="4" t="s">
        <v>257</v>
      </c>
      <c r="T79" s="7">
        <v>44473</v>
      </c>
      <c r="U79" s="4">
        <v>0</v>
      </c>
      <c r="V79" s="4">
        <v>0</v>
      </c>
      <c r="W79" s="4" t="s">
        <v>232</v>
      </c>
      <c r="X79" s="4"/>
      <c r="Y79" s="4" t="s">
        <v>233</v>
      </c>
      <c r="Z79" s="4" t="s">
        <v>234</v>
      </c>
      <c r="AA79" s="4" t="s">
        <v>234</v>
      </c>
      <c r="AB79" s="4"/>
    </row>
    <row r="80" spans="1:28" x14ac:dyDescent="0.4">
      <c r="A80" s="4" t="s">
        <v>216</v>
      </c>
      <c r="B80" s="4">
        <v>5634</v>
      </c>
      <c r="C80" s="4" t="s">
        <v>242</v>
      </c>
      <c r="D80" s="4" t="s">
        <v>1223</v>
      </c>
      <c r="E80" s="4" t="s">
        <v>1224</v>
      </c>
      <c r="F80" s="4" t="s">
        <v>1225</v>
      </c>
      <c r="G80" s="4" t="s">
        <v>1226</v>
      </c>
      <c r="H80" s="4" t="s">
        <v>222</v>
      </c>
      <c r="I80" s="4" t="s">
        <v>154</v>
      </c>
      <c r="J80" s="4" t="s">
        <v>1227</v>
      </c>
      <c r="K80" s="4" t="s">
        <v>224</v>
      </c>
      <c r="L80" s="5">
        <v>447972223220</v>
      </c>
      <c r="M80" s="4" t="s">
        <v>1228</v>
      </c>
      <c r="N80" s="4" t="s">
        <v>1229</v>
      </c>
      <c r="O80" s="4"/>
      <c r="P80" s="4" t="s">
        <v>1235</v>
      </c>
      <c r="Q80" s="4" t="s">
        <v>1236</v>
      </c>
      <c r="R80" s="4" t="s">
        <v>445</v>
      </c>
      <c r="S80" s="4" t="s">
        <v>231</v>
      </c>
      <c r="T80" s="7">
        <v>44328</v>
      </c>
      <c r="U80" s="4">
        <v>0</v>
      </c>
      <c r="V80" s="4">
        <v>0</v>
      </c>
      <c r="W80" s="4" t="s">
        <v>232</v>
      </c>
      <c r="X80" s="4"/>
      <c r="Y80" s="4" t="s">
        <v>233</v>
      </c>
      <c r="Z80" s="4" t="s">
        <v>234</v>
      </c>
      <c r="AA80" s="4" t="s">
        <v>234</v>
      </c>
      <c r="AB80" s="4"/>
    </row>
    <row r="81" spans="1:28" x14ac:dyDescent="0.4">
      <c r="A81" s="4" t="s">
        <v>216</v>
      </c>
      <c r="B81" s="4">
        <v>697</v>
      </c>
      <c r="C81" s="4" t="s">
        <v>242</v>
      </c>
      <c r="D81" s="4" t="s">
        <v>509</v>
      </c>
      <c r="E81" s="4" t="s">
        <v>1237</v>
      </c>
      <c r="F81" s="4" t="s">
        <v>1238</v>
      </c>
      <c r="G81" s="4" t="s">
        <v>1239</v>
      </c>
      <c r="H81" s="4" t="s">
        <v>1240</v>
      </c>
      <c r="I81" s="4" t="s">
        <v>1241</v>
      </c>
      <c r="J81" s="4" t="s">
        <v>1242</v>
      </c>
      <c r="K81" s="4" t="s">
        <v>224</v>
      </c>
      <c r="L81" s="6" t="s">
        <v>1243</v>
      </c>
      <c r="M81" s="4" t="s">
        <v>1244</v>
      </c>
      <c r="N81" s="4" t="s">
        <v>1245</v>
      </c>
      <c r="O81" s="4"/>
      <c r="P81" s="4" t="s">
        <v>1257</v>
      </c>
      <c r="Q81" s="4" t="s">
        <v>1258</v>
      </c>
      <c r="R81" s="4" t="s">
        <v>1259</v>
      </c>
      <c r="S81" s="4" t="s">
        <v>257</v>
      </c>
      <c r="T81" s="7">
        <v>41687</v>
      </c>
      <c r="U81" s="4">
        <v>0</v>
      </c>
      <c r="V81" s="4">
        <v>0</v>
      </c>
      <c r="W81" s="4" t="s">
        <v>232</v>
      </c>
      <c r="X81" s="4"/>
      <c r="Y81" s="4" t="s">
        <v>233</v>
      </c>
      <c r="Z81" s="4" t="s">
        <v>234</v>
      </c>
      <c r="AA81" s="4" t="s">
        <v>234</v>
      </c>
      <c r="AB81" s="4" t="s">
        <v>1260</v>
      </c>
    </row>
    <row r="82" spans="1:28" x14ac:dyDescent="0.4">
      <c r="A82" s="4" t="s">
        <v>216</v>
      </c>
      <c r="B82" s="4">
        <v>697</v>
      </c>
      <c r="C82" s="4" t="s">
        <v>242</v>
      </c>
      <c r="D82" s="4" t="s">
        <v>509</v>
      </c>
      <c r="E82" s="4" t="s">
        <v>1237</v>
      </c>
      <c r="F82" s="4" t="s">
        <v>1238</v>
      </c>
      <c r="G82" s="4" t="s">
        <v>1239</v>
      </c>
      <c r="H82" s="4" t="s">
        <v>1240</v>
      </c>
      <c r="I82" s="4" t="s">
        <v>1241</v>
      </c>
      <c r="J82" s="4" t="s">
        <v>1242</v>
      </c>
      <c r="K82" s="4" t="s">
        <v>224</v>
      </c>
      <c r="L82" s="6" t="s">
        <v>1243</v>
      </c>
      <c r="M82" s="4" t="s">
        <v>1244</v>
      </c>
      <c r="N82" s="4" t="s">
        <v>1245</v>
      </c>
      <c r="O82" s="4"/>
      <c r="P82" s="4" t="s">
        <v>1261</v>
      </c>
      <c r="Q82" s="4" t="s">
        <v>1262</v>
      </c>
      <c r="R82" s="4" t="s">
        <v>1263</v>
      </c>
      <c r="S82" s="4" t="s">
        <v>231</v>
      </c>
      <c r="T82" s="7">
        <v>41416</v>
      </c>
      <c r="U82" s="4">
        <v>0</v>
      </c>
      <c r="V82" s="4">
        <v>0</v>
      </c>
      <c r="W82" s="4" t="s">
        <v>232</v>
      </c>
      <c r="X82" s="4"/>
      <c r="Y82" s="4" t="s">
        <v>233</v>
      </c>
      <c r="Z82" s="4" t="s">
        <v>234</v>
      </c>
      <c r="AA82" s="4" t="s">
        <v>234</v>
      </c>
      <c r="AB82" s="4" t="s">
        <v>1260</v>
      </c>
    </row>
    <row r="83" spans="1:28" x14ac:dyDescent="0.4">
      <c r="A83" s="4" t="s">
        <v>216</v>
      </c>
      <c r="B83" s="4">
        <v>697</v>
      </c>
      <c r="C83" s="4" t="s">
        <v>242</v>
      </c>
      <c r="D83" s="4" t="s">
        <v>509</v>
      </c>
      <c r="E83" s="4" t="s">
        <v>1237</v>
      </c>
      <c r="F83" s="4" t="s">
        <v>1238</v>
      </c>
      <c r="G83" s="4" t="s">
        <v>1239</v>
      </c>
      <c r="H83" s="4" t="s">
        <v>1240</v>
      </c>
      <c r="I83" s="4" t="s">
        <v>1241</v>
      </c>
      <c r="J83" s="4" t="s">
        <v>1242</v>
      </c>
      <c r="K83" s="4" t="s">
        <v>224</v>
      </c>
      <c r="L83" s="6" t="s">
        <v>1243</v>
      </c>
      <c r="M83" s="4" t="s">
        <v>1244</v>
      </c>
      <c r="N83" s="4" t="s">
        <v>1245</v>
      </c>
      <c r="O83" s="4"/>
      <c r="P83" s="4" t="s">
        <v>1257</v>
      </c>
      <c r="Q83" s="4" t="s">
        <v>1258</v>
      </c>
      <c r="R83" s="4" t="s">
        <v>1259</v>
      </c>
      <c r="S83" s="4" t="s">
        <v>257</v>
      </c>
      <c r="T83" s="7">
        <v>41687</v>
      </c>
      <c r="U83" s="4">
        <v>0</v>
      </c>
      <c r="V83" s="4">
        <v>0</v>
      </c>
      <c r="W83" s="4" t="s">
        <v>232</v>
      </c>
      <c r="X83" s="4"/>
      <c r="Y83" s="4" t="s">
        <v>233</v>
      </c>
      <c r="Z83" s="4" t="s">
        <v>234</v>
      </c>
      <c r="AA83" s="4" t="s">
        <v>234</v>
      </c>
      <c r="AB83" s="4" t="s">
        <v>1260</v>
      </c>
    </row>
    <row r="84" spans="1:28" x14ac:dyDescent="0.4">
      <c r="A84" s="4" t="s">
        <v>216</v>
      </c>
      <c r="B84" s="4">
        <v>697</v>
      </c>
      <c r="C84" s="4" t="s">
        <v>242</v>
      </c>
      <c r="D84" s="4" t="s">
        <v>509</v>
      </c>
      <c r="E84" s="4" t="s">
        <v>1237</v>
      </c>
      <c r="F84" s="4" t="s">
        <v>1238</v>
      </c>
      <c r="G84" s="4" t="s">
        <v>1239</v>
      </c>
      <c r="H84" s="4" t="s">
        <v>1240</v>
      </c>
      <c r="I84" s="4" t="s">
        <v>1241</v>
      </c>
      <c r="J84" s="4" t="s">
        <v>1242</v>
      </c>
      <c r="K84" s="4" t="s">
        <v>224</v>
      </c>
      <c r="L84" s="6" t="s">
        <v>1243</v>
      </c>
      <c r="M84" s="4" t="s">
        <v>1244</v>
      </c>
      <c r="N84" s="4" t="s">
        <v>1245</v>
      </c>
      <c r="O84" s="4"/>
      <c r="P84" s="4" t="s">
        <v>1261</v>
      </c>
      <c r="Q84" s="4" t="s">
        <v>1262</v>
      </c>
      <c r="R84" s="4" t="s">
        <v>1263</v>
      </c>
      <c r="S84" s="4" t="s">
        <v>231</v>
      </c>
      <c r="T84" s="7">
        <v>41416</v>
      </c>
      <c r="U84" s="4">
        <v>0</v>
      </c>
      <c r="V84" s="4">
        <v>0</v>
      </c>
      <c r="W84" s="4" t="s">
        <v>232</v>
      </c>
      <c r="X84" s="4"/>
      <c r="Y84" s="4" t="s">
        <v>233</v>
      </c>
      <c r="Z84" s="4" t="s">
        <v>234</v>
      </c>
      <c r="AA84" s="4" t="s">
        <v>234</v>
      </c>
      <c r="AB84" s="4" t="s">
        <v>1260</v>
      </c>
    </row>
    <row r="85" spans="1:28" x14ac:dyDescent="0.4">
      <c r="A85" s="4" t="s">
        <v>216</v>
      </c>
      <c r="B85" s="4">
        <v>697</v>
      </c>
      <c r="C85" s="4" t="s">
        <v>242</v>
      </c>
      <c r="D85" s="4" t="s">
        <v>509</v>
      </c>
      <c r="E85" s="4" t="s">
        <v>1237</v>
      </c>
      <c r="F85" s="4" t="s">
        <v>1238</v>
      </c>
      <c r="G85" s="4" t="s">
        <v>1239</v>
      </c>
      <c r="H85" s="4" t="s">
        <v>1240</v>
      </c>
      <c r="I85" s="4" t="s">
        <v>1241</v>
      </c>
      <c r="J85" s="4" t="s">
        <v>1242</v>
      </c>
      <c r="K85" s="4" t="s">
        <v>224</v>
      </c>
      <c r="L85" s="6" t="s">
        <v>1243</v>
      </c>
      <c r="M85" s="4" t="s">
        <v>1244</v>
      </c>
      <c r="N85" s="4" t="s">
        <v>1245</v>
      </c>
      <c r="O85" s="4"/>
      <c r="P85" s="4" t="s">
        <v>1264</v>
      </c>
      <c r="Q85" s="4" t="s">
        <v>1265</v>
      </c>
      <c r="R85" s="4" t="s">
        <v>1259</v>
      </c>
      <c r="S85" s="4" t="s">
        <v>257</v>
      </c>
      <c r="T85" s="7">
        <v>45732</v>
      </c>
      <c r="U85" s="4">
        <v>0</v>
      </c>
      <c r="V85" s="4">
        <v>0</v>
      </c>
      <c r="W85" s="4" t="s">
        <v>232</v>
      </c>
      <c r="X85" s="4"/>
      <c r="Y85" s="4" t="s">
        <v>233</v>
      </c>
      <c r="Z85" s="4" t="s">
        <v>234</v>
      </c>
      <c r="AA85" s="4" t="s">
        <v>234</v>
      </c>
      <c r="AB85" s="4" t="s">
        <v>1260</v>
      </c>
    </row>
    <row r="86" spans="1:28" x14ac:dyDescent="0.4">
      <c r="A86" s="4" t="s">
        <v>216</v>
      </c>
      <c r="B86" s="4">
        <v>553</v>
      </c>
      <c r="C86" s="4" t="s">
        <v>242</v>
      </c>
      <c r="D86" s="4" t="s">
        <v>178</v>
      </c>
      <c r="E86" s="4" t="s">
        <v>1413</v>
      </c>
      <c r="F86" s="4" t="s">
        <v>1414</v>
      </c>
      <c r="G86" s="4"/>
      <c r="H86" s="4" t="s">
        <v>1415</v>
      </c>
      <c r="I86" s="4" t="s">
        <v>154</v>
      </c>
      <c r="J86" s="4" t="s">
        <v>1416</v>
      </c>
      <c r="K86" s="4" t="s">
        <v>224</v>
      </c>
      <c r="L86" s="6" t="s">
        <v>1417</v>
      </c>
      <c r="M86" s="4" t="s">
        <v>1418</v>
      </c>
      <c r="N86" s="4" t="s">
        <v>1419</v>
      </c>
      <c r="O86" s="4"/>
      <c r="P86" s="4" t="s">
        <v>1420</v>
      </c>
      <c r="Q86" s="4" t="s">
        <v>1421</v>
      </c>
      <c r="R86" s="4" t="s">
        <v>1422</v>
      </c>
      <c r="S86" s="4" t="s">
        <v>257</v>
      </c>
      <c r="T86" s="7">
        <v>45625</v>
      </c>
      <c r="U86" s="4">
        <v>0</v>
      </c>
      <c r="V86" s="4">
        <v>0</v>
      </c>
      <c r="W86" s="4" t="s">
        <v>232</v>
      </c>
      <c r="X86" s="4"/>
      <c r="Y86" s="4" t="s">
        <v>233</v>
      </c>
      <c r="Z86" s="4" t="s">
        <v>234</v>
      </c>
      <c r="AA86" s="4" t="s">
        <v>233</v>
      </c>
      <c r="AB86" s="4"/>
    </row>
    <row r="87" spans="1:28" x14ac:dyDescent="0.4">
      <c r="A87" s="4" t="s">
        <v>216</v>
      </c>
      <c r="B87" s="4">
        <v>553</v>
      </c>
      <c r="C87" s="4" t="s">
        <v>242</v>
      </c>
      <c r="D87" s="4" t="s">
        <v>178</v>
      </c>
      <c r="E87" s="4" t="s">
        <v>1413</v>
      </c>
      <c r="F87" s="4" t="s">
        <v>1414</v>
      </c>
      <c r="G87" s="4"/>
      <c r="H87" s="4" t="s">
        <v>1415</v>
      </c>
      <c r="I87" s="4" t="s">
        <v>154</v>
      </c>
      <c r="J87" s="4" t="s">
        <v>1416</v>
      </c>
      <c r="K87" s="4" t="s">
        <v>224</v>
      </c>
      <c r="L87" s="6" t="s">
        <v>1417</v>
      </c>
      <c r="M87" s="4" t="s">
        <v>1418</v>
      </c>
      <c r="N87" s="4" t="s">
        <v>1419</v>
      </c>
      <c r="O87" s="4"/>
      <c r="P87" s="4" t="s">
        <v>1423</v>
      </c>
      <c r="Q87" s="4" t="s">
        <v>1424</v>
      </c>
      <c r="R87" s="4" t="s">
        <v>256</v>
      </c>
      <c r="S87" s="4" t="s">
        <v>257</v>
      </c>
      <c r="T87" s="7">
        <v>45924</v>
      </c>
      <c r="U87" s="4">
        <v>0</v>
      </c>
      <c r="V87" s="4">
        <v>0</v>
      </c>
      <c r="W87" s="4" t="s">
        <v>232</v>
      </c>
      <c r="X87" s="4"/>
      <c r="Y87" s="4" t="s">
        <v>233</v>
      </c>
      <c r="Z87" s="4" t="s">
        <v>234</v>
      </c>
      <c r="AA87" s="4" t="s">
        <v>233</v>
      </c>
      <c r="AB87" s="4"/>
    </row>
    <row r="88" spans="1:28" x14ac:dyDescent="0.4">
      <c r="A88" s="4" t="s">
        <v>216</v>
      </c>
      <c r="B88" s="4">
        <v>553</v>
      </c>
      <c r="C88" s="4" t="s">
        <v>242</v>
      </c>
      <c r="D88" s="4" t="s">
        <v>178</v>
      </c>
      <c r="E88" s="4" t="s">
        <v>1413</v>
      </c>
      <c r="F88" s="4" t="s">
        <v>1414</v>
      </c>
      <c r="G88" s="4"/>
      <c r="H88" s="4" t="s">
        <v>1415</v>
      </c>
      <c r="I88" s="4" t="s">
        <v>154</v>
      </c>
      <c r="J88" s="4" t="s">
        <v>1416</v>
      </c>
      <c r="K88" s="4" t="s">
        <v>224</v>
      </c>
      <c r="L88" s="6" t="s">
        <v>1417</v>
      </c>
      <c r="M88" s="4" t="s">
        <v>1418</v>
      </c>
      <c r="N88" s="4" t="s">
        <v>1419</v>
      </c>
      <c r="O88" s="4"/>
      <c r="P88" s="4" t="s">
        <v>1420</v>
      </c>
      <c r="Q88" s="4" t="s">
        <v>1421</v>
      </c>
      <c r="R88" s="4" t="s">
        <v>1422</v>
      </c>
      <c r="S88" s="4" t="s">
        <v>257</v>
      </c>
      <c r="T88" s="7">
        <v>45625</v>
      </c>
      <c r="U88" s="4">
        <v>0</v>
      </c>
      <c r="V88" s="4">
        <v>0</v>
      </c>
      <c r="W88" s="4" t="s">
        <v>232</v>
      </c>
      <c r="X88" s="4"/>
      <c r="Y88" s="4" t="s">
        <v>233</v>
      </c>
      <c r="Z88" s="4" t="s">
        <v>234</v>
      </c>
      <c r="AA88" s="4" t="s">
        <v>233</v>
      </c>
      <c r="AB88" s="4"/>
    </row>
    <row r="89" spans="1:28" x14ac:dyDescent="0.4">
      <c r="A89" s="4" t="s">
        <v>216</v>
      </c>
      <c r="B89" s="4">
        <v>553</v>
      </c>
      <c r="C89" s="4" t="s">
        <v>242</v>
      </c>
      <c r="D89" s="4" t="s">
        <v>178</v>
      </c>
      <c r="E89" s="4" t="s">
        <v>1413</v>
      </c>
      <c r="F89" s="4" t="s">
        <v>1414</v>
      </c>
      <c r="G89" s="4"/>
      <c r="H89" s="4" t="s">
        <v>1415</v>
      </c>
      <c r="I89" s="4" t="s">
        <v>154</v>
      </c>
      <c r="J89" s="4" t="s">
        <v>1416</v>
      </c>
      <c r="K89" s="4" t="s">
        <v>224</v>
      </c>
      <c r="L89" s="6" t="s">
        <v>1417</v>
      </c>
      <c r="M89" s="4" t="s">
        <v>1418</v>
      </c>
      <c r="N89" s="4" t="s">
        <v>1419</v>
      </c>
      <c r="O89" s="4"/>
      <c r="P89" s="4" t="s">
        <v>1423</v>
      </c>
      <c r="Q89" s="4" t="s">
        <v>1424</v>
      </c>
      <c r="R89" s="4" t="s">
        <v>256</v>
      </c>
      <c r="S89" s="4" t="s">
        <v>257</v>
      </c>
      <c r="T89" s="7">
        <v>45924</v>
      </c>
      <c r="U89" s="4">
        <v>0</v>
      </c>
      <c r="V89" s="4">
        <v>0</v>
      </c>
      <c r="W89" s="4" t="s">
        <v>232</v>
      </c>
      <c r="X89" s="4"/>
      <c r="Y89" s="4" t="s">
        <v>233</v>
      </c>
      <c r="Z89" s="4" t="s">
        <v>234</v>
      </c>
      <c r="AA89" s="4" t="s">
        <v>233</v>
      </c>
      <c r="AB89" s="4"/>
    </row>
    <row r="90" spans="1:28" x14ac:dyDescent="0.4">
      <c r="A90" s="4" t="s">
        <v>216</v>
      </c>
      <c r="B90" s="4">
        <v>2236</v>
      </c>
      <c r="C90" s="4" t="s">
        <v>217</v>
      </c>
      <c r="D90" s="4" t="s">
        <v>1427</v>
      </c>
      <c r="E90" s="4" t="s">
        <v>1428</v>
      </c>
      <c r="F90" s="4" t="s">
        <v>1429</v>
      </c>
      <c r="G90" s="4" t="s">
        <v>1430</v>
      </c>
      <c r="H90" s="4" t="s">
        <v>1431</v>
      </c>
      <c r="I90" s="4" t="s">
        <v>34</v>
      </c>
      <c r="J90" s="4" t="s">
        <v>1432</v>
      </c>
      <c r="K90" s="4" t="s">
        <v>224</v>
      </c>
      <c r="L90" s="5">
        <v>447587132666</v>
      </c>
      <c r="M90" s="4" t="s">
        <v>1433</v>
      </c>
      <c r="N90" s="4" t="s">
        <v>1434</v>
      </c>
      <c r="O90" s="4"/>
      <c r="P90" s="4" t="s">
        <v>1435</v>
      </c>
      <c r="Q90" s="4" t="s">
        <v>1436</v>
      </c>
      <c r="R90" s="4" t="s">
        <v>1437</v>
      </c>
      <c r="S90" s="4" t="s">
        <v>231</v>
      </c>
      <c r="T90" s="7">
        <v>43506</v>
      </c>
      <c r="U90" s="4">
        <v>0</v>
      </c>
      <c r="V90" s="4">
        <v>0</v>
      </c>
      <c r="W90" s="4" t="s">
        <v>232</v>
      </c>
      <c r="X90" s="4" t="s">
        <v>293</v>
      </c>
      <c r="Y90" s="4" t="s">
        <v>233</v>
      </c>
      <c r="Z90" s="4" t="s">
        <v>234</v>
      </c>
      <c r="AA90" s="4" t="s">
        <v>233</v>
      </c>
      <c r="AB90" s="4"/>
    </row>
    <row r="91" spans="1:28" x14ac:dyDescent="0.4">
      <c r="A91" s="4" t="s">
        <v>216</v>
      </c>
      <c r="B91" s="4">
        <v>2236</v>
      </c>
      <c r="C91" s="4" t="s">
        <v>217</v>
      </c>
      <c r="D91" s="4" t="s">
        <v>1427</v>
      </c>
      <c r="E91" s="4" t="s">
        <v>1428</v>
      </c>
      <c r="F91" s="4" t="s">
        <v>1429</v>
      </c>
      <c r="G91" s="4" t="s">
        <v>1430</v>
      </c>
      <c r="H91" s="4" t="s">
        <v>1431</v>
      </c>
      <c r="I91" s="4" t="s">
        <v>34</v>
      </c>
      <c r="J91" s="4" t="s">
        <v>1432</v>
      </c>
      <c r="K91" s="4" t="s">
        <v>224</v>
      </c>
      <c r="L91" s="5">
        <v>447587132666</v>
      </c>
      <c r="M91" s="4" t="s">
        <v>1433</v>
      </c>
      <c r="N91" s="4" t="s">
        <v>1434</v>
      </c>
      <c r="O91" s="4"/>
      <c r="P91" s="4" t="s">
        <v>1438</v>
      </c>
      <c r="Q91" s="4" t="s">
        <v>1439</v>
      </c>
      <c r="R91" s="4" t="s">
        <v>1440</v>
      </c>
      <c r="S91" s="4" t="s">
        <v>231</v>
      </c>
      <c r="T91" s="7">
        <v>41951</v>
      </c>
      <c r="U91" s="4">
        <v>0</v>
      </c>
      <c r="V91" s="4">
        <v>0</v>
      </c>
      <c r="W91" s="4" t="s">
        <v>232</v>
      </c>
      <c r="X91" s="4" t="s">
        <v>293</v>
      </c>
      <c r="Y91" s="4" t="s">
        <v>233</v>
      </c>
      <c r="Z91" s="4" t="s">
        <v>234</v>
      </c>
      <c r="AA91" s="4" t="s">
        <v>233</v>
      </c>
      <c r="AB91" s="4"/>
    </row>
    <row r="92" spans="1:28" x14ac:dyDescent="0.4">
      <c r="A92" s="4" t="s">
        <v>216</v>
      </c>
      <c r="B92" s="4">
        <v>2236</v>
      </c>
      <c r="C92" s="4" t="s">
        <v>217</v>
      </c>
      <c r="D92" s="4" t="s">
        <v>1427</v>
      </c>
      <c r="E92" s="4" t="s">
        <v>1428</v>
      </c>
      <c r="F92" s="4" t="s">
        <v>1429</v>
      </c>
      <c r="G92" s="4" t="s">
        <v>1430</v>
      </c>
      <c r="H92" s="4" t="s">
        <v>1431</v>
      </c>
      <c r="I92" s="4" t="s">
        <v>34</v>
      </c>
      <c r="J92" s="4" t="s">
        <v>1432</v>
      </c>
      <c r="K92" s="4" t="s">
        <v>224</v>
      </c>
      <c r="L92" s="5">
        <v>447587132666</v>
      </c>
      <c r="M92" s="4" t="s">
        <v>1433</v>
      </c>
      <c r="N92" s="4" t="s">
        <v>1434</v>
      </c>
      <c r="O92" s="4"/>
      <c r="P92" s="4" t="s">
        <v>1435</v>
      </c>
      <c r="Q92" s="4" t="s">
        <v>1436</v>
      </c>
      <c r="R92" s="4" t="s">
        <v>1437</v>
      </c>
      <c r="S92" s="4" t="s">
        <v>231</v>
      </c>
      <c r="T92" s="7">
        <v>43506</v>
      </c>
      <c r="U92" s="4">
        <v>0</v>
      </c>
      <c r="V92" s="4">
        <v>0</v>
      </c>
      <c r="W92" s="4" t="s">
        <v>232</v>
      </c>
      <c r="X92" s="4" t="s">
        <v>293</v>
      </c>
      <c r="Y92" s="4" t="s">
        <v>233</v>
      </c>
      <c r="Z92" s="4" t="s">
        <v>234</v>
      </c>
      <c r="AA92" s="4" t="s">
        <v>233</v>
      </c>
      <c r="AB92" s="4"/>
    </row>
    <row r="93" spans="1:28" x14ac:dyDescent="0.4">
      <c r="A93" s="4" t="s">
        <v>216</v>
      </c>
      <c r="B93" s="4">
        <v>2236</v>
      </c>
      <c r="C93" s="4" t="s">
        <v>217</v>
      </c>
      <c r="D93" s="4" t="s">
        <v>1427</v>
      </c>
      <c r="E93" s="4" t="s">
        <v>1428</v>
      </c>
      <c r="F93" s="4" t="s">
        <v>1429</v>
      </c>
      <c r="G93" s="4" t="s">
        <v>1430</v>
      </c>
      <c r="H93" s="4" t="s">
        <v>1431</v>
      </c>
      <c r="I93" s="4" t="s">
        <v>34</v>
      </c>
      <c r="J93" s="4" t="s">
        <v>1432</v>
      </c>
      <c r="K93" s="4" t="s">
        <v>224</v>
      </c>
      <c r="L93" s="5">
        <v>447587132666</v>
      </c>
      <c r="M93" s="4" t="s">
        <v>1433</v>
      </c>
      <c r="N93" s="4" t="s">
        <v>1434</v>
      </c>
      <c r="O93" s="4"/>
      <c r="P93" s="4" t="s">
        <v>1438</v>
      </c>
      <c r="Q93" s="4" t="s">
        <v>1439</v>
      </c>
      <c r="R93" s="4" t="s">
        <v>1440</v>
      </c>
      <c r="S93" s="4" t="s">
        <v>231</v>
      </c>
      <c r="T93" s="7">
        <v>41951</v>
      </c>
      <c r="U93" s="4">
        <v>0</v>
      </c>
      <c r="V93" s="4">
        <v>0</v>
      </c>
      <c r="W93" s="4" t="s">
        <v>232</v>
      </c>
      <c r="X93" s="4" t="s">
        <v>293</v>
      </c>
      <c r="Y93" s="4" t="s">
        <v>233</v>
      </c>
      <c r="Z93" s="4" t="s">
        <v>234</v>
      </c>
      <c r="AA93" s="4" t="s">
        <v>233</v>
      </c>
      <c r="AB93" s="4"/>
    </row>
    <row r="94" spans="1:28" x14ac:dyDescent="0.4">
      <c r="A94" s="4" t="s">
        <v>216</v>
      </c>
      <c r="B94" s="4">
        <v>2236</v>
      </c>
      <c r="C94" s="4" t="s">
        <v>217</v>
      </c>
      <c r="D94" s="4" t="s">
        <v>1427</v>
      </c>
      <c r="E94" s="4" t="s">
        <v>1428</v>
      </c>
      <c r="F94" s="4" t="s">
        <v>1429</v>
      </c>
      <c r="G94" s="4" t="s">
        <v>1430</v>
      </c>
      <c r="H94" s="4" t="s">
        <v>1431</v>
      </c>
      <c r="I94" s="4" t="s">
        <v>34</v>
      </c>
      <c r="J94" s="4" t="s">
        <v>1432</v>
      </c>
      <c r="K94" s="4" t="s">
        <v>224</v>
      </c>
      <c r="L94" s="5">
        <v>447587132666</v>
      </c>
      <c r="M94" s="4" t="s">
        <v>1433</v>
      </c>
      <c r="N94" s="4" t="s">
        <v>1434</v>
      </c>
      <c r="O94" s="4"/>
      <c r="P94" s="4" t="s">
        <v>1441</v>
      </c>
      <c r="Q94" s="4" t="s">
        <v>1442</v>
      </c>
      <c r="R94" s="4" t="s">
        <v>313</v>
      </c>
      <c r="S94" s="4" t="s">
        <v>257</v>
      </c>
      <c r="T94" s="7">
        <v>44852</v>
      </c>
      <c r="U94" s="4">
        <v>0</v>
      </c>
      <c r="V94" s="4">
        <v>0</v>
      </c>
      <c r="W94" s="4" t="s">
        <v>232</v>
      </c>
      <c r="X94" s="4" t="s">
        <v>293</v>
      </c>
      <c r="Y94" s="4" t="s">
        <v>233</v>
      </c>
      <c r="Z94" s="4" t="s">
        <v>234</v>
      </c>
      <c r="AA94" s="4" t="s">
        <v>233</v>
      </c>
      <c r="AB94" s="4"/>
    </row>
    <row r="95" spans="1:28" x14ac:dyDescent="0.4">
      <c r="A95" s="4" t="s">
        <v>216</v>
      </c>
      <c r="B95" s="4">
        <v>4499</v>
      </c>
      <c r="C95" s="4" t="s">
        <v>242</v>
      </c>
      <c r="D95" s="4" t="s">
        <v>1465</v>
      </c>
      <c r="E95" s="4" t="s">
        <v>1466</v>
      </c>
      <c r="F95" s="4" t="s">
        <v>1467</v>
      </c>
      <c r="G95" s="4" t="s">
        <v>1468</v>
      </c>
      <c r="H95" s="4" t="s">
        <v>945</v>
      </c>
      <c r="I95" s="4" t="s">
        <v>154</v>
      </c>
      <c r="J95" s="4" t="s">
        <v>1469</v>
      </c>
      <c r="K95" s="4" t="s">
        <v>224</v>
      </c>
      <c r="L95" s="5" t="s">
        <v>1470</v>
      </c>
      <c r="M95" s="4" t="s">
        <v>1471</v>
      </c>
      <c r="N95" s="4" t="s">
        <v>1472</v>
      </c>
      <c r="O95" s="4"/>
      <c r="P95" s="4" t="s">
        <v>1475</v>
      </c>
      <c r="Q95" s="4" t="s">
        <v>1476</v>
      </c>
      <c r="R95" s="4" t="s">
        <v>1477</v>
      </c>
      <c r="S95" s="4" t="s">
        <v>257</v>
      </c>
      <c r="T95" s="7">
        <v>45783</v>
      </c>
      <c r="U95" s="4">
        <v>0</v>
      </c>
      <c r="V95" s="4">
        <v>0</v>
      </c>
      <c r="W95" s="4" t="s">
        <v>232</v>
      </c>
      <c r="X95" s="4"/>
      <c r="Y95" s="4" t="s">
        <v>233</v>
      </c>
      <c r="Z95" s="4" t="s">
        <v>234</v>
      </c>
      <c r="AA95" s="4" t="s">
        <v>234</v>
      </c>
      <c r="AB95" s="4"/>
    </row>
    <row r="96" spans="1:28" x14ac:dyDescent="0.4">
      <c r="A96" s="4" t="s">
        <v>216</v>
      </c>
      <c r="B96" s="4">
        <v>4499</v>
      </c>
      <c r="C96" s="4" t="s">
        <v>242</v>
      </c>
      <c r="D96" s="4" t="s">
        <v>1465</v>
      </c>
      <c r="E96" s="4" t="s">
        <v>1466</v>
      </c>
      <c r="F96" s="4" t="s">
        <v>1467</v>
      </c>
      <c r="G96" s="4" t="s">
        <v>1468</v>
      </c>
      <c r="H96" s="4" t="s">
        <v>945</v>
      </c>
      <c r="I96" s="4" t="s">
        <v>154</v>
      </c>
      <c r="J96" s="4" t="s">
        <v>1469</v>
      </c>
      <c r="K96" s="4" t="s">
        <v>224</v>
      </c>
      <c r="L96" s="5" t="s">
        <v>1470</v>
      </c>
      <c r="M96" s="4" t="s">
        <v>1471</v>
      </c>
      <c r="N96" s="4" t="s">
        <v>1472</v>
      </c>
      <c r="O96" s="4"/>
      <c r="P96" s="4" t="s">
        <v>1475</v>
      </c>
      <c r="Q96" s="4" t="s">
        <v>1476</v>
      </c>
      <c r="R96" s="4" t="s">
        <v>1477</v>
      </c>
      <c r="S96" s="4" t="s">
        <v>257</v>
      </c>
      <c r="T96" s="7">
        <v>45783</v>
      </c>
      <c r="U96" s="4">
        <v>0</v>
      </c>
      <c r="V96" s="4">
        <v>0</v>
      </c>
      <c r="W96" s="4" t="s">
        <v>232</v>
      </c>
      <c r="X96" s="4"/>
      <c r="Y96" s="4" t="s">
        <v>233</v>
      </c>
      <c r="Z96" s="4" t="s">
        <v>234</v>
      </c>
      <c r="AA96" s="4" t="s">
        <v>234</v>
      </c>
      <c r="AB96" s="4"/>
    </row>
    <row r="97" spans="1:28" x14ac:dyDescent="0.4">
      <c r="A97" s="4" t="s">
        <v>216</v>
      </c>
      <c r="B97" s="4">
        <v>5642</v>
      </c>
      <c r="C97" s="4" t="s">
        <v>242</v>
      </c>
      <c r="D97" s="4" t="s">
        <v>282</v>
      </c>
      <c r="E97" s="4" t="s">
        <v>1478</v>
      </c>
      <c r="F97" s="4" t="s">
        <v>1479</v>
      </c>
      <c r="G97" s="4"/>
      <c r="H97" s="4" t="s">
        <v>1480</v>
      </c>
      <c r="I97" s="4" t="s">
        <v>34</v>
      </c>
      <c r="J97" s="4" t="s">
        <v>1481</v>
      </c>
      <c r="K97" s="4" t="s">
        <v>224</v>
      </c>
      <c r="L97" s="6" t="s">
        <v>1482</v>
      </c>
      <c r="M97" s="4" t="s">
        <v>1483</v>
      </c>
      <c r="N97" s="4" t="s">
        <v>1484</v>
      </c>
      <c r="O97" s="4"/>
      <c r="P97" s="4" t="s">
        <v>1485</v>
      </c>
      <c r="Q97" s="4" t="s">
        <v>1486</v>
      </c>
      <c r="R97" s="4" t="s">
        <v>1487</v>
      </c>
      <c r="S97" s="4" t="s">
        <v>231</v>
      </c>
      <c r="T97" s="7">
        <v>42299</v>
      </c>
      <c r="U97" s="4">
        <v>0</v>
      </c>
      <c r="V97" s="4">
        <v>0</v>
      </c>
      <c r="W97" s="4" t="s">
        <v>232</v>
      </c>
      <c r="X97" s="4" t="s">
        <v>1488</v>
      </c>
      <c r="Y97" s="4" t="s">
        <v>233</v>
      </c>
      <c r="Z97" s="4" t="s">
        <v>234</v>
      </c>
      <c r="AA97" s="4" t="s">
        <v>234</v>
      </c>
      <c r="AB97" s="4"/>
    </row>
    <row r="98" spans="1:28" x14ac:dyDescent="0.4">
      <c r="A98" s="4" t="s">
        <v>216</v>
      </c>
      <c r="B98" s="4">
        <v>5642</v>
      </c>
      <c r="C98" s="4" t="s">
        <v>242</v>
      </c>
      <c r="D98" s="4" t="s">
        <v>282</v>
      </c>
      <c r="E98" s="4" t="s">
        <v>1478</v>
      </c>
      <c r="F98" s="4" t="s">
        <v>1479</v>
      </c>
      <c r="G98" s="4"/>
      <c r="H98" s="4" t="s">
        <v>1480</v>
      </c>
      <c r="I98" s="4" t="s">
        <v>34</v>
      </c>
      <c r="J98" s="4" t="s">
        <v>1481</v>
      </c>
      <c r="K98" s="4" t="s">
        <v>224</v>
      </c>
      <c r="L98" s="6" t="s">
        <v>1482</v>
      </c>
      <c r="M98" s="4" t="s">
        <v>1483</v>
      </c>
      <c r="N98" s="4" t="s">
        <v>1484</v>
      </c>
      <c r="O98" s="4"/>
      <c r="P98" s="4" t="s">
        <v>1485</v>
      </c>
      <c r="Q98" s="4" t="s">
        <v>1486</v>
      </c>
      <c r="R98" s="4" t="s">
        <v>1487</v>
      </c>
      <c r="S98" s="4" t="s">
        <v>231</v>
      </c>
      <c r="T98" s="7">
        <v>42299</v>
      </c>
      <c r="U98" s="4">
        <v>0</v>
      </c>
      <c r="V98" s="4">
        <v>0</v>
      </c>
      <c r="W98" s="4" t="s">
        <v>232</v>
      </c>
      <c r="X98" s="4" t="s">
        <v>1488</v>
      </c>
      <c r="Y98" s="4" t="s">
        <v>233</v>
      </c>
      <c r="Z98" s="4" t="s">
        <v>234</v>
      </c>
      <c r="AA98" s="4" t="s">
        <v>234</v>
      </c>
      <c r="AB98" s="4"/>
    </row>
    <row r="99" spans="1:28" x14ac:dyDescent="0.4">
      <c r="A99" s="4" t="s">
        <v>216</v>
      </c>
      <c r="B99" s="4">
        <v>2038</v>
      </c>
      <c r="C99" s="4" t="s">
        <v>242</v>
      </c>
      <c r="D99" s="4" t="s">
        <v>1508</v>
      </c>
      <c r="E99" s="4" t="s">
        <v>1509</v>
      </c>
      <c r="F99" s="4" t="s">
        <v>1510</v>
      </c>
      <c r="G99" s="4" t="s">
        <v>1511</v>
      </c>
      <c r="H99" s="4" t="s">
        <v>1512</v>
      </c>
      <c r="I99" s="4" t="s">
        <v>1513</v>
      </c>
      <c r="J99" s="4" t="s">
        <v>1514</v>
      </c>
      <c r="K99" s="4" t="s">
        <v>224</v>
      </c>
      <c r="L99" s="6" t="s">
        <v>1515</v>
      </c>
      <c r="M99" s="4" t="s">
        <v>1516</v>
      </c>
      <c r="N99" s="4" t="s">
        <v>1517</v>
      </c>
      <c r="O99" s="4"/>
      <c r="P99" s="4" t="s">
        <v>1518</v>
      </c>
      <c r="Q99" s="4" t="s">
        <v>1519</v>
      </c>
      <c r="R99" s="4" t="s">
        <v>256</v>
      </c>
      <c r="S99" s="4" t="s">
        <v>257</v>
      </c>
      <c r="T99" s="7">
        <v>42284</v>
      </c>
      <c r="U99" s="4">
        <v>0</v>
      </c>
      <c r="V99" s="4">
        <v>0</v>
      </c>
      <c r="W99" s="4" t="s">
        <v>232</v>
      </c>
      <c r="X99" s="4"/>
      <c r="Y99" s="4" t="s">
        <v>233</v>
      </c>
      <c r="Z99" s="4" t="s">
        <v>234</v>
      </c>
      <c r="AA99" s="4" t="s">
        <v>234</v>
      </c>
      <c r="AB99" s="4"/>
    </row>
    <row r="100" spans="1:28" x14ac:dyDescent="0.4">
      <c r="A100" s="4" t="s">
        <v>216</v>
      </c>
      <c r="B100" s="4">
        <v>2038</v>
      </c>
      <c r="C100" s="4" t="s">
        <v>242</v>
      </c>
      <c r="D100" s="4" t="s">
        <v>1508</v>
      </c>
      <c r="E100" s="4" t="s">
        <v>1509</v>
      </c>
      <c r="F100" s="4" t="s">
        <v>1510</v>
      </c>
      <c r="G100" s="4" t="s">
        <v>1511</v>
      </c>
      <c r="H100" s="4" t="s">
        <v>1512</v>
      </c>
      <c r="I100" s="4" t="s">
        <v>1513</v>
      </c>
      <c r="J100" s="4" t="s">
        <v>1514</v>
      </c>
      <c r="K100" s="4" t="s">
        <v>224</v>
      </c>
      <c r="L100" s="6" t="s">
        <v>1515</v>
      </c>
      <c r="M100" s="4" t="s">
        <v>1516</v>
      </c>
      <c r="N100" s="4" t="s">
        <v>1517</v>
      </c>
      <c r="O100" s="4"/>
      <c r="P100" s="4" t="s">
        <v>1518</v>
      </c>
      <c r="Q100" s="4" t="s">
        <v>1519</v>
      </c>
      <c r="R100" s="4" t="s">
        <v>256</v>
      </c>
      <c r="S100" s="4" t="s">
        <v>257</v>
      </c>
      <c r="T100" s="7">
        <v>42284</v>
      </c>
      <c r="U100" s="4">
        <v>0</v>
      </c>
      <c r="V100" s="4">
        <v>0</v>
      </c>
      <c r="W100" s="4" t="s">
        <v>232</v>
      </c>
      <c r="X100" s="4"/>
      <c r="Y100" s="4" t="s">
        <v>233</v>
      </c>
      <c r="Z100" s="4" t="s">
        <v>234</v>
      </c>
      <c r="AA100" s="4" t="s">
        <v>234</v>
      </c>
      <c r="AB100" s="4"/>
    </row>
    <row r="101" spans="1:28" x14ac:dyDescent="0.4">
      <c r="A101" s="4" t="s">
        <v>216</v>
      </c>
      <c r="B101" s="4">
        <v>2038</v>
      </c>
      <c r="C101" s="4" t="s">
        <v>242</v>
      </c>
      <c r="D101" s="4" t="s">
        <v>1508</v>
      </c>
      <c r="E101" s="4" t="s">
        <v>1509</v>
      </c>
      <c r="F101" s="4" t="s">
        <v>1510</v>
      </c>
      <c r="G101" s="4" t="s">
        <v>1511</v>
      </c>
      <c r="H101" s="4" t="s">
        <v>1512</v>
      </c>
      <c r="I101" s="4" t="s">
        <v>1513</v>
      </c>
      <c r="J101" s="4" t="s">
        <v>1514</v>
      </c>
      <c r="K101" s="4" t="s">
        <v>224</v>
      </c>
      <c r="L101" s="6" t="s">
        <v>1515</v>
      </c>
      <c r="M101" s="4" t="s">
        <v>1516</v>
      </c>
      <c r="N101" s="4" t="s">
        <v>1517</v>
      </c>
      <c r="O101" s="4"/>
      <c r="P101" s="4" t="s">
        <v>1520</v>
      </c>
      <c r="Q101" s="4" t="s">
        <v>1521</v>
      </c>
      <c r="R101" s="4" t="s">
        <v>450</v>
      </c>
      <c r="S101" s="4" t="s">
        <v>257</v>
      </c>
      <c r="T101" s="7">
        <v>44354</v>
      </c>
      <c r="U101" s="4">
        <v>0</v>
      </c>
      <c r="V101" s="4">
        <v>0</v>
      </c>
      <c r="W101" s="4" t="s">
        <v>232</v>
      </c>
      <c r="X101" s="4"/>
      <c r="Y101" s="4" t="s">
        <v>233</v>
      </c>
      <c r="Z101" s="4" t="s">
        <v>234</v>
      </c>
      <c r="AA101" s="4" t="s">
        <v>234</v>
      </c>
      <c r="AB101" s="4"/>
    </row>
    <row r="102" spans="1:28" x14ac:dyDescent="0.4">
      <c r="A102" s="4" t="s">
        <v>216</v>
      </c>
      <c r="B102" s="4">
        <v>2241</v>
      </c>
      <c r="C102" s="4" t="s">
        <v>242</v>
      </c>
      <c r="D102" s="4" t="s">
        <v>701</v>
      </c>
      <c r="E102" s="4" t="s">
        <v>1533</v>
      </c>
      <c r="F102" s="4" t="s">
        <v>1534</v>
      </c>
      <c r="G102" s="4" t="s">
        <v>1535</v>
      </c>
      <c r="H102" s="4" t="s">
        <v>1536</v>
      </c>
      <c r="I102" s="4" t="s">
        <v>154</v>
      </c>
      <c r="J102" s="4" t="s">
        <v>1537</v>
      </c>
      <c r="K102" s="4" t="s">
        <v>224</v>
      </c>
      <c r="L102" s="6" t="s">
        <v>1538</v>
      </c>
      <c r="M102" s="4" t="s">
        <v>1539</v>
      </c>
      <c r="N102" s="4" t="s">
        <v>1540</v>
      </c>
      <c r="O102" s="4"/>
      <c r="P102" s="4" t="s">
        <v>1541</v>
      </c>
      <c r="Q102" s="4" t="s">
        <v>1542</v>
      </c>
      <c r="R102" s="4" t="s">
        <v>252</v>
      </c>
      <c r="S102" s="4" t="s">
        <v>257</v>
      </c>
      <c r="T102" s="7">
        <v>44378</v>
      </c>
      <c r="U102" s="4">
        <v>0</v>
      </c>
      <c r="V102" s="4">
        <v>0</v>
      </c>
      <c r="W102" s="4" t="s">
        <v>232</v>
      </c>
      <c r="X102" s="4" t="s">
        <v>464</v>
      </c>
      <c r="Y102" s="4" t="s">
        <v>233</v>
      </c>
      <c r="Z102" s="4" t="s">
        <v>234</v>
      </c>
      <c r="AA102" s="4" t="s">
        <v>234</v>
      </c>
      <c r="AB102" s="4"/>
    </row>
    <row r="103" spans="1:28" x14ac:dyDescent="0.4">
      <c r="A103" s="4" t="s">
        <v>216</v>
      </c>
      <c r="B103" s="4">
        <v>2241</v>
      </c>
      <c r="C103" s="4" t="s">
        <v>242</v>
      </c>
      <c r="D103" s="4" t="s">
        <v>701</v>
      </c>
      <c r="E103" s="4" t="s">
        <v>1533</v>
      </c>
      <c r="F103" s="4" t="s">
        <v>1534</v>
      </c>
      <c r="G103" s="4" t="s">
        <v>1535</v>
      </c>
      <c r="H103" s="4" t="s">
        <v>1536</v>
      </c>
      <c r="I103" s="4" t="s">
        <v>154</v>
      </c>
      <c r="J103" s="4" t="s">
        <v>1537</v>
      </c>
      <c r="K103" s="4" t="s">
        <v>224</v>
      </c>
      <c r="L103" s="6" t="s">
        <v>1538</v>
      </c>
      <c r="M103" s="4" t="s">
        <v>1539</v>
      </c>
      <c r="N103" s="4" t="s">
        <v>1540</v>
      </c>
      <c r="O103" s="4"/>
      <c r="P103" s="4" t="s">
        <v>1541</v>
      </c>
      <c r="Q103" s="4" t="s">
        <v>1542</v>
      </c>
      <c r="R103" s="4" t="s">
        <v>252</v>
      </c>
      <c r="S103" s="4" t="s">
        <v>257</v>
      </c>
      <c r="T103" s="7">
        <v>44378</v>
      </c>
      <c r="U103" s="4">
        <v>0</v>
      </c>
      <c r="V103" s="4">
        <v>0</v>
      </c>
      <c r="W103" s="4" t="s">
        <v>232</v>
      </c>
      <c r="X103" s="4" t="s">
        <v>464</v>
      </c>
      <c r="Y103" s="4" t="s">
        <v>233</v>
      </c>
      <c r="Z103" s="4" t="s">
        <v>234</v>
      </c>
      <c r="AA103" s="4" t="s">
        <v>234</v>
      </c>
      <c r="AB103" s="4"/>
    </row>
    <row r="104" spans="1:28" x14ac:dyDescent="0.4">
      <c r="A104" s="4" t="s">
        <v>216</v>
      </c>
      <c r="B104" s="4">
        <v>2241</v>
      </c>
      <c r="C104" s="4" t="s">
        <v>242</v>
      </c>
      <c r="D104" s="4" t="s">
        <v>701</v>
      </c>
      <c r="E104" s="4" t="s">
        <v>1533</v>
      </c>
      <c r="F104" s="4" t="s">
        <v>1534</v>
      </c>
      <c r="G104" s="4" t="s">
        <v>1535</v>
      </c>
      <c r="H104" s="4" t="s">
        <v>1536</v>
      </c>
      <c r="I104" s="4" t="s">
        <v>154</v>
      </c>
      <c r="J104" s="4" t="s">
        <v>1537</v>
      </c>
      <c r="K104" s="4" t="s">
        <v>224</v>
      </c>
      <c r="L104" s="6" t="s">
        <v>1538</v>
      </c>
      <c r="M104" s="4" t="s">
        <v>1539</v>
      </c>
      <c r="N104" s="4" t="s">
        <v>1540</v>
      </c>
      <c r="O104" s="4"/>
      <c r="P104" s="4" t="s">
        <v>1543</v>
      </c>
      <c r="Q104" s="4" t="s">
        <v>1544</v>
      </c>
      <c r="R104" s="4" t="s">
        <v>252</v>
      </c>
      <c r="S104" s="4" t="s">
        <v>257</v>
      </c>
      <c r="T104" s="7">
        <v>45366</v>
      </c>
      <c r="U104" s="4">
        <v>0</v>
      </c>
      <c r="V104" s="4">
        <v>0</v>
      </c>
      <c r="W104" s="4" t="s">
        <v>232</v>
      </c>
      <c r="X104" s="4" t="s">
        <v>464</v>
      </c>
      <c r="Y104" s="4" t="s">
        <v>233</v>
      </c>
      <c r="Z104" s="4" t="s">
        <v>234</v>
      </c>
      <c r="AA104" s="4" t="s">
        <v>234</v>
      </c>
      <c r="AB104" s="4"/>
    </row>
    <row r="105" spans="1:28" x14ac:dyDescent="0.4">
      <c r="A105" s="4" t="s">
        <v>216</v>
      </c>
      <c r="B105" s="4">
        <v>4552</v>
      </c>
      <c r="C105" s="4" t="s">
        <v>242</v>
      </c>
      <c r="D105" s="4" t="s">
        <v>1545</v>
      </c>
      <c r="E105" s="4" t="s">
        <v>1546</v>
      </c>
      <c r="F105" s="4" t="s">
        <v>1547</v>
      </c>
      <c r="G105" s="4"/>
      <c r="H105" s="4" t="s">
        <v>1548</v>
      </c>
      <c r="I105" s="4" t="s">
        <v>1549</v>
      </c>
      <c r="J105" s="4" t="s">
        <v>1550</v>
      </c>
      <c r="K105" s="4" t="s">
        <v>224</v>
      </c>
      <c r="L105" s="6" t="s">
        <v>1551</v>
      </c>
      <c r="M105" s="4" t="s">
        <v>1552</v>
      </c>
      <c r="N105" s="4" t="s">
        <v>1553</v>
      </c>
      <c r="O105" s="4"/>
      <c r="P105" s="4" t="s">
        <v>1554</v>
      </c>
      <c r="Q105" s="4" t="s">
        <v>1555</v>
      </c>
      <c r="R105" s="4" t="s">
        <v>1556</v>
      </c>
      <c r="S105" s="4" t="s">
        <v>257</v>
      </c>
      <c r="T105" s="7">
        <v>44086</v>
      </c>
      <c r="U105" s="4">
        <v>0</v>
      </c>
      <c r="V105" s="4">
        <v>0</v>
      </c>
      <c r="W105" s="4" t="s">
        <v>232</v>
      </c>
      <c r="X105" s="4"/>
      <c r="Y105" s="4" t="s">
        <v>233</v>
      </c>
      <c r="Z105" s="4" t="s">
        <v>234</v>
      </c>
      <c r="AA105" s="4" t="s">
        <v>234</v>
      </c>
      <c r="AB105" s="4"/>
    </row>
    <row r="106" spans="1:28" x14ac:dyDescent="0.4">
      <c r="A106" s="4" t="s">
        <v>216</v>
      </c>
      <c r="B106" s="4">
        <v>4552</v>
      </c>
      <c r="C106" s="4" t="s">
        <v>242</v>
      </c>
      <c r="D106" s="4" t="s">
        <v>1545</v>
      </c>
      <c r="E106" s="4" t="s">
        <v>1546</v>
      </c>
      <c r="F106" s="4" t="s">
        <v>1547</v>
      </c>
      <c r="G106" s="4"/>
      <c r="H106" s="4" t="s">
        <v>1548</v>
      </c>
      <c r="I106" s="4" t="s">
        <v>1549</v>
      </c>
      <c r="J106" s="4" t="s">
        <v>1550</v>
      </c>
      <c r="K106" s="4" t="s">
        <v>224</v>
      </c>
      <c r="L106" s="6" t="s">
        <v>1551</v>
      </c>
      <c r="M106" s="4" t="s">
        <v>1552</v>
      </c>
      <c r="N106" s="4" t="s">
        <v>1553</v>
      </c>
      <c r="O106" s="4"/>
      <c r="P106" s="4" t="s">
        <v>1557</v>
      </c>
      <c r="Q106" s="4" t="s">
        <v>1558</v>
      </c>
      <c r="R106" s="4" t="s">
        <v>1556</v>
      </c>
      <c r="S106" s="4" t="s">
        <v>257</v>
      </c>
      <c r="T106" s="7">
        <v>42013</v>
      </c>
      <c r="U106" s="4">
        <v>0</v>
      </c>
      <c r="V106" s="4">
        <v>0</v>
      </c>
      <c r="W106" s="4" t="s">
        <v>232</v>
      </c>
      <c r="X106" s="4"/>
      <c r="Y106" s="4" t="s">
        <v>233</v>
      </c>
      <c r="Z106" s="4" t="s">
        <v>234</v>
      </c>
      <c r="AA106" s="4" t="s">
        <v>234</v>
      </c>
      <c r="AB106" s="4"/>
    </row>
    <row r="107" spans="1:28" x14ac:dyDescent="0.4">
      <c r="A107" s="4" t="s">
        <v>216</v>
      </c>
      <c r="B107" s="4">
        <v>4552</v>
      </c>
      <c r="C107" s="4" t="s">
        <v>242</v>
      </c>
      <c r="D107" s="4" t="s">
        <v>1545</v>
      </c>
      <c r="E107" s="4" t="s">
        <v>1546</v>
      </c>
      <c r="F107" s="4" t="s">
        <v>1547</v>
      </c>
      <c r="G107" s="4"/>
      <c r="H107" s="4" t="s">
        <v>1548</v>
      </c>
      <c r="I107" s="4" t="s">
        <v>1549</v>
      </c>
      <c r="J107" s="4" t="s">
        <v>1550</v>
      </c>
      <c r="K107" s="4" t="s">
        <v>224</v>
      </c>
      <c r="L107" s="6" t="s">
        <v>1551</v>
      </c>
      <c r="M107" s="4" t="s">
        <v>1552</v>
      </c>
      <c r="N107" s="4" t="s">
        <v>1553</v>
      </c>
      <c r="O107" s="4"/>
      <c r="P107" s="4" t="s">
        <v>1559</v>
      </c>
      <c r="Q107" s="4" t="s">
        <v>1560</v>
      </c>
      <c r="R107" s="4" t="s">
        <v>1381</v>
      </c>
      <c r="S107" s="4" t="s">
        <v>231</v>
      </c>
      <c r="T107" s="7">
        <v>45406</v>
      </c>
      <c r="U107" s="4">
        <v>0</v>
      </c>
      <c r="V107" s="4">
        <v>0</v>
      </c>
      <c r="W107" s="4" t="s">
        <v>232</v>
      </c>
      <c r="X107" s="4"/>
      <c r="Y107" s="4" t="s">
        <v>233</v>
      </c>
      <c r="Z107" s="4" t="s">
        <v>234</v>
      </c>
      <c r="AA107" s="4" t="s">
        <v>234</v>
      </c>
      <c r="AB107" s="4"/>
    </row>
    <row r="108" spans="1:28" x14ac:dyDescent="0.4">
      <c r="A108" s="4" t="s">
        <v>216</v>
      </c>
      <c r="B108" s="4">
        <v>4552</v>
      </c>
      <c r="C108" s="4" t="s">
        <v>242</v>
      </c>
      <c r="D108" s="4" t="s">
        <v>1545</v>
      </c>
      <c r="E108" s="4" t="s">
        <v>1546</v>
      </c>
      <c r="F108" s="4" t="s">
        <v>1547</v>
      </c>
      <c r="G108" s="4"/>
      <c r="H108" s="4" t="s">
        <v>1548</v>
      </c>
      <c r="I108" s="4" t="s">
        <v>1549</v>
      </c>
      <c r="J108" s="4" t="s">
        <v>1550</v>
      </c>
      <c r="K108" s="4" t="s">
        <v>224</v>
      </c>
      <c r="L108" s="6" t="s">
        <v>1551</v>
      </c>
      <c r="M108" s="4" t="s">
        <v>1552</v>
      </c>
      <c r="N108" s="4" t="s">
        <v>1553</v>
      </c>
      <c r="O108" s="4"/>
      <c r="P108" s="4" t="s">
        <v>1554</v>
      </c>
      <c r="Q108" s="4" t="s">
        <v>1555</v>
      </c>
      <c r="R108" s="4" t="s">
        <v>1556</v>
      </c>
      <c r="S108" s="4" t="s">
        <v>257</v>
      </c>
      <c r="T108" s="7">
        <v>44086</v>
      </c>
      <c r="U108" s="4">
        <v>0</v>
      </c>
      <c r="V108" s="4">
        <v>0</v>
      </c>
      <c r="W108" s="4" t="s">
        <v>232</v>
      </c>
      <c r="X108" s="4"/>
      <c r="Y108" s="4" t="s">
        <v>233</v>
      </c>
      <c r="Z108" s="4" t="s">
        <v>234</v>
      </c>
      <c r="AA108" s="4" t="s">
        <v>234</v>
      </c>
      <c r="AB108" s="4"/>
    </row>
    <row r="109" spans="1:28" x14ac:dyDescent="0.4">
      <c r="A109" s="4" t="s">
        <v>216</v>
      </c>
      <c r="B109" s="4">
        <v>4552</v>
      </c>
      <c r="C109" s="4" t="s">
        <v>242</v>
      </c>
      <c r="D109" s="4" t="s">
        <v>1545</v>
      </c>
      <c r="E109" s="4" t="s">
        <v>1546</v>
      </c>
      <c r="F109" s="4" t="s">
        <v>1547</v>
      </c>
      <c r="G109" s="4"/>
      <c r="H109" s="4" t="s">
        <v>1548</v>
      </c>
      <c r="I109" s="4" t="s">
        <v>1549</v>
      </c>
      <c r="J109" s="4" t="s">
        <v>1550</v>
      </c>
      <c r="K109" s="4" t="s">
        <v>224</v>
      </c>
      <c r="L109" s="6" t="s">
        <v>1551</v>
      </c>
      <c r="M109" s="4" t="s">
        <v>1552</v>
      </c>
      <c r="N109" s="4" t="s">
        <v>1553</v>
      </c>
      <c r="O109" s="4"/>
      <c r="P109" s="4" t="s">
        <v>1559</v>
      </c>
      <c r="Q109" s="4" t="s">
        <v>1560</v>
      </c>
      <c r="R109" s="4" t="s">
        <v>1381</v>
      </c>
      <c r="S109" s="4" t="s">
        <v>231</v>
      </c>
      <c r="T109" s="7">
        <v>45406</v>
      </c>
      <c r="U109" s="4">
        <v>0</v>
      </c>
      <c r="V109" s="4">
        <v>0</v>
      </c>
      <c r="W109" s="4" t="s">
        <v>232</v>
      </c>
      <c r="X109" s="4"/>
      <c r="Y109" s="4" t="s">
        <v>233</v>
      </c>
      <c r="Z109" s="4" t="s">
        <v>234</v>
      </c>
      <c r="AA109" s="4" t="s">
        <v>234</v>
      </c>
      <c r="AB109" s="4"/>
    </row>
    <row r="110" spans="1:28" x14ac:dyDescent="0.4">
      <c r="A110" s="4" t="s">
        <v>216</v>
      </c>
      <c r="B110" s="4">
        <v>4552</v>
      </c>
      <c r="C110" s="4" t="s">
        <v>242</v>
      </c>
      <c r="D110" s="4" t="s">
        <v>1545</v>
      </c>
      <c r="E110" s="4" t="s">
        <v>1546</v>
      </c>
      <c r="F110" s="4" t="s">
        <v>1547</v>
      </c>
      <c r="G110" s="4"/>
      <c r="H110" s="4" t="s">
        <v>1548</v>
      </c>
      <c r="I110" s="4" t="s">
        <v>1549</v>
      </c>
      <c r="J110" s="4" t="s">
        <v>1550</v>
      </c>
      <c r="K110" s="4" t="s">
        <v>224</v>
      </c>
      <c r="L110" s="6" t="s">
        <v>1551</v>
      </c>
      <c r="M110" s="4" t="s">
        <v>1552</v>
      </c>
      <c r="N110" s="4" t="s">
        <v>1553</v>
      </c>
      <c r="O110" s="4"/>
      <c r="P110" s="4" t="s">
        <v>1557</v>
      </c>
      <c r="Q110" s="4" t="s">
        <v>1558</v>
      </c>
      <c r="R110" s="4" t="s">
        <v>1556</v>
      </c>
      <c r="S110" s="4" t="s">
        <v>257</v>
      </c>
      <c r="T110" s="7">
        <v>42013</v>
      </c>
      <c r="U110" s="4">
        <v>0</v>
      </c>
      <c r="V110" s="4">
        <v>0</v>
      </c>
      <c r="W110" s="4" t="s">
        <v>232</v>
      </c>
      <c r="X110" s="4"/>
      <c r="Y110" s="4" t="s">
        <v>233</v>
      </c>
      <c r="Z110" s="4" t="s">
        <v>234</v>
      </c>
      <c r="AA110" s="4" t="s">
        <v>234</v>
      </c>
      <c r="AB110" s="4"/>
    </row>
    <row r="111" spans="1:28" x14ac:dyDescent="0.4">
      <c r="A111" s="4" t="s">
        <v>216</v>
      </c>
      <c r="B111" s="4">
        <v>3275</v>
      </c>
      <c r="C111" s="4" t="s">
        <v>242</v>
      </c>
      <c r="D111" s="4" t="s">
        <v>88</v>
      </c>
      <c r="E111" s="4" t="s">
        <v>1569</v>
      </c>
      <c r="F111" s="4" t="s">
        <v>1578</v>
      </c>
      <c r="G111" s="4"/>
      <c r="H111" s="4" t="s">
        <v>1579</v>
      </c>
      <c r="I111" s="4" t="s">
        <v>1580</v>
      </c>
      <c r="J111" s="4" t="s">
        <v>1581</v>
      </c>
      <c r="K111" s="4" t="s">
        <v>224</v>
      </c>
      <c r="L111" s="6" t="s">
        <v>1582</v>
      </c>
      <c r="M111" s="4" t="s">
        <v>1583</v>
      </c>
      <c r="N111" s="4" t="s">
        <v>88</v>
      </c>
      <c r="O111" s="4"/>
      <c r="P111" s="4" t="s">
        <v>1584</v>
      </c>
      <c r="Q111" s="4" t="s">
        <v>1585</v>
      </c>
      <c r="R111" s="4" t="s">
        <v>405</v>
      </c>
      <c r="S111" s="4" t="s">
        <v>257</v>
      </c>
      <c r="T111" s="7">
        <v>43868</v>
      </c>
      <c r="U111" s="4">
        <v>0</v>
      </c>
      <c r="V111" s="4">
        <v>0</v>
      </c>
      <c r="W111" s="4" t="s">
        <v>232</v>
      </c>
      <c r="X111" s="4" t="s">
        <v>1077</v>
      </c>
      <c r="Y111" s="4" t="s">
        <v>233</v>
      </c>
      <c r="Z111" s="4" t="s">
        <v>234</v>
      </c>
      <c r="AA111" s="4" t="s">
        <v>233</v>
      </c>
      <c r="AB111" s="4"/>
    </row>
    <row r="112" spans="1:28" x14ac:dyDescent="0.4">
      <c r="A112" s="4" t="s">
        <v>216</v>
      </c>
      <c r="B112" s="4">
        <v>3275</v>
      </c>
      <c r="C112" s="4" t="s">
        <v>242</v>
      </c>
      <c r="D112" s="4" t="s">
        <v>88</v>
      </c>
      <c r="E112" s="4" t="s">
        <v>1569</v>
      </c>
      <c r="F112" s="4" t="s">
        <v>1578</v>
      </c>
      <c r="G112" s="4"/>
      <c r="H112" s="4" t="s">
        <v>1579</v>
      </c>
      <c r="I112" s="4" t="s">
        <v>1580</v>
      </c>
      <c r="J112" s="4" t="s">
        <v>1581</v>
      </c>
      <c r="K112" s="4" t="s">
        <v>224</v>
      </c>
      <c r="L112" s="6" t="s">
        <v>1582</v>
      </c>
      <c r="M112" s="4" t="s">
        <v>1583</v>
      </c>
      <c r="N112" s="4" t="s">
        <v>88</v>
      </c>
      <c r="O112" s="4"/>
      <c r="P112" s="4" t="s">
        <v>1584</v>
      </c>
      <c r="Q112" s="4" t="s">
        <v>1585</v>
      </c>
      <c r="R112" s="4" t="s">
        <v>405</v>
      </c>
      <c r="S112" s="4" t="s">
        <v>257</v>
      </c>
      <c r="T112" s="7">
        <v>43868</v>
      </c>
      <c r="U112" s="4">
        <v>0</v>
      </c>
      <c r="V112" s="4">
        <v>0</v>
      </c>
      <c r="W112" s="4" t="s">
        <v>232</v>
      </c>
      <c r="X112" s="4" t="s">
        <v>1077</v>
      </c>
      <c r="Y112" s="4" t="s">
        <v>233</v>
      </c>
      <c r="Z112" s="4" t="s">
        <v>234</v>
      </c>
      <c r="AA112" s="4" t="s">
        <v>233</v>
      </c>
      <c r="AB112" s="4"/>
    </row>
    <row r="113" spans="1:28" x14ac:dyDescent="0.4">
      <c r="A113" s="4" t="s">
        <v>216</v>
      </c>
      <c r="B113" s="4">
        <v>3275</v>
      </c>
      <c r="C113" s="4" t="s">
        <v>242</v>
      </c>
      <c r="D113" s="4" t="s">
        <v>88</v>
      </c>
      <c r="E113" s="4" t="s">
        <v>1569</v>
      </c>
      <c r="F113" s="4" t="s">
        <v>1578</v>
      </c>
      <c r="G113" s="4"/>
      <c r="H113" s="4" t="s">
        <v>1579</v>
      </c>
      <c r="I113" s="4" t="s">
        <v>1580</v>
      </c>
      <c r="J113" s="4" t="s">
        <v>1581</v>
      </c>
      <c r="K113" s="4" t="s">
        <v>224</v>
      </c>
      <c r="L113" s="6" t="s">
        <v>1582</v>
      </c>
      <c r="M113" s="4" t="s">
        <v>1583</v>
      </c>
      <c r="N113" s="4" t="s">
        <v>88</v>
      </c>
      <c r="O113" s="4"/>
      <c r="P113" s="4" t="s">
        <v>1586</v>
      </c>
      <c r="Q113" s="4" t="s">
        <v>1587</v>
      </c>
      <c r="R113" s="4"/>
      <c r="S113" s="4" t="s">
        <v>231</v>
      </c>
      <c r="T113" s="7">
        <v>45364</v>
      </c>
      <c r="U113" s="4">
        <v>0</v>
      </c>
      <c r="V113" s="4">
        <v>0</v>
      </c>
      <c r="W113" s="4" t="s">
        <v>232</v>
      </c>
      <c r="X113" s="4" t="s">
        <v>1077</v>
      </c>
      <c r="Y113" s="4" t="s">
        <v>233</v>
      </c>
      <c r="Z113" s="4" t="s">
        <v>234</v>
      </c>
      <c r="AA113" s="4" t="s">
        <v>233</v>
      </c>
      <c r="AB113" s="4"/>
    </row>
    <row r="114" spans="1:28" x14ac:dyDescent="0.4">
      <c r="A114" s="4" t="s">
        <v>216</v>
      </c>
      <c r="B114" s="4">
        <v>3275</v>
      </c>
      <c r="C114" s="4" t="s">
        <v>242</v>
      </c>
      <c r="D114" s="4" t="s">
        <v>88</v>
      </c>
      <c r="E114" s="4" t="s">
        <v>1569</v>
      </c>
      <c r="F114" s="4" t="s">
        <v>1578</v>
      </c>
      <c r="G114" s="4"/>
      <c r="H114" s="4" t="s">
        <v>1579</v>
      </c>
      <c r="I114" s="4" t="s">
        <v>1580</v>
      </c>
      <c r="J114" s="4" t="s">
        <v>1581</v>
      </c>
      <c r="K114" s="4" t="s">
        <v>224</v>
      </c>
      <c r="L114" s="6" t="s">
        <v>1582</v>
      </c>
      <c r="M114" s="4" t="s">
        <v>1583</v>
      </c>
      <c r="N114" s="4" t="s">
        <v>88</v>
      </c>
      <c r="O114" s="4"/>
      <c r="P114" s="4" t="s">
        <v>1586</v>
      </c>
      <c r="Q114" s="4" t="s">
        <v>1587</v>
      </c>
      <c r="R114" s="4"/>
      <c r="S114" s="4" t="s">
        <v>231</v>
      </c>
      <c r="T114" s="7">
        <v>45364</v>
      </c>
      <c r="U114" s="4">
        <v>0</v>
      </c>
      <c r="V114" s="4">
        <v>0</v>
      </c>
      <c r="W114" s="4" t="s">
        <v>232</v>
      </c>
      <c r="X114" s="4" t="s">
        <v>1077</v>
      </c>
      <c r="Y114" s="4" t="s">
        <v>233</v>
      </c>
      <c r="Z114" s="4" t="s">
        <v>234</v>
      </c>
      <c r="AA114" s="4" t="s">
        <v>233</v>
      </c>
      <c r="AB114" s="4"/>
    </row>
    <row r="115" spans="1:28" x14ac:dyDescent="0.4">
      <c r="A115" s="4" t="s">
        <v>216</v>
      </c>
      <c r="B115" s="4">
        <v>1337</v>
      </c>
      <c r="C115" s="4" t="s">
        <v>242</v>
      </c>
      <c r="D115" s="4" t="s">
        <v>1606</v>
      </c>
      <c r="E115" s="4" t="s">
        <v>1607</v>
      </c>
      <c r="F115" s="4">
        <v>29</v>
      </c>
      <c r="G115" s="4" t="s">
        <v>1608</v>
      </c>
      <c r="H115" s="4" t="s">
        <v>1446</v>
      </c>
      <c r="I115" s="4" t="s">
        <v>143</v>
      </c>
      <c r="J115" s="4" t="s">
        <v>1609</v>
      </c>
      <c r="K115" s="4" t="s">
        <v>224</v>
      </c>
      <c r="L115" s="6" t="s">
        <v>1610</v>
      </c>
      <c r="M115" s="4" t="s">
        <v>1611</v>
      </c>
      <c r="N115" s="4" t="s">
        <v>1612</v>
      </c>
      <c r="O115" s="4"/>
      <c r="P115" s="4" t="s">
        <v>1616</v>
      </c>
      <c r="Q115" s="4" t="s">
        <v>1617</v>
      </c>
      <c r="R115" s="4" t="s">
        <v>252</v>
      </c>
      <c r="S115" s="4" t="s">
        <v>231</v>
      </c>
      <c r="T115" s="7">
        <v>41218</v>
      </c>
      <c r="U115" s="4">
        <v>0</v>
      </c>
      <c r="V115" s="4">
        <v>0</v>
      </c>
      <c r="W115" s="4" t="s">
        <v>232</v>
      </c>
      <c r="X115" s="4"/>
      <c r="Y115" s="4" t="s">
        <v>233</v>
      </c>
      <c r="Z115" s="4" t="s">
        <v>234</v>
      </c>
      <c r="AA115" s="4" t="s">
        <v>234</v>
      </c>
      <c r="AB115" s="4" t="s">
        <v>1615</v>
      </c>
    </row>
    <row r="116" spans="1:28" x14ac:dyDescent="0.4">
      <c r="A116" s="4" t="s">
        <v>216</v>
      </c>
      <c r="B116" s="4">
        <v>1337</v>
      </c>
      <c r="C116" s="4" t="s">
        <v>242</v>
      </c>
      <c r="D116" s="4" t="s">
        <v>1606</v>
      </c>
      <c r="E116" s="4" t="s">
        <v>1607</v>
      </c>
      <c r="F116" s="4">
        <v>29</v>
      </c>
      <c r="G116" s="4" t="s">
        <v>1608</v>
      </c>
      <c r="H116" s="4" t="s">
        <v>1446</v>
      </c>
      <c r="I116" s="4" t="s">
        <v>143</v>
      </c>
      <c r="J116" s="4" t="s">
        <v>1609</v>
      </c>
      <c r="K116" s="4" t="s">
        <v>224</v>
      </c>
      <c r="L116" s="6" t="s">
        <v>1610</v>
      </c>
      <c r="M116" s="4" t="s">
        <v>1611</v>
      </c>
      <c r="N116" s="4" t="s">
        <v>1612</v>
      </c>
      <c r="O116" s="4"/>
      <c r="P116" s="4" t="s">
        <v>1618</v>
      </c>
      <c r="Q116" s="4" t="s">
        <v>1619</v>
      </c>
      <c r="R116" s="4" t="s">
        <v>1620</v>
      </c>
      <c r="S116" s="4" t="s">
        <v>257</v>
      </c>
      <c r="T116" s="7">
        <v>43242</v>
      </c>
      <c r="U116" s="4">
        <v>0</v>
      </c>
      <c r="V116" s="4">
        <v>0</v>
      </c>
      <c r="W116" s="4" t="s">
        <v>232</v>
      </c>
      <c r="X116" s="4"/>
      <c r="Y116" s="4" t="s">
        <v>233</v>
      </c>
      <c r="Z116" s="4" t="s">
        <v>234</v>
      </c>
      <c r="AA116" s="4" t="s">
        <v>234</v>
      </c>
      <c r="AB116" s="4" t="s">
        <v>1615</v>
      </c>
    </row>
    <row r="117" spans="1:28" x14ac:dyDescent="0.4">
      <c r="A117" s="4" t="s">
        <v>216</v>
      </c>
      <c r="B117" s="4">
        <v>1337</v>
      </c>
      <c r="C117" s="4" t="s">
        <v>242</v>
      </c>
      <c r="D117" s="4" t="s">
        <v>1606</v>
      </c>
      <c r="E117" s="4" t="s">
        <v>1607</v>
      </c>
      <c r="F117" s="4">
        <v>29</v>
      </c>
      <c r="G117" s="4" t="s">
        <v>1608</v>
      </c>
      <c r="H117" s="4" t="s">
        <v>1446</v>
      </c>
      <c r="I117" s="4" t="s">
        <v>143</v>
      </c>
      <c r="J117" s="4" t="s">
        <v>1609</v>
      </c>
      <c r="K117" s="4" t="s">
        <v>224</v>
      </c>
      <c r="L117" s="6" t="s">
        <v>1610</v>
      </c>
      <c r="M117" s="4" t="s">
        <v>1611</v>
      </c>
      <c r="N117" s="4" t="s">
        <v>1612</v>
      </c>
      <c r="O117" s="4"/>
      <c r="P117" s="4" t="s">
        <v>1621</v>
      </c>
      <c r="Q117" s="4" t="s">
        <v>1622</v>
      </c>
      <c r="R117" s="4" t="s">
        <v>256</v>
      </c>
      <c r="S117" s="4" t="s">
        <v>257</v>
      </c>
      <c r="T117" s="7">
        <v>42150</v>
      </c>
      <c r="U117" s="4">
        <v>0</v>
      </c>
      <c r="V117" s="4">
        <v>0</v>
      </c>
      <c r="W117" s="4" t="s">
        <v>232</v>
      </c>
      <c r="X117" s="4"/>
      <c r="Y117" s="4" t="s">
        <v>233</v>
      </c>
      <c r="Z117" s="4" t="s">
        <v>234</v>
      </c>
      <c r="AA117" s="4" t="s">
        <v>234</v>
      </c>
      <c r="AB117" s="4" t="s">
        <v>1615</v>
      </c>
    </row>
    <row r="118" spans="1:28" x14ac:dyDescent="0.4">
      <c r="A118" s="4" t="s">
        <v>216</v>
      </c>
      <c r="B118" s="4">
        <v>1337</v>
      </c>
      <c r="C118" s="4" t="s">
        <v>242</v>
      </c>
      <c r="D118" s="4" t="s">
        <v>1606</v>
      </c>
      <c r="E118" s="4" t="s">
        <v>1607</v>
      </c>
      <c r="F118" s="4">
        <v>29</v>
      </c>
      <c r="G118" s="4" t="s">
        <v>1608</v>
      </c>
      <c r="H118" s="4" t="s">
        <v>1446</v>
      </c>
      <c r="I118" s="4" t="s">
        <v>143</v>
      </c>
      <c r="J118" s="4" t="s">
        <v>1609</v>
      </c>
      <c r="K118" s="4" t="s">
        <v>224</v>
      </c>
      <c r="L118" s="6" t="s">
        <v>1610</v>
      </c>
      <c r="M118" s="4" t="s">
        <v>1611</v>
      </c>
      <c r="N118" s="4" t="s">
        <v>1612</v>
      </c>
      <c r="O118" s="4"/>
      <c r="P118" s="4" t="s">
        <v>1613</v>
      </c>
      <c r="Q118" s="4" t="s">
        <v>1614</v>
      </c>
      <c r="R118" s="4" t="s">
        <v>313</v>
      </c>
      <c r="S118" s="4" t="s">
        <v>231</v>
      </c>
      <c r="T118" s="7">
        <v>44163</v>
      </c>
      <c r="U118" s="4">
        <v>0</v>
      </c>
      <c r="V118" s="4">
        <v>0</v>
      </c>
      <c r="W118" s="4" t="s">
        <v>232</v>
      </c>
      <c r="X118" s="4"/>
      <c r="Y118" s="4" t="s">
        <v>233</v>
      </c>
      <c r="Z118" s="4" t="s">
        <v>234</v>
      </c>
      <c r="AA118" s="4" t="s">
        <v>234</v>
      </c>
      <c r="AB118" s="4" t="s">
        <v>1615</v>
      </c>
    </row>
    <row r="119" spans="1:28" x14ac:dyDescent="0.4">
      <c r="A119" s="4" t="s">
        <v>216</v>
      </c>
      <c r="B119" s="4">
        <v>1337</v>
      </c>
      <c r="C119" s="4" t="s">
        <v>242</v>
      </c>
      <c r="D119" s="4" t="s">
        <v>1606</v>
      </c>
      <c r="E119" s="4" t="s">
        <v>1607</v>
      </c>
      <c r="F119" s="4">
        <v>29</v>
      </c>
      <c r="G119" s="4" t="s">
        <v>1608</v>
      </c>
      <c r="H119" s="4" t="s">
        <v>1446</v>
      </c>
      <c r="I119" s="4" t="s">
        <v>143</v>
      </c>
      <c r="J119" s="4" t="s">
        <v>1609</v>
      </c>
      <c r="K119" s="4" t="s">
        <v>224</v>
      </c>
      <c r="L119" s="6" t="s">
        <v>1610</v>
      </c>
      <c r="M119" s="4" t="s">
        <v>1611</v>
      </c>
      <c r="N119" s="4" t="s">
        <v>1612</v>
      </c>
      <c r="O119" s="4"/>
      <c r="P119" s="4" t="s">
        <v>1616</v>
      </c>
      <c r="Q119" s="4" t="s">
        <v>1617</v>
      </c>
      <c r="R119" s="4" t="s">
        <v>252</v>
      </c>
      <c r="S119" s="4" t="s">
        <v>231</v>
      </c>
      <c r="T119" s="7">
        <v>41218</v>
      </c>
      <c r="U119" s="4">
        <v>0</v>
      </c>
      <c r="V119" s="4">
        <v>0</v>
      </c>
      <c r="W119" s="4" t="s">
        <v>232</v>
      </c>
      <c r="X119" s="4"/>
      <c r="Y119" s="4" t="s">
        <v>233</v>
      </c>
      <c r="Z119" s="4" t="s">
        <v>234</v>
      </c>
      <c r="AA119" s="4" t="s">
        <v>234</v>
      </c>
      <c r="AB119" s="4" t="s">
        <v>1615</v>
      </c>
    </row>
    <row r="120" spans="1:28" x14ac:dyDescent="0.4">
      <c r="A120" s="4" t="s">
        <v>216</v>
      </c>
      <c r="B120" s="4">
        <v>1337</v>
      </c>
      <c r="C120" s="4" t="s">
        <v>242</v>
      </c>
      <c r="D120" s="4" t="s">
        <v>1606</v>
      </c>
      <c r="E120" s="4" t="s">
        <v>1607</v>
      </c>
      <c r="F120" s="4">
        <v>29</v>
      </c>
      <c r="G120" s="4" t="s">
        <v>1608</v>
      </c>
      <c r="H120" s="4" t="s">
        <v>1446</v>
      </c>
      <c r="I120" s="4" t="s">
        <v>143</v>
      </c>
      <c r="J120" s="4" t="s">
        <v>1609</v>
      </c>
      <c r="K120" s="4" t="s">
        <v>224</v>
      </c>
      <c r="L120" s="6" t="s">
        <v>1610</v>
      </c>
      <c r="M120" s="4" t="s">
        <v>1611</v>
      </c>
      <c r="N120" s="4" t="s">
        <v>1612</v>
      </c>
      <c r="O120" s="4"/>
      <c r="P120" s="4" t="s">
        <v>1618</v>
      </c>
      <c r="Q120" s="4" t="s">
        <v>1619</v>
      </c>
      <c r="R120" s="4" t="s">
        <v>1620</v>
      </c>
      <c r="S120" s="4" t="s">
        <v>257</v>
      </c>
      <c r="T120" s="7">
        <v>43242</v>
      </c>
      <c r="U120" s="4">
        <v>0</v>
      </c>
      <c r="V120" s="4">
        <v>0</v>
      </c>
      <c r="W120" s="4" t="s">
        <v>232</v>
      </c>
      <c r="X120" s="4"/>
      <c r="Y120" s="4" t="s">
        <v>233</v>
      </c>
      <c r="Z120" s="4" t="s">
        <v>234</v>
      </c>
      <c r="AA120" s="4" t="s">
        <v>234</v>
      </c>
      <c r="AB120" s="4" t="s">
        <v>1615</v>
      </c>
    </row>
    <row r="121" spans="1:28" x14ac:dyDescent="0.4">
      <c r="A121" s="4" t="s">
        <v>216</v>
      </c>
      <c r="B121" s="4">
        <v>1337</v>
      </c>
      <c r="C121" s="4" t="s">
        <v>242</v>
      </c>
      <c r="D121" s="4" t="s">
        <v>1606</v>
      </c>
      <c r="E121" s="4" t="s">
        <v>1607</v>
      </c>
      <c r="F121" s="4">
        <v>29</v>
      </c>
      <c r="G121" s="4" t="s">
        <v>1608</v>
      </c>
      <c r="H121" s="4" t="s">
        <v>1446</v>
      </c>
      <c r="I121" s="4" t="s">
        <v>143</v>
      </c>
      <c r="J121" s="4" t="s">
        <v>1609</v>
      </c>
      <c r="K121" s="4" t="s">
        <v>224</v>
      </c>
      <c r="L121" s="6" t="s">
        <v>1610</v>
      </c>
      <c r="M121" s="4" t="s">
        <v>1611</v>
      </c>
      <c r="N121" s="4" t="s">
        <v>1612</v>
      </c>
      <c r="O121" s="4"/>
      <c r="P121" s="4" t="s">
        <v>1621</v>
      </c>
      <c r="Q121" s="4" t="s">
        <v>1622</v>
      </c>
      <c r="R121" s="4" t="s">
        <v>256</v>
      </c>
      <c r="S121" s="4" t="s">
        <v>257</v>
      </c>
      <c r="T121" s="7">
        <v>42150</v>
      </c>
      <c r="U121" s="4">
        <v>0</v>
      </c>
      <c r="V121" s="4">
        <v>0</v>
      </c>
      <c r="W121" s="4" t="s">
        <v>232</v>
      </c>
      <c r="X121" s="4"/>
      <c r="Y121" s="4" t="s">
        <v>233</v>
      </c>
      <c r="Z121" s="4" t="s">
        <v>234</v>
      </c>
      <c r="AA121" s="4" t="s">
        <v>234</v>
      </c>
      <c r="AB121" s="4" t="s">
        <v>1615</v>
      </c>
    </row>
    <row r="122" spans="1:28" x14ac:dyDescent="0.4">
      <c r="A122" s="4" t="s">
        <v>216</v>
      </c>
      <c r="B122" s="4">
        <v>3599</v>
      </c>
      <c r="C122" s="4" t="s">
        <v>217</v>
      </c>
      <c r="D122" s="4" t="s">
        <v>1266</v>
      </c>
      <c r="E122" s="4" t="s">
        <v>1693</v>
      </c>
      <c r="F122" s="4" t="s">
        <v>1694</v>
      </c>
      <c r="G122" s="4"/>
      <c r="H122" s="4" t="s">
        <v>1695</v>
      </c>
      <c r="I122" s="4" t="s">
        <v>154</v>
      </c>
      <c r="J122" s="4" t="s">
        <v>1696</v>
      </c>
      <c r="K122" s="4" t="s">
        <v>224</v>
      </c>
      <c r="L122" s="6" t="s">
        <v>1697</v>
      </c>
      <c r="M122" s="4" t="s">
        <v>1698</v>
      </c>
      <c r="N122" s="4" t="s">
        <v>1699</v>
      </c>
      <c r="O122" s="4"/>
      <c r="P122" s="4" t="s">
        <v>1703</v>
      </c>
      <c r="Q122" s="4" t="s">
        <v>1704</v>
      </c>
      <c r="R122" s="4" t="s">
        <v>665</v>
      </c>
      <c r="S122" s="4" t="s">
        <v>257</v>
      </c>
      <c r="T122" s="7">
        <v>43781</v>
      </c>
      <c r="U122" s="4">
        <v>0</v>
      </c>
      <c r="V122" s="4">
        <v>0</v>
      </c>
      <c r="W122" s="4" t="s">
        <v>232</v>
      </c>
      <c r="X122" s="4"/>
      <c r="Y122" s="4" t="s">
        <v>233</v>
      </c>
      <c r="Z122" s="4" t="s">
        <v>234</v>
      </c>
      <c r="AA122" s="4" t="s">
        <v>234</v>
      </c>
      <c r="AB122" s="4"/>
    </row>
    <row r="123" spans="1:28" x14ac:dyDescent="0.4">
      <c r="A123" s="4" t="s">
        <v>216</v>
      </c>
      <c r="B123" s="4">
        <v>193</v>
      </c>
      <c r="C123" s="4" t="s">
        <v>217</v>
      </c>
      <c r="D123" s="4" t="s">
        <v>1705</v>
      </c>
      <c r="E123" s="4" t="s">
        <v>1706</v>
      </c>
      <c r="F123" s="4" t="s">
        <v>1707</v>
      </c>
      <c r="G123" s="4" t="s">
        <v>1708</v>
      </c>
      <c r="H123" s="4" t="s">
        <v>1709</v>
      </c>
      <c r="I123" s="4" t="s">
        <v>1710</v>
      </c>
      <c r="J123" s="4" t="s">
        <v>1711</v>
      </c>
      <c r="K123" s="4" t="s">
        <v>224</v>
      </c>
      <c r="L123" s="6" t="s">
        <v>1712</v>
      </c>
      <c r="M123" s="4" t="s">
        <v>1713</v>
      </c>
      <c r="N123" s="4" t="s">
        <v>1714</v>
      </c>
      <c r="O123" s="4"/>
      <c r="P123" s="4" t="s">
        <v>1718</v>
      </c>
      <c r="Q123" s="4" t="s">
        <v>1719</v>
      </c>
      <c r="R123" s="4" t="s">
        <v>309</v>
      </c>
      <c r="S123" s="4" t="s">
        <v>257</v>
      </c>
      <c r="T123" s="7">
        <v>42099</v>
      </c>
      <c r="U123" s="4">
        <v>0</v>
      </c>
      <c r="V123" s="4">
        <v>0</v>
      </c>
      <c r="W123" s="4" t="s">
        <v>232</v>
      </c>
      <c r="X123" s="4" t="s">
        <v>293</v>
      </c>
      <c r="Y123" s="4" t="s">
        <v>233</v>
      </c>
      <c r="Z123" s="4" t="s">
        <v>234</v>
      </c>
      <c r="AA123" s="4" t="s">
        <v>234</v>
      </c>
      <c r="AB123" s="4"/>
    </row>
    <row r="124" spans="1:28" x14ac:dyDescent="0.4">
      <c r="A124" s="4" t="s">
        <v>216</v>
      </c>
      <c r="B124" s="4">
        <v>193</v>
      </c>
      <c r="C124" s="4" t="s">
        <v>217</v>
      </c>
      <c r="D124" s="4" t="s">
        <v>1705</v>
      </c>
      <c r="E124" s="4" t="s">
        <v>1706</v>
      </c>
      <c r="F124" s="4" t="s">
        <v>1707</v>
      </c>
      <c r="G124" s="4" t="s">
        <v>1708</v>
      </c>
      <c r="H124" s="4" t="s">
        <v>1709</v>
      </c>
      <c r="I124" s="4" t="s">
        <v>1710</v>
      </c>
      <c r="J124" s="4" t="s">
        <v>1711</v>
      </c>
      <c r="K124" s="4" t="s">
        <v>224</v>
      </c>
      <c r="L124" s="6" t="s">
        <v>1712</v>
      </c>
      <c r="M124" s="4" t="s">
        <v>1713</v>
      </c>
      <c r="N124" s="4" t="s">
        <v>1714</v>
      </c>
      <c r="O124" s="4"/>
      <c r="P124" s="4" t="s">
        <v>1720</v>
      </c>
      <c r="Q124" s="4" t="s">
        <v>1721</v>
      </c>
      <c r="R124" s="4" t="s">
        <v>252</v>
      </c>
      <c r="S124" s="4" t="s">
        <v>257</v>
      </c>
      <c r="T124" s="7">
        <v>45795</v>
      </c>
      <c r="U124" s="4">
        <v>0</v>
      </c>
      <c r="V124" s="4">
        <v>0</v>
      </c>
      <c r="W124" s="4" t="s">
        <v>232</v>
      </c>
      <c r="X124" s="4" t="s">
        <v>293</v>
      </c>
      <c r="Y124" s="4" t="s">
        <v>233</v>
      </c>
      <c r="Z124" s="4" t="s">
        <v>234</v>
      </c>
      <c r="AA124" s="4" t="s">
        <v>234</v>
      </c>
      <c r="AB124" s="4"/>
    </row>
    <row r="125" spans="1:28" x14ac:dyDescent="0.4">
      <c r="A125" s="4" t="s">
        <v>216</v>
      </c>
      <c r="B125" s="4">
        <v>193</v>
      </c>
      <c r="C125" s="4" t="s">
        <v>217</v>
      </c>
      <c r="D125" s="4" t="s">
        <v>1705</v>
      </c>
      <c r="E125" s="4" t="s">
        <v>1706</v>
      </c>
      <c r="F125" s="4" t="s">
        <v>1707</v>
      </c>
      <c r="G125" s="4" t="s">
        <v>1708</v>
      </c>
      <c r="H125" s="4" t="s">
        <v>1709</v>
      </c>
      <c r="I125" s="4" t="s">
        <v>1710</v>
      </c>
      <c r="J125" s="4" t="s">
        <v>1711</v>
      </c>
      <c r="K125" s="4" t="s">
        <v>224</v>
      </c>
      <c r="L125" s="6" t="s">
        <v>1712</v>
      </c>
      <c r="M125" s="4" t="s">
        <v>1713</v>
      </c>
      <c r="N125" s="4" t="s">
        <v>1714</v>
      </c>
      <c r="O125" s="4"/>
      <c r="P125" s="4" t="s">
        <v>1722</v>
      </c>
      <c r="Q125" s="4" t="s">
        <v>1723</v>
      </c>
      <c r="R125" s="4" t="s">
        <v>32</v>
      </c>
      <c r="S125" s="4" t="s">
        <v>257</v>
      </c>
      <c r="T125" s="7">
        <v>42639</v>
      </c>
      <c r="U125" s="4">
        <v>0</v>
      </c>
      <c r="V125" s="4">
        <v>0</v>
      </c>
      <c r="W125" s="4" t="s">
        <v>232</v>
      </c>
      <c r="X125" s="4" t="s">
        <v>293</v>
      </c>
      <c r="Y125" s="4" t="s">
        <v>233</v>
      </c>
      <c r="Z125" s="4" t="s">
        <v>234</v>
      </c>
      <c r="AA125" s="4" t="s">
        <v>234</v>
      </c>
      <c r="AB125" s="4"/>
    </row>
    <row r="126" spans="1:28" x14ac:dyDescent="0.4">
      <c r="A126" s="4" t="s">
        <v>216</v>
      </c>
      <c r="B126" s="4">
        <v>193</v>
      </c>
      <c r="C126" s="4" t="s">
        <v>217</v>
      </c>
      <c r="D126" s="4" t="s">
        <v>1705</v>
      </c>
      <c r="E126" s="4" t="s">
        <v>1706</v>
      </c>
      <c r="F126" s="4" t="s">
        <v>1707</v>
      </c>
      <c r="G126" s="4" t="s">
        <v>1708</v>
      </c>
      <c r="H126" s="4" t="s">
        <v>1709</v>
      </c>
      <c r="I126" s="4" t="s">
        <v>1710</v>
      </c>
      <c r="J126" s="4" t="s">
        <v>1711</v>
      </c>
      <c r="K126" s="4" t="s">
        <v>224</v>
      </c>
      <c r="L126" s="6" t="s">
        <v>1712</v>
      </c>
      <c r="M126" s="4" t="s">
        <v>1713</v>
      </c>
      <c r="N126" s="4" t="s">
        <v>1714</v>
      </c>
      <c r="O126" s="4"/>
      <c r="P126" s="4" t="s">
        <v>1724</v>
      </c>
      <c r="Q126" s="4" t="s">
        <v>1725</v>
      </c>
      <c r="R126" s="4" t="s">
        <v>1310</v>
      </c>
      <c r="S126" s="4" t="s">
        <v>257</v>
      </c>
      <c r="T126" s="7">
        <v>44150</v>
      </c>
      <c r="U126" s="4">
        <v>0</v>
      </c>
      <c r="V126" s="4">
        <v>0</v>
      </c>
      <c r="W126" s="4" t="s">
        <v>232</v>
      </c>
      <c r="X126" s="4" t="s">
        <v>293</v>
      </c>
      <c r="Y126" s="4" t="s">
        <v>233</v>
      </c>
      <c r="Z126" s="4" t="s">
        <v>234</v>
      </c>
      <c r="AA126" s="4" t="s">
        <v>234</v>
      </c>
      <c r="AB126" s="4"/>
    </row>
    <row r="127" spans="1:28" x14ac:dyDescent="0.4">
      <c r="A127" s="4" t="s">
        <v>216</v>
      </c>
      <c r="B127" s="4">
        <v>1679</v>
      </c>
      <c r="C127" s="4" t="s">
        <v>217</v>
      </c>
      <c r="D127" s="4" t="s">
        <v>1750</v>
      </c>
      <c r="E127" s="4" t="s">
        <v>1751</v>
      </c>
      <c r="F127" s="4" t="s">
        <v>1752</v>
      </c>
      <c r="G127" s="4" t="s">
        <v>1753</v>
      </c>
      <c r="H127" s="4" t="s">
        <v>1754</v>
      </c>
      <c r="I127" s="4" t="s">
        <v>1755</v>
      </c>
      <c r="J127" s="4" t="s">
        <v>1756</v>
      </c>
      <c r="K127" s="4" t="s">
        <v>224</v>
      </c>
      <c r="L127" s="5" t="s">
        <v>1757</v>
      </c>
      <c r="M127" s="4" t="s">
        <v>1758</v>
      </c>
      <c r="N127" s="4" t="s">
        <v>1759</v>
      </c>
      <c r="O127" s="4"/>
      <c r="P127" s="4" t="s">
        <v>1762</v>
      </c>
      <c r="Q127" s="4" t="s">
        <v>1763</v>
      </c>
      <c r="R127" s="4" t="s">
        <v>296</v>
      </c>
      <c r="S127" s="4" t="s">
        <v>257</v>
      </c>
      <c r="T127" s="7">
        <v>42657</v>
      </c>
      <c r="U127" s="4">
        <v>0</v>
      </c>
      <c r="V127" s="4">
        <v>0</v>
      </c>
      <c r="W127" s="4" t="s">
        <v>232</v>
      </c>
      <c r="X127" s="4" t="s">
        <v>293</v>
      </c>
      <c r="Y127" s="4" t="s">
        <v>233</v>
      </c>
      <c r="Z127" s="4" t="s">
        <v>234</v>
      </c>
      <c r="AA127" s="4" t="s">
        <v>234</v>
      </c>
      <c r="AB127" s="4"/>
    </row>
    <row r="128" spans="1:28" x14ac:dyDescent="0.4">
      <c r="A128" s="4" t="s">
        <v>216</v>
      </c>
      <c r="B128" s="4">
        <v>1679</v>
      </c>
      <c r="C128" s="4" t="s">
        <v>217</v>
      </c>
      <c r="D128" s="4" t="s">
        <v>1750</v>
      </c>
      <c r="E128" s="4" t="s">
        <v>1751</v>
      </c>
      <c r="F128" s="4" t="s">
        <v>1752</v>
      </c>
      <c r="G128" s="4" t="s">
        <v>1753</v>
      </c>
      <c r="H128" s="4" t="s">
        <v>1754</v>
      </c>
      <c r="I128" s="4" t="s">
        <v>1755</v>
      </c>
      <c r="J128" s="4" t="s">
        <v>1756</v>
      </c>
      <c r="K128" s="4" t="s">
        <v>224</v>
      </c>
      <c r="L128" s="5" t="s">
        <v>1757</v>
      </c>
      <c r="M128" s="4" t="s">
        <v>1758</v>
      </c>
      <c r="N128" s="4" t="s">
        <v>1759</v>
      </c>
      <c r="O128" s="4"/>
      <c r="P128" s="4" t="s">
        <v>1762</v>
      </c>
      <c r="Q128" s="4" t="s">
        <v>1763</v>
      </c>
      <c r="R128" s="4" t="s">
        <v>296</v>
      </c>
      <c r="S128" s="4" t="s">
        <v>257</v>
      </c>
      <c r="T128" s="7">
        <v>42657</v>
      </c>
      <c r="U128" s="4">
        <v>0</v>
      </c>
      <c r="V128" s="4">
        <v>0</v>
      </c>
      <c r="W128" s="4" t="s">
        <v>232</v>
      </c>
      <c r="X128" s="4" t="s">
        <v>293</v>
      </c>
      <c r="Y128" s="4" t="s">
        <v>233</v>
      </c>
      <c r="Z128" s="4" t="s">
        <v>234</v>
      </c>
      <c r="AA128" s="4" t="s">
        <v>234</v>
      </c>
      <c r="AB128" s="4"/>
    </row>
    <row r="129" spans="1:28" x14ac:dyDescent="0.4">
      <c r="A129" s="4" t="s">
        <v>216</v>
      </c>
      <c r="B129" s="4">
        <v>2471</v>
      </c>
      <c r="C129" s="4" t="s">
        <v>242</v>
      </c>
      <c r="D129" s="4" t="s">
        <v>1764</v>
      </c>
      <c r="E129" s="4" t="s">
        <v>1765</v>
      </c>
      <c r="F129" s="4" t="s">
        <v>1766</v>
      </c>
      <c r="G129" s="4" t="s">
        <v>1767</v>
      </c>
      <c r="H129" s="4" t="s">
        <v>1768</v>
      </c>
      <c r="I129" s="4" t="s">
        <v>753</v>
      </c>
      <c r="J129" s="4" t="s">
        <v>1769</v>
      </c>
      <c r="K129" s="4" t="s">
        <v>224</v>
      </c>
      <c r="L129" s="6" t="s">
        <v>1770</v>
      </c>
      <c r="M129" s="4" t="s">
        <v>1771</v>
      </c>
      <c r="N129" s="4" t="s">
        <v>1772</v>
      </c>
      <c r="O129" s="4"/>
      <c r="P129" s="4" t="s">
        <v>1773</v>
      </c>
      <c r="Q129" s="4" t="s">
        <v>1774</v>
      </c>
      <c r="R129" s="4" t="s">
        <v>1775</v>
      </c>
      <c r="S129" s="4" t="s">
        <v>257</v>
      </c>
      <c r="T129" s="7">
        <v>41730</v>
      </c>
      <c r="U129" s="4">
        <v>0</v>
      </c>
      <c r="V129" s="4">
        <v>0</v>
      </c>
      <c r="W129" s="4" t="s">
        <v>232</v>
      </c>
      <c r="X129" s="4" t="s">
        <v>293</v>
      </c>
      <c r="Y129" s="4" t="s">
        <v>233</v>
      </c>
      <c r="Z129" s="4" t="s">
        <v>234</v>
      </c>
      <c r="AA129" s="4" t="s">
        <v>234</v>
      </c>
      <c r="AB129" s="4" t="s">
        <v>1776</v>
      </c>
    </row>
    <row r="130" spans="1:28" x14ac:dyDescent="0.4">
      <c r="A130" s="4" t="s">
        <v>216</v>
      </c>
      <c r="B130" s="4">
        <v>2471</v>
      </c>
      <c r="C130" s="4" t="s">
        <v>242</v>
      </c>
      <c r="D130" s="4" t="s">
        <v>1764</v>
      </c>
      <c r="E130" s="4" t="s">
        <v>1765</v>
      </c>
      <c r="F130" s="4" t="s">
        <v>1766</v>
      </c>
      <c r="G130" s="4" t="s">
        <v>1767</v>
      </c>
      <c r="H130" s="4" t="s">
        <v>1768</v>
      </c>
      <c r="I130" s="4" t="s">
        <v>753</v>
      </c>
      <c r="J130" s="4" t="s">
        <v>1769</v>
      </c>
      <c r="K130" s="4" t="s">
        <v>224</v>
      </c>
      <c r="L130" s="6" t="s">
        <v>1770</v>
      </c>
      <c r="M130" s="4" t="s">
        <v>1771</v>
      </c>
      <c r="N130" s="4" t="s">
        <v>1772</v>
      </c>
      <c r="O130" s="4"/>
      <c r="P130" s="4" t="s">
        <v>1773</v>
      </c>
      <c r="Q130" s="4" t="s">
        <v>1774</v>
      </c>
      <c r="R130" s="4" t="s">
        <v>1775</v>
      </c>
      <c r="S130" s="4" t="s">
        <v>257</v>
      </c>
      <c r="T130" s="7">
        <v>41730</v>
      </c>
      <c r="U130" s="4">
        <v>0</v>
      </c>
      <c r="V130" s="4">
        <v>0</v>
      </c>
      <c r="W130" s="4" t="s">
        <v>232</v>
      </c>
      <c r="X130" s="4" t="s">
        <v>293</v>
      </c>
      <c r="Y130" s="4" t="s">
        <v>233</v>
      </c>
      <c r="Z130" s="4" t="s">
        <v>234</v>
      </c>
      <c r="AA130" s="4" t="s">
        <v>234</v>
      </c>
      <c r="AB130" s="4" t="s">
        <v>1776</v>
      </c>
    </row>
    <row r="131" spans="1:28" x14ac:dyDescent="0.4">
      <c r="A131" s="4" t="s">
        <v>216</v>
      </c>
      <c r="B131" s="4">
        <v>4236</v>
      </c>
      <c r="C131" s="4" t="s">
        <v>242</v>
      </c>
      <c r="D131" s="4" t="s">
        <v>952</v>
      </c>
      <c r="E131" s="4" t="s">
        <v>1792</v>
      </c>
      <c r="F131" s="4" t="s">
        <v>1801</v>
      </c>
      <c r="G131" s="4"/>
      <c r="H131" s="4" t="s">
        <v>1802</v>
      </c>
      <c r="I131" s="4" t="s">
        <v>1137</v>
      </c>
      <c r="J131" s="4" t="s">
        <v>1803</v>
      </c>
      <c r="K131" s="4" t="s">
        <v>224</v>
      </c>
      <c r="L131" s="6" t="s">
        <v>1804</v>
      </c>
      <c r="M131" s="4" t="s">
        <v>1805</v>
      </c>
      <c r="N131" s="4" t="s">
        <v>1806</v>
      </c>
      <c r="O131" s="4"/>
      <c r="P131" s="4" t="s">
        <v>1807</v>
      </c>
      <c r="Q131" s="4" t="s">
        <v>1808</v>
      </c>
      <c r="R131" s="4" t="s">
        <v>450</v>
      </c>
      <c r="S131" s="4" t="s">
        <v>231</v>
      </c>
      <c r="T131" s="7">
        <v>42610</v>
      </c>
      <c r="U131" s="4">
        <v>0</v>
      </c>
      <c r="V131" s="4">
        <v>0</v>
      </c>
      <c r="W131" s="4" t="s">
        <v>232</v>
      </c>
      <c r="X131" s="4"/>
      <c r="Y131" s="4" t="s">
        <v>233</v>
      </c>
      <c r="Z131" s="4" t="s">
        <v>234</v>
      </c>
      <c r="AA131" s="4" t="s">
        <v>234</v>
      </c>
      <c r="AB131" s="4"/>
    </row>
    <row r="132" spans="1:28" x14ac:dyDescent="0.4">
      <c r="A132" s="4" t="s">
        <v>216</v>
      </c>
      <c r="B132" s="4">
        <v>5286</v>
      </c>
      <c r="C132" s="4" t="s">
        <v>315</v>
      </c>
      <c r="D132" s="4" t="s">
        <v>1819</v>
      </c>
      <c r="E132" s="4" t="s">
        <v>1820</v>
      </c>
      <c r="F132" s="4" t="s">
        <v>1821</v>
      </c>
      <c r="G132" s="4"/>
      <c r="H132" s="4" t="s">
        <v>1822</v>
      </c>
      <c r="I132" s="4" t="s">
        <v>34</v>
      </c>
      <c r="J132" s="4" t="s">
        <v>1823</v>
      </c>
      <c r="K132" s="4" t="s">
        <v>224</v>
      </c>
      <c r="L132" s="5" t="s">
        <v>1824</v>
      </c>
      <c r="M132" s="4" t="s">
        <v>1825</v>
      </c>
      <c r="N132" s="4" t="s">
        <v>1826</v>
      </c>
      <c r="O132" s="4"/>
      <c r="P132" s="4" t="s">
        <v>1827</v>
      </c>
      <c r="Q132" s="4" t="s">
        <v>1828</v>
      </c>
      <c r="R132" s="4" t="s">
        <v>1829</v>
      </c>
      <c r="S132" s="4" t="s">
        <v>257</v>
      </c>
      <c r="T132" s="7">
        <v>45155</v>
      </c>
      <c r="U132" s="4">
        <v>0</v>
      </c>
      <c r="V132" s="4">
        <v>0</v>
      </c>
      <c r="W132" s="4" t="s">
        <v>232</v>
      </c>
      <c r="X132" s="4"/>
      <c r="Y132" s="4" t="s">
        <v>233</v>
      </c>
      <c r="Z132" s="4" t="s">
        <v>234</v>
      </c>
      <c r="AA132" s="4" t="s">
        <v>234</v>
      </c>
      <c r="AB132" s="4" t="s">
        <v>1830</v>
      </c>
    </row>
    <row r="133" spans="1:28" x14ac:dyDescent="0.4">
      <c r="A133" s="4" t="s">
        <v>216</v>
      </c>
      <c r="B133" s="4">
        <v>5286</v>
      </c>
      <c r="C133" s="4" t="s">
        <v>315</v>
      </c>
      <c r="D133" s="4" t="s">
        <v>1819</v>
      </c>
      <c r="E133" s="4" t="s">
        <v>1820</v>
      </c>
      <c r="F133" s="4" t="s">
        <v>1821</v>
      </c>
      <c r="G133" s="4"/>
      <c r="H133" s="4" t="s">
        <v>1822</v>
      </c>
      <c r="I133" s="4" t="s">
        <v>34</v>
      </c>
      <c r="J133" s="4" t="s">
        <v>1823</v>
      </c>
      <c r="K133" s="4" t="s">
        <v>224</v>
      </c>
      <c r="L133" s="5" t="s">
        <v>1824</v>
      </c>
      <c r="M133" s="4" t="s">
        <v>1825</v>
      </c>
      <c r="N133" s="4" t="s">
        <v>1826</v>
      </c>
      <c r="O133" s="4"/>
      <c r="P133" s="4" t="s">
        <v>1827</v>
      </c>
      <c r="Q133" s="4" t="s">
        <v>1828</v>
      </c>
      <c r="R133" s="4" t="s">
        <v>1829</v>
      </c>
      <c r="S133" s="4" t="s">
        <v>257</v>
      </c>
      <c r="T133" s="7">
        <v>45155</v>
      </c>
      <c r="U133" s="4">
        <v>0</v>
      </c>
      <c r="V133" s="4">
        <v>0</v>
      </c>
      <c r="W133" s="4" t="s">
        <v>232</v>
      </c>
      <c r="X133" s="4"/>
      <c r="Y133" s="4" t="s">
        <v>233</v>
      </c>
      <c r="Z133" s="4" t="s">
        <v>234</v>
      </c>
      <c r="AA133" s="4" t="s">
        <v>234</v>
      </c>
      <c r="AB133" s="4" t="s">
        <v>1830</v>
      </c>
    </row>
    <row r="134" spans="1:28" x14ac:dyDescent="0.4">
      <c r="A134" s="4" t="s">
        <v>216</v>
      </c>
      <c r="B134" s="4">
        <v>499</v>
      </c>
      <c r="C134" s="4" t="s">
        <v>242</v>
      </c>
      <c r="D134" s="4" t="s">
        <v>1833</v>
      </c>
      <c r="E134" s="4" t="s">
        <v>1834</v>
      </c>
      <c r="F134" s="4" t="s">
        <v>1835</v>
      </c>
      <c r="G134" s="4"/>
      <c r="H134" s="4" t="s">
        <v>1836</v>
      </c>
      <c r="I134" s="4" t="s">
        <v>1600</v>
      </c>
      <c r="J134" s="4" t="s">
        <v>1837</v>
      </c>
      <c r="K134" s="4" t="s">
        <v>224</v>
      </c>
      <c r="L134" s="6" t="s">
        <v>1838</v>
      </c>
      <c r="M134" s="4" t="s">
        <v>1839</v>
      </c>
      <c r="N134" s="4" t="s">
        <v>1840</v>
      </c>
      <c r="O134" s="4"/>
      <c r="P134" s="4" t="s">
        <v>1841</v>
      </c>
      <c r="Q134" s="4" t="s">
        <v>1842</v>
      </c>
      <c r="R134" s="4" t="s">
        <v>1299</v>
      </c>
      <c r="S134" s="4" t="s">
        <v>231</v>
      </c>
      <c r="T134" s="7">
        <v>41805</v>
      </c>
      <c r="U134" s="4">
        <v>0</v>
      </c>
      <c r="V134" s="4">
        <v>0</v>
      </c>
      <c r="W134" s="4" t="s">
        <v>232</v>
      </c>
      <c r="X134" s="4"/>
      <c r="Y134" s="4" t="s">
        <v>233</v>
      </c>
      <c r="Z134" s="4" t="s">
        <v>234</v>
      </c>
      <c r="AA134" s="4" t="s">
        <v>234</v>
      </c>
      <c r="AB134" s="4"/>
    </row>
    <row r="135" spans="1:28" x14ac:dyDescent="0.4">
      <c r="A135" s="4" t="s">
        <v>216</v>
      </c>
      <c r="B135" s="4">
        <v>4042</v>
      </c>
      <c r="C135" s="4" t="s">
        <v>417</v>
      </c>
      <c r="D135" s="4" t="s">
        <v>160</v>
      </c>
      <c r="E135" s="4" t="s">
        <v>1896</v>
      </c>
      <c r="F135" s="4" t="s">
        <v>1897</v>
      </c>
      <c r="G135" s="4"/>
      <c r="H135" s="4" t="s">
        <v>1898</v>
      </c>
      <c r="I135" s="4" t="s">
        <v>1899</v>
      </c>
      <c r="J135" s="4" t="s">
        <v>1900</v>
      </c>
      <c r="K135" s="4" t="s">
        <v>224</v>
      </c>
      <c r="L135" s="5" t="s">
        <v>1901</v>
      </c>
      <c r="M135" s="4" t="s">
        <v>1902</v>
      </c>
      <c r="N135" s="4" t="s">
        <v>1903</v>
      </c>
      <c r="O135" s="4"/>
      <c r="P135" s="4" t="s">
        <v>1906</v>
      </c>
      <c r="Q135" s="4" t="s">
        <v>1907</v>
      </c>
      <c r="R135" s="4" t="s">
        <v>296</v>
      </c>
      <c r="S135" s="4" t="s">
        <v>231</v>
      </c>
      <c r="T135" s="7">
        <v>44306</v>
      </c>
      <c r="U135" s="4">
        <v>0</v>
      </c>
      <c r="V135" s="4">
        <v>0</v>
      </c>
      <c r="W135" s="4" t="s">
        <v>232</v>
      </c>
      <c r="X135" s="4" t="s">
        <v>293</v>
      </c>
      <c r="Y135" s="4" t="s">
        <v>233</v>
      </c>
      <c r="Z135" s="4" t="s">
        <v>234</v>
      </c>
      <c r="AA135" s="4" t="s">
        <v>234</v>
      </c>
      <c r="AB135" s="4"/>
    </row>
    <row r="136" spans="1:28" x14ac:dyDescent="0.4">
      <c r="A136" s="4" t="s">
        <v>216</v>
      </c>
      <c r="B136" s="4">
        <v>4042</v>
      </c>
      <c r="C136" s="4" t="s">
        <v>417</v>
      </c>
      <c r="D136" s="4" t="s">
        <v>160</v>
      </c>
      <c r="E136" s="4" t="s">
        <v>1896</v>
      </c>
      <c r="F136" s="4" t="s">
        <v>1897</v>
      </c>
      <c r="G136" s="4"/>
      <c r="H136" s="4" t="s">
        <v>1898</v>
      </c>
      <c r="I136" s="4" t="s">
        <v>1899</v>
      </c>
      <c r="J136" s="4" t="s">
        <v>1900</v>
      </c>
      <c r="K136" s="4" t="s">
        <v>224</v>
      </c>
      <c r="L136" s="5" t="s">
        <v>1901</v>
      </c>
      <c r="M136" s="4" t="s">
        <v>1902</v>
      </c>
      <c r="N136" s="4" t="s">
        <v>1903</v>
      </c>
      <c r="O136" s="4"/>
      <c r="P136" s="4" t="s">
        <v>1906</v>
      </c>
      <c r="Q136" s="4" t="s">
        <v>1907</v>
      </c>
      <c r="R136" s="4" t="s">
        <v>296</v>
      </c>
      <c r="S136" s="4" t="s">
        <v>231</v>
      </c>
      <c r="T136" s="7">
        <v>44306</v>
      </c>
      <c r="U136" s="4">
        <v>0</v>
      </c>
      <c r="V136" s="4">
        <v>0</v>
      </c>
      <c r="W136" s="4" t="s">
        <v>232</v>
      </c>
      <c r="X136" s="4" t="s">
        <v>293</v>
      </c>
      <c r="Y136" s="4" t="s">
        <v>233</v>
      </c>
      <c r="Z136" s="4" t="s">
        <v>234</v>
      </c>
      <c r="AA136" s="4" t="s">
        <v>234</v>
      </c>
      <c r="AB136" s="4"/>
    </row>
    <row r="137" spans="1:28" x14ac:dyDescent="0.4">
      <c r="A137" s="4" t="s">
        <v>216</v>
      </c>
      <c r="B137" s="4">
        <v>4042</v>
      </c>
      <c r="C137" s="4" t="s">
        <v>417</v>
      </c>
      <c r="D137" s="4" t="s">
        <v>160</v>
      </c>
      <c r="E137" s="4" t="s">
        <v>1896</v>
      </c>
      <c r="F137" s="4" t="s">
        <v>1897</v>
      </c>
      <c r="G137" s="4"/>
      <c r="H137" s="4" t="s">
        <v>1898</v>
      </c>
      <c r="I137" s="4" t="s">
        <v>1899</v>
      </c>
      <c r="J137" s="4" t="s">
        <v>1900</v>
      </c>
      <c r="K137" s="4" t="s">
        <v>224</v>
      </c>
      <c r="L137" s="5" t="s">
        <v>1901</v>
      </c>
      <c r="M137" s="4" t="s">
        <v>1902</v>
      </c>
      <c r="N137" s="4" t="s">
        <v>1903</v>
      </c>
      <c r="O137" s="4"/>
      <c r="P137" s="4" t="s">
        <v>1908</v>
      </c>
      <c r="Q137" s="4" t="s">
        <v>1909</v>
      </c>
      <c r="R137" s="4" t="s">
        <v>296</v>
      </c>
      <c r="S137" s="4" t="s">
        <v>231</v>
      </c>
      <c r="T137" s="7">
        <v>41262</v>
      </c>
      <c r="U137" s="4">
        <v>0</v>
      </c>
      <c r="V137" s="4">
        <v>0</v>
      </c>
      <c r="W137" s="4" t="s">
        <v>232</v>
      </c>
      <c r="X137" s="4" t="s">
        <v>293</v>
      </c>
      <c r="Y137" s="4" t="s">
        <v>233</v>
      </c>
      <c r="Z137" s="4" t="s">
        <v>234</v>
      </c>
      <c r="AA137" s="4" t="s">
        <v>234</v>
      </c>
      <c r="AB137" s="4"/>
    </row>
    <row r="138" spans="1:28" x14ac:dyDescent="0.4">
      <c r="A138" s="4" t="s">
        <v>216</v>
      </c>
      <c r="B138" s="4">
        <v>4042</v>
      </c>
      <c r="C138" s="4" t="s">
        <v>417</v>
      </c>
      <c r="D138" s="4" t="s">
        <v>160</v>
      </c>
      <c r="E138" s="4" t="s">
        <v>1896</v>
      </c>
      <c r="F138" s="4" t="s">
        <v>1897</v>
      </c>
      <c r="G138" s="4"/>
      <c r="H138" s="4" t="s">
        <v>1898</v>
      </c>
      <c r="I138" s="4" t="s">
        <v>1899</v>
      </c>
      <c r="J138" s="4" t="s">
        <v>1900</v>
      </c>
      <c r="K138" s="4" t="s">
        <v>224</v>
      </c>
      <c r="L138" s="5" t="s">
        <v>1901</v>
      </c>
      <c r="M138" s="4" t="s">
        <v>1902</v>
      </c>
      <c r="N138" s="4" t="s">
        <v>1903</v>
      </c>
      <c r="O138" s="4"/>
      <c r="P138" s="4" t="s">
        <v>1908</v>
      </c>
      <c r="Q138" s="4" t="s">
        <v>1909</v>
      </c>
      <c r="R138" s="4" t="s">
        <v>296</v>
      </c>
      <c r="S138" s="4" t="s">
        <v>231</v>
      </c>
      <c r="T138" s="7">
        <v>41262</v>
      </c>
      <c r="U138" s="4">
        <v>0</v>
      </c>
      <c r="V138" s="4">
        <v>0</v>
      </c>
      <c r="W138" s="4" t="s">
        <v>232</v>
      </c>
      <c r="X138" s="4" t="s">
        <v>293</v>
      </c>
      <c r="Y138" s="4" t="s">
        <v>233</v>
      </c>
      <c r="Z138" s="4" t="s">
        <v>234</v>
      </c>
      <c r="AA138" s="4" t="s">
        <v>234</v>
      </c>
      <c r="AB138" s="4"/>
    </row>
    <row r="139" spans="1:28" x14ac:dyDescent="0.4">
      <c r="A139" s="4" t="s">
        <v>216</v>
      </c>
      <c r="B139" s="4">
        <v>2287</v>
      </c>
      <c r="C139" s="4" t="s">
        <v>242</v>
      </c>
      <c r="D139" s="4" t="s">
        <v>88</v>
      </c>
      <c r="E139" s="4" t="s">
        <v>1922</v>
      </c>
      <c r="F139" s="4" t="s">
        <v>1923</v>
      </c>
      <c r="G139" s="4" t="s">
        <v>1924</v>
      </c>
      <c r="H139" s="4" t="s">
        <v>1925</v>
      </c>
      <c r="I139" s="4" t="s">
        <v>28</v>
      </c>
      <c r="J139" s="4" t="s">
        <v>1926</v>
      </c>
      <c r="K139" s="4" t="s">
        <v>224</v>
      </c>
      <c r="L139" s="6" t="s">
        <v>1927</v>
      </c>
      <c r="M139" s="4" t="s">
        <v>1928</v>
      </c>
      <c r="N139" s="4" t="s">
        <v>1929</v>
      </c>
      <c r="O139" s="4"/>
      <c r="P139" s="4" t="s">
        <v>1932</v>
      </c>
      <c r="Q139" s="4" t="s">
        <v>1933</v>
      </c>
      <c r="R139" s="4" t="s">
        <v>256</v>
      </c>
      <c r="S139" s="4" t="s">
        <v>231</v>
      </c>
      <c r="T139" s="7">
        <v>45790</v>
      </c>
      <c r="U139" s="4">
        <v>0</v>
      </c>
      <c r="V139" s="4">
        <v>0</v>
      </c>
      <c r="W139" s="4" t="s">
        <v>232</v>
      </c>
      <c r="X139" s="4"/>
      <c r="Y139" s="4" t="s">
        <v>233</v>
      </c>
      <c r="Z139" s="4" t="s">
        <v>234</v>
      </c>
      <c r="AA139" s="4" t="s">
        <v>234</v>
      </c>
      <c r="AB139" s="4"/>
    </row>
    <row r="140" spans="1:28" x14ac:dyDescent="0.4">
      <c r="A140" s="4" t="s">
        <v>216</v>
      </c>
      <c r="B140" s="4">
        <v>2287</v>
      </c>
      <c r="C140" s="4" t="s">
        <v>242</v>
      </c>
      <c r="D140" s="4" t="s">
        <v>88</v>
      </c>
      <c r="E140" s="4" t="s">
        <v>1922</v>
      </c>
      <c r="F140" s="4" t="s">
        <v>1923</v>
      </c>
      <c r="G140" s="4" t="s">
        <v>1924</v>
      </c>
      <c r="H140" s="4" t="s">
        <v>1925</v>
      </c>
      <c r="I140" s="4" t="s">
        <v>28</v>
      </c>
      <c r="J140" s="4" t="s">
        <v>1926</v>
      </c>
      <c r="K140" s="4" t="s">
        <v>224</v>
      </c>
      <c r="L140" s="6" t="s">
        <v>1927</v>
      </c>
      <c r="M140" s="4" t="s">
        <v>1928</v>
      </c>
      <c r="N140" s="4" t="s">
        <v>1929</v>
      </c>
      <c r="O140" s="4"/>
      <c r="P140" s="4" t="s">
        <v>1934</v>
      </c>
      <c r="Q140" s="4" t="s">
        <v>1935</v>
      </c>
      <c r="R140" s="4" t="s">
        <v>256</v>
      </c>
      <c r="S140" s="4" t="s">
        <v>231</v>
      </c>
      <c r="T140" s="7">
        <v>43461</v>
      </c>
      <c r="U140" s="4">
        <v>0</v>
      </c>
      <c r="V140" s="4">
        <v>0</v>
      </c>
      <c r="W140" s="4" t="s">
        <v>232</v>
      </c>
      <c r="X140" s="4"/>
      <c r="Y140" s="4" t="s">
        <v>233</v>
      </c>
      <c r="Z140" s="4" t="s">
        <v>234</v>
      </c>
      <c r="AA140" s="4" t="s">
        <v>234</v>
      </c>
      <c r="AB140" s="4"/>
    </row>
    <row r="141" spans="1:28" x14ac:dyDescent="0.4">
      <c r="A141" s="4" t="s">
        <v>216</v>
      </c>
      <c r="B141" s="4">
        <v>1156</v>
      </c>
      <c r="C141" s="4" t="s">
        <v>242</v>
      </c>
      <c r="D141" s="4" t="s">
        <v>566</v>
      </c>
      <c r="E141" s="4" t="s">
        <v>1947</v>
      </c>
      <c r="F141" s="4" t="s">
        <v>1948</v>
      </c>
      <c r="G141" s="4"/>
      <c r="H141" s="4" t="s">
        <v>1949</v>
      </c>
      <c r="I141" s="4" t="s">
        <v>154</v>
      </c>
      <c r="J141" s="4" t="s">
        <v>1950</v>
      </c>
      <c r="K141" s="4" t="s">
        <v>224</v>
      </c>
      <c r="L141" s="5" t="s">
        <v>1956</v>
      </c>
      <c r="M141" s="4" t="s">
        <v>1957</v>
      </c>
      <c r="N141" s="4" t="s">
        <v>1958</v>
      </c>
      <c r="O141" s="4"/>
      <c r="P141" s="4" t="s">
        <v>1959</v>
      </c>
      <c r="Q141" s="4" t="s">
        <v>1960</v>
      </c>
      <c r="R141" s="4" t="s">
        <v>1961</v>
      </c>
      <c r="S141" s="4" t="s">
        <v>257</v>
      </c>
      <c r="T141" s="7">
        <v>41576</v>
      </c>
      <c r="U141" s="4">
        <v>0</v>
      </c>
      <c r="V141" s="4">
        <v>0</v>
      </c>
      <c r="W141" s="4" t="s">
        <v>232</v>
      </c>
      <c r="X141" s="4"/>
      <c r="Y141" s="4" t="s">
        <v>233</v>
      </c>
      <c r="Z141" s="4" t="s">
        <v>234</v>
      </c>
      <c r="AA141" s="4" t="s">
        <v>234</v>
      </c>
      <c r="AB141" s="4"/>
    </row>
    <row r="142" spans="1:28" x14ac:dyDescent="0.4">
      <c r="A142" s="4" t="s">
        <v>216</v>
      </c>
      <c r="B142" s="4">
        <v>1156</v>
      </c>
      <c r="C142" s="4" t="s">
        <v>242</v>
      </c>
      <c r="D142" s="4" t="s">
        <v>566</v>
      </c>
      <c r="E142" s="4" t="s">
        <v>1947</v>
      </c>
      <c r="F142" s="4" t="s">
        <v>1948</v>
      </c>
      <c r="G142" s="4"/>
      <c r="H142" s="4" t="s">
        <v>1949</v>
      </c>
      <c r="I142" s="4" t="s">
        <v>154</v>
      </c>
      <c r="J142" s="4" t="s">
        <v>1950</v>
      </c>
      <c r="K142" s="4" t="s">
        <v>224</v>
      </c>
      <c r="L142" s="5" t="s">
        <v>1956</v>
      </c>
      <c r="M142" s="4" t="s">
        <v>1957</v>
      </c>
      <c r="N142" s="4" t="s">
        <v>1958</v>
      </c>
      <c r="O142" s="4"/>
      <c r="P142" s="4" t="s">
        <v>1962</v>
      </c>
      <c r="Q142" s="4" t="s">
        <v>1963</v>
      </c>
      <c r="R142" s="4" t="s">
        <v>252</v>
      </c>
      <c r="S142" s="4" t="s">
        <v>257</v>
      </c>
      <c r="T142" s="7">
        <v>42068</v>
      </c>
      <c r="U142" s="4">
        <v>0</v>
      </c>
      <c r="V142" s="4">
        <v>0</v>
      </c>
      <c r="W142" s="4" t="s">
        <v>232</v>
      </c>
      <c r="X142" s="4"/>
      <c r="Y142" s="4" t="s">
        <v>233</v>
      </c>
      <c r="Z142" s="4" t="s">
        <v>234</v>
      </c>
      <c r="AA142" s="4" t="s">
        <v>234</v>
      </c>
      <c r="AB142" s="4"/>
    </row>
    <row r="143" spans="1:28" x14ac:dyDescent="0.4">
      <c r="A143" s="4" t="s">
        <v>216</v>
      </c>
      <c r="B143" s="4">
        <v>1156</v>
      </c>
      <c r="C143" s="4" t="s">
        <v>242</v>
      </c>
      <c r="D143" s="4" t="s">
        <v>566</v>
      </c>
      <c r="E143" s="4" t="s">
        <v>1947</v>
      </c>
      <c r="F143" s="4" t="s">
        <v>1948</v>
      </c>
      <c r="G143" s="4"/>
      <c r="H143" s="4" t="s">
        <v>1949</v>
      </c>
      <c r="I143" s="4" t="s">
        <v>154</v>
      </c>
      <c r="J143" s="4" t="s">
        <v>1950</v>
      </c>
      <c r="K143" s="4" t="s">
        <v>224</v>
      </c>
      <c r="L143" s="5" t="s">
        <v>1956</v>
      </c>
      <c r="M143" s="4" t="s">
        <v>1957</v>
      </c>
      <c r="N143" s="4" t="s">
        <v>1958</v>
      </c>
      <c r="O143" s="4"/>
      <c r="P143" s="4" t="s">
        <v>1959</v>
      </c>
      <c r="Q143" s="4" t="s">
        <v>1960</v>
      </c>
      <c r="R143" s="4" t="s">
        <v>1961</v>
      </c>
      <c r="S143" s="4" t="s">
        <v>257</v>
      </c>
      <c r="T143" s="7">
        <v>41576</v>
      </c>
      <c r="U143" s="4">
        <v>0</v>
      </c>
      <c r="V143" s="4">
        <v>0</v>
      </c>
      <c r="W143" s="4" t="s">
        <v>232</v>
      </c>
      <c r="X143" s="4"/>
      <c r="Y143" s="4" t="s">
        <v>233</v>
      </c>
      <c r="Z143" s="4" t="s">
        <v>234</v>
      </c>
      <c r="AA143" s="4" t="s">
        <v>234</v>
      </c>
      <c r="AB143" s="4"/>
    </row>
    <row r="144" spans="1:28" x14ac:dyDescent="0.4">
      <c r="A144" s="4" t="s">
        <v>216</v>
      </c>
      <c r="B144" s="4">
        <v>1156</v>
      </c>
      <c r="C144" s="4" t="s">
        <v>242</v>
      </c>
      <c r="D144" s="4" t="s">
        <v>566</v>
      </c>
      <c r="E144" s="4" t="s">
        <v>1947</v>
      </c>
      <c r="F144" s="4" t="s">
        <v>1948</v>
      </c>
      <c r="G144" s="4"/>
      <c r="H144" s="4" t="s">
        <v>1949</v>
      </c>
      <c r="I144" s="4" t="s">
        <v>154</v>
      </c>
      <c r="J144" s="4" t="s">
        <v>1950</v>
      </c>
      <c r="K144" s="4" t="s">
        <v>224</v>
      </c>
      <c r="L144" s="5" t="s">
        <v>1956</v>
      </c>
      <c r="M144" s="4" t="s">
        <v>1957</v>
      </c>
      <c r="N144" s="4" t="s">
        <v>1958</v>
      </c>
      <c r="O144" s="4"/>
      <c r="P144" s="4" t="s">
        <v>1962</v>
      </c>
      <c r="Q144" s="4" t="s">
        <v>1963</v>
      </c>
      <c r="R144" s="4" t="s">
        <v>252</v>
      </c>
      <c r="S144" s="4" t="s">
        <v>257</v>
      </c>
      <c r="T144" s="7">
        <v>42068</v>
      </c>
      <c r="U144" s="4">
        <v>0</v>
      </c>
      <c r="V144" s="4">
        <v>0</v>
      </c>
      <c r="W144" s="4" t="s">
        <v>232</v>
      </c>
      <c r="X144" s="4"/>
      <c r="Y144" s="4" t="s">
        <v>233</v>
      </c>
      <c r="Z144" s="4" t="s">
        <v>234</v>
      </c>
      <c r="AA144" s="4" t="s">
        <v>234</v>
      </c>
      <c r="AB144" s="4"/>
    </row>
    <row r="145" spans="1:28" x14ac:dyDescent="0.4">
      <c r="A145" s="4" t="s">
        <v>216</v>
      </c>
      <c r="B145" s="4">
        <v>4138</v>
      </c>
      <c r="C145" s="4" t="s">
        <v>242</v>
      </c>
      <c r="D145" s="4" t="s">
        <v>1167</v>
      </c>
      <c r="E145" s="4" t="s">
        <v>1983</v>
      </c>
      <c r="F145" s="4" t="s">
        <v>1984</v>
      </c>
      <c r="G145" s="4" t="s">
        <v>1985</v>
      </c>
      <c r="H145" s="4" t="s">
        <v>376</v>
      </c>
      <c r="I145" s="4" t="s">
        <v>610</v>
      </c>
      <c r="J145" s="4" t="s">
        <v>1986</v>
      </c>
      <c r="K145" s="4" t="s">
        <v>224</v>
      </c>
      <c r="L145" s="6" t="s">
        <v>1987</v>
      </c>
      <c r="M145" s="4" t="s">
        <v>1988</v>
      </c>
      <c r="N145" s="4" t="s">
        <v>1989</v>
      </c>
      <c r="O145" s="4"/>
      <c r="P145" s="4" t="s">
        <v>1990</v>
      </c>
      <c r="Q145" s="4" t="s">
        <v>1991</v>
      </c>
      <c r="R145" s="4" t="s">
        <v>252</v>
      </c>
      <c r="S145" s="4" t="s">
        <v>257</v>
      </c>
      <c r="T145" s="7">
        <v>45947</v>
      </c>
      <c r="U145" s="4">
        <v>0</v>
      </c>
      <c r="V145" s="4">
        <v>0</v>
      </c>
      <c r="W145" s="4" t="s">
        <v>232</v>
      </c>
      <c r="X145" s="4" t="s">
        <v>1992</v>
      </c>
      <c r="Y145" s="4" t="s">
        <v>233</v>
      </c>
      <c r="Z145" s="4" t="s">
        <v>234</v>
      </c>
      <c r="AA145" s="4" t="s">
        <v>234</v>
      </c>
      <c r="AB145" s="4" t="s">
        <v>1993</v>
      </c>
    </row>
    <row r="146" spans="1:28" x14ac:dyDescent="0.4">
      <c r="A146" s="4" t="s">
        <v>216</v>
      </c>
      <c r="B146" s="4">
        <v>4138</v>
      </c>
      <c r="C146" s="4" t="s">
        <v>242</v>
      </c>
      <c r="D146" s="4" t="s">
        <v>1167</v>
      </c>
      <c r="E146" s="4" t="s">
        <v>1983</v>
      </c>
      <c r="F146" s="4" t="s">
        <v>1984</v>
      </c>
      <c r="G146" s="4" t="s">
        <v>1985</v>
      </c>
      <c r="H146" s="4" t="s">
        <v>376</v>
      </c>
      <c r="I146" s="4" t="s">
        <v>610</v>
      </c>
      <c r="J146" s="4" t="s">
        <v>1986</v>
      </c>
      <c r="K146" s="4" t="s">
        <v>224</v>
      </c>
      <c r="L146" s="6" t="s">
        <v>1987</v>
      </c>
      <c r="M146" s="4" t="s">
        <v>1988</v>
      </c>
      <c r="N146" s="4" t="s">
        <v>1989</v>
      </c>
      <c r="O146" s="4"/>
      <c r="P146" s="4" t="s">
        <v>1994</v>
      </c>
      <c r="Q146" s="4" t="s">
        <v>1995</v>
      </c>
      <c r="R146" s="4" t="s">
        <v>405</v>
      </c>
      <c r="S146" s="4" t="s">
        <v>257</v>
      </c>
      <c r="T146" s="7">
        <v>40652</v>
      </c>
      <c r="U146" s="4">
        <v>0</v>
      </c>
      <c r="V146" s="4">
        <v>0</v>
      </c>
      <c r="W146" s="4" t="s">
        <v>232</v>
      </c>
      <c r="X146" s="4" t="s">
        <v>1992</v>
      </c>
      <c r="Y146" s="4" t="s">
        <v>233</v>
      </c>
      <c r="Z146" s="4" t="s">
        <v>234</v>
      </c>
      <c r="AA146" s="4" t="s">
        <v>234</v>
      </c>
      <c r="AB146" s="4" t="s">
        <v>1993</v>
      </c>
    </row>
    <row r="147" spans="1:28" x14ac:dyDescent="0.4">
      <c r="A147" s="4" t="s">
        <v>216</v>
      </c>
      <c r="B147" s="4">
        <v>4138</v>
      </c>
      <c r="C147" s="4" t="s">
        <v>242</v>
      </c>
      <c r="D147" s="4" t="s">
        <v>1167</v>
      </c>
      <c r="E147" s="4" t="s">
        <v>1983</v>
      </c>
      <c r="F147" s="4" t="s">
        <v>1984</v>
      </c>
      <c r="G147" s="4" t="s">
        <v>1985</v>
      </c>
      <c r="H147" s="4" t="s">
        <v>376</v>
      </c>
      <c r="I147" s="4" t="s">
        <v>610</v>
      </c>
      <c r="J147" s="4" t="s">
        <v>1986</v>
      </c>
      <c r="K147" s="4" t="s">
        <v>224</v>
      </c>
      <c r="L147" s="6" t="s">
        <v>1987</v>
      </c>
      <c r="M147" s="4" t="s">
        <v>1988</v>
      </c>
      <c r="N147" s="4" t="s">
        <v>1989</v>
      </c>
      <c r="O147" s="4"/>
      <c r="P147" s="4" t="s">
        <v>1996</v>
      </c>
      <c r="Q147" s="4" t="s">
        <v>1997</v>
      </c>
      <c r="R147" s="4" t="s">
        <v>1998</v>
      </c>
      <c r="S147" s="4" t="s">
        <v>231</v>
      </c>
      <c r="T147" s="7">
        <v>42699</v>
      </c>
      <c r="U147" s="4">
        <v>0</v>
      </c>
      <c r="V147" s="4">
        <v>0</v>
      </c>
      <c r="W147" s="4" t="s">
        <v>232</v>
      </c>
      <c r="X147" s="4" t="s">
        <v>1992</v>
      </c>
      <c r="Y147" s="4" t="s">
        <v>233</v>
      </c>
      <c r="Z147" s="4" t="s">
        <v>234</v>
      </c>
      <c r="AA147" s="4" t="s">
        <v>234</v>
      </c>
      <c r="AB147" s="4" t="s">
        <v>1993</v>
      </c>
    </row>
    <row r="148" spans="1:28" x14ac:dyDescent="0.4">
      <c r="A148" s="4" t="s">
        <v>216</v>
      </c>
      <c r="B148" s="4">
        <v>4138</v>
      </c>
      <c r="C148" s="4" t="s">
        <v>242</v>
      </c>
      <c r="D148" s="4" t="s">
        <v>1167</v>
      </c>
      <c r="E148" s="4" t="s">
        <v>1983</v>
      </c>
      <c r="F148" s="4" t="s">
        <v>1984</v>
      </c>
      <c r="G148" s="4" t="s">
        <v>1985</v>
      </c>
      <c r="H148" s="4" t="s">
        <v>376</v>
      </c>
      <c r="I148" s="4" t="s">
        <v>610</v>
      </c>
      <c r="J148" s="4" t="s">
        <v>1986</v>
      </c>
      <c r="K148" s="4" t="s">
        <v>224</v>
      </c>
      <c r="L148" s="6" t="s">
        <v>1987</v>
      </c>
      <c r="M148" s="4" t="s">
        <v>1988</v>
      </c>
      <c r="N148" s="4" t="s">
        <v>1989</v>
      </c>
      <c r="O148" s="4"/>
      <c r="P148" s="4" t="s">
        <v>1990</v>
      </c>
      <c r="Q148" s="4" t="s">
        <v>1991</v>
      </c>
      <c r="R148" s="4" t="s">
        <v>252</v>
      </c>
      <c r="S148" s="4" t="s">
        <v>257</v>
      </c>
      <c r="T148" s="7">
        <v>45947</v>
      </c>
      <c r="U148" s="4">
        <v>0</v>
      </c>
      <c r="V148" s="4">
        <v>0</v>
      </c>
      <c r="W148" s="4" t="s">
        <v>232</v>
      </c>
      <c r="X148" s="4" t="s">
        <v>1992</v>
      </c>
      <c r="Y148" s="4" t="s">
        <v>233</v>
      </c>
      <c r="Z148" s="4" t="s">
        <v>234</v>
      </c>
      <c r="AA148" s="4" t="s">
        <v>234</v>
      </c>
      <c r="AB148" s="4" t="s">
        <v>1993</v>
      </c>
    </row>
    <row r="149" spans="1:28" x14ac:dyDescent="0.4">
      <c r="A149" s="4" t="s">
        <v>216</v>
      </c>
      <c r="B149" s="4">
        <v>4138</v>
      </c>
      <c r="C149" s="4" t="s">
        <v>242</v>
      </c>
      <c r="D149" s="4" t="s">
        <v>1167</v>
      </c>
      <c r="E149" s="4" t="s">
        <v>1983</v>
      </c>
      <c r="F149" s="4" t="s">
        <v>1984</v>
      </c>
      <c r="G149" s="4" t="s">
        <v>1985</v>
      </c>
      <c r="H149" s="4" t="s">
        <v>376</v>
      </c>
      <c r="I149" s="4" t="s">
        <v>610</v>
      </c>
      <c r="J149" s="4" t="s">
        <v>1986</v>
      </c>
      <c r="K149" s="4" t="s">
        <v>224</v>
      </c>
      <c r="L149" s="6" t="s">
        <v>1987</v>
      </c>
      <c r="M149" s="4" t="s">
        <v>1988</v>
      </c>
      <c r="N149" s="4" t="s">
        <v>1989</v>
      </c>
      <c r="O149" s="4"/>
      <c r="P149" s="4" t="s">
        <v>1994</v>
      </c>
      <c r="Q149" s="4" t="s">
        <v>1995</v>
      </c>
      <c r="R149" s="4" t="s">
        <v>405</v>
      </c>
      <c r="S149" s="4" t="s">
        <v>257</v>
      </c>
      <c r="T149" s="7">
        <v>40652</v>
      </c>
      <c r="U149" s="4">
        <v>0</v>
      </c>
      <c r="V149" s="4">
        <v>0</v>
      </c>
      <c r="W149" s="4" t="s">
        <v>232</v>
      </c>
      <c r="X149" s="4" t="s">
        <v>1992</v>
      </c>
      <c r="Y149" s="4" t="s">
        <v>233</v>
      </c>
      <c r="Z149" s="4" t="s">
        <v>234</v>
      </c>
      <c r="AA149" s="4" t="s">
        <v>234</v>
      </c>
      <c r="AB149" s="4" t="s">
        <v>1993</v>
      </c>
    </row>
    <row r="150" spans="1:28" x14ac:dyDescent="0.4">
      <c r="A150" s="4" t="s">
        <v>216</v>
      </c>
      <c r="B150" s="4">
        <v>4138</v>
      </c>
      <c r="C150" s="4" t="s">
        <v>242</v>
      </c>
      <c r="D150" s="4" t="s">
        <v>1167</v>
      </c>
      <c r="E150" s="4" t="s">
        <v>1983</v>
      </c>
      <c r="F150" s="4" t="s">
        <v>1984</v>
      </c>
      <c r="G150" s="4" t="s">
        <v>1985</v>
      </c>
      <c r="H150" s="4" t="s">
        <v>376</v>
      </c>
      <c r="I150" s="4" t="s">
        <v>610</v>
      </c>
      <c r="J150" s="4" t="s">
        <v>1986</v>
      </c>
      <c r="K150" s="4" t="s">
        <v>224</v>
      </c>
      <c r="L150" s="6" t="s">
        <v>1987</v>
      </c>
      <c r="M150" s="4" t="s">
        <v>1988</v>
      </c>
      <c r="N150" s="4" t="s">
        <v>1989</v>
      </c>
      <c r="O150" s="4"/>
      <c r="P150" s="4" t="s">
        <v>1996</v>
      </c>
      <c r="Q150" s="4" t="s">
        <v>1997</v>
      </c>
      <c r="R150" s="4" t="s">
        <v>1998</v>
      </c>
      <c r="S150" s="4" t="s">
        <v>231</v>
      </c>
      <c r="T150" s="7">
        <v>42699</v>
      </c>
      <c r="U150" s="4">
        <v>0</v>
      </c>
      <c r="V150" s="4">
        <v>0</v>
      </c>
      <c r="W150" s="4" t="s">
        <v>232</v>
      </c>
      <c r="X150" s="4" t="s">
        <v>1992</v>
      </c>
      <c r="Y150" s="4" t="s">
        <v>233</v>
      </c>
      <c r="Z150" s="4" t="s">
        <v>234</v>
      </c>
      <c r="AA150" s="4" t="s">
        <v>234</v>
      </c>
      <c r="AB150" s="4" t="s">
        <v>1993</v>
      </c>
    </row>
    <row r="151" spans="1:28" x14ac:dyDescent="0.4">
      <c r="A151" s="4" t="s">
        <v>216</v>
      </c>
      <c r="B151" s="4">
        <v>4138</v>
      </c>
      <c r="C151" s="4" t="s">
        <v>242</v>
      </c>
      <c r="D151" s="4" t="s">
        <v>1167</v>
      </c>
      <c r="E151" s="4" t="s">
        <v>1983</v>
      </c>
      <c r="F151" s="4" t="s">
        <v>1984</v>
      </c>
      <c r="G151" s="4" t="s">
        <v>1985</v>
      </c>
      <c r="H151" s="4" t="s">
        <v>376</v>
      </c>
      <c r="I151" s="4" t="s">
        <v>610</v>
      </c>
      <c r="J151" s="4" t="s">
        <v>1986</v>
      </c>
      <c r="K151" s="4" t="s">
        <v>224</v>
      </c>
      <c r="L151" s="6" t="s">
        <v>1987</v>
      </c>
      <c r="M151" s="4" t="s">
        <v>1988</v>
      </c>
      <c r="N151" s="4" t="s">
        <v>1989</v>
      </c>
      <c r="O151" s="4"/>
      <c r="P151" s="4" t="s">
        <v>1999</v>
      </c>
      <c r="Q151" s="4" t="s">
        <v>2000</v>
      </c>
      <c r="R151" s="4" t="s">
        <v>1381</v>
      </c>
      <c r="S151" s="4" t="s">
        <v>257</v>
      </c>
      <c r="T151" s="7">
        <v>44165</v>
      </c>
      <c r="U151" s="4">
        <v>0</v>
      </c>
      <c r="V151" s="4">
        <v>0</v>
      </c>
      <c r="W151" s="4" t="s">
        <v>232</v>
      </c>
      <c r="X151" s="4" t="s">
        <v>1992</v>
      </c>
      <c r="Y151" s="4" t="s">
        <v>233</v>
      </c>
      <c r="Z151" s="4" t="s">
        <v>234</v>
      </c>
      <c r="AA151" s="4" t="s">
        <v>234</v>
      </c>
      <c r="AB151" s="4" t="s">
        <v>1993</v>
      </c>
    </row>
    <row r="152" spans="1:28" x14ac:dyDescent="0.4">
      <c r="A152" s="4" t="s">
        <v>216</v>
      </c>
      <c r="B152" s="4">
        <v>846</v>
      </c>
      <c r="C152" s="4" t="s">
        <v>217</v>
      </c>
      <c r="D152" s="4" t="s">
        <v>2001</v>
      </c>
      <c r="E152" s="4" t="s">
        <v>2002</v>
      </c>
      <c r="F152" s="4" t="s">
        <v>2003</v>
      </c>
      <c r="G152" s="4"/>
      <c r="H152" s="4" t="s">
        <v>765</v>
      </c>
      <c r="I152" s="4" t="s">
        <v>513</v>
      </c>
      <c r="J152" s="4" t="s">
        <v>2004</v>
      </c>
      <c r="K152" s="4" t="s">
        <v>224</v>
      </c>
      <c r="L152" s="5" t="s">
        <v>2005</v>
      </c>
      <c r="M152" s="4" t="s">
        <v>2006</v>
      </c>
      <c r="N152" s="4" t="s">
        <v>2007</v>
      </c>
      <c r="O152" s="4"/>
      <c r="P152" s="4" t="s">
        <v>2008</v>
      </c>
      <c r="Q152" s="4" t="s">
        <v>2009</v>
      </c>
      <c r="R152" s="4" t="s">
        <v>920</v>
      </c>
      <c r="S152" s="4" t="s">
        <v>231</v>
      </c>
      <c r="T152" s="7">
        <v>45366</v>
      </c>
      <c r="U152" s="4">
        <v>0</v>
      </c>
      <c r="V152" s="4">
        <v>0</v>
      </c>
      <c r="W152" s="4" t="s">
        <v>232</v>
      </c>
      <c r="X152" s="4"/>
      <c r="Y152" s="4" t="s">
        <v>233</v>
      </c>
      <c r="Z152" s="4" t="s">
        <v>234</v>
      </c>
      <c r="AA152" s="4" t="s">
        <v>234</v>
      </c>
      <c r="AB152" s="4"/>
    </row>
    <row r="153" spans="1:28" x14ac:dyDescent="0.4">
      <c r="A153" s="4" t="s">
        <v>216</v>
      </c>
      <c r="B153" s="4">
        <v>846</v>
      </c>
      <c r="C153" s="4" t="s">
        <v>217</v>
      </c>
      <c r="D153" s="4" t="s">
        <v>2001</v>
      </c>
      <c r="E153" s="4" t="s">
        <v>2002</v>
      </c>
      <c r="F153" s="4" t="s">
        <v>2003</v>
      </c>
      <c r="G153" s="4"/>
      <c r="H153" s="4" t="s">
        <v>765</v>
      </c>
      <c r="I153" s="4" t="s">
        <v>513</v>
      </c>
      <c r="J153" s="4" t="s">
        <v>2004</v>
      </c>
      <c r="K153" s="4" t="s">
        <v>224</v>
      </c>
      <c r="L153" s="5" t="s">
        <v>2005</v>
      </c>
      <c r="M153" s="4" t="s">
        <v>2006</v>
      </c>
      <c r="N153" s="4" t="s">
        <v>2007</v>
      </c>
      <c r="O153" s="4"/>
      <c r="P153" s="4" t="s">
        <v>2008</v>
      </c>
      <c r="Q153" s="4" t="s">
        <v>2009</v>
      </c>
      <c r="R153" s="4" t="s">
        <v>920</v>
      </c>
      <c r="S153" s="4" t="s">
        <v>231</v>
      </c>
      <c r="T153" s="7">
        <v>45366</v>
      </c>
      <c r="U153" s="4">
        <v>0</v>
      </c>
      <c r="V153" s="4">
        <v>0</v>
      </c>
      <c r="W153" s="4" t="s">
        <v>232</v>
      </c>
      <c r="X153" s="4"/>
      <c r="Y153" s="4" t="s">
        <v>233</v>
      </c>
      <c r="Z153" s="4" t="s">
        <v>234</v>
      </c>
      <c r="AA153" s="4" t="s">
        <v>234</v>
      </c>
      <c r="AB153" s="4"/>
    </row>
    <row r="154" spans="1:28" x14ac:dyDescent="0.4">
      <c r="A154" s="4" t="s">
        <v>216</v>
      </c>
      <c r="B154" s="4">
        <v>4432</v>
      </c>
      <c r="C154" s="4" t="s">
        <v>217</v>
      </c>
      <c r="D154" s="4" t="s">
        <v>178</v>
      </c>
      <c r="E154" s="4" t="s">
        <v>179</v>
      </c>
      <c r="F154" s="4" t="s">
        <v>180</v>
      </c>
      <c r="G154" s="4"/>
      <c r="H154" s="4" t="s">
        <v>181</v>
      </c>
      <c r="I154" s="4" t="s">
        <v>337</v>
      </c>
      <c r="J154" s="4" t="s">
        <v>182</v>
      </c>
      <c r="K154" s="4" t="s">
        <v>224</v>
      </c>
      <c r="L154" s="6" t="s">
        <v>2034</v>
      </c>
      <c r="M154" s="4" t="s">
        <v>184</v>
      </c>
      <c r="N154" s="4" t="s">
        <v>2035</v>
      </c>
      <c r="O154" s="4"/>
      <c r="P154" s="4" t="s">
        <v>2036</v>
      </c>
      <c r="Q154" s="4" t="s">
        <v>2037</v>
      </c>
      <c r="R154" s="4" t="s">
        <v>628</v>
      </c>
      <c r="S154" s="4" t="s">
        <v>257</v>
      </c>
      <c r="T154" s="7">
        <v>45890</v>
      </c>
      <c r="U154" s="4">
        <v>0</v>
      </c>
      <c r="V154" s="4">
        <v>0</v>
      </c>
      <c r="W154" s="4" t="s">
        <v>232</v>
      </c>
      <c r="X154" s="4"/>
      <c r="Y154" s="4" t="s">
        <v>233</v>
      </c>
      <c r="Z154" s="4" t="s">
        <v>234</v>
      </c>
      <c r="AA154" s="4" t="s">
        <v>233</v>
      </c>
      <c r="AB154" s="4"/>
    </row>
    <row r="155" spans="1:28" x14ac:dyDescent="0.4">
      <c r="A155" s="4" t="s">
        <v>216</v>
      </c>
      <c r="B155" s="4">
        <v>4432</v>
      </c>
      <c r="C155" s="4" t="s">
        <v>217</v>
      </c>
      <c r="D155" s="4" t="s">
        <v>178</v>
      </c>
      <c r="E155" s="4" t="s">
        <v>179</v>
      </c>
      <c r="F155" s="4" t="s">
        <v>180</v>
      </c>
      <c r="G155" s="4"/>
      <c r="H155" s="4" t="s">
        <v>181</v>
      </c>
      <c r="I155" s="4" t="s">
        <v>337</v>
      </c>
      <c r="J155" s="4" t="s">
        <v>182</v>
      </c>
      <c r="K155" s="4" t="s">
        <v>224</v>
      </c>
      <c r="L155" s="6" t="s">
        <v>2034</v>
      </c>
      <c r="M155" s="4" t="s">
        <v>184</v>
      </c>
      <c r="N155" s="4" t="s">
        <v>2035</v>
      </c>
      <c r="O155" s="4"/>
      <c r="P155" s="4" t="s">
        <v>2036</v>
      </c>
      <c r="Q155" s="4" t="s">
        <v>2037</v>
      </c>
      <c r="R155" s="4" t="s">
        <v>628</v>
      </c>
      <c r="S155" s="4" t="s">
        <v>257</v>
      </c>
      <c r="T155" s="7">
        <v>45890</v>
      </c>
      <c r="U155" s="4">
        <v>0</v>
      </c>
      <c r="V155" s="4">
        <v>0</v>
      </c>
      <c r="W155" s="4" t="s">
        <v>232</v>
      </c>
      <c r="X155" s="4"/>
      <c r="Y155" s="4" t="s">
        <v>233</v>
      </c>
      <c r="Z155" s="4" t="s">
        <v>234</v>
      </c>
      <c r="AA155" s="4" t="s">
        <v>233</v>
      </c>
      <c r="AB155" s="4"/>
    </row>
    <row r="156" spans="1:28" x14ac:dyDescent="0.4">
      <c r="A156" s="4" t="s">
        <v>216</v>
      </c>
      <c r="B156" s="4">
        <v>4432</v>
      </c>
      <c r="C156" s="4" t="s">
        <v>217</v>
      </c>
      <c r="D156" s="4" t="s">
        <v>178</v>
      </c>
      <c r="E156" s="4" t="s">
        <v>179</v>
      </c>
      <c r="F156" s="4" t="s">
        <v>180</v>
      </c>
      <c r="G156" s="4"/>
      <c r="H156" s="4" t="s">
        <v>181</v>
      </c>
      <c r="I156" s="4" t="s">
        <v>337</v>
      </c>
      <c r="J156" s="4" t="s">
        <v>182</v>
      </c>
      <c r="K156" s="4" t="s">
        <v>224</v>
      </c>
      <c r="L156" s="6" t="s">
        <v>2034</v>
      </c>
      <c r="M156" s="4" t="s">
        <v>184</v>
      </c>
      <c r="N156" s="4" t="s">
        <v>2035</v>
      </c>
      <c r="O156" s="4"/>
      <c r="P156" s="4" t="s">
        <v>2038</v>
      </c>
      <c r="Q156" s="4" t="s">
        <v>2039</v>
      </c>
      <c r="R156" s="4" t="s">
        <v>628</v>
      </c>
      <c r="S156" s="4" t="s">
        <v>257</v>
      </c>
      <c r="T156" s="7">
        <v>41171</v>
      </c>
      <c r="U156" s="4">
        <v>0</v>
      </c>
      <c r="V156" s="4">
        <v>0</v>
      </c>
      <c r="W156" s="4" t="s">
        <v>232</v>
      </c>
      <c r="X156" s="4"/>
      <c r="Y156" s="4" t="s">
        <v>233</v>
      </c>
      <c r="Z156" s="4" t="s">
        <v>234</v>
      </c>
      <c r="AA156" s="4" t="s">
        <v>233</v>
      </c>
      <c r="AB156" s="4"/>
    </row>
    <row r="157" spans="1:28" x14ac:dyDescent="0.4">
      <c r="A157" s="4" t="s">
        <v>216</v>
      </c>
      <c r="B157" s="4">
        <v>4432</v>
      </c>
      <c r="C157" s="4" t="s">
        <v>217</v>
      </c>
      <c r="D157" s="4" t="s">
        <v>178</v>
      </c>
      <c r="E157" s="4" t="s">
        <v>179</v>
      </c>
      <c r="F157" s="4" t="s">
        <v>180</v>
      </c>
      <c r="G157" s="4"/>
      <c r="H157" s="4" t="s">
        <v>181</v>
      </c>
      <c r="I157" s="4" t="s">
        <v>337</v>
      </c>
      <c r="J157" s="4" t="s">
        <v>182</v>
      </c>
      <c r="K157" s="4" t="s">
        <v>224</v>
      </c>
      <c r="L157" s="6" t="s">
        <v>2034</v>
      </c>
      <c r="M157" s="4" t="s">
        <v>184</v>
      </c>
      <c r="N157" s="4" t="s">
        <v>2035</v>
      </c>
      <c r="O157" s="4"/>
      <c r="P157" s="4" t="s">
        <v>2038</v>
      </c>
      <c r="Q157" s="4" t="s">
        <v>2039</v>
      </c>
      <c r="R157" s="4" t="s">
        <v>628</v>
      </c>
      <c r="S157" s="4" t="s">
        <v>257</v>
      </c>
      <c r="T157" s="7">
        <v>41171</v>
      </c>
      <c r="U157" s="4">
        <v>0</v>
      </c>
      <c r="V157" s="4">
        <v>0</v>
      </c>
      <c r="W157" s="4" t="s">
        <v>232</v>
      </c>
      <c r="X157" s="4"/>
      <c r="Y157" s="4" t="s">
        <v>233</v>
      </c>
      <c r="Z157" s="4" t="s">
        <v>234</v>
      </c>
      <c r="AA157" s="4" t="s">
        <v>233</v>
      </c>
      <c r="AB157" s="4"/>
    </row>
    <row r="158" spans="1:28" x14ac:dyDescent="0.4">
      <c r="A158" s="4" t="s">
        <v>216</v>
      </c>
      <c r="B158" s="4">
        <v>1429</v>
      </c>
      <c r="C158" s="4" t="s">
        <v>242</v>
      </c>
      <c r="D158" s="4" t="s">
        <v>178</v>
      </c>
      <c r="E158" s="4" t="s">
        <v>2042</v>
      </c>
      <c r="F158" s="4" t="s">
        <v>2043</v>
      </c>
      <c r="G158" s="4"/>
      <c r="H158" s="4" t="s">
        <v>2044</v>
      </c>
      <c r="I158" s="4" t="s">
        <v>34</v>
      </c>
      <c r="J158" s="4" t="s">
        <v>2045</v>
      </c>
      <c r="K158" s="4" t="s">
        <v>224</v>
      </c>
      <c r="L158" s="6" t="s">
        <v>2046</v>
      </c>
      <c r="M158" s="4" t="s">
        <v>2047</v>
      </c>
      <c r="N158" s="4" t="s">
        <v>2048</v>
      </c>
      <c r="O158" s="4"/>
      <c r="P158" s="4" t="s">
        <v>2049</v>
      </c>
      <c r="Q158" s="4" t="s">
        <v>2050</v>
      </c>
      <c r="R158" s="4" t="s">
        <v>256</v>
      </c>
      <c r="S158" s="4" t="s">
        <v>231</v>
      </c>
      <c r="T158" s="7">
        <v>40858</v>
      </c>
      <c r="U158" s="4">
        <v>0</v>
      </c>
      <c r="V158" s="4">
        <v>0</v>
      </c>
      <c r="W158" s="4" t="s">
        <v>232</v>
      </c>
      <c r="X158" s="4"/>
      <c r="Y158" s="4" t="s">
        <v>233</v>
      </c>
      <c r="Z158" s="4" t="s">
        <v>234</v>
      </c>
      <c r="AA158" s="4" t="s">
        <v>233</v>
      </c>
      <c r="AB158" s="4" t="s">
        <v>2051</v>
      </c>
    </row>
    <row r="159" spans="1:28" x14ac:dyDescent="0.4">
      <c r="A159" s="4" t="s">
        <v>216</v>
      </c>
      <c r="B159" s="4">
        <v>1429</v>
      </c>
      <c r="C159" s="4" t="s">
        <v>242</v>
      </c>
      <c r="D159" s="4" t="s">
        <v>178</v>
      </c>
      <c r="E159" s="4" t="s">
        <v>2042</v>
      </c>
      <c r="F159" s="4" t="s">
        <v>2043</v>
      </c>
      <c r="G159" s="4"/>
      <c r="H159" s="4" t="s">
        <v>2044</v>
      </c>
      <c r="I159" s="4" t="s">
        <v>34</v>
      </c>
      <c r="J159" s="4" t="s">
        <v>2045</v>
      </c>
      <c r="K159" s="4" t="s">
        <v>224</v>
      </c>
      <c r="L159" s="6" t="s">
        <v>2046</v>
      </c>
      <c r="M159" s="4" t="s">
        <v>2047</v>
      </c>
      <c r="N159" s="4" t="s">
        <v>2048</v>
      </c>
      <c r="O159" s="4"/>
      <c r="P159" s="4" t="s">
        <v>2052</v>
      </c>
      <c r="Q159" s="4" t="s">
        <v>2053</v>
      </c>
      <c r="R159" s="4" t="s">
        <v>256</v>
      </c>
      <c r="S159" s="4" t="s">
        <v>257</v>
      </c>
      <c r="T159" s="7">
        <v>45668</v>
      </c>
      <c r="U159" s="4">
        <v>0</v>
      </c>
      <c r="V159" s="4">
        <v>0</v>
      </c>
      <c r="W159" s="4" t="s">
        <v>232</v>
      </c>
      <c r="X159" s="4"/>
      <c r="Y159" s="4" t="s">
        <v>233</v>
      </c>
      <c r="Z159" s="4" t="s">
        <v>234</v>
      </c>
      <c r="AA159" s="4" t="s">
        <v>233</v>
      </c>
      <c r="AB159" s="4" t="s">
        <v>2051</v>
      </c>
    </row>
    <row r="160" spans="1:28" x14ac:dyDescent="0.4">
      <c r="A160" s="4" t="s">
        <v>216</v>
      </c>
      <c r="B160" s="4">
        <v>1429</v>
      </c>
      <c r="C160" s="4" t="s">
        <v>242</v>
      </c>
      <c r="D160" s="4" t="s">
        <v>178</v>
      </c>
      <c r="E160" s="4" t="s">
        <v>2042</v>
      </c>
      <c r="F160" s="4" t="s">
        <v>2043</v>
      </c>
      <c r="G160" s="4"/>
      <c r="H160" s="4" t="s">
        <v>2044</v>
      </c>
      <c r="I160" s="4" t="s">
        <v>34</v>
      </c>
      <c r="J160" s="4" t="s">
        <v>2045</v>
      </c>
      <c r="K160" s="4" t="s">
        <v>224</v>
      </c>
      <c r="L160" s="6" t="s">
        <v>2046</v>
      </c>
      <c r="M160" s="4" t="s">
        <v>2047</v>
      </c>
      <c r="N160" s="4" t="s">
        <v>2048</v>
      </c>
      <c r="O160" s="4"/>
      <c r="P160" s="4" t="s">
        <v>2052</v>
      </c>
      <c r="Q160" s="4" t="s">
        <v>2053</v>
      </c>
      <c r="R160" s="4" t="s">
        <v>256</v>
      </c>
      <c r="S160" s="4" t="s">
        <v>257</v>
      </c>
      <c r="T160" s="7">
        <v>45668</v>
      </c>
      <c r="U160" s="4">
        <v>0</v>
      </c>
      <c r="V160" s="4">
        <v>0</v>
      </c>
      <c r="W160" s="4" t="s">
        <v>232</v>
      </c>
      <c r="X160" s="4"/>
      <c r="Y160" s="4" t="s">
        <v>233</v>
      </c>
      <c r="Z160" s="4" t="s">
        <v>234</v>
      </c>
      <c r="AA160" s="4" t="s">
        <v>233</v>
      </c>
      <c r="AB160" s="4" t="s">
        <v>2051</v>
      </c>
    </row>
    <row r="161" spans="1:28" x14ac:dyDescent="0.4">
      <c r="A161" s="4" t="s">
        <v>216</v>
      </c>
      <c r="B161" s="4">
        <v>1429</v>
      </c>
      <c r="C161" s="4" t="s">
        <v>242</v>
      </c>
      <c r="D161" s="4" t="s">
        <v>178</v>
      </c>
      <c r="E161" s="4" t="s">
        <v>2042</v>
      </c>
      <c r="F161" s="4" t="s">
        <v>2043</v>
      </c>
      <c r="G161" s="4"/>
      <c r="H161" s="4" t="s">
        <v>2044</v>
      </c>
      <c r="I161" s="4" t="s">
        <v>34</v>
      </c>
      <c r="J161" s="4" t="s">
        <v>2045</v>
      </c>
      <c r="K161" s="4" t="s">
        <v>224</v>
      </c>
      <c r="L161" s="6" t="s">
        <v>2046</v>
      </c>
      <c r="M161" s="4" t="s">
        <v>2047</v>
      </c>
      <c r="N161" s="4" t="s">
        <v>2048</v>
      </c>
      <c r="O161" s="4"/>
      <c r="P161" s="4" t="s">
        <v>2049</v>
      </c>
      <c r="Q161" s="4" t="s">
        <v>2050</v>
      </c>
      <c r="R161" s="4" t="s">
        <v>256</v>
      </c>
      <c r="S161" s="4" t="s">
        <v>231</v>
      </c>
      <c r="T161" s="7">
        <v>40858</v>
      </c>
      <c r="U161" s="4">
        <v>0</v>
      </c>
      <c r="V161" s="4">
        <v>0</v>
      </c>
      <c r="W161" s="4" t="s">
        <v>232</v>
      </c>
      <c r="X161" s="4"/>
      <c r="Y161" s="4" t="s">
        <v>233</v>
      </c>
      <c r="Z161" s="4" t="s">
        <v>234</v>
      </c>
      <c r="AA161" s="4" t="s">
        <v>233</v>
      </c>
      <c r="AB161" s="4" t="s">
        <v>2051</v>
      </c>
    </row>
    <row r="162" spans="1:28" x14ac:dyDescent="0.4">
      <c r="A162" s="4" t="s">
        <v>216</v>
      </c>
      <c r="B162" s="4">
        <v>73</v>
      </c>
      <c r="C162" s="4" t="s">
        <v>242</v>
      </c>
      <c r="D162" s="4" t="s">
        <v>2087</v>
      </c>
      <c r="E162" s="4" t="s">
        <v>2088</v>
      </c>
      <c r="F162" s="4" t="s">
        <v>2089</v>
      </c>
      <c r="G162" s="4" t="s">
        <v>2090</v>
      </c>
      <c r="H162" s="4" t="s">
        <v>2091</v>
      </c>
      <c r="I162" s="4" t="s">
        <v>28</v>
      </c>
      <c r="J162" s="4" t="s">
        <v>2092</v>
      </c>
      <c r="K162" s="4" t="s">
        <v>224</v>
      </c>
      <c r="L162" s="5" t="s">
        <v>2093</v>
      </c>
      <c r="M162" s="4" t="s">
        <v>2094</v>
      </c>
      <c r="N162" s="4" t="s">
        <v>2095</v>
      </c>
      <c r="O162" s="4"/>
      <c r="P162" s="4" t="s">
        <v>2096</v>
      </c>
      <c r="Q162" s="4" t="s">
        <v>2097</v>
      </c>
      <c r="R162" s="4" t="s">
        <v>252</v>
      </c>
      <c r="S162" s="4" t="s">
        <v>257</v>
      </c>
      <c r="T162" s="7">
        <v>42333</v>
      </c>
      <c r="U162" s="4">
        <v>0</v>
      </c>
      <c r="V162" s="4">
        <v>0</v>
      </c>
      <c r="W162" s="4" t="s">
        <v>232</v>
      </c>
      <c r="X162" s="4" t="s">
        <v>2098</v>
      </c>
      <c r="Y162" s="4" t="s">
        <v>233</v>
      </c>
      <c r="Z162" s="4" t="s">
        <v>234</v>
      </c>
      <c r="AA162" s="4" t="s">
        <v>234</v>
      </c>
      <c r="AB162" s="4"/>
    </row>
    <row r="163" spans="1:28" x14ac:dyDescent="0.4">
      <c r="A163" s="4" t="s">
        <v>216</v>
      </c>
      <c r="B163" s="4">
        <v>73</v>
      </c>
      <c r="C163" s="4" t="s">
        <v>242</v>
      </c>
      <c r="D163" s="4" t="s">
        <v>2087</v>
      </c>
      <c r="E163" s="4" t="s">
        <v>2088</v>
      </c>
      <c r="F163" s="4" t="s">
        <v>2089</v>
      </c>
      <c r="G163" s="4" t="s">
        <v>2090</v>
      </c>
      <c r="H163" s="4" t="s">
        <v>2091</v>
      </c>
      <c r="I163" s="4" t="s">
        <v>28</v>
      </c>
      <c r="J163" s="4" t="s">
        <v>2092</v>
      </c>
      <c r="K163" s="4" t="s">
        <v>224</v>
      </c>
      <c r="L163" s="5" t="s">
        <v>2093</v>
      </c>
      <c r="M163" s="4" t="s">
        <v>2094</v>
      </c>
      <c r="N163" s="4" t="s">
        <v>2095</v>
      </c>
      <c r="O163" s="4"/>
      <c r="P163" s="4" t="s">
        <v>2099</v>
      </c>
      <c r="Q163" s="4" t="s">
        <v>2100</v>
      </c>
      <c r="R163" s="4" t="s">
        <v>2101</v>
      </c>
      <c r="S163" s="4" t="s">
        <v>257</v>
      </c>
      <c r="T163" s="7">
        <v>42969</v>
      </c>
      <c r="U163" s="4">
        <v>0</v>
      </c>
      <c r="V163" s="4">
        <v>0</v>
      </c>
      <c r="W163" s="4" t="s">
        <v>232</v>
      </c>
      <c r="X163" s="4" t="s">
        <v>2098</v>
      </c>
      <c r="Y163" s="4" t="s">
        <v>233</v>
      </c>
      <c r="Z163" s="4" t="s">
        <v>234</v>
      </c>
      <c r="AA163" s="4" t="s">
        <v>234</v>
      </c>
      <c r="AB163" s="4"/>
    </row>
    <row r="164" spans="1:28" x14ac:dyDescent="0.4">
      <c r="A164" s="4" t="s">
        <v>216</v>
      </c>
      <c r="B164" s="4">
        <v>73</v>
      </c>
      <c r="C164" s="4" t="s">
        <v>242</v>
      </c>
      <c r="D164" s="4" t="s">
        <v>2087</v>
      </c>
      <c r="E164" s="4" t="s">
        <v>2088</v>
      </c>
      <c r="F164" s="4" t="s">
        <v>2089</v>
      </c>
      <c r="G164" s="4" t="s">
        <v>2090</v>
      </c>
      <c r="H164" s="4" t="s">
        <v>2091</v>
      </c>
      <c r="I164" s="4" t="s">
        <v>28</v>
      </c>
      <c r="J164" s="4" t="s">
        <v>2092</v>
      </c>
      <c r="K164" s="4" t="s">
        <v>224</v>
      </c>
      <c r="L164" s="5" t="s">
        <v>2093</v>
      </c>
      <c r="M164" s="4" t="s">
        <v>2094</v>
      </c>
      <c r="N164" s="4" t="s">
        <v>2095</v>
      </c>
      <c r="O164" s="4"/>
      <c r="P164" s="4" t="s">
        <v>2096</v>
      </c>
      <c r="Q164" s="4" t="s">
        <v>2097</v>
      </c>
      <c r="R164" s="4" t="s">
        <v>252</v>
      </c>
      <c r="S164" s="4" t="s">
        <v>257</v>
      </c>
      <c r="T164" s="7">
        <v>42333</v>
      </c>
      <c r="U164" s="4">
        <v>0</v>
      </c>
      <c r="V164" s="4">
        <v>0</v>
      </c>
      <c r="W164" s="4" t="s">
        <v>232</v>
      </c>
      <c r="X164" s="4" t="s">
        <v>2098</v>
      </c>
      <c r="Y164" s="4" t="s">
        <v>233</v>
      </c>
      <c r="Z164" s="4" t="s">
        <v>234</v>
      </c>
      <c r="AA164" s="4" t="s">
        <v>234</v>
      </c>
      <c r="AB164" s="4"/>
    </row>
    <row r="165" spans="1:28" x14ac:dyDescent="0.4">
      <c r="A165" s="4" t="s">
        <v>216</v>
      </c>
      <c r="B165" s="4">
        <v>73</v>
      </c>
      <c r="C165" s="4" t="s">
        <v>242</v>
      </c>
      <c r="D165" s="4" t="s">
        <v>2087</v>
      </c>
      <c r="E165" s="4" t="s">
        <v>2088</v>
      </c>
      <c r="F165" s="4" t="s">
        <v>2089</v>
      </c>
      <c r="G165" s="4" t="s">
        <v>2090</v>
      </c>
      <c r="H165" s="4" t="s">
        <v>2091</v>
      </c>
      <c r="I165" s="4" t="s">
        <v>28</v>
      </c>
      <c r="J165" s="4" t="s">
        <v>2092</v>
      </c>
      <c r="K165" s="4" t="s">
        <v>224</v>
      </c>
      <c r="L165" s="5" t="s">
        <v>2093</v>
      </c>
      <c r="M165" s="4" t="s">
        <v>2094</v>
      </c>
      <c r="N165" s="4" t="s">
        <v>2095</v>
      </c>
      <c r="O165" s="4"/>
      <c r="P165" s="4" t="s">
        <v>2099</v>
      </c>
      <c r="Q165" s="4" t="s">
        <v>2100</v>
      </c>
      <c r="R165" s="4" t="s">
        <v>2101</v>
      </c>
      <c r="S165" s="4" t="s">
        <v>257</v>
      </c>
      <c r="T165" s="7">
        <v>42969</v>
      </c>
      <c r="U165" s="4">
        <v>0</v>
      </c>
      <c r="V165" s="4">
        <v>0</v>
      </c>
      <c r="W165" s="4" t="s">
        <v>232</v>
      </c>
      <c r="X165" s="4" t="s">
        <v>2098</v>
      </c>
      <c r="Y165" s="4" t="s">
        <v>233</v>
      </c>
      <c r="Z165" s="4" t="s">
        <v>234</v>
      </c>
      <c r="AA165" s="4" t="s">
        <v>234</v>
      </c>
      <c r="AB165" s="4"/>
    </row>
    <row r="166" spans="1:28" x14ac:dyDescent="0.4">
      <c r="A166" s="4" t="s">
        <v>216</v>
      </c>
      <c r="B166" s="4">
        <v>1482</v>
      </c>
      <c r="C166" s="4" t="s">
        <v>242</v>
      </c>
      <c r="D166" s="4" t="s">
        <v>552</v>
      </c>
      <c r="E166" s="4" t="s">
        <v>2104</v>
      </c>
      <c r="F166" s="4" t="s">
        <v>2105</v>
      </c>
      <c r="G166" s="4" t="s">
        <v>2106</v>
      </c>
      <c r="H166" s="4" t="s">
        <v>2107</v>
      </c>
      <c r="I166" s="4" t="s">
        <v>28</v>
      </c>
      <c r="J166" s="4" t="s">
        <v>2108</v>
      </c>
      <c r="K166" s="4" t="s">
        <v>224</v>
      </c>
      <c r="L166" s="5" t="s">
        <v>2109</v>
      </c>
      <c r="M166" s="4" t="s">
        <v>2110</v>
      </c>
      <c r="N166" s="4" t="s">
        <v>2111</v>
      </c>
      <c r="O166" s="4"/>
      <c r="P166" s="4" t="s">
        <v>2112</v>
      </c>
      <c r="Q166" s="4" t="s">
        <v>2113</v>
      </c>
      <c r="R166" s="4" t="s">
        <v>252</v>
      </c>
      <c r="S166" s="4" t="s">
        <v>257</v>
      </c>
      <c r="T166" s="7">
        <v>41940</v>
      </c>
      <c r="U166" s="4">
        <v>0</v>
      </c>
      <c r="V166" s="4">
        <v>0</v>
      </c>
      <c r="W166" s="4" t="s">
        <v>232</v>
      </c>
      <c r="X166" s="4" t="s">
        <v>1992</v>
      </c>
      <c r="Y166" s="4" t="s">
        <v>233</v>
      </c>
      <c r="Z166" s="4" t="s">
        <v>234</v>
      </c>
      <c r="AA166" s="4" t="s">
        <v>234</v>
      </c>
      <c r="AB166" s="4" t="s">
        <v>2114</v>
      </c>
    </row>
    <row r="167" spans="1:28" x14ac:dyDescent="0.4">
      <c r="A167" s="4" t="s">
        <v>216</v>
      </c>
      <c r="B167" s="4">
        <v>1482</v>
      </c>
      <c r="C167" s="4" t="s">
        <v>242</v>
      </c>
      <c r="D167" s="4" t="s">
        <v>552</v>
      </c>
      <c r="E167" s="4" t="s">
        <v>2104</v>
      </c>
      <c r="F167" s="4" t="s">
        <v>2105</v>
      </c>
      <c r="G167" s="4" t="s">
        <v>2106</v>
      </c>
      <c r="H167" s="4" t="s">
        <v>2107</v>
      </c>
      <c r="I167" s="4" t="s">
        <v>28</v>
      </c>
      <c r="J167" s="4" t="s">
        <v>2108</v>
      </c>
      <c r="K167" s="4" t="s">
        <v>224</v>
      </c>
      <c r="L167" s="5" t="s">
        <v>2109</v>
      </c>
      <c r="M167" s="4" t="s">
        <v>2110</v>
      </c>
      <c r="N167" s="4" t="s">
        <v>2111</v>
      </c>
      <c r="O167" s="4"/>
      <c r="P167" s="4" t="s">
        <v>2112</v>
      </c>
      <c r="Q167" s="4" t="s">
        <v>2113</v>
      </c>
      <c r="R167" s="4" t="s">
        <v>252</v>
      </c>
      <c r="S167" s="4" t="s">
        <v>257</v>
      </c>
      <c r="T167" s="7">
        <v>41940</v>
      </c>
      <c r="U167" s="4">
        <v>0</v>
      </c>
      <c r="V167" s="4">
        <v>0</v>
      </c>
      <c r="W167" s="4" t="s">
        <v>232</v>
      </c>
      <c r="X167" s="4" t="s">
        <v>1992</v>
      </c>
      <c r="Y167" s="4" t="s">
        <v>233</v>
      </c>
      <c r="Z167" s="4" t="s">
        <v>234</v>
      </c>
      <c r="AA167" s="4" t="s">
        <v>234</v>
      </c>
      <c r="AB167" s="4" t="s">
        <v>2114</v>
      </c>
    </row>
    <row r="168" spans="1:28" x14ac:dyDescent="0.4">
      <c r="A168" s="4" t="s">
        <v>216</v>
      </c>
      <c r="B168" s="4">
        <v>3402</v>
      </c>
      <c r="C168" s="4" t="s">
        <v>242</v>
      </c>
      <c r="D168" s="4" t="s">
        <v>453</v>
      </c>
      <c r="E168" s="4" t="s">
        <v>2197</v>
      </c>
      <c r="F168" s="4" t="s">
        <v>2198</v>
      </c>
      <c r="G168" s="4"/>
      <c r="H168" s="4" t="s">
        <v>245</v>
      </c>
      <c r="I168" s="4" t="s">
        <v>154</v>
      </c>
      <c r="J168" s="4" t="s">
        <v>2199</v>
      </c>
      <c r="K168" s="4" t="s">
        <v>224</v>
      </c>
      <c r="L168" s="6" t="s">
        <v>2200</v>
      </c>
      <c r="M168" s="4" t="s">
        <v>2201</v>
      </c>
      <c r="N168" s="4" t="s">
        <v>2202</v>
      </c>
      <c r="O168" s="4"/>
      <c r="P168" s="4" t="s">
        <v>2207</v>
      </c>
      <c r="Q168" s="4" t="s">
        <v>2208</v>
      </c>
      <c r="R168" s="4" t="s">
        <v>1056</v>
      </c>
      <c r="S168" s="4" t="s">
        <v>257</v>
      </c>
      <c r="T168" s="7">
        <v>40771</v>
      </c>
      <c r="U168" s="4">
        <v>0</v>
      </c>
      <c r="V168" s="4">
        <v>0</v>
      </c>
      <c r="W168" s="4" t="s">
        <v>232</v>
      </c>
      <c r="X168" s="4"/>
      <c r="Y168" s="4" t="s">
        <v>233</v>
      </c>
      <c r="Z168" s="4" t="s">
        <v>234</v>
      </c>
      <c r="AA168" s="4" t="s">
        <v>234</v>
      </c>
      <c r="AB168" s="4" t="s">
        <v>2205</v>
      </c>
    </row>
    <row r="169" spans="1:28" x14ac:dyDescent="0.4">
      <c r="A169" s="4" t="s">
        <v>216</v>
      </c>
      <c r="B169" s="4">
        <v>1155</v>
      </c>
      <c r="C169" s="4" t="s">
        <v>242</v>
      </c>
      <c r="D169" s="4" t="s">
        <v>2238</v>
      </c>
      <c r="E169" s="4" t="s">
        <v>2239</v>
      </c>
      <c r="F169" s="4" t="s">
        <v>2240</v>
      </c>
      <c r="G169" s="4" t="s">
        <v>2241</v>
      </c>
      <c r="H169" s="4" t="s">
        <v>245</v>
      </c>
      <c r="I169" s="4" t="s">
        <v>154</v>
      </c>
      <c r="J169" s="4" t="s">
        <v>2242</v>
      </c>
      <c r="K169" s="4" t="s">
        <v>224</v>
      </c>
      <c r="L169" s="5" t="s">
        <v>2243</v>
      </c>
      <c r="M169" s="4" t="s">
        <v>2244</v>
      </c>
      <c r="N169" s="4" t="s">
        <v>2245</v>
      </c>
      <c r="O169" s="4"/>
      <c r="P169" s="4" t="s">
        <v>2246</v>
      </c>
      <c r="Q169" s="4" t="s">
        <v>2247</v>
      </c>
      <c r="R169" s="4" t="s">
        <v>252</v>
      </c>
      <c r="S169" s="4" t="s">
        <v>231</v>
      </c>
      <c r="T169" s="7">
        <v>40939</v>
      </c>
      <c r="U169" s="4">
        <v>0</v>
      </c>
      <c r="V169" s="4">
        <v>0</v>
      </c>
      <c r="W169" s="4" t="s">
        <v>232</v>
      </c>
      <c r="X169" s="4" t="s">
        <v>464</v>
      </c>
      <c r="Y169" s="4" t="s">
        <v>233</v>
      </c>
      <c r="Z169" s="4" t="s">
        <v>234</v>
      </c>
      <c r="AA169" s="4" t="s">
        <v>234</v>
      </c>
      <c r="AB169" s="4"/>
    </row>
    <row r="170" spans="1:28" x14ac:dyDescent="0.4">
      <c r="A170" s="4" t="s">
        <v>216</v>
      </c>
      <c r="B170" s="4">
        <v>1155</v>
      </c>
      <c r="C170" s="4" t="s">
        <v>242</v>
      </c>
      <c r="D170" s="4" t="s">
        <v>2238</v>
      </c>
      <c r="E170" s="4" t="s">
        <v>2239</v>
      </c>
      <c r="F170" s="4" t="s">
        <v>2240</v>
      </c>
      <c r="G170" s="4" t="s">
        <v>2241</v>
      </c>
      <c r="H170" s="4" t="s">
        <v>245</v>
      </c>
      <c r="I170" s="4" t="s">
        <v>154</v>
      </c>
      <c r="J170" s="4" t="s">
        <v>2242</v>
      </c>
      <c r="K170" s="4" t="s">
        <v>224</v>
      </c>
      <c r="L170" s="5" t="s">
        <v>2243</v>
      </c>
      <c r="M170" s="4" t="s">
        <v>2244</v>
      </c>
      <c r="N170" s="4" t="s">
        <v>2245</v>
      </c>
      <c r="O170" s="4"/>
      <c r="P170" s="4" t="s">
        <v>2248</v>
      </c>
      <c r="Q170" s="4" t="s">
        <v>2248</v>
      </c>
      <c r="R170" s="4" t="s">
        <v>252</v>
      </c>
      <c r="S170" s="4" t="s">
        <v>231</v>
      </c>
      <c r="T170" s="7">
        <v>45553</v>
      </c>
      <c r="U170" s="4">
        <v>0</v>
      </c>
      <c r="V170" s="4">
        <v>0</v>
      </c>
      <c r="W170" s="4" t="s">
        <v>232</v>
      </c>
      <c r="X170" s="4" t="s">
        <v>464</v>
      </c>
      <c r="Y170" s="4" t="s">
        <v>233</v>
      </c>
      <c r="Z170" s="4" t="s">
        <v>234</v>
      </c>
      <c r="AA170" s="4" t="s">
        <v>234</v>
      </c>
      <c r="AB170" s="4"/>
    </row>
    <row r="171" spans="1:28" x14ac:dyDescent="0.4">
      <c r="A171" s="4" t="s">
        <v>216</v>
      </c>
      <c r="B171" s="4">
        <v>1155</v>
      </c>
      <c r="C171" s="4" t="s">
        <v>242</v>
      </c>
      <c r="D171" s="4" t="s">
        <v>2238</v>
      </c>
      <c r="E171" s="4" t="s">
        <v>2239</v>
      </c>
      <c r="F171" s="4" t="s">
        <v>2240</v>
      </c>
      <c r="G171" s="4" t="s">
        <v>2241</v>
      </c>
      <c r="H171" s="4" t="s">
        <v>245</v>
      </c>
      <c r="I171" s="4" t="s">
        <v>154</v>
      </c>
      <c r="J171" s="4" t="s">
        <v>2242</v>
      </c>
      <c r="K171" s="4" t="s">
        <v>224</v>
      </c>
      <c r="L171" s="5" t="s">
        <v>2243</v>
      </c>
      <c r="M171" s="4" t="s">
        <v>2244</v>
      </c>
      <c r="N171" s="4" t="s">
        <v>2245</v>
      </c>
      <c r="O171" s="4"/>
      <c r="P171" s="4" t="s">
        <v>2246</v>
      </c>
      <c r="Q171" s="4" t="s">
        <v>2247</v>
      </c>
      <c r="R171" s="4" t="s">
        <v>252</v>
      </c>
      <c r="S171" s="4" t="s">
        <v>231</v>
      </c>
      <c r="T171" s="7">
        <v>40939</v>
      </c>
      <c r="U171" s="4">
        <v>0</v>
      </c>
      <c r="V171" s="4">
        <v>0</v>
      </c>
      <c r="W171" s="4" t="s">
        <v>232</v>
      </c>
      <c r="X171" s="4" t="s">
        <v>464</v>
      </c>
      <c r="Y171" s="4" t="s">
        <v>233</v>
      </c>
      <c r="Z171" s="4" t="s">
        <v>234</v>
      </c>
      <c r="AA171" s="4" t="s">
        <v>234</v>
      </c>
      <c r="AB171" s="4"/>
    </row>
    <row r="172" spans="1:28" x14ac:dyDescent="0.4">
      <c r="A172" s="4" t="s">
        <v>216</v>
      </c>
      <c r="B172" s="4">
        <v>1155</v>
      </c>
      <c r="C172" s="4" t="s">
        <v>242</v>
      </c>
      <c r="D172" s="4" t="s">
        <v>2238</v>
      </c>
      <c r="E172" s="4" t="s">
        <v>2239</v>
      </c>
      <c r="F172" s="4" t="s">
        <v>2240</v>
      </c>
      <c r="G172" s="4" t="s">
        <v>2241</v>
      </c>
      <c r="H172" s="4" t="s">
        <v>245</v>
      </c>
      <c r="I172" s="4" t="s">
        <v>154</v>
      </c>
      <c r="J172" s="4" t="s">
        <v>2242</v>
      </c>
      <c r="K172" s="4" t="s">
        <v>224</v>
      </c>
      <c r="L172" s="5" t="s">
        <v>2243</v>
      </c>
      <c r="M172" s="4" t="s">
        <v>2244</v>
      </c>
      <c r="N172" s="4" t="s">
        <v>2245</v>
      </c>
      <c r="O172" s="4"/>
      <c r="P172" s="4" t="s">
        <v>2248</v>
      </c>
      <c r="Q172" s="4" t="s">
        <v>2248</v>
      </c>
      <c r="R172" s="4" t="s">
        <v>252</v>
      </c>
      <c r="S172" s="4" t="s">
        <v>231</v>
      </c>
      <c r="T172" s="7">
        <v>45553</v>
      </c>
      <c r="U172" s="4">
        <v>0</v>
      </c>
      <c r="V172" s="4">
        <v>0</v>
      </c>
      <c r="W172" s="4" t="s">
        <v>232</v>
      </c>
      <c r="X172" s="4" t="s">
        <v>464</v>
      </c>
      <c r="Y172" s="4" t="s">
        <v>233</v>
      </c>
      <c r="Z172" s="4" t="s">
        <v>234</v>
      </c>
      <c r="AA172" s="4" t="s">
        <v>234</v>
      </c>
      <c r="AB172" s="4"/>
    </row>
    <row r="173" spans="1:28" x14ac:dyDescent="0.4">
      <c r="A173" s="4" t="s">
        <v>216</v>
      </c>
      <c r="B173" s="4">
        <v>643</v>
      </c>
      <c r="C173" s="4" t="s">
        <v>242</v>
      </c>
      <c r="D173" s="4" t="s">
        <v>2284</v>
      </c>
      <c r="E173" s="4" t="s">
        <v>2285</v>
      </c>
      <c r="F173" s="4" t="s">
        <v>2286</v>
      </c>
      <c r="G173" s="4"/>
      <c r="H173" s="4" t="s">
        <v>2287</v>
      </c>
      <c r="I173" s="4" t="s">
        <v>1600</v>
      </c>
      <c r="J173" s="4" t="s">
        <v>2288</v>
      </c>
      <c r="K173" s="4" t="s">
        <v>224</v>
      </c>
      <c r="L173" s="6" t="s">
        <v>2289</v>
      </c>
      <c r="M173" s="4" t="s">
        <v>2290</v>
      </c>
      <c r="N173" s="4" t="s">
        <v>2291</v>
      </c>
      <c r="O173" s="4"/>
      <c r="P173" s="4" t="s">
        <v>2292</v>
      </c>
      <c r="Q173" s="4" t="s">
        <v>2293</v>
      </c>
      <c r="R173" s="4" t="s">
        <v>252</v>
      </c>
      <c r="S173" s="4" t="s">
        <v>257</v>
      </c>
      <c r="T173" s="7">
        <v>42506</v>
      </c>
      <c r="U173" s="4">
        <v>0</v>
      </c>
      <c r="V173" s="4">
        <v>0</v>
      </c>
      <c r="W173" s="4" t="s">
        <v>232</v>
      </c>
      <c r="X173" s="4" t="s">
        <v>1488</v>
      </c>
      <c r="Y173" s="4" t="s">
        <v>233</v>
      </c>
      <c r="Z173" s="4" t="s">
        <v>234</v>
      </c>
      <c r="AA173" s="4" t="s">
        <v>233</v>
      </c>
      <c r="AB173" s="4"/>
    </row>
    <row r="174" spans="1:28" x14ac:dyDescent="0.4">
      <c r="A174" s="4" t="s">
        <v>216</v>
      </c>
      <c r="B174" s="4">
        <v>643</v>
      </c>
      <c r="C174" s="4" t="s">
        <v>242</v>
      </c>
      <c r="D174" s="4" t="s">
        <v>2284</v>
      </c>
      <c r="E174" s="4" t="s">
        <v>2285</v>
      </c>
      <c r="F174" s="4" t="s">
        <v>2286</v>
      </c>
      <c r="G174" s="4"/>
      <c r="H174" s="4" t="s">
        <v>2287</v>
      </c>
      <c r="I174" s="4" t="s">
        <v>1600</v>
      </c>
      <c r="J174" s="4" t="s">
        <v>2288</v>
      </c>
      <c r="K174" s="4" t="s">
        <v>224</v>
      </c>
      <c r="L174" s="6" t="s">
        <v>2289</v>
      </c>
      <c r="M174" s="4" t="s">
        <v>2290</v>
      </c>
      <c r="N174" s="4" t="s">
        <v>2291</v>
      </c>
      <c r="O174" s="4"/>
      <c r="P174" s="4" t="s">
        <v>2292</v>
      </c>
      <c r="Q174" s="4" t="s">
        <v>2293</v>
      </c>
      <c r="R174" s="4" t="s">
        <v>252</v>
      </c>
      <c r="S174" s="4" t="s">
        <v>257</v>
      </c>
      <c r="T174" s="7">
        <v>42506</v>
      </c>
      <c r="U174" s="4">
        <v>0</v>
      </c>
      <c r="V174" s="4">
        <v>0</v>
      </c>
      <c r="W174" s="4" t="s">
        <v>232</v>
      </c>
      <c r="X174" s="4" t="s">
        <v>1488</v>
      </c>
      <c r="Y174" s="4" t="s">
        <v>233</v>
      </c>
      <c r="Z174" s="4" t="s">
        <v>234</v>
      </c>
      <c r="AA174" s="4" t="s">
        <v>233</v>
      </c>
      <c r="AB174" s="4"/>
    </row>
    <row r="175" spans="1:28" x14ac:dyDescent="0.4">
      <c r="A175" s="4" t="s">
        <v>216</v>
      </c>
      <c r="B175" s="4">
        <v>2356</v>
      </c>
      <c r="C175" s="4" t="s">
        <v>242</v>
      </c>
      <c r="D175" s="4" t="s">
        <v>1167</v>
      </c>
      <c r="E175" s="4" t="s">
        <v>2298</v>
      </c>
      <c r="F175" s="4" t="s">
        <v>2299</v>
      </c>
      <c r="G175" s="4" t="s">
        <v>2300</v>
      </c>
      <c r="H175" s="4" t="s">
        <v>2301</v>
      </c>
      <c r="I175" s="4" t="s">
        <v>610</v>
      </c>
      <c r="J175" s="4" t="s">
        <v>2302</v>
      </c>
      <c r="K175" s="4" t="s">
        <v>224</v>
      </c>
      <c r="L175" s="5">
        <v>441526321231</v>
      </c>
      <c r="M175" s="4" t="s">
        <v>2303</v>
      </c>
      <c r="N175" s="4" t="s">
        <v>2304</v>
      </c>
      <c r="O175" s="4"/>
      <c r="P175" s="4" t="s">
        <v>2305</v>
      </c>
      <c r="Q175" s="4" t="s">
        <v>2306</v>
      </c>
      <c r="R175" s="4" t="s">
        <v>252</v>
      </c>
      <c r="S175" s="4" t="s">
        <v>257</v>
      </c>
      <c r="T175" s="7">
        <v>42603</v>
      </c>
      <c r="U175" s="4">
        <v>0</v>
      </c>
      <c r="V175" s="4">
        <v>0</v>
      </c>
      <c r="W175" s="4" t="s">
        <v>232</v>
      </c>
      <c r="X175" s="4"/>
      <c r="Y175" s="4" t="s">
        <v>233</v>
      </c>
      <c r="Z175" s="4" t="s">
        <v>234</v>
      </c>
      <c r="AA175" s="4" t="s">
        <v>234</v>
      </c>
      <c r="AB175" s="4"/>
    </row>
    <row r="176" spans="1:28" x14ac:dyDescent="0.4">
      <c r="A176" s="4" t="s">
        <v>216</v>
      </c>
      <c r="B176" s="4">
        <v>2949</v>
      </c>
      <c r="C176" s="4" t="s">
        <v>217</v>
      </c>
      <c r="D176" s="4" t="s">
        <v>1675</v>
      </c>
      <c r="E176" s="4" t="s">
        <v>2320</v>
      </c>
      <c r="F176" s="4" t="s">
        <v>2321</v>
      </c>
      <c r="G176" s="4" t="s">
        <v>1446</v>
      </c>
      <c r="H176" s="4" t="s">
        <v>1812</v>
      </c>
      <c r="I176" s="4" t="s">
        <v>143</v>
      </c>
      <c r="J176" s="4" t="s">
        <v>2322</v>
      </c>
      <c r="K176" s="4" t="s">
        <v>224</v>
      </c>
      <c r="L176" s="5" t="s">
        <v>2323</v>
      </c>
      <c r="M176" s="4" t="s">
        <v>2324</v>
      </c>
      <c r="N176" s="4" t="s">
        <v>2325</v>
      </c>
      <c r="O176" s="4"/>
      <c r="P176" s="4" t="s">
        <v>2326</v>
      </c>
      <c r="Q176" s="4" t="s">
        <v>2327</v>
      </c>
      <c r="R176" s="4" t="s">
        <v>252</v>
      </c>
      <c r="S176" s="4" t="s">
        <v>257</v>
      </c>
      <c r="T176" s="7">
        <v>45779</v>
      </c>
      <c r="U176" s="4">
        <v>0</v>
      </c>
      <c r="V176" s="4">
        <v>0</v>
      </c>
      <c r="W176" s="4" t="s">
        <v>232</v>
      </c>
      <c r="X176" s="4"/>
      <c r="Y176" s="4" t="s">
        <v>233</v>
      </c>
      <c r="Z176" s="4" t="s">
        <v>234</v>
      </c>
      <c r="AA176" s="4" t="s">
        <v>234</v>
      </c>
      <c r="AB176" s="4"/>
    </row>
    <row r="177" spans="1:28" x14ac:dyDescent="0.4">
      <c r="A177" s="4" t="s">
        <v>216</v>
      </c>
      <c r="B177" s="4">
        <v>2949</v>
      </c>
      <c r="C177" s="4" t="s">
        <v>217</v>
      </c>
      <c r="D177" s="4" t="s">
        <v>1675</v>
      </c>
      <c r="E177" s="4" t="s">
        <v>2320</v>
      </c>
      <c r="F177" s="4" t="s">
        <v>2321</v>
      </c>
      <c r="G177" s="4" t="s">
        <v>1446</v>
      </c>
      <c r="H177" s="4" t="s">
        <v>1812</v>
      </c>
      <c r="I177" s="4" t="s">
        <v>143</v>
      </c>
      <c r="J177" s="4" t="s">
        <v>2322</v>
      </c>
      <c r="K177" s="4" t="s">
        <v>224</v>
      </c>
      <c r="L177" s="5" t="s">
        <v>2323</v>
      </c>
      <c r="M177" s="4" t="s">
        <v>2324</v>
      </c>
      <c r="N177" s="4" t="s">
        <v>2325</v>
      </c>
      <c r="O177" s="4"/>
      <c r="P177" s="4" t="s">
        <v>2328</v>
      </c>
      <c r="Q177" s="4" t="s">
        <v>2329</v>
      </c>
      <c r="R177" s="4" t="s">
        <v>252</v>
      </c>
      <c r="S177" s="4" t="s">
        <v>257</v>
      </c>
      <c r="T177" s="7">
        <v>44121</v>
      </c>
      <c r="U177" s="4">
        <v>0</v>
      </c>
      <c r="V177" s="4">
        <v>0</v>
      </c>
      <c r="W177" s="4" t="s">
        <v>232</v>
      </c>
      <c r="X177" s="4"/>
      <c r="Y177" s="4" t="s">
        <v>233</v>
      </c>
      <c r="Z177" s="4" t="s">
        <v>234</v>
      </c>
      <c r="AA177" s="4" t="s">
        <v>234</v>
      </c>
      <c r="AB177" s="4"/>
    </row>
    <row r="178" spans="1:28" x14ac:dyDescent="0.4">
      <c r="A178" s="4" t="s">
        <v>216</v>
      </c>
      <c r="B178" s="4">
        <v>2949</v>
      </c>
      <c r="C178" s="4" t="s">
        <v>217</v>
      </c>
      <c r="D178" s="4" t="s">
        <v>1675</v>
      </c>
      <c r="E178" s="4" t="s">
        <v>2320</v>
      </c>
      <c r="F178" s="4" t="s">
        <v>2321</v>
      </c>
      <c r="G178" s="4" t="s">
        <v>1446</v>
      </c>
      <c r="H178" s="4" t="s">
        <v>1812</v>
      </c>
      <c r="I178" s="4" t="s">
        <v>143</v>
      </c>
      <c r="J178" s="4" t="s">
        <v>2322</v>
      </c>
      <c r="K178" s="4" t="s">
        <v>224</v>
      </c>
      <c r="L178" s="5" t="s">
        <v>2323</v>
      </c>
      <c r="M178" s="4" t="s">
        <v>2324</v>
      </c>
      <c r="N178" s="4" t="s">
        <v>2325</v>
      </c>
      <c r="O178" s="4"/>
      <c r="P178" s="4" t="s">
        <v>2326</v>
      </c>
      <c r="Q178" s="4" t="s">
        <v>2327</v>
      </c>
      <c r="R178" s="4" t="s">
        <v>252</v>
      </c>
      <c r="S178" s="4" t="s">
        <v>257</v>
      </c>
      <c r="T178" s="7">
        <v>45779</v>
      </c>
      <c r="U178" s="4">
        <v>0</v>
      </c>
      <c r="V178" s="4">
        <v>0</v>
      </c>
      <c r="W178" s="4" t="s">
        <v>232</v>
      </c>
      <c r="X178" s="4"/>
      <c r="Y178" s="4" t="s">
        <v>233</v>
      </c>
      <c r="Z178" s="4" t="s">
        <v>234</v>
      </c>
      <c r="AA178" s="4" t="s">
        <v>234</v>
      </c>
      <c r="AB178" s="4"/>
    </row>
    <row r="179" spans="1:28" x14ac:dyDescent="0.4">
      <c r="A179" s="4" t="s">
        <v>216</v>
      </c>
      <c r="B179" s="4">
        <v>2949</v>
      </c>
      <c r="C179" s="4" t="s">
        <v>217</v>
      </c>
      <c r="D179" s="4" t="s">
        <v>1675</v>
      </c>
      <c r="E179" s="4" t="s">
        <v>2320</v>
      </c>
      <c r="F179" s="4" t="s">
        <v>2321</v>
      </c>
      <c r="G179" s="4" t="s">
        <v>1446</v>
      </c>
      <c r="H179" s="4" t="s">
        <v>1812</v>
      </c>
      <c r="I179" s="4" t="s">
        <v>143</v>
      </c>
      <c r="J179" s="4" t="s">
        <v>2322</v>
      </c>
      <c r="K179" s="4" t="s">
        <v>224</v>
      </c>
      <c r="L179" s="5" t="s">
        <v>2323</v>
      </c>
      <c r="M179" s="4" t="s">
        <v>2324</v>
      </c>
      <c r="N179" s="4" t="s">
        <v>2325</v>
      </c>
      <c r="O179" s="4"/>
      <c r="P179" s="4" t="s">
        <v>2328</v>
      </c>
      <c r="Q179" s="4" t="s">
        <v>2329</v>
      </c>
      <c r="R179" s="4" t="s">
        <v>252</v>
      </c>
      <c r="S179" s="4" t="s">
        <v>257</v>
      </c>
      <c r="T179" s="7">
        <v>44121</v>
      </c>
      <c r="U179" s="4">
        <v>0</v>
      </c>
      <c r="V179" s="4">
        <v>0</v>
      </c>
      <c r="W179" s="4" t="s">
        <v>232</v>
      </c>
      <c r="X179" s="4"/>
      <c r="Y179" s="4" t="s">
        <v>233</v>
      </c>
      <c r="Z179" s="4" t="s">
        <v>234</v>
      </c>
      <c r="AA179" s="4" t="s">
        <v>234</v>
      </c>
      <c r="AB179" s="4"/>
    </row>
    <row r="180" spans="1:28" x14ac:dyDescent="0.4">
      <c r="A180" s="4" t="s">
        <v>216</v>
      </c>
      <c r="B180" s="4">
        <v>2949</v>
      </c>
      <c r="C180" s="4" t="s">
        <v>217</v>
      </c>
      <c r="D180" s="4" t="s">
        <v>1675</v>
      </c>
      <c r="E180" s="4" t="s">
        <v>2320</v>
      </c>
      <c r="F180" s="4" t="s">
        <v>2321</v>
      </c>
      <c r="G180" s="4" t="s">
        <v>1446</v>
      </c>
      <c r="H180" s="4" t="s">
        <v>1812</v>
      </c>
      <c r="I180" s="4" t="s">
        <v>143</v>
      </c>
      <c r="J180" s="4" t="s">
        <v>2322</v>
      </c>
      <c r="K180" s="4" t="s">
        <v>224</v>
      </c>
      <c r="L180" s="5" t="s">
        <v>2323</v>
      </c>
      <c r="M180" s="4" t="s">
        <v>2324</v>
      </c>
      <c r="N180" s="4" t="s">
        <v>2325</v>
      </c>
      <c r="O180" s="4"/>
      <c r="P180" s="4" t="s">
        <v>2330</v>
      </c>
      <c r="Q180" s="4" t="s">
        <v>2331</v>
      </c>
      <c r="R180" s="4" t="s">
        <v>968</v>
      </c>
      <c r="S180" s="4" t="s">
        <v>257</v>
      </c>
      <c r="T180" s="7">
        <v>42150</v>
      </c>
      <c r="U180" s="4">
        <v>0</v>
      </c>
      <c r="V180" s="4">
        <v>0</v>
      </c>
      <c r="W180" s="4" t="s">
        <v>232</v>
      </c>
      <c r="X180" s="4"/>
      <c r="Y180" s="4" t="s">
        <v>233</v>
      </c>
      <c r="Z180" s="4" t="s">
        <v>234</v>
      </c>
      <c r="AA180" s="4" t="s">
        <v>234</v>
      </c>
      <c r="AB180" s="4"/>
    </row>
    <row r="181" spans="1:28" x14ac:dyDescent="0.4">
      <c r="A181" s="4" t="s">
        <v>216</v>
      </c>
      <c r="B181" s="4">
        <v>4249</v>
      </c>
      <c r="C181" s="4" t="s">
        <v>242</v>
      </c>
      <c r="D181" s="4" t="s">
        <v>2332</v>
      </c>
      <c r="E181" s="4" t="s">
        <v>2333</v>
      </c>
      <c r="F181" s="4" t="s">
        <v>2334</v>
      </c>
      <c r="G181" s="4" t="s">
        <v>2335</v>
      </c>
      <c r="H181" s="4" t="s">
        <v>2336</v>
      </c>
      <c r="I181" s="4" t="s">
        <v>143</v>
      </c>
      <c r="J181" s="4" t="s">
        <v>2337</v>
      </c>
      <c r="K181" s="4" t="s">
        <v>224</v>
      </c>
      <c r="L181" s="6" t="s">
        <v>2338</v>
      </c>
      <c r="M181" s="4" t="s">
        <v>2339</v>
      </c>
      <c r="N181" s="4" t="s">
        <v>2340</v>
      </c>
      <c r="O181" s="4"/>
      <c r="P181" s="4" t="s">
        <v>2341</v>
      </c>
      <c r="Q181" s="4" t="s">
        <v>2342</v>
      </c>
      <c r="R181" s="4" t="s">
        <v>2343</v>
      </c>
      <c r="S181" s="4" t="s">
        <v>257</v>
      </c>
      <c r="T181" s="7">
        <v>43477</v>
      </c>
      <c r="U181" s="4">
        <v>0</v>
      </c>
      <c r="V181" s="4">
        <v>0</v>
      </c>
      <c r="W181" s="4" t="s">
        <v>232</v>
      </c>
      <c r="X181" s="4" t="s">
        <v>464</v>
      </c>
      <c r="Y181" s="4" t="s">
        <v>233</v>
      </c>
      <c r="Z181" s="4" t="s">
        <v>234</v>
      </c>
      <c r="AA181" s="4" t="s">
        <v>234</v>
      </c>
      <c r="AB181" s="4"/>
    </row>
    <row r="182" spans="1:28" x14ac:dyDescent="0.4">
      <c r="A182" s="4" t="s">
        <v>216</v>
      </c>
      <c r="B182" s="4">
        <v>4249</v>
      </c>
      <c r="C182" s="4" t="s">
        <v>242</v>
      </c>
      <c r="D182" s="4" t="s">
        <v>2332</v>
      </c>
      <c r="E182" s="4" t="s">
        <v>2333</v>
      </c>
      <c r="F182" s="4" t="s">
        <v>2334</v>
      </c>
      <c r="G182" s="4" t="s">
        <v>2335</v>
      </c>
      <c r="H182" s="4" t="s">
        <v>2336</v>
      </c>
      <c r="I182" s="4" t="s">
        <v>143</v>
      </c>
      <c r="J182" s="4" t="s">
        <v>2337</v>
      </c>
      <c r="K182" s="4" t="s">
        <v>224</v>
      </c>
      <c r="L182" s="6" t="s">
        <v>2338</v>
      </c>
      <c r="M182" s="4" t="s">
        <v>2339</v>
      </c>
      <c r="N182" s="4" t="s">
        <v>2340</v>
      </c>
      <c r="O182" s="4"/>
      <c r="P182" s="4" t="s">
        <v>2341</v>
      </c>
      <c r="Q182" s="4" t="s">
        <v>2342</v>
      </c>
      <c r="R182" s="4" t="s">
        <v>2343</v>
      </c>
      <c r="S182" s="4" t="s">
        <v>257</v>
      </c>
      <c r="T182" s="7">
        <v>43477</v>
      </c>
      <c r="U182" s="4">
        <v>0</v>
      </c>
      <c r="V182" s="4">
        <v>0</v>
      </c>
      <c r="W182" s="4" t="s">
        <v>232</v>
      </c>
      <c r="X182" s="4" t="s">
        <v>464</v>
      </c>
      <c r="Y182" s="4" t="s">
        <v>233</v>
      </c>
      <c r="Z182" s="4" t="s">
        <v>234</v>
      </c>
      <c r="AA182" s="4" t="s">
        <v>234</v>
      </c>
      <c r="AB182" s="4"/>
    </row>
    <row r="183" spans="1:28" x14ac:dyDescent="0.4">
      <c r="A183" s="4" t="s">
        <v>216</v>
      </c>
      <c r="B183" s="4">
        <v>5190</v>
      </c>
      <c r="C183" s="4" t="s">
        <v>242</v>
      </c>
      <c r="D183" s="4" t="s">
        <v>2404</v>
      </c>
      <c r="E183" s="4" t="s">
        <v>2405</v>
      </c>
      <c r="F183" s="4" t="s">
        <v>2406</v>
      </c>
      <c r="G183" s="4" t="s">
        <v>2407</v>
      </c>
      <c r="H183" s="4" t="s">
        <v>1153</v>
      </c>
      <c r="I183" s="4" t="s">
        <v>1154</v>
      </c>
      <c r="J183" s="4" t="s">
        <v>2408</v>
      </c>
      <c r="K183" s="4" t="s">
        <v>224</v>
      </c>
      <c r="L183" s="6" t="s">
        <v>2409</v>
      </c>
      <c r="M183" s="4" t="s">
        <v>2410</v>
      </c>
      <c r="N183" s="4" t="s">
        <v>2411</v>
      </c>
      <c r="O183" s="4"/>
      <c r="P183" s="4" t="s">
        <v>2412</v>
      </c>
      <c r="Q183" s="4" t="s">
        <v>2413</v>
      </c>
      <c r="R183" s="4" t="s">
        <v>252</v>
      </c>
      <c r="S183" s="4" t="s">
        <v>231</v>
      </c>
      <c r="T183" s="7">
        <v>45951</v>
      </c>
      <c r="U183" s="4">
        <v>0</v>
      </c>
      <c r="V183" s="4">
        <v>0</v>
      </c>
      <c r="W183" s="4" t="s">
        <v>232</v>
      </c>
      <c r="X183" s="4"/>
      <c r="Y183" s="4" t="s">
        <v>233</v>
      </c>
      <c r="Z183" s="4" t="s">
        <v>234</v>
      </c>
      <c r="AA183" s="4" t="s">
        <v>234</v>
      </c>
      <c r="AB183" s="4"/>
    </row>
    <row r="184" spans="1:28" x14ac:dyDescent="0.4">
      <c r="A184" s="4" t="s">
        <v>216</v>
      </c>
      <c r="B184" s="4">
        <v>5190</v>
      </c>
      <c r="C184" s="4" t="s">
        <v>242</v>
      </c>
      <c r="D184" s="4" t="s">
        <v>2404</v>
      </c>
      <c r="E184" s="4" t="s">
        <v>2405</v>
      </c>
      <c r="F184" s="4" t="s">
        <v>2406</v>
      </c>
      <c r="G184" s="4" t="s">
        <v>2407</v>
      </c>
      <c r="H184" s="4" t="s">
        <v>1153</v>
      </c>
      <c r="I184" s="4" t="s">
        <v>1154</v>
      </c>
      <c r="J184" s="4" t="s">
        <v>2408</v>
      </c>
      <c r="K184" s="4" t="s">
        <v>224</v>
      </c>
      <c r="L184" s="6" t="s">
        <v>2409</v>
      </c>
      <c r="M184" s="4" t="s">
        <v>2410</v>
      </c>
      <c r="N184" s="4" t="s">
        <v>2411</v>
      </c>
      <c r="O184" s="4"/>
      <c r="P184" s="4" t="s">
        <v>2412</v>
      </c>
      <c r="Q184" s="4" t="s">
        <v>2413</v>
      </c>
      <c r="R184" s="4" t="s">
        <v>252</v>
      </c>
      <c r="S184" s="4" t="s">
        <v>231</v>
      </c>
      <c r="T184" s="7">
        <v>45951</v>
      </c>
      <c r="U184" s="4">
        <v>0</v>
      </c>
      <c r="V184" s="4">
        <v>0</v>
      </c>
      <c r="W184" s="4" t="s">
        <v>232</v>
      </c>
      <c r="X184" s="4"/>
      <c r="Y184" s="4" t="s">
        <v>233</v>
      </c>
      <c r="Z184" s="4" t="s">
        <v>234</v>
      </c>
      <c r="AA184" s="4" t="s">
        <v>234</v>
      </c>
      <c r="AB184" s="4"/>
    </row>
    <row r="185" spans="1:28" x14ac:dyDescent="0.4">
      <c r="A185" s="4" t="s">
        <v>216</v>
      </c>
      <c r="B185" s="4">
        <v>4410</v>
      </c>
      <c r="C185" s="4" t="s">
        <v>242</v>
      </c>
      <c r="D185" s="4" t="s">
        <v>2261</v>
      </c>
      <c r="E185" s="4" t="s">
        <v>2445</v>
      </c>
      <c r="F185" s="4" t="s">
        <v>2446</v>
      </c>
      <c r="G185" s="4" t="s">
        <v>2447</v>
      </c>
      <c r="H185" s="4" t="s">
        <v>142</v>
      </c>
      <c r="I185" s="4" t="s">
        <v>143</v>
      </c>
      <c r="J185" s="4" t="s">
        <v>2448</v>
      </c>
      <c r="K185" s="4" t="s">
        <v>224</v>
      </c>
      <c r="L185" s="6" t="s">
        <v>2449</v>
      </c>
      <c r="M185" s="4" t="s">
        <v>2450</v>
      </c>
      <c r="N185" s="4" t="s">
        <v>2451</v>
      </c>
      <c r="O185" s="4"/>
      <c r="P185" s="4" t="s">
        <v>2454</v>
      </c>
      <c r="Q185" s="4" t="s">
        <v>2455</v>
      </c>
      <c r="R185" s="4" t="s">
        <v>256</v>
      </c>
      <c r="S185" s="4" t="s">
        <v>231</v>
      </c>
      <c r="T185" s="7">
        <v>45591</v>
      </c>
      <c r="U185" s="4">
        <v>0</v>
      </c>
      <c r="V185" s="4">
        <v>0</v>
      </c>
      <c r="W185" s="4" t="s">
        <v>232</v>
      </c>
      <c r="X185" s="4"/>
      <c r="Y185" s="4" t="s">
        <v>233</v>
      </c>
      <c r="Z185" s="4" t="s">
        <v>234</v>
      </c>
      <c r="AA185" s="4" t="s">
        <v>234</v>
      </c>
      <c r="AB185" s="4"/>
    </row>
    <row r="186" spans="1:28" x14ac:dyDescent="0.4">
      <c r="A186" s="4" t="s">
        <v>216</v>
      </c>
      <c r="B186" s="4">
        <v>780</v>
      </c>
      <c r="C186" s="4" t="s">
        <v>217</v>
      </c>
      <c r="D186" s="4" t="s">
        <v>282</v>
      </c>
      <c r="E186" s="4" t="s">
        <v>2456</v>
      </c>
      <c r="F186" s="4" t="s">
        <v>2457</v>
      </c>
      <c r="G186" s="4"/>
      <c r="H186" s="4" t="s">
        <v>2458</v>
      </c>
      <c r="I186" s="4" t="s">
        <v>34</v>
      </c>
      <c r="J186" s="4" t="s">
        <v>2459</v>
      </c>
      <c r="K186" s="4" t="s">
        <v>224</v>
      </c>
      <c r="L186" s="5" t="s">
        <v>2460</v>
      </c>
      <c r="M186" s="4" t="s">
        <v>2461</v>
      </c>
      <c r="N186" s="4" t="s">
        <v>2462</v>
      </c>
      <c r="O186" s="4"/>
      <c r="P186" s="4" t="s">
        <v>2470</v>
      </c>
      <c r="Q186" s="4" t="s">
        <v>2471</v>
      </c>
      <c r="R186" s="4" t="s">
        <v>252</v>
      </c>
      <c r="S186" s="4" t="s">
        <v>257</v>
      </c>
      <c r="T186" s="7">
        <v>40925</v>
      </c>
      <c r="U186" s="4">
        <v>0</v>
      </c>
      <c r="V186" s="4">
        <v>0</v>
      </c>
      <c r="W186" s="4" t="s">
        <v>232</v>
      </c>
      <c r="X186" s="4"/>
      <c r="Y186" s="4" t="s">
        <v>233</v>
      </c>
      <c r="Z186" s="4" t="s">
        <v>234</v>
      </c>
      <c r="AA186" s="4" t="s">
        <v>234</v>
      </c>
      <c r="AB186" s="4" t="s">
        <v>2465</v>
      </c>
    </row>
    <row r="187" spans="1:28" x14ac:dyDescent="0.4">
      <c r="A187" s="4" t="s">
        <v>216</v>
      </c>
      <c r="B187" s="4">
        <v>780</v>
      </c>
      <c r="C187" s="4" t="s">
        <v>217</v>
      </c>
      <c r="D187" s="4" t="s">
        <v>282</v>
      </c>
      <c r="E187" s="4" t="s">
        <v>2456</v>
      </c>
      <c r="F187" s="4" t="s">
        <v>2457</v>
      </c>
      <c r="G187" s="4"/>
      <c r="H187" s="4" t="s">
        <v>2458</v>
      </c>
      <c r="I187" s="4" t="s">
        <v>34</v>
      </c>
      <c r="J187" s="4" t="s">
        <v>2459</v>
      </c>
      <c r="K187" s="4" t="s">
        <v>224</v>
      </c>
      <c r="L187" s="5" t="s">
        <v>2460</v>
      </c>
      <c r="M187" s="4" t="s">
        <v>2461</v>
      </c>
      <c r="N187" s="4" t="s">
        <v>2462</v>
      </c>
      <c r="O187" s="4"/>
      <c r="P187" s="4" t="s">
        <v>2472</v>
      </c>
      <c r="Q187" s="4" t="s">
        <v>2473</v>
      </c>
      <c r="R187" s="4" t="s">
        <v>2474</v>
      </c>
      <c r="S187" s="4" t="s">
        <v>231</v>
      </c>
      <c r="T187" s="7">
        <v>40848</v>
      </c>
      <c r="U187" s="4">
        <v>0</v>
      </c>
      <c r="V187" s="4">
        <v>0</v>
      </c>
      <c r="W187" s="4" t="s">
        <v>232</v>
      </c>
      <c r="X187" s="4"/>
      <c r="Y187" s="4" t="s">
        <v>233</v>
      </c>
      <c r="Z187" s="4" t="s">
        <v>234</v>
      </c>
      <c r="AA187" s="4" t="s">
        <v>234</v>
      </c>
      <c r="AB187" s="4" t="s">
        <v>2465</v>
      </c>
    </row>
    <row r="188" spans="1:28" x14ac:dyDescent="0.4">
      <c r="A188" s="4" t="s">
        <v>216</v>
      </c>
      <c r="B188" s="4">
        <v>780</v>
      </c>
      <c r="C188" s="4" t="s">
        <v>217</v>
      </c>
      <c r="D188" s="4" t="s">
        <v>282</v>
      </c>
      <c r="E188" s="4" t="s">
        <v>2456</v>
      </c>
      <c r="F188" s="4" t="s">
        <v>2457</v>
      </c>
      <c r="G188" s="4"/>
      <c r="H188" s="4" t="s">
        <v>2458</v>
      </c>
      <c r="I188" s="4" t="s">
        <v>34</v>
      </c>
      <c r="J188" s="4" t="s">
        <v>2459</v>
      </c>
      <c r="K188" s="4" t="s">
        <v>224</v>
      </c>
      <c r="L188" s="5" t="s">
        <v>2460</v>
      </c>
      <c r="M188" s="4" t="s">
        <v>2461</v>
      </c>
      <c r="N188" s="4" t="s">
        <v>2462</v>
      </c>
      <c r="O188" s="4"/>
      <c r="P188" s="4" t="s">
        <v>2475</v>
      </c>
      <c r="Q188" s="4" t="s">
        <v>2476</v>
      </c>
      <c r="R188" s="4" t="s">
        <v>168</v>
      </c>
      <c r="S188" s="4" t="s">
        <v>231</v>
      </c>
      <c r="T188" s="7">
        <v>42447</v>
      </c>
      <c r="U188" s="4">
        <v>0</v>
      </c>
      <c r="V188" s="4">
        <v>0</v>
      </c>
      <c r="W188" s="4" t="s">
        <v>232</v>
      </c>
      <c r="X188" s="4"/>
      <c r="Y188" s="4" t="s">
        <v>233</v>
      </c>
      <c r="Z188" s="4" t="s">
        <v>234</v>
      </c>
      <c r="AA188" s="4" t="s">
        <v>234</v>
      </c>
      <c r="AB188" s="4" t="s">
        <v>2465</v>
      </c>
    </row>
    <row r="189" spans="1:28" x14ac:dyDescent="0.4">
      <c r="A189" s="4" t="s">
        <v>216</v>
      </c>
      <c r="B189" s="4">
        <v>780</v>
      </c>
      <c r="C189" s="4" t="s">
        <v>217</v>
      </c>
      <c r="D189" s="4" t="s">
        <v>282</v>
      </c>
      <c r="E189" s="4" t="s">
        <v>2456</v>
      </c>
      <c r="F189" s="4" t="s">
        <v>2457</v>
      </c>
      <c r="G189" s="4"/>
      <c r="H189" s="4" t="s">
        <v>2458</v>
      </c>
      <c r="I189" s="4" t="s">
        <v>34</v>
      </c>
      <c r="J189" s="4" t="s">
        <v>2459</v>
      </c>
      <c r="K189" s="4" t="s">
        <v>224</v>
      </c>
      <c r="L189" s="5" t="s">
        <v>2460</v>
      </c>
      <c r="M189" s="4" t="s">
        <v>2461</v>
      </c>
      <c r="N189" s="4" t="s">
        <v>2462</v>
      </c>
      <c r="O189" s="4"/>
      <c r="P189" s="4" t="s">
        <v>2477</v>
      </c>
      <c r="Q189" s="4" t="s">
        <v>2478</v>
      </c>
      <c r="R189" s="4" t="s">
        <v>252</v>
      </c>
      <c r="S189" s="4" t="s">
        <v>231</v>
      </c>
      <c r="T189" s="7">
        <v>41750</v>
      </c>
      <c r="U189" s="4">
        <v>0</v>
      </c>
      <c r="V189" s="4">
        <v>0</v>
      </c>
      <c r="W189" s="4" t="s">
        <v>232</v>
      </c>
      <c r="X189" s="4"/>
      <c r="Y189" s="4" t="s">
        <v>233</v>
      </c>
      <c r="Z189" s="4" t="s">
        <v>234</v>
      </c>
      <c r="AA189" s="4" t="s">
        <v>234</v>
      </c>
      <c r="AB189" s="4" t="s">
        <v>2465</v>
      </c>
    </row>
    <row r="190" spans="1:28" x14ac:dyDescent="0.4">
      <c r="A190" s="4" t="s">
        <v>216</v>
      </c>
      <c r="B190" s="4">
        <v>780</v>
      </c>
      <c r="C190" s="4" t="s">
        <v>217</v>
      </c>
      <c r="D190" s="4" t="s">
        <v>282</v>
      </c>
      <c r="E190" s="4" t="s">
        <v>2456</v>
      </c>
      <c r="F190" s="4" t="s">
        <v>2457</v>
      </c>
      <c r="G190" s="4"/>
      <c r="H190" s="4" t="s">
        <v>2458</v>
      </c>
      <c r="I190" s="4" t="s">
        <v>34</v>
      </c>
      <c r="J190" s="4" t="s">
        <v>2459</v>
      </c>
      <c r="K190" s="4" t="s">
        <v>224</v>
      </c>
      <c r="L190" s="5" t="s">
        <v>2460</v>
      </c>
      <c r="M190" s="4" t="s">
        <v>2461</v>
      </c>
      <c r="N190" s="4" t="s">
        <v>2462</v>
      </c>
      <c r="O190" s="4"/>
      <c r="P190" s="4" t="s">
        <v>2479</v>
      </c>
      <c r="Q190" s="4" t="s">
        <v>2480</v>
      </c>
      <c r="R190" s="4" t="s">
        <v>252</v>
      </c>
      <c r="S190" s="4" t="s">
        <v>257</v>
      </c>
      <c r="T190" s="7">
        <v>44688</v>
      </c>
      <c r="U190" s="4">
        <v>0</v>
      </c>
      <c r="V190" s="4">
        <v>0</v>
      </c>
      <c r="W190" s="4" t="s">
        <v>232</v>
      </c>
      <c r="X190" s="4"/>
      <c r="Y190" s="4" t="s">
        <v>233</v>
      </c>
      <c r="Z190" s="4" t="s">
        <v>234</v>
      </c>
      <c r="AA190" s="4" t="s">
        <v>234</v>
      </c>
      <c r="AB190" s="4" t="s">
        <v>2465</v>
      </c>
    </row>
    <row r="191" spans="1:28" x14ac:dyDescent="0.4">
      <c r="A191" s="4" t="s">
        <v>216</v>
      </c>
      <c r="B191" s="4">
        <v>1030</v>
      </c>
      <c r="C191" s="4" t="s">
        <v>242</v>
      </c>
      <c r="D191" s="4" t="s">
        <v>2515</v>
      </c>
      <c r="E191" s="4" t="s">
        <v>2516</v>
      </c>
      <c r="F191" s="4" t="s">
        <v>2517</v>
      </c>
      <c r="G191" s="4" t="s">
        <v>2518</v>
      </c>
      <c r="H191" s="4" t="s">
        <v>2519</v>
      </c>
      <c r="I191" s="4" t="s">
        <v>34</v>
      </c>
      <c r="J191" s="4" t="s">
        <v>2520</v>
      </c>
      <c r="K191" s="4" t="s">
        <v>224</v>
      </c>
      <c r="L191" s="5" t="s">
        <v>2521</v>
      </c>
      <c r="M191" s="4" t="s">
        <v>2522</v>
      </c>
      <c r="N191" s="4" t="s">
        <v>2523</v>
      </c>
      <c r="O191" s="4"/>
      <c r="P191" s="4" t="s">
        <v>2524</v>
      </c>
      <c r="Q191" s="4" t="s">
        <v>2525</v>
      </c>
      <c r="R191" s="4" t="s">
        <v>252</v>
      </c>
      <c r="S191" s="4" t="s">
        <v>257</v>
      </c>
      <c r="T191" s="7">
        <v>42191</v>
      </c>
      <c r="U191" s="4">
        <v>0</v>
      </c>
      <c r="V191" s="4">
        <v>0</v>
      </c>
      <c r="W191" s="4" t="s">
        <v>232</v>
      </c>
      <c r="X191" s="4"/>
      <c r="Y191" s="4" t="s">
        <v>233</v>
      </c>
      <c r="Z191" s="4" t="s">
        <v>234</v>
      </c>
      <c r="AA191" s="4" t="s">
        <v>234</v>
      </c>
      <c r="AB191" s="4"/>
    </row>
    <row r="192" spans="1:28" x14ac:dyDescent="0.4">
      <c r="A192" s="4" t="s">
        <v>216</v>
      </c>
      <c r="B192" s="4">
        <v>1030</v>
      </c>
      <c r="C192" s="4" t="s">
        <v>242</v>
      </c>
      <c r="D192" s="4" t="s">
        <v>2515</v>
      </c>
      <c r="E192" s="4" t="s">
        <v>2516</v>
      </c>
      <c r="F192" s="4" t="s">
        <v>2517</v>
      </c>
      <c r="G192" s="4" t="s">
        <v>2518</v>
      </c>
      <c r="H192" s="4" t="s">
        <v>2519</v>
      </c>
      <c r="I192" s="4" t="s">
        <v>34</v>
      </c>
      <c r="J192" s="4" t="s">
        <v>2520</v>
      </c>
      <c r="K192" s="4" t="s">
        <v>224</v>
      </c>
      <c r="L192" s="5" t="s">
        <v>2521</v>
      </c>
      <c r="M192" s="4" t="s">
        <v>2522</v>
      </c>
      <c r="N192" s="4" t="s">
        <v>2523</v>
      </c>
      <c r="O192" s="4"/>
      <c r="P192" s="4" t="s">
        <v>2524</v>
      </c>
      <c r="Q192" s="4" t="s">
        <v>2525</v>
      </c>
      <c r="R192" s="4" t="s">
        <v>252</v>
      </c>
      <c r="S192" s="4" t="s">
        <v>257</v>
      </c>
      <c r="T192" s="7">
        <v>42191</v>
      </c>
      <c r="U192" s="4">
        <v>0</v>
      </c>
      <c r="V192" s="4">
        <v>0</v>
      </c>
      <c r="W192" s="4" t="s">
        <v>232</v>
      </c>
      <c r="X192" s="4"/>
      <c r="Y192" s="4" t="s">
        <v>233</v>
      </c>
      <c r="Z192" s="4" t="s">
        <v>234</v>
      </c>
      <c r="AA192" s="4" t="s">
        <v>234</v>
      </c>
      <c r="AB192" s="4"/>
    </row>
    <row r="193" spans="1:28" x14ac:dyDescent="0.4">
      <c r="A193" s="4" t="s">
        <v>216</v>
      </c>
      <c r="B193" s="4">
        <v>700</v>
      </c>
      <c r="C193" s="4" t="s">
        <v>417</v>
      </c>
      <c r="D193" s="4" t="s">
        <v>509</v>
      </c>
      <c r="E193" s="4" t="s">
        <v>2529</v>
      </c>
      <c r="F193" s="4" t="s">
        <v>2530</v>
      </c>
      <c r="G193" s="4"/>
      <c r="H193" s="4" t="s">
        <v>2531</v>
      </c>
      <c r="I193" s="4" t="s">
        <v>30</v>
      </c>
      <c r="J193" s="4" t="s">
        <v>2532</v>
      </c>
      <c r="K193" s="4" t="s">
        <v>224</v>
      </c>
      <c r="L193" s="5" t="s">
        <v>2533</v>
      </c>
      <c r="M193" s="4" t="s">
        <v>2534</v>
      </c>
      <c r="N193" s="4" t="s">
        <v>2535</v>
      </c>
      <c r="O193" s="4"/>
      <c r="P193" s="4" t="s">
        <v>2536</v>
      </c>
      <c r="Q193" s="4" t="s">
        <v>2537</v>
      </c>
      <c r="R193" s="4" t="s">
        <v>1556</v>
      </c>
      <c r="S193" s="4" t="s">
        <v>231</v>
      </c>
      <c r="T193" s="7">
        <v>43305</v>
      </c>
      <c r="U193" s="4">
        <v>0</v>
      </c>
      <c r="V193" s="4">
        <v>0</v>
      </c>
      <c r="W193" s="4" t="s">
        <v>232</v>
      </c>
      <c r="X193" s="4"/>
      <c r="Y193" s="4" t="s">
        <v>233</v>
      </c>
      <c r="Z193" s="4" t="s">
        <v>234</v>
      </c>
      <c r="AA193" s="4" t="s">
        <v>234</v>
      </c>
      <c r="AB193" s="4"/>
    </row>
    <row r="194" spans="1:28" x14ac:dyDescent="0.4">
      <c r="A194" s="4" t="s">
        <v>216</v>
      </c>
      <c r="B194" s="4">
        <v>700</v>
      </c>
      <c r="C194" s="4" t="s">
        <v>417</v>
      </c>
      <c r="D194" s="4" t="s">
        <v>509</v>
      </c>
      <c r="E194" s="4" t="s">
        <v>2529</v>
      </c>
      <c r="F194" s="4" t="s">
        <v>2530</v>
      </c>
      <c r="G194" s="4"/>
      <c r="H194" s="4" t="s">
        <v>2531</v>
      </c>
      <c r="I194" s="4" t="s">
        <v>30</v>
      </c>
      <c r="J194" s="4" t="s">
        <v>2532</v>
      </c>
      <c r="K194" s="4" t="s">
        <v>224</v>
      </c>
      <c r="L194" s="5" t="s">
        <v>2533</v>
      </c>
      <c r="M194" s="4" t="s">
        <v>2534</v>
      </c>
      <c r="N194" s="4" t="s">
        <v>2535</v>
      </c>
      <c r="O194" s="4"/>
      <c r="P194" s="4" t="s">
        <v>2538</v>
      </c>
      <c r="Q194" s="4" t="s">
        <v>2539</v>
      </c>
      <c r="R194" s="4" t="s">
        <v>2540</v>
      </c>
      <c r="S194" s="4" t="s">
        <v>231</v>
      </c>
      <c r="T194" s="7">
        <v>41772</v>
      </c>
      <c r="U194" s="4">
        <v>0</v>
      </c>
      <c r="V194" s="4">
        <v>0</v>
      </c>
      <c r="W194" s="4" t="s">
        <v>232</v>
      </c>
      <c r="X194" s="4"/>
      <c r="Y194" s="4" t="s">
        <v>233</v>
      </c>
      <c r="Z194" s="4" t="s">
        <v>234</v>
      </c>
      <c r="AA194" s="4" t="s">
        <v>234</v>
      </c>
      <c r="AB194" s="4"/>
    </row>
    <row r="195" spans="1:28" x14ac:dyDescent="0.4">
      <c r="A195" s="4" t="s">
        <v>216</v>
      </c>
      <c r="B195" s="4">
        <v>1015</v>
      </c>
      <c r="C195" s="4" t="s">
        <v>217</v>
      </c>
      <c r="D195" s="4" t="s">
        <v>2589</v>
      </c>
      <c r="E195" s="4" t="s">
        <v>2580</v>
      </c>
      <c r="F195" s="4" t="s">
        <v>2590</v>
      </c>
      <c r="G195" s="4" t="s">
        <v>2591</v>
      </c>
      <c r="H195" s="4" t="s">
        <v>718</v>
      </c>
      <c r="I195" s="4" t="s">
        <v>143</v>
      </c>
      <c r="J195" s="4" t="s">
        <v>2592</v>
      </c>
      <c r="K195" s="4" t="s">
        <v>224</v>
      </c>
      <c r="L195" s="5" t="s">
        <v>2593</v>
      </c>
      <c r="M195" s="4" t="s">
        <v>2594</v>
      </c>
      <c r="N195" s="4" t="s">
        <v>2595</v>
      </c>
      <c r="O195" s="4"/>
      <c r="P195" s="4" t="s">
        <v>2600</v>
      </c>
      <c r="Q195" s="4" t="s">
        <v>2601</v>
      </c>
      <c r="R195" s="4" t="s">
        <v>111</v>
      </c>
      <c r="S195" s="4" t="s">
        <v>231</v>
      </c>
      <c r="T195" s="7">
        <v>42900</v>
      </c>
      <c r="U195" s="4">
        <v>0</v>
      </c>
      <c r="V195" s="4">
        <v>0</v>
      </c>
      <c r="W195" s="4" t="s">
        <v>232</v>
      </c>
      <c r="X195" s="4"/>
      <c r="Y195" s="4" t="s">
        <v>233</v>
      </c>
      <c r="Z195" s="4" t="s">
        <v>234</v>
      </c>
      <c r="AA195" s="4" t="s">
        <v>234</v>
      </c>
      <c r="AB195" s="4"/>
    </row>
    <row r="196" spans="1:28" x14ac:dyDescent="0.4">
      <c r="A196" s="4" t="s">
        <v>216</v>
      </c>
      <c r="B196" s="4">
        <v>1015</v>
      </c>
      <c r="C196" s="4" t="s">
        <v>217</v>
      </c>
      <c r="D196" s="4" t="s">
        <v>2589</v>
      </c>
      <c r="E196" s="4" t="s">
        <v>2580</v>
      </c>
      <c r="F196" s="4" t="s">
        <v>2590</v>
      </c>
      <c r="G196" s="4" t="s">
        <v>2591</v>
      </c>
      <c r="H196" s="4" t="s">
        <v>718</v>
      </c>
      <c r="I196" s="4" t="s">
        <v>143</v>
      </c>
      <c r="J196" s="4" t="s">
        <v>2592</v>
      </c>
      <c r="K196" s="4" t="s">
        <v>224</v>
      </c>
      <c r="L196" s="5" t="s">
        <v>2593</v>
      </c>
      <c r="M196" s="4" t="s">
        <v>2594</v>
      </c>
      <c r="N196" s="4" t="s">
        <v>2595</v>
      </c>
      <c r="O196" s="4"/>
      <c r="P196" s="4" t="s">
        <v>2602</v>
      </c>
      <c r="Q196" s="4" t="s">
        <v>2603</v>
      </c>
      <c r="R196" s="4" t="s">
        <v>32</v>
      </c>
      <c r="S196" s="4" t="s">
        <v>257</v>
      </c>
      <c r="T196" s="7">
        <v>42230</v>
      </c>
      <c r="U196" s="4">
        <v>0</v>
      </c>
      <c r="V196" s="4">
        <v>0</v>
      </c>
      <c r="W196" s="4" t="s">
        <v>232</v>
      </c>
      <c r="X196" s="4"/>
      <c r="Y196" s="4" t="s">
        <v>233</v>
      </c>
      <c r="Z196" s="4" t="s">
        <v>234</v>
      </c>
      <c r="AA196" s="4" t="s">
        <v>234</v>
      </c>
      <c r="AB196" s="4"/>
    </row>
    <row r="197" spans="1:28" x14ac:dyDescent="0.4">
      <c r="A197" s="4" t="s">
        <v>216</v>
      </c>
      <c r="B197" s="4">
        <v>1015</v>
      </c>
      <c r="C197" s="4" t="s">
        <v>217</v>
      </c>
      <c r="D197" s="4" t="s">
        <v>2589</v>
      </c>
      <c r="E197" s="4" t="s">
        <v>2580</v>
      </c>
      <c r="F197" s="4" t="s">
        <v>2590</v>
      </c>
      <c r="G197" s="4" t="s">
        <v>2591</v>
      </c>
      <c r="H197" s="4" t="s">
        <v>718</v>
      </c>
      <c r="I197" s="4" t="s">
        <v>143</v>
      </c>
      <c r="J197" s="4" t="s">
        <v>2592</v>
      </c>
      <c r="K197" s="4" t="s">
        <v>224</v>
      </c>
      <c r="L197" s="5" t="s">
        <v>2593</v>
      </c>
      <c r="M197" s="4" t="s">
        <v>2594</v>
      </c>
      <c r="N197" s="4" t="s">
        <v>2595</v>
      </c>
      <c r="O197" s="4"/>
      <c r="P197" s="4" t="s">
        <v>2600</v>
      </c>
      <c r="Q197" s="4" t="s">
        <v>2601</v>
      </c>
      <c r="R197" s="4" t="s">
        <v>111</v>
      </c>
      <c r="S197" s="4" t="s">
        <v>231</v>
      </c>
      <c r="T197" s="7">
        <v>42900</v>
      </c>
      <c r="U197" s="4">
        <v>0</v>
      </c>
      <c r="V197" s="4">
        <v>0</v>
      </c>
      <c r="W197" s="4" t="s">
        <v>232</v>
      </c>
      <c r="X197" s="4"/>
      <c r="Y197" s="4" t="s">
        <v>233</v>
      </c>
      <c r="Z197" s="4" t="s">
        <v>234</v>
      </c>
      <c r="AA197" s="4" t="s">
        <v>234</v>
      </c>
      <c r="AB197" s="4"/>
    </row>
    <row r="198" spans="1:28" x14ac:dyDescent="0.4">
      <c r="A198" s="4" t="s">
        <v>216</v>
      </c>
      <c r="B198" s="4">
        <v>1015</v>
      </c>
      <c r="C198" s="4" t="s">
        <v>217</v>
      </c>
      <c r="D198" s="4" t="s">
        <v>2589</v>
      </c>
      <c r="E198" s="4" t="s">
        <v>2580</v>
      </c>
      <c r="F198" s="4" t="s">
        <v>2590</v>
      </c>
      <c r="G198" s="4" t="s">
        <v>2591</v>
      </c>
      <c r="H198" s="4" t="s">
        <v>718</v>
      </c>
      <c r="I198" s="4" t="s">
        <v>143</v>
      </c>
      <c r="J198" s="4" t="s">
        <v>2592</v>
      </c>
      <c r="K198" s="4" t="s">
        <v>224</v>
      </c>
      <c r="L198" s="5" t="s">
        <v>2593</v>
      </c>
      <c r="M198" s="4" t="s">
        <v>2594</v>
      </c>
      <c r="N198" s="4" t="s">
        <v>2595</v>
      </c>
      <c r="O198" s="4"/>
      <c r="P198" s="4" t="s">
        <v>2602</v>
      </c>
      <c r="Q198" s="4" t="s">
        <v>2603</v>
      </c>
      <c r="R198" s="4" t="s">
        <v>32</v>
      </c>
      <c r="S198" s="4" t="s">
        <v>257</v>
      </c>
      <c r="T198" s="7">
        <v>42230</v>
      </c>
      <c r="U198" s="4">
        <v>0</v>
      </c>
      <c r="V198" s="4">
        <v>0</v>
      </c>
      <c r="W198" s="4" t="s">
        <v>232</v>
      </c>
      <c r="X198" s="4"/>
      <c r="Y198" s="4" t="s">
        <v>233</v>
      </c>
      <c r="Z198" s="4" t="s">
        <v>234</v>
      </c>
      <c r="AA198" s="4" t="s">
        <v>234</v>
      </c>
      <c r="AB198" s="4"/>
    </row>
    <row r="199" spans="1:28" x14ac:dyDescent="0.4">
      <c r="A199" s="4" t="s">
        <v>216</v>
      </c>
      <c r="B199" s="4">
        <v>1781</v>
      </c>
      <c r="C199" s="4" t="s">
        <v>242</v>
      </c>
      <c r="D199" s="4" t="s">
        <v>952</v>
      </c>
      <c r="E199" s="4" t="s">
        <v>2580</v>
      </c>
      <c r="F199" s="4" t="s">
        <v>2604</v>
      </c>
      <c r="G199" s="4" t="s">
        <v>2605</v>
      </c>
      <c r="H199" s="4" t="s">
        <v>2591</v>
      </c>
      <c r="I199" s="4" t="s">
        <v>143</v>
      </c>
      <c r="J199" s="4" t="s">
        <v>2592</v>
      </c>
      <c r="K199" s="4" t="s">
        <v>224</v>
      </c>
      <c r="L199" s="5" t="s">
        <v>2606</v>
      </c>
      <c r="M199" s="4" t="s">
        <v>2594</v>
      </c>
      <c r="N199" s="4" t="s">
        <v>2607</v>
      </c>
      <c r="O199" s="4"/>
      <c r="P199" s="4" t="s">
        <v>2610</v>
      </c>
      <c r="Q199" s="4" t="s">
        <v>2611</v>
      </c>
      <c r="R199" s="4" t="s">
        <v>405</v>
      </c>
      <c r="S199" s="4" t="s">
        <v>257</v>
      </c>
      <c r="T199" s="7">
        <v>41033</v>
      </c>
      <c r="U199" s="4">
        <v>0</v>
      </c>
      <c r="V199" s="4">
        <v>0</v>
      </c>
      <c r="W199" s="4" t="s">
        <v>232</v>
      </c>
      <c r="X199" s="4"/>
      <c r="Y199" s="4" t="s">
        <v>233</v>
      </c>
      <c r="Z199" s="4" t="s">
        <v>234</v>
      </c>
      <c r="AA199" s="4" t="s">
        <v>234</v>
      </c>
      <c r="AB199" s="4"/>
    </row>
    <row r="200" spans="1:28" x14ac:dyDescent="0.4">
      <c r="A200" s="4" t="s">
        <v>216</v>
      </c>
      <c r="B200" s="4">
        <v>1781</v>
      </c>
      <c r="C200" s="4" t="s">
        <v>242</v>
      </c>
      <c r="D200" s="4" t="s">
        <v>952</v>
      </c>
      <c r="E200" s="4" t="s">
        <v>2580</v>
      </c>
      <c r="F200" s="4" t="s">
        <v>2604</v>
      </c>
      <c r="G200" s="4" t="s">
        <v>2605</v>
      </c>
      <c r="H200" s="4" t="s">
        <v>2591</v>
      </c>
      <c r="I200" s="4" t="s">
        <v>143</v>
      </c>
      <c r="J200" s="4" t="s">
        <v>2592</v>
      </c>
      <c r="K200" s="4" t="s">
        <v>224</v>
      </c>
      <c r="L200" s="5" t="s">
        <v>2606</v>
      </c>
      <c r="M200" s="4" t="s">
        <v>2594</v>
      </c>
      <c r="N200" s="4" t="s">
        <v>2607</v>
      </c>
      <c r="O200" s="4"/>
      <c r="P200" s="4" t="s">
        <v>2610</v>
      </c>
      <c r="Q200" s="4" t="s">
        <v>2611</v>
      </c>
      <c r="R200" s="4" t="s">
        <v>405</v>
      </c>
      <c r="S200" s="4" t="s">
        <v>257</v>
      </c>
      <c r="T200" s="7">
        <v>41033</v>
      </c>
      <c r="U200" s="4">
        <v>0</v>
      </c>
      <c r="V200" s="4">
        <v>0</v>
      </c>
      <c r="W200" s="4" t="s">
        <v>232</v>
      </c>
      <c r="X200" s="4"/>
      <c r="Y200" s="4" t="s">
        <v>233</v>
      </c>
      <c r="Z200" s="4" t="s">
        <v>234</v>
      </c>
      <c r="AA200" s="4" t="s">
        <v>234</v>
      </c>
      <c r="AB200" s="4"/>
    </row>
    <row r="201" spans="1:28" x14ac:dyDescent="0.4">
      <c r="A201" s="4" t="s">
        <v>216</v>
      </c>
      <c r="B201" s="4">
        <v>1267</v>
      </c>
      <c r="C201" s="4" t="s">
        <v>217</v>
      </c>
      <c r="D201" s="4" t="s">
        <v>1223</v>
      </c>
      <c r="E201" s="4" t="s">
        <v>2580</v>
      </c>
      <c r="F201" s="4" t="s">
        <v>2612</v>
      </c>
      <c r="G201" s="4" t="s">
        <v>2613</v>
      </c>
      <c r="H201" s="4" t="s">
        <v>2614</v>
      </c>
      <c r="I201" s="4" t="s">
        <v>30</v>
      </c>
      <c r="J201" s="4" t="s">
        <v>2615</v>
      </c>
      <c r="K201" s="4" t="s">
        <v>224</v>
      </c>
      <c r="L201" s="5" t="s">
        <v>2616</v>
      </c>
      <c r="M201" s="4" t="s">
        <v>2617</v>
      </c>
      <c r="N201" s="4" t="s">
        <v>2618</v>
      </c>
      <c r="O201" s="4"/>
      <c r="P201" s="4" t="s">
        <v>2619</v>
      </c>
      <c r="Q201" s="4" t="s">
        <v>2620</v>
      </c>
      <c r="R201" s="4" t="s">
        <v>450</v>
      </c>
      <c r="S201" s="4" t="s">
        <v>257</v>
      </c>
      <c r="T201" s="7">
        <v>43831</v>
      </c>
      <c r="U201" s="4">
        <v>0</v>
      </c>
      <c r="V201" s="4">
        <v>0</v>
      </c>
      <c r="W201" s="4" t="s">
        <v>232</v>
      </c>
      <c r="X201" s="4"/>
      <c r="Y201" s="4" t="s">
        <v>233</v>
      </c>
      <c r="Z201" s="4" t="s">
        <v>234</v>
      </c>
      <c r="AA201" s="4" t="s">
        <v>234</v>
      </c>
      <c r="AB201" s="4"/>
    </row>
    <row r="202" spans="1:28" x14ac:dyDescent="0.4">
      <c r="A202" s="4" t="s">
        <v>216</v>
      </c>
      <c r="B202" s="4">
        <v>1267</v>
      </c>
      <c r="C202" s="4" t="s">
        <v>217</v>
      </c>
      <c r="D202" s="4" t="s">
        <v>1223</v>
      </c>
      <c r="E202" s="4" t="s">
        <v>2580</v>
      </c>
      <c r="F202" s="4" t="s">
        <v>2612</v>
      </c>
      <c r="G202" s="4" t="s">
        <v>2613</v>
      </c>
      <c r="H202" s="4" t="s">
        <v>2614</v>
      </c>
      <c r="I202" s="4" t="s">
        <v>30</v>
      </c>
      <c r="J202" s="4" t="s">
        <v>2615</v>
      </c>
      <c r="K202" s="4" t="s">
        <v>224</v>
      </c>
      <c r="L202" s="5" t="s">
        <v>2616</v>
      </c>
      <c r="M202" s="4" t="s">
        <v>2617</v>
      </c>
      <c r="N202" s="4" t="s">
        <v>2618</v>
      </c>
      <c r="O202" s="4"/>
      <c r="P202" s="4" t="s">
        <v>2621</v>
      </c>
      <c r="Q202" s="4" t="s">
        <v>2622</v>
      </c>
      <c r="R202" s="4" t="s">
        <v>450</v>
      </c>
      <c r="S202" s="4" t="s">
        <v>257</v>
      </c>
      <c r="T202" s="7">
        <v>41433</v>
      </c>
      <c r="U202" s="4">
        <v>0</v>
      </c>
      <c r="V202" s="4">
        <v>0</v>
      </c>
      <c r="W202" s="4" t="s">
        <v>232</v>
      </c>
      <c r="X202" s="4"/>
      <c r="Y202" s="4" t="s">
        <v>233</v>
      </c>
      <c r="Z202" s="4" t="s">
        <v>234</v>
      </c>
      <c r="AA202" s="4" t="s">
        <v>234</v>
      </c>
      <c r="AB202" s="4"/>
    </row>
    <row r="203" spans="1:28" x14ac:dyDescent="0.4">
      <c r="A203" s="4" t="s">
        <v>216</v>
      </c>
      <c r="B203" s="4">
        <v>1267</v>
      </c>
      <c r="C203" s="4" t="s">
        <v>217</v>
      </c>
      <c r="D203" s="4" t="s">
        <v>1223</v>
      </c>
      <c r="E203" s="4" t="s">
        <v>2580</v>
      </c>
      <c r="F203" s="4" t="s">
        <v>2612</v>
      </c>
      <c r="G203" s="4" t="s">
        <v>2613</v>
      </c>
      <c r="H203" s="4" t="s">
        <v>2614</v>
      </c>
      <c r="I203" s="4" t="s">
        <v>30</v>
      </c>
      <c r="J203" s="4" t="s">
        <v>2615</v>
      </c>
      <c r="K203" s="4" t="s">
        <v>224</v>
      </c>
      <c r="L203" s="5" t="s">
        <v>2616</v>
      </c>
      <c r="M203" s="4" t="s">
        <v>2617</v>
      </c>
      <c r="N203" s="4" t="s">
        <v>2618</v>
      </c>
      <c r="O203" s="4"/>
      <c r="P203" s="4" t="s">
        <v>2623</v>
      </c>
      <c r="Q203" s="4" t="s">
        <v>2624</v>
      </c>
      <c r="R203" s="4" t="s">
        <v>2176</v>
      </c>
      <c r="S203" s="4" t="s">
        <v>257</v>
      </c>
      <c r="T203" s="7">
        <v>45579</v>
      </c>
      <c r="U203" s="4">
        <v>0</v>
      </c>
      <c r="V203" s="4">
        <v>0</v>
      </c>
      <c r="W203" s="4" t="s">
        <v>232</v>
      </c>
      <c r="X203" s="4"/>
      <c r="Y203" s="4" t="s">
        <v>233</v>
      </c>
      <c r="Z203" s="4" t="s">
        <v>234</v>
      </c>
      <c r="AA203" s="4" t="s">
        <v>234</v>
      </c>
      <c r="AB203" s="4"/>
    </row>
    <row r="204" spans="1:28" x14ac:dyDescent="0.4">
      <c r="A204" s="4" t="s">
        <v>216</v>
      </c>
      <c r="B204" s="4">
        <v>5385</v>
      </c>
      <c r="C204" s="4" t="s">
        <v>217</v>
      </c>
      <c r="D204" s="4" t="s">
        <v>701</v>
      </c>
      <c r="E204" s="4" t="s">
        <v>2659</v>
      </c>
      <c r="F204" s="4" t="s">
        <v>2660</v>
      </c>
      <c r="G204" s="4" t="s">
        <v>2661</v>
      </c>
      <c r="H204" s="4" t="s">
        <v>2662</v>
      </c>
      <c r="I204" s="4" t="s">
        <v>143</v>
      </c>
      <c r="J204" s="4" t="s">
        <v>2663</v>
      </c>
      <c r="K204" s="4" t="s">
        <v>224</v>
      </c>
      <c r="L204" s="5" t="s">
        <v>2664</v>
      </c>
      <c r="M204" s="4" t="s">
        <v>2665</v>
      </c>
      <c r="N204" s="4" t="s">
        <v>2666</v>
      </c>
      <c r="O204" s="4"/>
      <c r="P204" s="4" t="s">
        <v>2669</v>
      </c>
      <c r="Q204" s="4" t="s">
        <v>2670</v>
      </c>
      <c r="R204" s="4" t="s">
        <v>1779</v>
      </c>
      <c r="S204" s="4" t="s">
        <v>231</v>
      </c>
      <c r="T204" s="7">
        <v>45729</v>
      </c>
      <c r="U204" s="4">
        <v>0</v>
      </c>
      <c r="V204" s="4">
        <v>0</v>
      </c>
      <c r="W204" s="4" t="s">
        <v>232</v>
      </c>
      <c r="X204" s="4"/>
      <c r="Y204" s="4" t="s">
        <v>233</v>
      </c>
      <c r="Z204" s="4" t="s">
        <v>234</v>
      </c>
      <c r="AA204" s="4" t="s">
        <v>233</v>
      </c>
      <c r="AB204" s="4"/>
    </row>
    <row r="205" spans="1:28" x14ac:dyDescent="0.4">
      <c r="A205" s="4" t="s">
        <v>216</v>
      </c>
      <c r="B205" s="4">
        <v>5385</v>
      </c>
      <c r="C205" s="4" t="s">
        <v>217</v>
      </c>
      <c r="D205" s="4" t="s">
        <v>701</v>
      </c>
      <c r="E205" s="4" t="s">
        <v>2659</v>
      </c>
      <c r="F205" s="4" t="s">
        <v>2660</v>
      </c>
      <c r="G205" s="4" t="s">
        <v>2661</v>
      </c>
      <c r="H205" s="4" t="s">
        <v>2662</v>
      </c>
      <c r="I205" s="4" t="s">
        <v>143</v>
      </c>
      <c r="J205" s="4" t="s">
        <v>2663</v>
      </c>
      <c r="K205" s="4" t="s">
        <v>224</v>
      </c>
      <c r="L205" s="5" t="s">
        <v>2664</v>
      </c>
      <c r="M205" s="4" t="s">
        <v>2665</v>
      </c>
      <c r="N205" s="4" t="s">
        <v>2666</v>
      </c>
      <c r="O205" s="4"/>
      <c r="P205" s="4" t="s">
        <v>2669</v>
      </c>
      <c r="Q205" s="4" t="s">
        <v>2670</v>
      </c>
      <c r="R205" s="4" t="s">
        <v>1779</v>
      </c>
      <c r="S205" s="4" t="s">
        <v>231</v>
      </c>
      <c r="T205" s="7">
        <v>45729</v>
      </c>
      <c r="U205" s="4">
        <v>0</v>
      </c>
      <c r="V205" s="4">
        <v>0</v>
      </c>
      <c r="W205" s="4" t="s">
        <v>232</v>
      </c>
      <c r="X205" s="4"/>
      <c r="Y205" s="4" t="s">
        <v>233</v>
      </c>
      <c r="Z205" s="4" t="s">
        <v>234</v>
      </c>
      <c r="AA205" s="4" t="s">
        <v>233</v>
      </c>
      <c r="AB205" s="4"/>
    </row>
    <row r="206" spans="1:28" x14ac:dyDescent="0.4">
      <c r="A206" s="4" t="s">
        <v>216</v>
      </c>
      <c r="B206" s="4">
        <v>623</v>
      </c>
      <c r="C206" s="4" t="s">
        <v>242</v>
      </c>
      <c r="D206" s="4" t="s">
        <v>2682</v>
      </c>
      <c r="E206" s="4" t="s">
        <v>2683</v>
      </c>
      <c r="F206" s="4" t="s">
        <v>2684</v>
      </c>
      <c r="G206" s="4" t="s">
        <v>2685</v>
      </c>
      <c r="H206" s="4" t="s">
        <v>2686</v>
      </c>
      <c r="I206" s="4" t="s">
        <v>1600</v>
      </c>
      <c r="J206" s="4" t="s">
        <v>2687</v>
      </c>
      <c r="K206" s="4" t="s">
        <v>224</v>
      </c>
      <c r="L206" s="5" t="s">
        <v>2688</v>
      </c>
      <c r="M206" s="4" t="s">
        <v>2689</v>
      </c>
      <c r="N206" s="4" t="s">
        <v>2690</v>
      </c>
      <c r="O206" s="4"/>
      <c r="P206" s="4" t="s">
        <v>2695</v>
      </c>
      <c r="Q206" s="4" t="s">
        <v>2696</v>
      </c>
      <c r="R206" s="4" t="s">
        <v>252</v>
      </c>
      <c r="S206" s="4" t="s">
        <v>257</v>
      </c>
      <c r="T206" s="7">
        <v>41327</v>
      </c>
      <c r="U206" s="4">
        <v>0</v>
      </c>
      <c r="V206" s="4">
        <v>0</v>
      </c>
      <c r="W206" s="4" t="s">
        <v>232</v>
      </c>
      <c r="X206" s="4"/>
      <c r="Y206" s="4" t="s">
        <v>233</v>
      </c>
      <c r="Z206" s="4" t="s">
        <v>234</v>
      </c>
      <c r="AA206" s="4" t="s">
        <v>233</v>
      </c>
      <c r="AB206" s="4"/>
    </row>
    <row r="207" spans="1:28" x14ac:dyDescent="0.4">
      <c r="A207" s="4" t="s">
        <v>216</v>
      </c>
      <c r="B207" s="4">
        <v>99</v>
      </c>
      <c r="C207" s="4" t="s">
        <v>217</v>
      </c>
      <c r="D207" s="4" t="s">
        <v>2707</v>
      </c>
      <c r="E207" s="4" t="s">
        <v>2708</v>
      </c>
      <c r="F207" s="4" t="s">
        <v>2709</v>
      </c>
      <c r="G207" s="4" t="s">
        <v>2710</v>
      </c>
      <c r="H207" s="4" t="s">
        <v>2711</v>
      </c>
      <c r="I207" s="4" t="s">
        <v>154</v>
      </c>
      <c r="J207" s="4" t="s">
        <v>2712</v>
      </c>
      <c r="K207" s="4" t="s">
        <v>224</v>
      </c>
      <c r="L207" s="5" t="s">
        <v>2713</v>
      </c>
      <c r="M207" s="4" t="s">
        <v>2714</v>
      </c>
      <c r="N207" s="4" t="s">
        <v>2715</v>
      </c>
      <c r="O207" s="4"/>
      <c r="P207" s="4" t="s">
        <v>2716</v>
      </c>
      <c r="Q207" s="4" t="s">
        <v>2717</v>
      </c>
      <c r="R207" s="4" t="s">
        <v>450</v>
      </c>
      <c r="S207" s="4" t="s">
        <v>231</v>
      </c>
      <c r="T207" s="7">
        <v>45036</v>
      </c>
      <c r="U207" s="4">
        <v>0</v>
      </c>
      <c r="V207" s="4">
        <v>0</v>
      </c>
      <c r="W207" s="4" t="s">
        <v>232</v>
      </c>
      <c r="X207" s="4"/>
      <c r="Y207" s="4" t="s">
        <v>233</v>
      </c>
      <c r="Z207" s="4" t="s">
        <v>234</v>
      </c>
      <c r="AA207" s="4" t="s">
        <v>234</v>
      </c>
      <c r="AB207" s="4" t="s">
        <v>2718</v>
      </c>
    </row>
    <row r="208" spans="1:28" x14ac:dyDescent="0.4">
      <c r="A208" s="4" t="s">
        <v>216</v>
      </c>
      <c r="B208" s="4">
        <v>99</v>
      </c>
      <c r="C208" s="4" t="s">
        <v>217</v>
      </c>
      <c r="D208" s="4" t="s">
        <v>2707</v>
      </c>
      <c r="E208" s="4" t="s">
        <v>2708</v>
      </c>
      <c r="F208" s="4" t="s">
        <v>2709</v>
      </c>
      <c r="G208" s="4" t="s">
        <v>2710</v>
      </c>
      <c r="H208" s="4" t="s">
        <v>2711</v>
      </c>
      <c r="I208" s="4" t="s">
        <v>154</v>
      </c>
      <c r="J208" s="4" t="s">
        <v>2712</v>
      </c>
      <c r="K208" s="4" t="s">
        <v>224</v>
      </c>
      <c r="L208" s="5" t="s">
        <v>2713</v>
      </c>
      <c r="M208" s="4" t="s">
        <v>2714</v>
      </c>
      <c r="N208" s="4" t="s">
        <v>2715</v>
      </c>
      <c r="O208" s="4"/>
      <c r="P208" s="4" t="s">
        <v>2719</v>
      </c>
      <c r="Q208" s="4" t="s">
        <v>2720</v>
      </c>
      <c r="R208" s="4" t="s">
        <v>2634</v>
      </c>
      <c r="S208" s="4" t="s">
        <v>231</v>
      </c>
      <c r="T208" s="7">
        <v>43867</v>
      </c>
      <c r="U208" s="4">
        <v>0</v>
      </c>
      <c r="V208" s="4">
        <v>0</v>
      </c>
      <c r="W208" s="4" t="s">
        <v>232</v>
      </c>
      <c r="X208" s="4"/>
      <c r="Y208" s="4" t="s">
        <v>233</v>
      </c>
      <c r="Z208" s="4" t="s">
        <v>234</v>
      </c>
      <c r="AA208" s="4" t="s">
        <v>234</v>
      </c>
      <c r="AB208" s="4" t="s">
        <v>2718</v>
      </c>
    </row>
    <row r="209" spans="1:28" x14ac:dyDescent="0.4">
      <c r="A209" s="4" t="s">
        <v>216</v>
      </c>
      <c r="B209" s="4">
        <v>99</v>
      </c>
      <c r="C209" s="4" t="s">
        <v>217</v>
      </c>
      <c r="D209" s="4" t="s">
        <v>2707</v>
      </c>
      <c r="E209" s="4" t="s">
        <v>2708</v>
      </c>
      <c r="F209" s="4" t="s">
        <v>2709</v>
      </c>
      <c r="G209" s="4" t="s">
        <v>2710</v>
      </c>
      <c r="H209" s="4" t="s">
        <v>2711</v>
      </c>
      <c r="I209" s="4" t="s">
        <v>154</v>
      </c>
      <c r="J209" s="4" t="s">
        <v>2712</v>
      </c>
      <c r="K209" s="4" t="s">
        <v>224</v>
      </c>
      <c r="L209" s="5" t="s">
        <v>2713</v>
      </c>
      <c r="M209" s="4" t="s">
        <v>2714</v>
      </c>
      <c r="N209" s="4" t="s">
        <v>2715</v>
      </c>
      <c r="O209" s="4"/>
      <c r="P209" s="4" t="s">
        <v>2721</v>
      </c>
      <c r="Q209" s="4" t="s">
        <v>2722</v>
      </c>
      <c r="R209" s="4" t="s">
        <v>256</v>
      </c>
      <c r="S209" s="4" t="s">
        <v>257</v>
      </c>
      <c r="T209" s="7">
        <v>42551</v>
      </c>
      <c r="U209" s="4">
        <v>0</v>
      </c>
      <c r="V209" s="4">
        <v>0</v>
      </c>
      <c r="W209" s="4" t="s">
        <v>232</v>
      </c>
      <c r="X209" s="4"/>
      <c r="Y209" s="4" t="s">
        <v>233</v>
      </c>
      <c r="Z209" s="4" t="s">
        <v>234</v>
      </c>
      <c r="AA209" s="4" t="s">
        <v>234</v>
      </c>
      <c r="AB209" s="4" t="s">
        <v>2718</v>
      </c>
    </row>
    <row r="210" spans="1:28" x14ac:dyDescent="0.4">
      <c r="A210" t="s">
        <v>187</v>
      </c>
      <c r="B210" t="s">
        <v>189</v>
      </c>
      <c r="D210" t="s">
        <v>29</v>
      </c>
      <c r="E210" t="s">
        <v>58</v>
      </c>
      <c r="F210" t="s">
        <v>59</v>
      </c>
      <c r="H210" t="s">
        <v>60</v>
      </c>
      <c r="J210" t="s">
        <v>61</v>
      </c>
      <c r="P210" s="4" t="s">
        <v>2808</v>
      </c>
      <c r="Q210" s="4" t="s">
        <v>2809</v>
      </c>
      <c r="R210" s="4" t="s">
        <v>2811</v>
      </c>
      <c r="S210" s="4" t="s">
        <v>257</v>
      </c>
      <c r="T210" s="2">
        <v>41585</v>
      </c>
      <c r="V210" s="4">
        <v>0</v>
      </c>
    </row>
    <row r="211" spans="1:28" x14ac:dyDescent="0.4">
      <c r="A211" t="s">
        <v>187</v>
      </c>
      <c r="B211" t="s">
        <v>191</v>
      </c>
      <c r="D211" t="s">
        <v>75</v>
      </c>
      <c r="E211" t="s">
        <v>76</v>
      </c>
      <c r="F211" t="s">
        <v>77</v>
      </c>
      <c r="G211" t="s">
        <v>78</v>
      </c>
      <c r="H211" t="s">
        <v>79</v>
      </c>
      <c r="I211" t="s">
        <v>80</v>
      </c>
      <c r="J211" t="s">
        <v>81</v>
      </c>
      <c r="L211" s="1" t="s">
        <v>82</v>
      </c>
      <c r="M211" s="3" t="s">
        <v>83</v>
      </c>
      <c r="P211" s="4" t="s">
        <v>2810</v>
      </c>
      <c r="Q211" s="4" t="s">
        <v>85</v>
      </c>
      <c r="R211" s="4" t="s">
        <v>53</v>
      </c>
      <c r="S211" s="4" t="s">
        <v>257</v>
      </c>
      <c r="T211" s="2">
        <v>41960</v>
      </c>
      <c r="V211" s="4">
        <v>0</v>
      </c>
    </row>
    <row r="212" spans="1:28" x14ac:dyDescent="0.4">
      <c r="A212" t="s">
        <v>187</v>
      </c>
      <c r="B212" t="s">
        <v>195</v>
      </c>
      <c r="D212" t="s">
        <v>122</v>
      </c>
      <c r="E212" t="s">
        <v>123</v>
      </c>
      <c r="F212" t="s">
        <v>124</v>
      </c>
      <c r="G212" t="s">
        <v>125</v>
      </c>
      <c r="H212" t="s">
        <v>126</v>
      </c>
      <c r="J212" t="s">
        <v>127</v>
      </c>
      <c r="L212" s="1" t="s">
        <v>128</v>
      </c>
      <c r="P212" s="4" t="s">
        <v>2812</v>
      </c>
      <c r="Q212" s="4" t="s">
        <v>2813</v>
      </c>
      <c r="R212" s="4" t="s">
        <v>129</v>
      </c>
      <c r="S212" s="4" t="s">
        <v>257</v>
      </c>
      <c r="T212" s="2">
        <v>41251</v>
      </c>
      <c r="V212" s="4">
        <v>0</v>
      </c>
    </row>
    <row r="213" spans="1:28" x14ac:dyDescent="0.4">
      <c r="A213" t="s">
        <v>187</v>
      </c>
      <c r="B213" t="s">
        <v>197</v>
      </c>
      <c r="D213" t="s">
        <v>43</v>
      </c>
      <c r="E213" t="s">
        <v>139</v>
      </c>
      <c r="F213" t="s">
        <v>140</v>
      </c>
      <c r="G213" t="s">
        <v>141</v>
      </c>
      <c r="H213" t="s">
        <v>142</v>
      </c>
      <c r="I213" t="s">
        <v>143</v>
      </c>
      <c r="J213" t="s">
        <v>144</v>
      </c>
      <c r="L213" s="1" t="s">
        <v>145</v>
      </c>
      <c r="M213" s="3" t="s">
        <v>146</v>
      </c>
      <c r="P213" s="4" t="s">
        <v>2814</v>
      </c>
      <c r="Q213" s="4" t="s">
        <v>1605</v>
      </c>
      <c r="R213" s="4" t="s">
        <v>2811</v>
      </c>
      <c r="S213" s="4" t="s">
        <v>231</v>
      </c>
      <c r="T213" s="2">
        <v>46023</v>
      </c>
      <c r="V213" s="4">
        <v>0</v>
      </c>
    </row>
    <row r="214" spans="1:28" x14ac:dyDescent="0.4">
      <c r="A214" t="s">
        <v>187</v>
      </c>
      <c r="B214" t="s">
        <v>199</v>
      </c>
      <c r="D214" t="s">
        <v>160</v>
      </c>
      <c r="E214" t="s">
        <v>161</v>
      </c>
      <c r="F214" t="s">
        <v>162</v>
      </c>
      <c r="H214" t="s">
        <v>163</v>
      </c>
      <c r="I214" t="s">
        <v>143</v>
      </c>
      <c r="J214" t="s">
        <v>164</v>
      </c>
      <c r="L214" s="1" t="s">
        <v>165</v>
      </c>
      <c r="M214" s="3" t="s">
        <v>166</v>
      </c>
      <c r="P214" s="4" t="s">
        <v>2815</v>
      </c>
      <c r="Q214" t="s">
        <v>2816</v>
      </c>
      <c r="R214" s="4" t="s">
        <v>2811</v>
      </c>
      <c r="S214" s="2" t="s">
        <v>231</v>
      </c>
      <c r="T214" s="2">
        <v>43227</v>
      </c>
      <c r="V214" s="4">
        <v>0</v>
      </c>
    </row>
    <row r="215" spans="1:28" x14ac:dyDescent="0.4">
      <c r="A215" s="4" t="s">
        <v>216</v>
      </c>
      <c r="B215" s="4">
        <v>5914</v>
      </c>
      <c r="C215" s="4" t="s">
        <v>242</v>
      </c>
      <c r="D215" s="4" t="s">
        <v>1013</v>
      </c>
      <c r="E215" s="4" t="s">
        <v>1014</v>
      </c>
      <c r="F215" s="4" t="s">
        <v>1015</v>
      </c>
      <c r="G215" s="4"/>
      <c r="H215" s="4" t="s">
        <v>1016</v>
      </c>
      <c r="I215" s="4" t="s">
        <v>143</v>
      </c>
      <c r="J215" s="4" t="s">
        <v>1017</v>
      </c>
      <c r="K215" s="4" t="s">
        <v>224</v>
      </c>
      <c r="L215" s="6" t="s">
        <v>1018</v>
      </c>
      <c r="M215" s="4" t="s">
        <v>1019</v>
      </c>
      <c r="N215" s="4" t="s">
        <v>1020</v>
      </c>
      <c r="P215" s="4" t="s">
        <v>2817</v>
      </c>
    </row>
  </sheetData>
  <hyperlinks>
    <hyperlink ref="M213" r:id="rId1" xr:uid="{562C3929-C514-4856-BB70-B69A167FE419}"/>
    <hyperlink ref="M214" r:id="rId2" xr:uid="{8AC04587-9646-4430-9D23-C3302ECA17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Checks</vt:lpstr>
      <vt:lpstr>Camping</vt:lpstr>
      <vt:lpstr>NFC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Brown</dc:creator>
  <cp:lastModifiedBy>Daren Cantrell</cp:lastModifiedBy>
  <dcterms:created xsi:type="dcterms:W3CDTF">2026-02-23T14:02:22Z</dcterms:created>
  <dcterms:modified xsi:type="dcterms:W3CDTF">2026-05-09T21:44:35Z</dcterms:modified>
</cp:coreProperties>
</file>